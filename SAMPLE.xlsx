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Github\TechnoLoyaltyProgram\"/>
    </mc:Choice>
  </mc:AlternateContent>
  <xr:revisionPtr revIDLastSave="0" documentId="13_ncr:1_{44B2020C-1718-41AC-B012-4909BE5B4551}" xr6:coauthVersionLast="47" xr6:coauthVersionMax="47" xr10:uidLastSave="{00000000-0000-0000-0000-000000000000}"/>
  <bookViews>
    <workbookView xWindow="-108" yWindow="-108" windowWidth="23256" windowHeight="12456" tabRatio="765" xr2:uid="{00000000-000D-0000-FFFF-FFFF00000000}"/>
  </bookViews>
  <sheets>
    <sheet name="200_rows" sheetId="2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6" l="1"/>
  <c r="E5" i="26" s="1"/>
  <c r="AP5" i="26"/>
  <c r="AQ5" i="26"/>
  <c r="AR5" i="26"/>
  <c r="BQ5" i="26" s="1"/>
  <c r="AS5" i="26"/>
  <c r="AT5" i="26"/>
  <c r="AU5" i="26"/>
  <c r="AV5" i="26"/>
  <c r="AW5" i="26"/>
  <c r="AX5" i="26"/>
  <c r="AY5" i="26"/>
  <c r="AZ5" i="26"/>
  <c r="BA5" i="26"/>
  <c r="BB5" i="26"/>
  <c r="BC5" i="26"/>
  <c r="BD5" i="26"/>
  <c r="BE5" i="26"/>
  <c r="BF5" i="26"/>
  <c r="BG5" i="26"/>
  <c r="BH5" i="26"/>
  <c r="BN5" i="26" s="1"/>
  <c r="BI5" i="26"/>
  <c r="BJ5" i="26"/>
  <c r="BR5" i="26" s="1"/>
  <c r="BK5" i="26"/>
  <c r="BS5" i="26" s="1"/>
  <c r="BL5" i="26"/>
  <c r="BM5" i="26"/>
  <c r="BU5" i="26" s="1"/>
  <c r="BO5" i="26"/>
  <c r="BT5" i="26"/>
  <c r="CA5" i="26"/>
  <c r="CC5" i="26"/>
  <c r="CD5" i="26"/>
  <c r="CH5" i="26"/>
  <c r="CI5" i="26" s="1"/>
  <c r="CK5" i="26"/>
  <c r="CL5" i="26"/>
  <c r="DV5" i="26" s="1"/>
  <c r="CM5" i="26"/>
  <c r="CN5" i="26"/>
  <c r="CO5" i="26"/>
  <c r="CP5" i="26"/>
  <c r="CQ5" i="26"/>
  <c r="EA5" i="26" s="1"/>
  <c r="CR5" i="26"/>
  <c r="EQ5" i="26" s="1"/>
  <c r="CS5" i="26"/>
  <c r="DN5" i="26" s="1"/>
  <c r="CT5" i="26"/>
  <c r="ES5" i="26" s="1"/>
  <c r="CU5" i="26"/>
  <c r="ET5" i="26" s="1"/>
  <c r="CV5" i="26"/>
  <c r="EU5" i="26" s="1"/>
  <c r="CW5" i="26"/>
  <c r="DK5" i="26" s="1"/>
  <c r="CX5" i="26"/>
  <c r="CY5" i="26"/>
  <c r="CZ5" i="26"/>
  <c r="DA5" i="26"/>
  <c r="DB5" i="26"/>
  <c r="DI5" i="26" s="1"/>
  <c r="DC5" i="26"/>
  <c r="DD5" i="26"/>
  <c r="DE5" i="26"/>
  <c r="EW5" i="26" s="1"/>
  <c r="DG5" i="26"/>
  <c r="DH5" i="26"/>
  <c r="DL5" i="26"/>
  <c r="DS5" i="26"/>
  <c r="EG5" i="26"/>
  <c r="ER5" i="26"/>
  <c r="EV5" i="26"/>
  <c r="EG6" i="26"/>
  <c r="DE6" i="26"/>
  <c r="DD6" i="26"/>
  <c r="DC6" i="26"/>
  <c r="DJ6" i="26" s="1"/>
  <c r="DB6" i="26"/>
  <c r="DI6" i="26" s="1"/>
  <c r="DA6" i="26"/>
  <c r="CZ6" i="26"/>
  <c r="DG6" i="26" s="1"/>
  <c r="CY6" i="26"/>
  <c r="CX6" i="26"/>
  <c r="EW6" i="26" s="1"/>
  <c r="CW6" i="26"/>
  <c r="DK6" i="26" s="1"/>
  <c r="CV6" i="26"/>
  <c r="DQ6" i="26" s="1"/>
  <c r="CU6" i="26"/>
  <c r="ET6" i="26" s="1"/>
  <c r="CT6" i="26"/>
  <c r="CS6" i="26"/>
  <c r="DN6" i="26" s="1"/>
  <c r="CR6" i="26"/>
  <c r="DF6" i="26" s="1"/>
  <c r="CQ6" i="26"/>
  <c r="CP6" i="26"/>
  <c r="CO6" i="26"/>
  <c r="CN6" i="26"/>
  <c r="CM6" i="26"/>
  <c r="CL6" i="26"/>
  <c r="CK6" i="26"/>
  <c r="CH6" i="26"/>
  <c r="CI6" i="26" s="1"/>
  <c r="CD6" i="26"/>
  <c r="CC6" i="26"/>
  <c r="CA6" i="26"/>
  <c r="BY6" i="26"/>
  <c r="BM6" i="26"/>
  <c r="BL6" i="26"/>
  <c r="BK6" i="26"/>
  <c r="BJ6" i="26"/>
  <c r="BI6" i="26"/>
  <c r="BH6" i="26"/>
  <c r="BF6" i="26"/>
  <c r="BE6" i="26"/>
  <c r="BD6" i="26"/>
  <c r="BC6" i="26"/>
  <c r="BB6" i="26"/>
  <c r="BA6" i="26"/>
  <c r="AZ6" i="26"/>
  <c r="AY6" i="26"/>
  <c r="AX6" i="26"/>
  <c r="AW6" i="26"/>
  <c r="AV6" i="26"/>
  <c r="AU6" i="26"/>
  <c r="BT6" i="26" s="1"/>
  <c r="AT6" i="26"/>
  <c r="BS6" i="26" s="1"/>
  <c r="AS6" i="26"/>
  <c r="BR6" i="26" s="1"/>
  <c r="AR6" i="26"/>
  <c r="BQ6" i="26" s="1"/>
  <c r="AQ6" i="26"/>
  <c r="BP6" i="26" s="1"/>
  <c r="AP6" i="26"/>
  <c r="BO6" i="26" s="1"/>
  <c r="D6" i="26"/>
  <c r="E6" i="26" s="1"/>
  <c r="BW5" i="26" l="1"/>
  <c r="BX5" i="26" s="1"/>
  <c r="BY5" i="26"/>
  <c r="BZ5" i="26" s="1"/>
  <c r="EC5" i="26"/>
  <c r="ED5" i="26" s="1"/>
  <c r="DR5" i="26"/>
  <c r="DZ5" i="26" s="1"/>
  <c r="DL6" i="26"/>
  <c r="DQ5" i="26"/>
  <c r="DY5" i="26" s="1"/>
  <c r="ES6" i="26"/>
  <c r="DM6" i="26"/>
  <c r="DU6" i="26" s="1"/>
  <c r="DP5" i="26"/>
  <c r="DX5" i="26" s="1"/>
  <c r="BP5" i="26"/>
  <c r="BV5" i="26" s="1"/>
  <c r="DO5" i="26"/>
  <c r="DW5" i="26" s="1"/>
  <c r="DY6" i="26"/>
  <c r="DP6" i="26"/>
  <c r="DX6" i="26" s="1"/>
  <c r="DS6" i="26"/>
  <c r="DM5" i="26"/>
  <c r="DJ5" i="26"/>
  <c r="DV6" i="26"/>
  <c r="BN6" i="26"/>
  <c r="DF5" i="26"/>
  <c r="EA6" i="26"/>
  <c r="EQ6" i="26"/>
  <c r="DR6" i="26"/>
  <c r="DZ6" i="26" s="1"/>
  <c r="EU6" i="26"/>
  <c r="EV6" i="26"/>
  <c r="BW6" i="26"/>
  <c r="BX6" i="26" s="1"/>
  <c r="BZ6" i="26" s="1"/>
  <c r="DH6" i="26"/>
  <c r="ER6" i="26"/>
  <c r="DO6" i="26"/>
  <c r="BU6" i="26"/>
  <c r="BV6" i="26" s="1"/>
  <c r="CB6" i="26" l="1"/>
  <c r="CE6" i="26"/>
  <c r="EE5" i="26"/>
  <c r="EH5" i="26" s="1"/>
  <c r="CB5" i="26"/>
  <c r="CE5" i="26"/>
  <c r="DT5" i="26"/>
  <c r="DU5" i="26"/>
  <c r="EB5" i="26" s="1"/>
  <c r="EE6" i="26"/>
  <c r="EH6" i="26" s="1"/>
  <c r="DW6" i="26"/>
  <c r="DT6" i="26"/>
  <c r="EB6" i="26"/>
  <c r="EC6" i="26"/>
  <c r="ED6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C7" authorId="0" shapeId="0" xr:uid="{6A7AA7B2-6971-42F6-9CD8-C29F4F7FDF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DULU TEMA C3</t>
        </r>
      </text>
    </comment>
    <comment ref="C23" authorId="0" shapeId="0" xr:uid="{9742C994-3CFF-4EBC-9EDE-46C1BB6742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DULU TEMA C2</t>
        </r>
      </text>
    </comment>
    <comment ref="AX36" authorId="0" shapeId="0" xr:uid="{09E2AE2C-90EA-4E8E-A4AB-FBFCCE5257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SLOT TEMA C2</t>
        </r>
      </text>
    </comment>
    <comment ref="C72" authorId="0" shapeId="0" xr:uid="{D6FDF794-31F7-41AE-A103-66257CE589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DULU AAV</t>
        </r>
      </text>
    </comment>
    <comment ref="DR147" authorId="1" shapeId="0" xr:uid="{247E5BA0-8172-4F74-8093-6A62419BE9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tema c1 12</t>
        </r>
      </text>
    </comment>
    <comment ref="C189" authorId="0" shapeId="0" xr:uid="{0EADF6B3-352F-457C-A32B-B2FE5707F9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DULU TEMA C2</t>
        </r>
      </text>
    </comment>
  </commentList>
</comments>
</file>

<file path=xl/sharedStrings.xml><?xml version="1.0" encoding="utf-8"?>
<sst xmlns="http://schemas.openxmlformats.org/spreadsheetml/2006/main" count="202" uniqueCount="58">
  <si>
    <t>NPK</t>
  </si>
  <si>
    <t>NAMA</t>
  </si>
  <si>
    <t>FUNGSI</t>
  </si>
  <si>
    <t>JAN</t>
  </si>
  <si>
    <t>FEB</t>
  </si>
  <si>
    <t>MAR</t>
  </si>
  <si>
    <t>APR</t>
  </si>
  <si>
    <t>MEI</t>
  </si>
  <si>
    <t>P1 JUN</t>
  </si>
  <si>
    <t>P2 DES</t>
  </si>
  <si>
    <t>TOTAL SLOT</t>
  </si>
  <si>
    <t>TOKEN</t>
  </si>
  <si>
    <t>DOWNGRADE?</t>
  </si>
  <si>
    <t>RESET?</t>
  </si>
  <si>
    <t>GRADING</t>
  </si>
  <si>
    <t>JENIS MEMBERSHIP</t>
  </si>
  <si>
    <t xml:space="preserve"> </t>
  </si>
  <si>
    <t>AAV</t>
  </si>
  <si>
    <t>TOKEN TERSISA</t>
  </si>
  <si>
    <t>TOTAL SLOT REGULER</t>
  </si>
  <si>
    <t>SLOT REGULER</t>
  </si>
  <si>
    <t>SLOT AKUMULASI</t>
  </si>
  <si>
    <t>CEK DOWNGRADE</t>
  </si>
  <si>
    <t>STATUS KEMITRAAN</t>
  </si>
  <si>
    <t xml:space="preserve">   </t>
  </si>
  <si>
    <t>START</t>
  </si>
  <si>
    <t>TODAY</t>
  </si>
  <si>
    <t>USIA TOKEN</t>
  </si>
  <si>
    <t>REGULER</t>
  </si>
  <si>
    <t>FIRST SLOT</t>
  </si>
  <si>
    <t>MONTH SLOT</t>
  </si>
  <si>
    <t>EKSKLUSIF</t>
  </si>
  <si>
    <t>REEDEM P1 2024</t>
  </si>
  <si>
    <t>BISA REDEEM?</t>
  </si>
  <si>
    <t>FORM COMMITMENT</t>
  </si>
  <si>
    <t>P2 JUN</t>
  </si>
  <si>
    <t>JUL</t>
  </si>
  <si>
    <t>AUG</t>
  </si>
  <si>
    <t>SEPT</t>
  </si>
  <si>
    <t>OKT</t>
  </si>
  <si>
    <t>NOV</t>
  </si>
  <si>
    <t>P1 DES</t>
  </si>
  <si>
    <t>V</t>
  </si>
  <si>
    <t>STATUS RESIGN</t>
  </si>
  <si>
    <t>TIDAK</t>
  </si>
  <si>
    <t>-</t>
  </si>
  <si>
    <t>DOWNGRADE</t>
  </si>
  <si>
    <t>RESET</t>
  </si>
  <si>
    <t>SAPHIRE</t>
  </si>
  <si>
    <t>P1</t>
  </si>
  <si>
    <t>P2</t>
  </si>
  <si>
    <t>P3</t>
  </si>
  <si>
    <t>MAY</t>
  </si>
  <si>
    <t>Y</t>
  </si>
  <si>
    <t>FALSE</t>
  </si>
  <si>
    <t>REEDEM P1 2025</t>
  </si>
  <si>
    <t>REEDEM P2 2024</t>
  </si>
  <si>
    <t>Alice Optel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</si>
</sst>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Level &quot;General"/>
    <numFmt numFmtId="165" formatCode="d&quot; &quot;mmmm&quot; &quot;yyyy"/>
  </numFmts>
  <fonts count="9">
    <font>
      <sz val="11"/>
      <color theme="1"/>
      <name val="Calibri"/>
      <family val="2"/>
      <charset val="1"/>
      <scheme val="minor"/>
    </font>
    <font>
      <b/>
      <sz val="12"/>
      <color theme="1"/>
      <name val="Caliibri"/>
    </font>
    <font>
      <sz val="12"/>
      <color theme="1"/>
      <name val="Caliibri"/>
    </font>
    <font>
      <sz val="12"/>
      <color rgb="FF000000"/>
      <name val="Caliibri"/>
    </font>
    <font>
      <sz val="12"/>
      <name val="Caliibri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charset val="1"/>
      <scheme val="minor"/>
    </font>
    <font>
      <b/>
      <sz val="12"/>
      <color rgb="FFFF0000"/>
      <name val="Caliibri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63C3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7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1" fillId="9" borderId="1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10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63C3C"/>
      <color rgb="FFCC00FF"/>
      <color rgb="FFCC00CC"/>
      <color rgb="FF00CC99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REKAP%20ABSEN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BackUp%20SESAR\PRODUCTIVITY\2024\JUN%2024\PERIODE%201\REKAP%20EKSKLUSIF%20DI%20BULAN%20JUN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2024/Compare%20Eks%20vs%20Reguler%20Agus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2024/Compare%20Eks%20vs%20Reguler%20Sep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2024/Compare%20Eks%20vs%20Reguler%20Okt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11-24/Compare%20Eks%20vs%20Reguler%20Nov%20202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OPCENT%20TELE%20-%20TEMPLATE%20DASHBOARD%20MEMBERSHIP%20-%20v9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SHBOARD%20LOYALTY%20PROGRAM\OPCENT%20TELE\Operation\Rekap%20AAV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OPCENT%20TELE\GAJIAN%20MITRA\2024\DES%2024\periode%201\Gajian%20Periode%201%20Desember%20202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GRADING%20MEMBERSHIP%20P2%20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DATA%20RESIGN/Data%20Resign%20-%20P2%20202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2.%20P2%202024/Data%20Redeem/Data%20Redeem%20P2%202024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12-24/P2%20DES/PERIODE%202%20DESEMBER%202024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01-25/Compare%20Eks%20vs%20Reguler%20Jan%20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02-25/Compare%20Eks%20vs%20Reguler%20Feb%2020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03-25/Compare%20Eks%20vs%20Reguler%20Mar%202025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04-25/Compare%20Eks%20vs%20Reguler%20Apr%20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05-25/Compare%20Eks%20vs%20Reguler%20Mei%202025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06-25%201/STATUS%20EKSKLUSIF%20P1%20JUNI%202025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12-24/P2%20DES/Gajian%20Periode%202%20Desember%20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GRADING/GRADING%20MEMBERSHIP%20P1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itra"/>
      <sheetName val="MITRA SLOT 3 DAN 3B"/>
      <sheetName val="DATA DIRI MITRA LAMA"/>
      <sheetName val="Data Palugada"/>
      <sheetName val="DATA DIRI DELIMA"/>
      <sheetName val="DATA RB"/>
      <sheetName val="Mitra Beragama"/>
      <sheetName val="ABSEN VLOOKUP"/>
      <sheetName val="TEMA C2"/>
      <sheetName val="DELIMA TEMA C2"/>
      <sheetName val="AAV"/>
      <sheetName val="GC"/>
      <sheetName val="DESIRE"/>
      <sheetName val="ACC CASH"/>
      <sheetName val="AAV AUTO 2000"/>
      <sheetName val="TEMA C1"/>
      <sheetName val="TEMA C3"/>
      <sheetName val="CC SK"/>
      <sheetName val="TEMA HAJI"/>
      <sheetName val="SBPV"/>
      <sheetName val="DELTA"/>
      <sheetName val="ALL 2024"/>
      <sheetName val="KOMITMEN TEMA C2"/>
      <sheetName val="RVO"/>
      <sheetName val="Pivot Komitmen TEMA C2"/>
      <sheetName val="Berijalan Palugada"/>
      <sheetName val="Data Diri"/>
      <sheetName val="background"/>
      <sheetName val="performance c2"/>
      <sheetName val="DATA 2024"/>
      <sheetName val="NPK"/>
      <sheetName val="Mitra Tidak Aktif C2"/>
      <sheetName val="TL TEMA C2"/>
      <sheetName val="DATA SLOT TEMA C2"/>
      <sheetName val="ABSEN RVO"/>
      <sheetName val="REKAP ABSEN 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NPK</v>
          </cell>
          <cell r="B1">
            <v>0</v>
          </cell>
          <cell r="C1">
            <v>0</v>
          </cell>
        </row>
        <row r="2">
          <cell r="A2" t="str">
            <v>ID Mitra</v>
          </cell>
          <cell r="B2" t="str">
            <v>Nama Mitra</v>
          </cell>
          <cell r="C2">
            <v>0</v>
          </cell>
        </row>
        <row r="3">
          <cell r="A3">
            <v>0</v>
          </cell>
          <cell r="B3">
            <v>0</v>
          </cell>
          <cell r="C3" t="str">
            <v>1st Slot</v>
          </cell>
        </row>
        <row r="4">
          <cell r="A4" t="str">
            <v>90095</v>
          </cell>
          <cell r="B4" t="str">
            <v>INEXCELCIS DEO SURYADI</v>
          </cell>
          <cell r="C4">
            <v>44302</v>
          </cell>
        </row>
        <row r="5">
          <cell r="A5" t="str">
            <v>91627</v>
          </cell>
          <cell r="B5" t="str">
            <v>THANIA PUTRI</v>
          </cell>
          <cell r="C5">
            <v>44302</v>
          </cell>
        </row>
        <row r="6">
          <cell r="A6" t="str">
            <v>90104</v>
          </cell>
          <cell r="B6" t="str">
            <v>TRENGGINAS AHIMSYA</v>
          </cell>
          <cell r="C6">
            <v>44302</v>
          </cell>
        </row>
        <row r="7">
          <cell r="A7" t="str">
            <v>90027</v>
          </cell>
          <cell r="B7" t="str">
            <v>ANINDA SEPTIASIH</v>
          </cell>
          <cell r="C7" t="str">
            <v>?</v>
          </cell>
        </row>
        <row r="8">
          <cell r="A8" t="str">
            <v>90073</v>
          </cell>
          <cell r="B8" t="str">
            <v>ETIK NOVITASARI</v>
          </cell>
          <cell r="C8">
            <v>44302</v>
          </cell>
        </row>
        <row r="9">
          <cell r="A9" t="str">
            <v>90081</v>
          </cell>
          <cell r="B9" t="str">
            <v>STEFANIE ENDAHING PANGARTI</v>
          </cell>
          <cell r="C9">
            <v>44302</v>
          </cell>
        </row>
        <row r="10">
          <cell r="A10" t="str">
            <v>91675</v>
          </cell>
          <cell r="B10" t="str">
            <v>CANDRA DICKY PERMANA</v>
          </cell>
          <cell r="C10">
            <v>44305</v>
          </cell>
        </row>
        <row r="11">
          <cell r="A11" t="str">
            <v>91676</v>
          </cell>
          <cell r="B11" t="str">
            <v>PUTRI NUR BAITI</v>
          </cell>
          <cell r="C11">
            <v>44305</v>
          </cell>
        </row>
        <row r="12">
          <cell r="A12" t="str">
            <v>90545</v>
          </cell>
          <cell r="B12" t="str">
            <v>DIAN ASTUTI</v>
          </cell>
          <cell r="C12">
            <v>44302</v>
          </cell>
        </row>
        <row r="13">
          <cell r="A13" t="str">
            <v>90141</v>
          </cell>
          <cell r="B13" t="str">
            <v>KIN BETZY MILENDINA</v>
          </cell>
          <cell r="C13" t="str">
            <v>?</v>
          </cell>
        </row>
        <row r="14">
          <cell r="A14" t="str">
            <v>90199</v>
          </cell>
          <cell r="B14" t="str">
            <v>MEYLA ALKARISMA PUTRI</v>
          </cell>
          <cell r="C14">
            <v>44302</v>
          </cell>
        </row>
        <row r="15">
          <cell r="A15" t="str">
            <v>90204</v>
          </cell>
          <cell r="B15" t="str">
            <v>WINONA ANGGRAENI L</v>
          </cell>
          <cell r="C15">
            <v>44305</v>
          </cell>
        </row>
        <row r="16">
          <cell r="A16" t="str">
            <v>90223</v>
          </cell>
          <cell r="B16" t="str">
            <v>DIEGO RISTYA PRAKOSA</v>
          </cell>
          <cell r="C16">
            <v>44306</v>
          </cell>
        </row>
        <row r="17">
          <cell r="A17" t="str">
            <v>90171</v>
          </cell>
          <cell r="B17" t="str">
            <v>VALDA GUSNADIA JANNAH</v>
          </cell>
          <cell r="C17">
            <v>44302</v>
          </cell>
        </row>
        <row r="18">
          <cell r="A18" t="str">
            <v>90208</v>
          </cell>
          <cell r="B18" t="str">
            <v>FAUSTINE NATHANIA CHRISTAL</v>
          </cell>
          <cell r="C18">
            <v>44314</v>
          </cell>
        </row>
        <row r="19">
          <cell r="A19" t="str">
            <v>90160</v>
          </cell>
          <cell r="B19" t="str">
            <v>ANASTASIA ARINE</v>
          </cell>
          <cell r="C19" t="str">
            <v>?</v>
          </cell>
        </row>
        <row r="20">
          <cell r="A20" t="str">
            <v>90278</v>
          </cell>
          <cell r="B20" t="str">
            <v>NUR DWI INDAH SARI</v>
          </cell>
          <cell r="C20">
            <v>44302</v>
          </cell>
        </row>
        <row r="21">
          <cell r="A21" t="str">
            <v>90304</v>
          </cell>
          <cell r="B21" t="str">
            <v>KIREINA GUSTI SAFIRA</v>
          </cell>
          <cell r="C21" t="str">
            <v>?</v>
          </cell>
        </row>
        <row r="22">
          <cell r="A22" t="str">
            <v>90240</v>
          </cell>
          <cell r="B22" t="str">
            <v>RENI DWI RAHAYU</v>
          </cell>
          <cell r="C22">
            <v>44310</v>
          </cell>
        </row>
        <row r="23">
          <cell r="A23" t="str">
            <v>90316</v>
          </cell>
          <cell r="B23" t="str">
            <v>LOLITA SARI</v>
          </cell>
          <cell r="C23" t="str">
            <v>?</v>
          </cell>
        </row>
        <row r="24">
          <cell r="A24" t="str">
            <v>90335</v>
          </cell>
          <cell r="B24" t="str">
            <v>MARIA SARASWATI KINASIH HAPSARI</v>
          </cell>
          <cell r="C24" t="str">
            <v>?</v>
          </cell>
        </row>
        <row r="25">
          <cell r="A25" t="str">
            <v>90279</v>
          </cell>
          <cell r="B25" t="str">
            <v>SUTRIA NINGRUM</v>
          </cell>
          <cell r="C25">
            <v>44306</v>
          </cell>
        </row>
        <row r="26">
          <cell r="A26" t="str">
            <v>90334</v>
          </cell>
          <cell r="B26" t="str">
            <v>VINCENCIUS TRI SETYOBUDI</v>
          </cell>
          <cell r="C26">
            <v>44306</v>
          </cell>
        </row>
        <row r="27">
          <cell r="A27" t="str">
            <v>90269</v>
          </cell>
          <cell r="B27" t="str">
            <v>SHOFIANI FAJRI</v>
          </cell>
          <cell r="C27" t="str">
            <v>?</v>
          </cell>
        </row>
        <row r="28">
          <cell r="A28" t="str">
            <v>90332</v>
          </cell>
          <cell r="B28" t="str">
            <v>MIRA PUTRI MULIA</v>
          </cell>
          <cell r="C28" t="str">
            <v>17 Mei 2021</v>
          </cell>
        </row>
        <row r="29">
          <cell r="A29" t="str">
            <v>90145</v>
          </cell>
          <cell r="B29" t="str">
            <v>ADINDA PUTRI RAHAYU</v>
          </cell>
          <cell r="C29">
            <v>44310</v>
          </cell>
        </row>
        <row r="30">
          <cell r="A30" t="str">
            <v>90367</v>
          </cell>
          <cell r="B30" t="str">
            <v>NUGROHO DWI YULIANTO</v>
          </cell>
          <cell r="C30" t="str">
            <v>15 Mei 2021</v>
          </cell>
        </row>
        <row r="31">
          <cell r="A31" t="str">
            <v>90365</v>
          </cell>
          <cell r="B31" t="str">
            <v xml:space="preserve">PRAFIRA LAILI ZAHRA </v>
          </cell>
          <cell r="C31" t="str">
            <v>17 Mei 2021</v>
          </cell>
        </row>
        <row r="32">
          <cell r="A32" t="str">
            <v>90354</v>
          </cell>
          <cell r="B32" t="str">
            <v>JEAN BREBEUF</v>
          </cell>
          <cell r="C32" t="str">
            <v>17 Mei 2021</v>
          </cell>
        </row>
        <row r="33">
          <cell r="A33" t="str">
            <v>90261</v>
          </cell>
          <cell r="B33" t="str">
            <v>ADITYO HADI WIGUNO</v>
          </cell>
          <cell r="C33" t="str">
            <v>17 Mei 2021</v>
          </cell>
        </row>
        <row r="34">
          <cell r="A34" t="str">
            <v>90344</v>
          </cell>
          <cell r="B34" t="str">
            <v>AGUNG SENTOSA</v>
          </cell>
          <cell r="C34" t="str">
            <v>17 Mei 2021</v>
          </cell>
        </row>
        <row r="35">
          <cell r="A35" t="str">
            <v>90464</v>
          </cell>
          <cell r="B35" t="str">
            <v>IBRAHIM MUSA</v>
          </cell>
          <cell r="C35" t="str">
            <v>2 Juni 2021</v>
          </cell>
        </row>
        <row r="36">
          <cell r="A36" t="str">
            <v>90425</v>
          </cell>
          <cell r="B36" t="str">
            <v>RA PRAMESTI INTAN PALUPI</v>
          </cell>
          <cell r="C36" t="str">
            <v>5 Juni 2021</v>
          </cell>
        </row>
        <row r="37">
          <cell r="A37" t="str">
            <v>90516</v>
          </cell>
          <cell r="B37" t="str">
            <v>ASRI BESTARI RAYAWARI</v>
          </cell>
          <cell r="C37" t="str">
            <v>22 Juni 2021</v>
          </cell>
        </row>
        <row r="38">
          <cell r="A38" t="str">
            <v>90517</v>
          </cell>
          <cell r="B38" t="str">
            <v>RITA RISDIANA</v>
          </cell>
          <cell r="C38" t="str">
            <v>18 Juni 2021</v>
          </cell>
        </row>
        <row r="39">
          <cell r="A39" t="str">
            <v>90514</v>
          </cell>
          <cell r="B39" t="str">
            <v>AYUNDA VINA</v>
          </cell>
          <cell r="C39" t="str">
            <v>18 Juni 2021</v>
          </cell>
        </row>
        <row r="40">
          <cell r="A40" t="str">
            <v>90547</v>
          </cell>
          <cell r="B40" t="str">
            <v>DHIMAS FAJAR</v>
          </cell>
          <cell r="C40" t="str">
            <v>26 Juni 2021</v>
          </cell>
        </row>
        <row r="41">
          <cell r="A41" t="str">
            <v>90556</v>
          </cell>
          <cell r="B41" t="str">
            <v>ISIDORUS MARCHO</v>
          </cell>
          <cell r="C41" t="str">
            <v>26 Juni 2021</v>
          </cell>
        </row>
        <row r="42">
          <cell r="A42" t="str">
            <v>90568</v>
          </cell>
          <cell r="B42" t="str">
            <v>FADHLY RADITYA PUTRA</v>
          </cell>
          <cell r="C42" t="str">
            <v>26 Juni 2021</v>
          </cell>
        </row>
        <row r="43">
          <cell r="A43" t="str">
            <v>90548</v>
          </cell>
          <cell r="B43" t="str">
            <v>BIMA ADI NUGROHO</v>
          </cell>
          <cell r="C43" t="str">
            <v>26 Juni 2021</v>
          </cell>
        </row>
        <row r="44">
          <cell r="A44" t="str">
            <v>90253</v>
          </cell>
          <cell r="B44" t="str">
            <v xml:space="preserve">ANGGRETA RUSITA </v>
          </cell>
          <cell r="C44" t="str">
            <v>26 Juni 2021</v>
          </cell>
        </row>
        <row r="45">
          <cell r="A45" t="str">
            <v>90559</v>
          </cell>
          <cell r="B45" t="str">
            <v>BAGUS RHIZKY WIYANTO S</v>
          </cell>
          <cell r="C45" t="str">
            <v>26 Juni 2021</v>
          </cell>
        </row>
        <row r="46">
          <cell r="A46" t="str">
            <v>90528</v>
          </cell>
          <cell r="B46" t="str">
            <v>LIDIATY</v>
          </cell>
          <cell r="C46" t="str">
            <v>28 Juni 2021</v>
          </cell>
        </row>
        <row r="47">
          <cell r="A47" t="str">
            <v>90545</v>
          </cell>
          <cell r="B47" t="str">
            <v>GANISH GIOVANNI</v>
          </cell>
          <cell r="C47" t="str">
            <v>26 Juni 2021</v>
          </cell>
        </row>
        <row r="48">
          <cell r="A48" t="str">
            <v>90569</v>
          </cell>
          <cell r="B48" t="str">
            <v xml:space="preserve">AMINULLAH </v>
          </cell>
          <cell r="C48" t="str">
            <v>26 Juni 2021</v>
          </cell>
        </row>
        <row r="49">
          <cell r="A49" t="str">
            <v>90550</v>
          </cell>
          <cell r="B49" t="str">
            <v xml:space="preserve">MARIA HOSYEANA MARGARITIS </v>
          </cell>
          <cell r="C49">
            <v>44378</v>
          </cell>
        </row>
        <row r="50">
          <cell r="A50" t="str">
            <v>A0190</v>
          </cell>
          <cell r="B50" t="str">
            <v>YAHYA ISRA FADHILA</v>
          </cell>
          <cell r="C50" t="str">
            <v> </v>
          </cell>
        </row>
        <row r="51">
          <cell r="A51">
            <v>92372</v>
          </cell>
          <cell r="B51" t="str">
            <v>Nur Hadiyanto</v>
          </cell>
          <cell r="C51" t="str">
            <v> </v>
          </cell>
        </row>
        <row r="52">
          <cell r="A52" t="str">
            <v>A0168</v>
          </cell>
          <cell r="B52" t="str">
            <v>Mutia Rakhmi Annisa</v>
          </cell>
          <cell r="C52" t="str">
            <v> </v>
          </cell>
        </row>
        <row r="53">
          <cell r="A53" t="str">
            <v>A0183</v>
          </cell>
          <cell r="B53" t="str">
            <v>Mariana Dyah Arum Sekar Hapsari</v>
          </cell>
          <cell r="C53" t="str">
            <v> </v>
          </cell>
        </row>
        <row r="54">
          <cell r="A54" t="str">
            <v>A0204</v>
          </cell>
          <cell r="B54" t="str">
            <v>Monica Rinda</v>
          </cell>
          <cell r="C54" t="str">
            <v> </v>
          </cell>
        </row>
        <row r="55">
          <cell r="A55" t="str">
            <v>A0209</v>
          </cell>
          <cell r="B55" t="str">
            <v>Hanna Theresia Panjaitan</v>
          </cell>
          <cell r="C55" t="str">
            <v> </v>
          </cell>
        </row>
        <row r="56">
          <cell r="A56" t="str">
            <v>A0210</v>
          </cell>
          <cell r="B56" t="str">
            <v>Yohanes Rian Wicaksono</v>
          </cell>
          <cell r="C56" t="str">
            <v> </v>
          </cell>
        </row>
        <row r="57">
          <cell r="A57" t="str">
            <v>A0215</v>
          </cell>
          <cell r="B57" t="str">
            <v>Nigel Amarta</v>
          </cell>
          <cell r="C57" t="str">
            <v> </v>
          </cell>
        </row>
        <row r="58">
          <cell r="A58" t="str">
            <v>A0217</v>
          </cell>
          <cell r="B58" t="str">
            <v>Yusril Rama Mahendra</v>
          </cell>
          <cell r="C58">
            <v>16</v>
          </cell>
        </row>
        <row r="59">
          <cell r="A59" t="str">
            <v>A0218</v>
          </cell>
          <cell r="B59" t="str">
            <v>Elizabeth Ivana</v>
          </cell>
          <cell r="C59" t="str">
            <v> </v>
          </cell>
        </row>
        <row r="60">
          <cell r="A60" t="str">
            <v>A0221</v>
          </cell>
          <cell r="B60" t="str">
            <v>Gabrielle Hariandja</v>
          </cell>
          <cell r="C60" t="str">
            <v> </v>
          </cell>
        </row>
        <row r="61">
          <cell r="A61" t="str">
            <v>A0227</v>
          </cell>
          <cell r="B61" t="str">
            <v>Ardiyanto Juantoro</v>
          </cell>
          <cell r="C61" t="str">
            <v> </v>
          </cell>
        </row>
        <row r="62">
          <cell r="A62" t="str">
            <v>A0228</v>
          </cell>
          <cell r="B62" t="str">
            <v>Dewi Rahmawati</v>
          </cell>
          <cell r="C62" t="str">
            <v> </v>
          </cell>
        </row>
        <row r="63">
          <cell r="A63" t="str">
            <v>A0238</v>
          </cell>
          <cell r="B63" t="str">
            <v>Afif Miftah Firdaus</v>
          </cell>
          <cell r="C63" t="str">
            <v> </v>
          </cell>
        </row>
        <row r="64">
          <cell r="A64" t="str">
            <v>A0248</v>
          </cell>
          <cell r="B64" t="str">
            <v>Muhammad Adam Shariar</v>
          </cell>
          <cell r="C64" t="str">
            <v> </v>
          </cell>
        </row>
        <row r="65">
          <cell r="A65" t="str">
            <v>A0233</v>
          </cell>
          <cell r="B65" t="str">
            <v>Rizki Darmawan</v>
          </cell>
          <cell r="C65" t="str">
            <v> </v>
          </cell>
        </row>
        <row r="66">
          <cell r="A66" t="str">
            <v>A0202</v>
          </cell>
          <cell r="B66" t="str">
            <v>Rasta Herlambang</v>
          </cell>
          <cell r="C66" t="str">
            <v> </v>
          </cell>
        </row>
        <row r="67">
          <cell r="A67" t="str">
            <v>A0244</v>
          </cell>
          <cell r="B67" t="str">
            <v>Setyaningtyas Trinovitasari</v>
          </cell>
          <cell r="C67">
            <v>34</v>
          </cell>
        </row>
        <row r="68">
          <cell r="A68" t="str">
            <v>A0428</v>
          </cell>
          <cell r="B68" t="str">
            <v>Caroline Caroline</v>
          </cell>
          <cell r="C68" t="str">
            <v> </v>
          </cell>
        </row>
        <row r="69">
          <cell r="A69" t="str">
            <v>A0216</v>
          </cell>
          <cell r="B69" t="str">
            <v>Devi Prastika</v>
          </cell>
          <cell r="C69">
            <v>39</v>
          </cell>
        </row>
        <row r="70">
          <cell r="A70" t="str">
            <v>A0433</v>
          </cell>
          <cell r="B70" t="str">
            <v>Dyah Kusuma Al Afsyah</v>
          </cell>
          <cell r="C70" t="str">
            <v> </v>
          </cell>
        </row>
        <row r="71">
          <cell r="A71" t="str">
            <v>A0231</v>
          </cell>
          <cell r="B71" t="str">
            <v>Fina Nur Yenni Damayanti</v>
          </cell>
          <cell r="C71" t="str">
            <v> </v>
          </cell>
        </row>
        <row r="72">
          <cell r="A72" t="str">
            <v>90574</v>
          </cell>
          <cell r="B72" t="str">
            <v>TRIANA ANGGERINA</v>
          </cell>
          <cell r="C72" t="str">
            <v>16 Juli 2021</v>
          </cell>
        </row>
        <row r="73">
          <cell r="A73" t="str">
            <v>92573</v>
          </cell>
          <cell r="B73" t="str">
            <v>Fahmi Setianto</v>
          </cell>
          <cell r="C73">
            <v>44768</v>
          </cell>
        </row>
        <row r="74">
          <cell r="A74" t="str">
            <v>92479</v>
          </cell>
          <cell r="B74" t="str">
            <v>ELISA JAYANTI LESTARI</v>
          </cell>
          <cell r="C74" t="str">
            <v>11 Agustus 2022</v>
          </cell>
        </row>
        <row r="75">
          <cell r="A75" t="str">
            <v>90495</v>
          </cell>
          <cell r="B75" t="str">
            <v>GANISH GIOVANNI SRIYONO</v>
          </cell>
          <cell r="C75" t="str">
            <v>16 Juni 2021</v>
          </cell>
        </row>
        <row r="76">
          <cell r="A76" t="str">
            <v>A0130</v>
          </cell>
          <cell r="B76" t="str">
            <v>GIANTY HERLINA MELISSA SIDEBANG</v>
          </cell>
          <cell r="C76" t="str">
            <v>10 Sept 2022</v>
          </cell>
        </row>
        <row r="77">
          <cell r="A77" t="str">
            <v>A0039</v>
          </cell>
          <cell r="B77" t="str">
            <v>ALFI WAHYU ZAHARA</v>
          </cell>
          <cell r="C77" t="str">
            <v>20 Sept 2022</v>
          </cell>
        </row>
        <row r="78">
          <cell r="A78" t="str">
            <v>A0167</v>
          </cell>
          <cell r="B78" t="str">
            <v>Safa Aqilla</v>
          </cell>
          <cell r="C78" t="str">
            <v>27 Sept 2022</v>
          </cell>
        </row>
        <row r="79">
          <cell r="A79" t="str">
            <v>A0158</v>
          </cell>
          <cell r="B79" t="str">
            <v>Fifi Amini</v>
          </cell>
          <cell r="C79">
            <v>44839</v>
          </cell>
        </row>
        <row r="80">
          <cell r="A80" t="str">
            <v>A0532</v>
          </cell>
          <cell r="B80" t="str">
            <v>Devara Krisnawati</v>
          </cell>
          <cell r="C80">
            <v>44895</v>
          </cell>
        </row>
        <row r="81">
          <cell r="A81" t="str">
            <v>A0477</v>
          </cell>
          <cell r="B81" t="str">
            <v>THERESIA YUSI KUSUMAWARDANI</v>
          </cell>
          <cell r="C81">
            <v>44998</v>
          </cell>
        </row>
        <row r="82">
          <cell r="A82" t="str">
            <v>A0525</v>
          </cell>
          <cell r="B82" t="str">
            <v>ELISA BAYUSRI</v>
          </cell>
          <cell r="C82">
            <v>44895</v>
          </cell>
        </row>
        <row r="83">
          <cell r="A83" t="str">
            <v>A0550</v>
          </cell>
          <cell r="B83" t="str">
            <v>NINDA PRASTIWI PUTRI</v>
          </cell>
          <cell r="C83">
            <v>45002</v>
          </cell>
        </row>
        <row r="84">
          <cell r="A84" t="str">
            <v>A2080</v>
          </cell>
          <cell r="B84" t="str">
            <v>SHABRINA DARMESTI PATRIA</v>
          </cell>
          <cell r="C84">
            <v>0</v>
          </cell>
        </row>
        <row r="85">
          <cell r="A85" t="str">
            <v>A2078</v>
          </cell>
          <cell r="B85" t="str">
            <v>Anastasia Herlina Yuni Lestari</v>
          </cell>
          <cell r="C85">
            <v>45035</v>
          </cell>
        </row>
        <row r="86">
          <cell r="A86" t="str">
            <v>A2079</v>
          </cell>
          <cell r="B86" t="str">
            <v>IDA AYU KOMANG DINDA MAHA</v>
          </cell>
          <cell r="C86">
            <v>0</v>
          </cell>
        </row>
        <row r="87">
          <cell r="A87" t="str">
            <v>A2036</v>
          </cell>
          <cell r="B87" t="str">
            <v>LATHIFAH AINI</v>
          </cell>
          <cell r="C87">
            <v>45072</v>
          </cell>
        </row>
        <row r="88">
          <cell r="A88" t="str">
            <v>A2037</v>
          </cell>
          <cell r="B88" t="str">
            <v>FALDI PATUT</v>
          </cell>
          <cell r="C88">
            <v>0</v>
          </cell>
        </row>
        <row r="89">
          <cell r="A89" t="str">
            <v>A2087</v>
          </cell>
          <cell r="B89" t="str">
            <v>NUZLIA NURAINI</v>
          </cell>
          <cell r="C89">
            <v>0</v>
          </cell>
        </row>
        <row r="90">
          <cell r="A90" t="str">
            <v>A2076</v>
          </cell>
          <cell r="B90" t="str">
            <v>KURNIA SAVITRI</v>
          </cell>
          <cell r="C90">
            <v>45069</v>
          </cell>
        </row>
        <row r="91">
          <cell r="A91" t="str">
            <v>A2659</v>
          </cell>
          <cell r="B91" t="str">
            <v>FRANSISKUS ASISI DWI H</v>
          </cell>
          <cell r="C91" t="str">
            <v>20 JULI 2023</v>
          </cell>
        </row>
        <row r="92">
          <cell r="A92" t="str">
            <v>A2650</v>
          </cell>
          <cell r="B92" t="str">
            <v>TISA SASKIA</v>
          </cell>
          <cell r="C92">
            <v>0</v>
          </cell>
        </row>
        <row r="93">
          <cell r="A93" t="str">
            <v>A2800</v>
          </cell>
          <cell r="B93" t="str">
            <v>TSAQIF AL ADZIN IMANULLAH</v>
          </cell>
          <cell r="C93">
            <v>0</v>
          </cell>
        </row>
        <row r="94">
          <cell r="A94" t="str">
            <v>A2797</v>
          </cell>
          <cell r="B94" t="str">
            <v>ISTI MULATSIH</v>
          </cell>
          <cell r="C94" t="str">
            <v>31 juli 2023</v>
          </cell>
        </row>
        <row r="95">
          <cell r="A95" t="str">
            <v>A2624</v>
          </cell>
          <cell r="B95" t="str">
            <v>ANNISA APRILLIA KHARISMA DEWI</v>
          </cell>
          <cell r="C95">
            <v>45161</v>
          </cell>
        </row>
        <row r="96">
          <cell r="A96" t="str">
            <v>A2593</v>
          </cell>
          <cell r="B96" t="str">
            <v>GENOVEVA BUNGA</v>
          </cell>
          <cell r="C96">
            <v>45169</v>
          </cell>
        </row>
        <row r="97">
          <cell r="A97" t="str">
            <v>A2663</v>
          </cell>
          <cell r="B97" t="str">
            <v>NADIA RITA APRIYANTI</v>
          </cell>
          <cell r="C97">
            <v>45169</v>
          </cell>
        </row>
        <row r="98">
          <cell r="A98" t="str">
            <v>A2576</v>
          </cell>
          <cell r="B98" t="str">
            <v>MILKA GABRIELA WAY</v>
          </cell>
          <cell r="C98">
            <v>45190</v>
          </cell>
        </row>
        <row r="99">
          <cell r="A99" t="str">
            <v>A2738</v>
          </cell>
          <cell r="B99" t="str">
            <v>SHAVIRA BERTI</v>
          </cell>
          <cell r="C99">
            <v>45194</v>
          </cell>
        </row>
        <row r="100">
          <cell r="A100" t="str">
            <v>A2851</v>
          </cell>
          <cell r="B100" t="str">
            <v>ARWINA UINA RAHMA</v>
          </cell>
          <cell r="C100">
            <v>45187</v>
          </cell>
        </row>
        <row r="101">
          <cell r="A101" t="str">
            <v>A2874</v>
          </cell>
          <cell r="B101" t="str">
            <v>KADEK FERA APRILIA</v>
          </cell>
          <cell r="C101">
            <v>45190</v>
          </cell>
        </row>
        <row r="102">
          <cell r="A102" t="str">
            <v>A2848</v>
          </cell>
          <cell r="B102" t="str">
            <v>GASELA GASELA</v>
          </cell>
          <cell r="C102">
            <v>45195</v>
          </cell>
        </row>
        <row r="103">
          <cell r="A103" t="str">
            <v>A0948</v>
          </cell>
          <cell r="B103" t="str">
            <v>NURUL HIKMAH</v>
          </cell>
          <cell r="C103">
            <v>45293</v>
          </cell>
        </row>
        <row r="104">
          <cell r="A104" t="str">
            <v>A3431</v>
          </cell>
          <cell r="B104" t="str">
            <v>YULIANA DIAH AYU MITAYANI</v>
          </cell>
          <cell r="C104">
            <v>45293</v>
          </cell>
        </row>
        <row r="105">
          <cell r="A105" t="str">
            <v>A3612</v>
          </cell>
          <cell r="B105" t="str">
            <v>RINTAN MIRZA DIANI</v>
          </cell>
          <cell r="C105">
            <v>45293</v>
          </cell>
        </row>
        <row r="106">
          <cell r="A106" t="str">
            <v>A3611</v>
          </cell>
          <cell r="B106" t="str">
            <v>DEVY AYU IKANINGRUM</v>
          </cell>
          <cell r="C106">
            <v>45303</v>
          </cell>
        </row>
        <row r="107">
          <cell r="A107" t="str">
            <v>A1941</v>
          </cell>
          <cell r="B107" t="str">
            <v>HANA CHRISTINA</v>
          </cell>
          <cell r="C107">
            <v>45005</v>
          </cell>
        </row>
        <row r="108">
          <cell r="A108" t="str">
            <v>90552</v>
          </cell>
          <cell r="B108" t="str">
            <v>MARIA ROSARIA DEWI RATNA TIMUR</v>
          </cell>
          <cell r="C108">
            <v>44378</v>
          </cell>
        </row>
        <row r="109">
          <cell r="A109" t="str">
            <v>A2554</v>
          </cell>
          <cell r="B109" t="str">
            <v>ALLIFYA ABIWANTARI</v>
          </cell>
          <cell r="C109">
            <v>45415</v>
          </cell>
        </row>
        <row r="110">
          <cell r="A110" t="str">
            <v>A2823</v>
          </cell>
          <cell r="B110" t="str">
            <v>INE PEBRIYANTI</v>
          </cell>
          <cell r="C110">
            <v>45169</v>
          </cell>
        </row>
        <row r="111">
          <cell r="A111" t="str">
            <v>A3498</v>
          </cell>
          <cell r="B111" t="str">
            <v>KIRANA AMILYA PASCHA</v>
          </cell>
          <cell r="C111">
            <v>45299</v>
          </cell>
        </row>
        <row r="112">
          <cell r="A112" t="str">
            <v>90716</v>
          </cell>
          <cell r="B112" t="str">
            <v>NIKITA SWASTIKA</v>
          </cell>
          <cell r="C112">
            <v>44487</v>
          </cell>
        </row>
        <row r="113">
          <cell r="A113" t="str">
            <v>A1945</v>
          </cell>
          <cell r="B113" t="str">
            <v>MARIA CHINDRYANITA GALA</v>
          </cell>
          <cell r="C113">
            <v>45002</v>
          </cell>
        </row>
        <row r="114">
          <cell r="A114" t="str">
            <v>90170</v>
          </cell>
          <cell r="B114" t="str">
            <v>AMRI ROHMATINI</v>
          </cell>
          <cell r="C114">
            <v>44303</v>
          </cell>
        </row>
        <row r="115">
          <cell r="A115" t="str">
            <v>A2879</v>
          </cell>
          <cell r="B115" t="str">
            <v>FAUZI</v>
          </cell>
          <cell r="C115">
            <v>45185</v>
          </cell>
        </row>
        <row r="116">
          <cell r="A116" t="str">
            <v>90557</v>
          </cell>
          <cell r="B116" t="str">
            <v>TIFANI EKA ALCISHA</v>
          </cell>
          <cell r="C116" t="str">
            <v>26 Juni 2021</v>
          </cell>
        </row>
        <row r="117">
          <cell r="A117" t="str">
            <v>A2615</v>
          </cell>
          <cell r="B117" t="str">
            <v>NOVITA LANGKAI</v>
          </cell>
          <cell r="C117">
            <v>45199</v>
          </cell>
        </row>
        <row r="118">
          <cell r="A118" t="str">
            <v>A0043</v>
          </cell>
          <cell r="B118" t="str">
            <v>RIYANI ARFARASARI</v>
          </cell>
          <cell r="C118" t="str">
            <v>10 Sept 2022</v>
          </cell>
        </row>
        <row r="119">
          <cell r="A119" t="str">
            <v>A0349</v>
          </cell>
          <cell r="B119" t="str">
            <v>AHMAD ZAINAL ARIFIN</v>
          </cell>
          <cell r="C119" t="str">
            <v>31 juli 2023</v>
          </cell>
        </row>
        <row r="120">
          <cell r="A120" t="str">
            <v>A2066</v>
          </cell>
          <cell r="B120" t="str">
            <v>Yuliant Effendi</v>
          </cell>
          <cell r="C120">
            <v>45017</v>
          </cell>
        </row>
        <row r="121">
          <cell r="A121" t="str">
            <v>A2873</v>
          </cell>
          <cell r="B121" t="str">
            <v>CHRISTOPHER LAKSAWANA</v>
          </cell>
          <cell r="C121">
            <v>45185</v>
          </cell>
        </row>
        <row r="122">
          <cell r="A122" t="str">
            <v>A4247</v>
          </cell>
          <cell r="B122" t="str">
            <v>WA ODE ALYA SHINTA AMALIA</v>
          </cell>
          <cell r="C122">
            <v>45536</v>
          </cell>
        </row>
        <row r="123">
          <cell r="A123" t="str">
            <v>A4346</v>
          </cell>
          <cell r="B123" t="str">
            <v>KIKI RIZKY ANANDA</v>
          </cell>
          <cell r="C123">
            <v>45569</v>
          </cell>
        </row>
        <row r="124">
          <cell r="A124" t="str">
            <v>A4347</v>
          </cell>
          <cell r="B124" t="str">
            <v>CINDHI PRATIWI</v>
          </cell>
          <cell r="C124">
            <v>45572</v>
          </cell>
        </row>
        <row r="125">
          <cell r="A125" t="str">
            <v>A4348</v>
          </cell>
          <cell r="B125" t="str">
            <v>RISKA WULAN NAWANGSARI</v>
          </cell>
          <cell r="C125">
            <v>45568</v>
          </cell>
        </row>
        <row r="126">
          <cell r="A126" t="str">
            <v>A4403</v>
          </cell>
          <cell r="B126" t="str">
            <v>DEVA ARYANI</v>
          </cell>
          <cell r="C126">
            <v>45595</v>
          </cell>
        </row>
        <row r="127">
          <cell r="A127" t="str">
            <v>A2273</v>
          </cell>
          <cell r="B127" t="str">
            <v>WIENA MARDHINA PUTRI</v>
          </cell>
          <cell r="C127">
            <v>45595</v>
          </cell>
        </row>
        <row r="128">
          <cell r="A128" t="str">
            <v>A4404</v>
          </cell>
          <cell r="B128" t="str">
            <v>ANTONIA MARIA AJENG GALUH DEWANTI</v>
          </cell>
          <cell r="C128">
            <v>45591</v>
          </cell>
        </row>
        <row r="129">
          <cell r="A129" t="str">
            <v>A4429</v>
          </cell>
          <cell r="B129" t="str">
            <v>ESTER SEFANYA SULU</v>
          </cell>
          <cell r="C129">
            <v>45596</v>
          </cell>
        </row>
        <row r="130">
          <cell r="A130" t="str">
            <v>A4427</v>
          </cell>
          <cell r="B130" t="str">
            <v>DESY VERAWATI</v>
          </cell>
          <cell r="C130">
            <v>45596</v>
          </cell>
        </row>
        <row r="131">
          <cell r="A131" t="str">
            <v>A4428</v>
          </cell>
          <cell r="B131" t="str">
            <v>FERDIAN ANGGA RACHMADHANI</v>
          </cell>
          <cell r="C131">
            <v>45596</v>
          </cell>
        </row>
        <row r="132">
          <cell r="A132" t="str">
            <v>A4833</v>
          </cell>
          <cell r="B132" t="str">
            <v>Mohammad Rizky Ilham Makky</v>
          </cell>
          <cell r="C132">
            <v>0</v>
          </cell>
        </row>
        <row r="133">
          <cell r="A133" t="str">
            <v>A4832</v>
          </cell>
          <cell r="B133" t="str">
            <v>Yunan Rejasmara</v>
          </cell>
          <cell r="C133">
            <v>0</v>
          </cell>
        </row>
        <row r="134">
          <cell r="A134" t="str">
            <v>A4834</v>
          </cell>
          <cell r="B134" t="str">
            <v>Desya Andani Prihartadi</v>
          </cell>
          <cell r="C134">
            <v>0</v>
          </cell>
        </row>
        <row r="135">
          <cell r="A135" t="str">
            <v>A4654</v>
          </cell>
          <cell r="B135" t="str">
            <v>Verena Candra</v>
          </cell>
          <cell r="C135">
            <v>0</v>
          </cell>
        </row>
        <row r="136">
          <cell r="A136" t="str">
            <v>A4830</v>
          </cell>
          <cell r="B136" t="str">
            <v>Farel Rimawan</v>
          </cell>
        </row>
        <row r="137">
          <cell r="A137" t="str">
            <v>A4831</v>
          </cell>
          <cell r="B137" t="str">
            <v>Adam Naufaldi</v>
          </cell>
        </row>
        <row r="138">
          <cell r="A138">
            <v>0</v>
          </cell>
          <cell r="B138">
            <v>0</v>
          </cell>
        </row>
        <row r="139">
          <cell r="A139">
            <v>0</v>
          </cell>
          <cell r="B139">
            <v>0</v>
          </cell>
        </row>
        <row r="140">
          <cell r="A140">
            <v>0</v>
          </cell>
          <cell r="B140">
            <v>0</v>
          </cell>
        </row>
        <row r="141">
          <cell r="A141">
            <v>0</v>
          </cell>
          <cell r="B141">
            <v>0</v>
          </cell>
        </row>
        <row r="142">
          <cell r="A142">
            <v>0</v>
          </cell>
          <cell r="B142">
            <v>0</v>
          </cell>
        </row>
        <row r="143">
          <cell r="A143">
            <v>0</v>
          </cell>
          <cell r="B143">
            <v>0</v>
          </cell>
        </row>
        <row r="144">
          <cell r="A144">
            <v>0</v>
          </cell>
          <cell r="B144">
            <v>0</v>
          </cell>
        </row>
        <row r="145">
          <cell r="A145">
            <v>0</v>
          </cell>
          <cell r="B145">
            <v>0</v>
          </cell>
        </row>
        <row r="146">
          <cell r="A146">
            <v>0</v>
          </cell>
          <cell r="B146">
            <v>0</v>
          </cell>
        </row>
        <row r="147">
          <cell r="A147">
            <v>0</v>
          </cell>
          <cell r="B147">
            <v>0</v>
          </cell>
        </row>
        <row r="148">
          <cell r="A148">
            <v>0</v>
          </cell>
          <cell r="B148">
            <v>0</v>
          </cell>
        </row>
        <row r="149">
          <cell r="A149">
            <v>0</v>
          </cell>
          <cell r="B149">
            <v>0</v>
          </cell>
        </row>
        <row r="150">
          <cell r="A150">
            <v>0</v>
          </cell>
          <cell r="B150">
            <v>0</v>
          </cell>
        </row>
        <row r="151">
          <cell r="A151">
            <v>0</v>
          </cell>
          <cell r="B151">
            <v>0</v>
          </cell>
        </row>
        <row r="152">
          <cell r="A152">
            <v>0</v>
          </cell>
          <cell r="B152">
            <v>0</v>
          </cell>
        </row>
        <row r="153">
          <cell r="A153">
            <v>0</v>
          </cell>
          <cell r="B153">
            <v>0</v>
          </cell>
        </row>
        <row r="154">
          <cell r="A154">
            <v>0</v>
          </cell>
          <cell r="B154">
            <v>0</v>
          </cell>
        </row>
        <row r="155">
          <cell r="A155">
            <v>0</v>
          </cell>
          <cell r="B155">
            <v>0</v>
          </cell>
        </row>
        <row r="156">
          <cell r="A156">
            <v>0</v>
          </cell>
          <cell r="B156">
            <v>0</v>
          </cell>
        </row>
        <row r="157">
          <cell r="A157">
            <v>0</v>
          </cell>
          <cell r="B157">
            <v>0</v>
          </cell>
        </row>
        <row r="158">
          <cell r="A158">
            <v>0</v>
          </cell>
          <cell r="B158">
            <v>0</v>
          </cell>
        </row>
        <row r="159">
          <cell r="A159">
            <v>0</v>
          </cell>
          <cell r="B159">
            <v>0</v>
          </cell>
        </row>
        <row r="160">
          <cell r="A160">
            <v>0</v>
          </cell>
          <cell r="B160">
            <v>0</v>
          </cell>
        </row>
        <row r="161">
          <cell r="A161">
            <v>0</v>
          </cell>
          <cell r="B161">
            <v>0</v>
          </cell>
        </row>
        <row r="162">
          <cell r="A162">
            <v>0</v>
          </cell>
          <cell r="B162">
            <v>0</v>
          </cell>
        </row>
        <row r="163">
          <cell r="A163">
            <v>0</v>
          </cell>
          <cell r="B163">
            <v>0</v>
          </cell>
        </row>
        <row r="164">
          <cell r="A164">
            <v>0</v>
          </cell>
          <cell r="B164">
            <v>0</v>
          </cell>
        </row>
        <row r="165">
          <cell r="A165">
            <v>0</v>
          </cell>
          <cell r="B165">
            <v>0</v>
          </cell>
        </row>
        <row r="166">
          <cell r="A166">
            <v>0</v>
          </cell>
          <cell r="B166">
            <v>0</v>
          </cell>
        </row>
        <row r="167">
          <cell r="A167">
            <v>0</v>
          </cell>
          <cell r="B167">
            <v>0</v>
          </cell>
        </row>
        <row r="168">
          <cell r="A168">
            <v>0</v>
          </cell>
          <cell r="B168">
            <v>0</v>
          </cell>
        </row>
        <row r="169">
          <cell r="A169">
            <v>0</v>
          </cell>
          <cell r="B169">
            <v>0</v>
          </cell>
        </row>
        <row r="170">
          <cell r="A170">
            <v>0</v>
          </cell>
          <cell r="B170">
            <v>0</v>
          </cell>
        </row>
        <row r="171">
          <cell r="A171">
            <v>0</v>
          </cell>
          <cell r="B171">
            <v>0</v>
          </cell>
        </row>
        <row r="172">
          <cell r="A172">
            <v>0</v>
          </cell>
          <cell r="B172">
            <v>0</v>
          </cell>
        </row>
        <row r="173">
          <cell r="A173">
            <v>0</v>
          </cell>
          <cell r="B173">
            <v>0</v>
          </cell>
        </row>
        <row r="174">
          <cell r="A174">
            <v>0</v>
          </cell>
          <cell r="B174">
            <v>0</v>
          </cell>
        </row>
        <row r="175">
          <cell r="A175">
            <v>0</v>
          </cell>
          <cell r="B175">
            <v>0</v>
          </cell>
        </row>
        <row r="176">
          <cell r="A176">
            <v>0</v>
          </cell>
          <cell r="B176">
            <v>0</v>
          </cell>
        </row>
        <row r="177">
          <cell r="A177">
            <v>0</v>
          </cell>
          <cell r="B177">
            <v>0</v>
          </cell>
        </row>
        <row r="178">
          <cell r="A178">
            <v>0</v>
          </cell>
          <cell r="B178">
            <v>0</v>
          </cell>
        </row>
        <row r="179">
          <cell r="A179">
            <v>0</v>
          </cell>
          <cell r="B179">
            <v>0</v>
          </cell>
        </row>
        <row r="180">
          <cell r="A180">
            <v>0</v>
          </cell>
          <cell r="B180">
            <v>0</v>
          </cell>
        </row>
        <row r="181">
          <cell r="A181">
            <v>0</v>
          </cell>
          <cell r="B181">
            <v>0</v>
          </cell>
        </row>
        <row r="182">
          <cell r="A182">
            <v>0</v>
          </cell>
          <cell r="B182">
            <v>0</v>
          </cell>
        </row>
        <row r="183">
          <cell r="A183">
            <v>0</v>
          </cell>
          <cell r="B183">
            <v>0</v>
          </cell>
        </row>
        <row r="184">
          <cell r="A184">
            <v>0</v>
          </cell>
          <cell r="B184">
            <v>0</v>
          </cell>
        </row>
        <row r="185">
          <cell r="A185">
            <v>0</v>
          </cell>
          <cell r="B185">
            <v>0</v>
          </cell>
        </row>
        <row r="186">
          <cell r="A186">
            <v>0</v>
          </cell>
          <cell r="B186">
            <v>0</v>
          </cell>
        </row>
        <row r="187">
          <cell r="A187">
            <v>0</v>
          </cell>
          <cell r="B187">
            <v>0</v>
          </cell>
        </row>
        <row r="188">
          <cell r="A188">
            <v>0</v>
          </cell>
          <cell r="B188">
            <v>0</v>
          </cell>
        </row>
        <row r="189">
          <cell r="A189">
            <v>0</v>
          </cell>
          <cell r="B189">
            <v>0</v>
          </cell>
        </row>
        <row r="190">
          <cell r="A190">
            <v>0</v>
          </cell>
          <cell r="B190">
            <v>0</v>
          </cell>
        </row>
        <row r="191">
          <cell r="A191">
            <v>0</v>
          </cell>
          <cell r="B191">
            <v>0</v>
          </cell>
        </row>
        <row r="192">
          <cell r="A192">
            <v>0</v>
          </cell>
          <cell r="B192">
            <v>0</v>
          </cell>
        </row>
        <row r="193">
          <cell r="A193">
            <v>0</v>
          </cell>
          <cell r="B193">
            <v>0</v>
          </cell>
        </row>
        <row r="194">
          <cell r="A194">
            <v>0</v>
          </cell>
          <cell r="B194">
            <v>0</v>
          </cell>
        </row>
        <row r="195">
          <cell r="A195">
            <v>0</v>
          </cell>
          <cell r="B195">
            <v>0</v>
          </cell>
        </row>
        <row r="196">
          <cell r="A196">
            <v>0</v>
          </cell>
          <cell r="B196">
            <v>0</v>
          </cell>
        </row>
        <row r="197">
          <cell r="A197">
            <v>0</v>
          </cell>
          <cell r="B197">
            <v>0</v>
          </cell>
        </row>
        <row r="198">
          <cell r="A198">
            <v>0</v>
          </cell>
          <cell r="B198">
            <v>0</v>
          </cell>
        </row>
        <row r="199">
          <cell r="A199">
            <v>0</v>
          </cell>
          <cell r="B199">
            <v>0</v>
          </cell>
        </row>
        <row r="200">
          <cell r="A200">
            <v>0</v>
          </cell>
          <cell r="B200">
            <v>0</v>
          </cell>
        </row>
        <row r="201">
          <cell r="A201">
            <v>0</v>
          </cell>
          <cell r="B201">
            <v>0</v>
          </cell>
        </row>
        <row r="202">
          <cell r="A202">
            <v>0</v>
          </cell>
          <cell r="B202">
            <v>0</v>
          </cell>
        </row>
        <row r="203">
          <cell r="A203">
            <v>0</v>
          </cell>
          <cell r="B203">
            <v>0</v>
          </cell>
        </row>
        <row r="204">
          <cell r="A204">
            <v>0</v>
          </cell>
          <cell r="B204">
            <v>0</v>
          </cell>
        </row>
        <row r="205">
          <cell r="A205">
            <v>0</v>
          </cell>
          <cell r="B205">
            <v>0</v>
          </cell>
        </row>
        <row r="206">
          <cell r="A206">
            <v>0</v>
          </cell>
          <cell r="B206">
            <v>0</v>
          </cell>
        </row>
        <row r="207">
          <cell r="A207">
            <v>0</v>
          </cell>
          <cell r="B207">
            <v>0</v>
          </cell>
        </row>
        <row r="208">
          <cell r="A208">
            <v>0</v>
          </cell>
          <cell r="B208">
            <v>0</v>
          </cell>
        </row>
        <row r="209">
          <cell r="A209">
            <v>0</v>
          </cell>
          <cell r="B209">
            <v>0</v>
          </cell>
        </row>
        <row r="210">
          <cell r="A210">
            <v>0</v>
          </cell>
          <cell r="B210">
            <v>0</v>
          </cell>
        </row>
        <row r="211">
          <cell r="A211">
            <v>0</v>
          </cell>
          <cell r="B211">
            <v>0</v>
          </cell>
        </row>
        <row r="212">
          <cell r="A212">
            <v>0</v>
          </cell>
          <cell r="B212">
            <v>0</v>
          </cell>
        </row>
        <row r="213">
          <cell r="A213">
            <v>0</v>
          </cell>
          <cell r="B213">
            <v>0</v>
          </cell>
        </row>
        <row r="214">
          <cell r="A214">
            <v>0</v>
          </cell>
          <cell r="B214">
            <v>0</v>
          </cell>
        </row>
        <row r="215">
          <cell r="A215">
            <v>0</v>
          </cell>
          <cell r="B215">
            <v>0</v>
          </cell>
        </row>
        <row r="216">
          <cell r="A216">
            <v>0</v>
          </cell>
          <cell r="B216">
            <v>0</v>
          </cell>
        </row>
        <row r="217">
          <cell r="A217">
            <v>0</v>
          </cell>
          <cell r="B217">
            <v>0</v>
          </cell>
        </row>
        <row r="218">
          <cell r="A218">
            <v>0</v>
          </cell>
          <cell r="B218">
            <v>0</v>
          </cell>
        </row>
        <row r="219">
          <cell r="A219">
            <v>0</v>
          </cell>
          <cell r="B219">
            <v>0</v>
          </cell>
        </row>
        <row r="220">
          <cell r="A220">
            <v>0</v>
          </cell>
          <cell r="B220">
            <v>0</v>
          </cell>
        </row>
        <row r="221">
          <cell r="A221">
            <v>0</v>
          </cell>
          <cell r="B221">
            <v>0</v>
          </cell>
        </row>
        <row r="222">
          <cell r="A222">
            <v>0</v>
          </cell>
          <cell r="B222">
            <v>0</v>
          </cell>
        </row>
        <row r="223">
          <cell r="A223">
            <v>0</v>
          </cell>
          <cell r="B223">
            <v>0</v>
          </cell>
        </row>
        <row r="224">
          <cell r="A224">
            <v>0</v>
          </cell>
          <cell r="B224">
            <v>0</v>
          </cell>
        </row>
        <row r="225">
          <cell r="A225">
            <v>0</v>
          </cell>
          <cell r="B225">
            <v>0</v>
          </cell>
        </row>
        <row r="226">
          <cell r="A226">
            <v>0</v>
          </cell>
          <cell r="B226">
            <v>0</v>
          </cell>
        </row>
        <row r="227">
          <cell r="A227">
            <v>0</v>
          </cell>
          <cell r="B227">
            <v>0</v>
          </cell>
        </row>
        <row r="228">
          <cell r="A228">
            <v>0</v>
          </cell>
          <cell r="B228">
            <v>0</v>
          </cell>
        </row>
        <row r="229">
          <cell r="A229">
            <v>0</v>
          </cell>
          <cell r="B229">
            <v>0</v>
          </cell>
        </row>
        <row r="230">
          <cell r="A230">
            <v>0</v>
          </cell>
          <cell r="B230">
            <v>0</v>
          </cell>
        </row>
        <row r="231">
          <cell r="A231">
            <v>0</v>
          </cell>
          <cell r="B231">
            <v>0</v>
          </cell>
        </row>
        <row r="232">
          <cell r="A232">
            <v>0</v>
          </cell>
          <cell r="B232">
            <v>0</v>
          </cell>
        </row>
        <row r="233">
          <cell r="A233">
            <v>0</v>
          </cell>
          <cell r="B233">
            <v>0</v>
          </cell>
        </row>
        <row r="234">
          <cell r="A234">
            <v>0</v>
          </cell>
          <cell r="B234">
            <v>0</v>
          </cell>
        </row>
        <row r="235">
          <cell r="A235">
            <v>0</v>
          </cell>
          <cell r="B235">
            <v>0</v>
          </cell>
        </row>
        <row r="236">
          <cell r="A236">
            <v>0</v>
          </cell>
          <cell r="B236">
            <v>0</v>
          </cell>
        </row>
        <row r="237">
          <cell r="A237">
            <v>0</v>
          </cell>
          <cell r="B237">
            <v>0</v>
          </cell>
        </row>
        <row r="238">
          <cell r="A238">
            <v>0</v>
          </cell>
          <cell r="B238">
            <v>0</v>
          </cell>
        </row>
        <row r="239">
          <cell r="A239">
            <v>0</v>
          </cell>
          <cell r="B239">
            <v>0</v>
          </cell>
        </row>
        <row r="240">
          <cell r="A240">
            <v>0</v>
          </cell>
          <cell r="B240">
            <v>0</v>
          </cell>
        </row>
        <row r="241">
          <cell r="A241">
            <v>0</v>
          </cell>
          <cell r="B241">
            <v>0</v>
          </cell>
        </row>
        <row r="242">
          <cell r="A242">
            <v>0</v>
          </cell>
          <cell r="B242">
            <v>0</v>
          </cell>
        </row>
        <row r="243">
          <cell r="A243">
            <v>0</v>
          </cell>
          <cell r="B243">
            <v>0</v>
          </cell>
        </row>
        <row r="244">
          <cell r="A244">
            <v>0</v>
          </cell>
          <cell r="B244">
            <v>0</v>
          </cell>
        </row>
        <row r="245">
          <cell r="A245">
            <v>0</v>
          </cell>
          <cell r="B245">
            <v>0</v>
          </cell>
        </row>
        <row r="246">
          <cell r="A246">
            <v>0</v>
          </cell>
          <cell r="B246">
            <v>0</v>
          </cell>
        </row>
        <row r="247">
          <cell r="A247">
            <v>0</v>
          </cell>
          <cell r="B247">
            <v>0</v>
          </cell>
        </row>
        <row r="248">
          <cell r="A248">
            <v>0</v>
          </cell>
          <cell r="B248">
            <v>0</v>
          </cell>
        </row>
        <row r="249">
          <cell r="A249">
            <v>0</v>
          </cell>
          <cell r="B249">
            <v>0</v>
          </cell>
        </row>
        <row r="250">
          <cell r="B250">
            <v>0</v>
          </cell>
        </row>
        <row r="251">
          <cell r="B251">
            <v>0</v>
          </cell>
        </row>
        <row r="252">
          <cell r="B252">
            <v>0</v>
          </cell>
        </row>
        <row r="253">
          <cell r="B253">
            <v>0</v>
          </cell>
        </row>
        <row r="254">
          <cell r="B254">
            <v>0</v>
          </cell>
        </row>
        <row r="255">
          <cell r="B255">
            <v>0</v>
          </cell>
        </row>
        <row r="256">
          <cell r="B256">
            <v>0</v>
          </cell>
        </row>
        <row r="257">
          <cell r="B257">
            <v>0</v>
          </cell>
        </row>
        <row r="258">
          <cell r="B258">
            <v>0</v>
          </cell>
        </row>
        <row r="259">
          <cell r="B259">
            <v>0</v>
          </cell>
        </row>
        <row r="260">
          <cell r="B260">
            <v>0</v>
          </cell>
        </row>
        <row r="261">
          <cell r="B261">
            <v>0</v>
          </cell>
        </row>
        <row r="262">
          <cell r="B262">
            <v>0</v>
          </cell>
        </row>
        <row r="263">
          <cell r="B263">
            <v>0</v>
          </cell>
        </row>
        <row r="264">
          <cell r="B264">
            <v>0</v>
          </cell>
        </row>
        <row r="265">
          <cell r="B265">
            <v>0</v>
          </cell>
        </row>
        <row r="266">
          <cell r="B266">
            <v>0</v>
          </cell>
        </row>
        <row r="267">
          <cell r="B267">
            <v>0</v>
          </cell>
        </row>
        <row r="268">
          <cell r="B268">
            <v>0</v>
          </cell>
        </row>
        <row r="269">
          <cell r="B269">
            <v>0</v>
          </cell>
        </row>
        <row r="270">
          <cell r="B270">
            <v>0</v>
          </cell>
        </row>
        <row r="271">
          <cell r="B271">
            <v>0</v>
          </cell>
        </row>
        <row r="272">
          <cell r="B272">
            <v>0</v>
          </cell>
        </row>
        <row r="273">
          <cell r="B273">
            <v>0</v>
          </cell>
        </row>
        <row r="274">
          <cell r="B274">
            <v>0</v>
          </cell>
        </row>
        <row r="275">
          <cell r="B275">
            <v>0</v>
          </cell>
        </row>
        <row r="276">
          <cell r="B276">
            <v>0</v>
          </cell>
        </row>
        <row r="277">
          <cell r="B277">
            <v>0</v>
          </cell>
        </row>
        <row r="278">
          <cell r="B278">
            <v>0</v>
          </cell>
        </row>
        <row r="279">
          <cell r="B279">
            <v>0</v>
          </cell>
        </row>
        <row r="280">
          <cell r="B280">
            <v>0</v>
          </cell>
        </row>
        <row r="281">
          <cell r="B281">
            <v>0</v>
          </cell>
        </row>
        <row r="282">
          <cell r="B282">
            <v>0</v>
          </cell>
        </row>
        <row r="283">
          <cell r="B283">
            <v>0</v>
          </cell>
        </row>
        <row r="284">
          <cell r="B284">
            <v>0</v>
          </cell>
        </row>
        <row r="285">
          <cell r="B285">
            <v>0</v>
          </cell>
        </row>
        <row r="286">
          <cell r="B286">
            <v>0</v>
          </cell>
        </row>
        <row r="287">
          <cell r="B287">
            <v>0</v>
          </cell>
        </row>
        <row r="288">
          <cell r="B288">
            <v>0</v>
          </cell>
        </row>
        <row r="289">
          <cell r="B289">
            <v>0</v>
          </cell>
        </row>
        <row r="290">
          <cell r="B290">
            <v>0</v>
          </cell>
        </row>
        <row r="291">
          <cell r="B291">
            <v>0</v>
          </cell>
        </row>
        <row r="292">
          <cell r="B292">
            <v>0</v>
          </cell>
        </row>
        <row r="293">
          <cell r="B293">
            <v>0</v>
          </cell>
        </row>
        <row r="294">
          <cell r="B294">
            <v>0</v>
          </cell>
        </row>
        <row r="295">
          <cell r="B295">
            <v>0</v>
          </cell>
        </row>
        <row r="296">
          <cell r="B296">
            <v>0</v>
          </cell>
        </row>
        <row r="297">
          <cell r="B297">
            <v>0</v>
          </cell>
        </row>
        <row r="298">
          <cell r="B298">
            <v>0</v>
          </cell>
        </row>
        <row r="299">
          <cell r="B299">
            <v>0</v>
          </cell>
        </row>
        <row r="300">
          <cell r="B300">
            <v>0</v>
          </cell>
        </row>
        <row r="301">
          <cell r="B301">
            <v>0</v>
          </cell>
        </row>
        <row r="302">
          <cell r="B302">
            <v>0</v>
          </cell>
        </row>
        <row r="303">
          <cell r="B303">
            <v>0</v>
          </cell>
        </row>
        <row r="304">
          <cell r="B304">
            <v>0</v>
          </cell>
        </row>
        <row r="305">
          <cell r="B305">
            <v>0</v>
          </cell>
        </row>
        <row r="306">
          <cell r="B306">
            <v>0</v>
          </cell>
        </row>
        <row r="307">
          <cell r="B307">
            <v>0</v>
          </cell>
        </row>
        <row r="308">
          <cell r="B308">
            <v>0</v>
          </cell>
        </row>
        <row r="309">
          <cell r="B309">
            <v>0</v>
          </cell>
        </row>
        <row r="310">
          <cell r="B310">
            <v>0</v>
          </cell>
        </row>
        <row r="311">
          <cell r="B311">
            <v>0</v>
          </cell>
        </row>
        <row r="312">
          <cell r="B312">
            <v>0</v>
          </cell>
        </row>
        <row r="313">
          <cell r="B313">
            <v>0</v>
          </cell>
        </row>
        <row r="314">
          <cell r="B314">
            <v>0</v>
          </cell>
        </row>
        <row r="315">
          <cell r="B315">
            <v>0</v>
          </cell>
        </row>
        <row r="316">
          <cell r="B316">
            <v>0</v>
          </cell>
        </row>
        <row r="317">
          <cell r="B317">
            <v>0</v>
          </cell>
        </row>
        <row r="318">
          <cell r="B318">
            <v>0</v>
          </cell>
        </row>
        <row r="319">
          <cell r="B319">
            <v>0</v>
          </cell>
        </row>
        <row r="320">
          <cell r="B320">
            <v>0</v>
          </cell>
        </row>
        <row r="321">
          <cell r="B321">
            <v>0</v>
          </cell>
        </row>
        <row r="322">
          <cell r="B322">
            <v>0</v>
          </cell>
        </row>
        <row r="323">
          <cell r="B323">
            <v>0</v>
          </cell>
        </row>
        <row r="324">
          <cell r="B324">
            <v>0</v>
          </cell>
        </row>
        <row r="325">
          <cell r="B325">
            <v>0</v>
          </cell>
        </row>
        <row r="326">
          <cell r="B326">
            <v>0</v>
          </cell>
        </row>
        <row r="327">
          <cell r="B327">
            <v>0</v>
          </cell>
        </row>
        <row r="328">
          <cell r="B328">
            <v>0</v>
          </cell>
        </row>
        <row r="329">
          <cell r="B329">
            <v>0</v>
          </cell>
        </row>
        <row r="330">
          <cell r="B330">
            <v>0</v>
          </cell>
        </row>
        <row r="331">
          <cell r="B331">
            <v>0</v>
          </cell>
        </row>
        <row r="332">
          <cell r="B332">
            <v>0</v>
          </cell>
        </row>
        <row r="333">
          <cell r="B333">
            <v>0</v>
          </cell>
        </row>
        <row r="334">
          <cell r="B334">
            <v>0</v>
          </cell>
        </row>
        <row r="335">
          <cell r="B335">
            <v>0</v>
          </cell>
        </row>
        <row r="336">
          <cell r="B336">
            <v>0</v>
          </cell>
        </row>
        <row r="337">
          <cell r="B337">
            <v>0</v>
          </cell>
        </row>
        <row r="338">
          <cell r="B338">
            <v>0</v>
          </cell>
        </row>
        <row r="339">
          <cell r="B339">
            <v>0</v>
          </cell>
        </row>
        <row r="340">
          <cell r="B340">
            <v>0</v>
          </cell>
        </row>
        <row r="341">
          <cell r="B341">
            <v>0</v>
          </cell>
        </row>
        <row r="342">
          <cell r="B342">
            <v>0</v>
          </cell>
        </row>
        <row r="343">
          <cell r="B343">
            <v>0</v>
          </cell>
        </row>
        <row r="344">
          <cell r="B344">
            <v>0</v>
          </cell>
        </row>
        <row r="345">
          <cell r="B345">
            <v>0</v>
          </cell>
        </row>
        <row r="346">
          <cell r="B346">
            <v>0</v>
          </cell>
        </row>
        <row r="347">
          <cell r="B347">
            <v>0</v>
          </cell>
        </row>
        <row r="348">
          <cell r="B348">
            <v>0</v>
          </cell>
        </row>
        <row r="349">
          <cell r="B349">
            <v>0</v>
          </cell>
        </row>
        <row r="350">
          <cell r="B350">
            <v>0</v>
          </cell>
        </row>
        <row r="351">
          <cell r="B351">
            <v>0</v>
          </cell>
        </row>
        <row r="352">
          <cell r="B352">
            <v>0</v>
          </cell>
        </row>
        <row r="353">
          <cell r="B353">
            <v>0</v>
          </cell>
        </row>
        <row r="354">
          <cell r="B354">
            <v>0</v>
          </cell>
        </row>
        <row r="355">
          <cell r="B355">
            <v>0</v>
          </cell>
        </row>
        <row r="356">
          <cell r="B356">
            <v>0</v>
          </cell>
        </row>
        <row r="357">
          <cell r="B357">
            <v>0</v>
          </cell>
        </row>
        <row r="358">
          <cell r="B358">
            <v>0</v>
          </cell>
        </row>
        <row r="359">
          <cell r="B359">
            <v>0</v>
          </cell>
        </row>
        <row r="360">
          <cell r="B360">
            <v>0</v>
          </cell>
        </row>
        <row r="361">
          <cell r="B361">
            <v>0</v>
          </cell>
        </row>
        <row r="362">
          <cell r="B362">
            <v>0</v>
          </cell>
        </row>
        <row r="363">
          <cell r="B363">
            <v>0</v>
          </cell>
        </row>
        <row r="364">
          <cell r="B364">
            <v>0</v>
          </cell>
        </row>
        <row r="365">
          <cell r="B365">
            <v>0</v>
          </cell>
        </row>
        <row r="366">
          <cell r="B366">
            <v>0</v>
          </cell>
        </row>
        <row r="367">
          <cell r="B367">
            <v>0</v>
          </cell>
        </row>
        <row r="368">
          <cell r="B368">
            <v>0</v>
          </cell>
        </row>
        <row r="369">
          <cell r="B369">
            <v>0</v>
          </cell>
        </row>
        <row r="370">
          <cell r="B370">
            <v>0</v>
          </cell>
        </row>
        <row r="371">
          <cell r="B371">
            <v>0</v>
          </cell>
        </row>
        <row r="372">
          <cell r="B372">
            <v>0</v>
          </cell>
        </row>
        <row r="373">
          <cell r="B373">
            <v>0</v>
          </cell>
        </row>
        <row r="374">
          <cell r="B374">
            <v>0</v>
          </cell>
        </row>
        <row r="375">
          <cell r="B375">
            <v>0</v>
          </cell>
        </row>
        <row r="376">
          <cell r="B376">
            <v>0</v>
          </cell>
        </row>
        <row r="377">
          <cell r="B377">
            <v>0</v>
          </cell>
        </row>
        <row r="378">
          <cell r="B378">
            <v>0</v>
          </cell>
        </row>
        <row r="379">
          <cell r="B379">
            <v>0</v>
          </cell>
        </row>
        <row r="380">
          <cell r="B380">
            <v>0</v>
          </cell>
        </row>
        <row r="381">
          <cell r="B381">
            <v>0</v>
          </cell>
        </row>
        <row r="382">
          <cell r="B382">
            <v>0</v>
          </cell>
        </row>
        <row r="383">
          <cell r="B383">
            <v>0</v>
          </cell>
        </row>
        <row r="384">
          <cell r="B384">
            <v>0</v>
          </cell>
        </row>
        <row r="385">
          <cell r="B385">
            <v>0</v>
          </cell>
        </row>
        <row r="386">
          <cell r="B386">
            <v>0</v>
          </cell>
        </row>
        <row r="387">
          <cell r="B387">
            <v>0</v>
          </cell>
        </row>
        <row r="388">
          <cell r="B388">
            <v>0</v>
          </cell>
        </row>
        <row r="389">
          <cell r="B389">
            <v>0</v>
          </cell>
        </row>
        <row r="390">
          <cell r="B390">
            <v>0</v>
          </cell>
        </row>
        <row r="391">
          <cell r="B391">
            <v>0</v>
          </cell>
        </row>
        <row r="392">
          <cell r="B392">
            <v>0</v>
          </cell>
        </row>
        <row r="393">
          <cell r="B393">
            <v>0</v>
          </cell>
        </row>
        <row r="394">
          <cell r="B394">
            <v>0</v>
          </cell>
        </row>
        <row r="395">
          <cell r="B395">
            <v>0</v>
          </cell>
        </row>
        <row r="396">
          <cell r="B396">
            <v>0</v>
          </cell>
        </row>
        <row r="397">
          <cell r="B397">
            <v>0</v>
          </cell>
        </row>
        <row r="398">
          <cell r="B398">
            <v>0</v>
          </cell>
        </row>
        <row r="399">
          <cell r="B399">
            <v>0</v>
          </cell>
        </row>
        <row r="400">
          <cell r="B400">
            <v>0</v>
          </cell>
        </row>
        <row r="401">
          <cell r="B401">
            <v>0</v>
          </cell>
        </row>
        <row r="402">
          <cell r="B402">
            <v>0</v>
          </cell>
        </row>
        <row r="403">
          <cell r="B403">
            <v>0</v>
          </cell>
        </row>
        <row r="404">
          <cell r="B404">
            <v>0</v>
          </cell>
        </row>
        <row r="405">
          <cell r="B405">
            <v>0</v>
          </cell>
        </row>
        <row r="406">
          <cell r="B406">
            <v>0</v>
          </cell>
        </row>
        <row r="407">
          <cell r="B407">
            <v>0</v>
          </cell>
        </row>
        <row r="408">
          <cell r="B408">
            <v>0</v>
          </cell>
        </row>
        <row r="409">
          <cell r="B409">
            <v>0</v>
          </cell>
        </row>
        <row r="410">
          <cell r="B410">
            <v>0</v>
          </cell>
        </row>
        <row r="411">
          <cell r="B411">
            <v>0</v>
          </cell>
        </row>
        <row r="412">
          <cell r="B412">
            <v>0</v>
          </cell>
        </row>
        <row r="413">
          <cell r="B413">
            <v>0</v>
          </cell>
        </row>
        <row r="414">
          <cell r="B414">
            <v>0</v>
          </cell>
        </row>
        <row r="415">
          <cell r="B415">
            <v>0</v>
          </cell>
        </row>
        <row r="416">
          <cell r="B416">
            <v>0</v>
          </cell>
        </row>
        <row r="417">
          <cell r="B417">
            <v>0</v>
          </cell>
        </row>
        <row r="418">
          <cell r="B418">
            <v>0</v>
          </cell>
        </row>
        <row r="419">
          <cell r="B419">
            <v>0</v>
          </cell>
        </row>
        <row r="420">
          <cell r="B420">
            <v>0</v>
          </cell>
        </row>
        <row r="421">
          <cell r="B421">
            <v>0</v>
          </cell>
        </row>
        <row r="422">
          <cell r="B422">
            <v>0</v>
          </cell>
        </row>
        <row r="423">
          <cell r="B423">
            <v>0</v>
          </cell>
        </row>
        <row r="424">
          <cell r="B424">
            <v>0</v>
          </cell>
        </row>
        <row r="425">
          <cell r="B425">
            <v>0</v>
          </cell>
        </row>
        <row r="426">
          <cell r="B426">
            <v>0</v>
          </cell>
        </row>
        <row r="427">
          <cell r="B427">
            <v>0</v>
          </cell>
        </row>
        <row r="428">
          <cell r="B428">
            <v>0</v>
          </cell>
        </row>
        <row r="429">
          <cell r="B429">
            <v>0</v>
          </cell>
        </row>
        <row r="430">
          <cell r="B430">
            <v>0</v>
          </cell>
        </row>
        <row r="431">
          <cell r="A431">
            <v>90689</v>
          </cell>
          <cell r="B431">
            <v>0</v>
          </cell>
          <cell r="C431" t="str">
            <v> </v>
          </cell>
        </row>
        <row r="432">
          <cell r="A432" t="str">
            <v>A0355</v>
          </cell>
          <cell r="B432">
            <v>0</v>
          </cell>
          <cell r="C432" t="str">
            <v> </v>
          </cell>
        </row>
        <row r="433">
          <cell r="A433" t="str">
            <v>A0361</v>
          </cell>
          <cell r="B433">
            <v>0</v>
          </cell>
          <cell r="C433" t="str">
            <v> </v>
          </cell>
        </row>
        <row r="434">
          <cell r="A434" t="str">
            <v>A0370</v>
          </cell>
          <cell r="B434">
            <v>0</v>
          </cell>
          <cell r="C434" t="str">
            <v> </v>
          </cell>
        </row>
        <row r="435">
          <cell r="A435" t="str">
            <v>A0376</v>
          </cell>
          <cell r="B435">
            <v>0</v>
          </cell>
          <cell r="C435" t="str">
            <v> </v>
          </cell>
        </row>
        <row r="436">
          <cell r="A436" t="str">
            <v>A0653</v>
          </cell>
          <cell r="B436">
            <v>0</v>
          </cell>
          <cell r="C436" t="str">
            <v> </v>
          </cell>
        </row>
        <row r="437">
          <cell r="A437" t="str">
            <v>A2790</v>
          </cell>
          <cell r="B437">
            <v>0</v>
          </cell>
          <cell r="C437" t="str">
            <v> </v>
          </cell>
        </row>
        <row r="438">
          <cell r="A438" t="str">
            <v>A2517</v>
          </cell>
          <cell r="B438">
            <v>0</v>
          </cell>
          <cell r="C438" t="str">
            <v> </v>
          </cell>
        </row>
        <row r="439">
          <cell r="A439" t="str">
            <v>A3084</v>
          </cell>
          <cell r="B439">
            <v>0</v>
          </cell>
          <cell r="C439" t="str">
            <v> </v>
          </cell>
        </row>
        <row r="440">
          <cell r="A440" t="str">
            <v>A3078</v>
          </cell>
          <cell r="B440">
            <v>0</v>
          </cell>
          <cell r="C440" t="str">
            <v> </v>
          </cell>
        </row>
        <row r="441">
          <cell r="A441" t="str">
            <v>A3136</v>
          </cell>
          <cell r="B441">
            <v>0</v>
          </cell>
          <cell r="C441" t="str">
            <v> </v>
          </cell>
        </row>
        <row r="442">
          <cell r="A442" t="str">
            <v>A3113</v>
          </cell>
          <cell r="B442">
            <v>0</v>
          </cell>
          <cell r="C442" t="str">
            <v> </v>
          </cell>
        </row>
        <row r="443">
          <cell r="A443" t="str">
            <v>A3116</v>
          </cell>
          <cell r="B443">
            <v>0</v>
          </cell>
          <cell r="C443" t="str">
            <v> </v>
          </cell>
        </row>
        <row r="444">
          <cell r="A444" t="str">
            <v>A3080</v>
          </cell>
          <cell r="B444">
            <v>0</v>
          </cell>
          <cell r="C444" t="str">
            <v> </v>
          </cell>
        </row>
        <row r="445">
          <cell r="A445" t="str">
            <v>A3077</v>
          </cell>
          <cell r="B445">
            <v>0</v>
          </cell>
          <cell r="C445" t="str">
            <v> </v>
          </cell>
        </row>
        <row r="446">
          <cell r="A446" t="str">
            <v>A1690</v>
          </cell>
          <cell r="B446">
            <v>0</v>
          </cell>
          <cell r="C446" t="str">
            <v> </v>
          </cell>
        </row>
        <row r="447">
          <cell r="A447" t="str">
            <v>A3115</v>
          </cell>
          <cell r="B447">
            <v>0</v>
          </cell>
          <cell r="C447" t="str">
            <v> </v>
          </cell>
        </row>
        <row r="448">
          <cell r="A448" t="str">
            <v>A3122</v>
          </cell>
          <cell r="B448">
            <v>0</v>
          </cell>
          <cell r="C448" t="str">
            <v> </v>
          </cell>
        </row>
        <row r="449">
          <cell r="A449" t="str">
            <v>A3079</v>
          </cell>
          <cell r="B449">
            <v>0</v>
          </cell>
          <cell r="C449" t="str">
            <v> </v>
          </cell>
        </row>
        <row r="450">
          <cell r="A450" t="str">
            <v>A3167</v>
          </cell>
          <cell r="B450">
            <v>0</v>
          </cell>
          <cell r="C450" t="str">
            <v> </v>
          </cell>
        </row>
        <row r="451">
          <cell r="A451" t="str">
            <v>A3175</v>
          </cell>
          <cell r="B451">
            <v>0</v>
          </cell>
          <cell r="C451">
            <v>24</v>
          </cell>
        </row>
        <row r="452">
          <cell r="A452" t="str">
            <v>A3178</v>
          </cell>
          <cell r="B452">
            <v>0</v>
          </cell>
          <cell r="C452" t="str">
            <v> </v>
          </cell>
        </row>
        <row r="453">
          <cell r="A453" t="str">
            <v>A3183</v>
          </cell>
          <cell r="B453">
            <v>0</v>
          </cell>
          <cell r="C453" t="str">
            <v> </v>
          </cell>
        </row>
        <row r="454">
          <cell r="A454" t="str">
            <v>A2616</v>
          </cell>
          <cell r="B454">
            <v>0</v>
          </cell>
          <cell r="C454" t="str">
            <v> </v>
          </cell>
        </row>
        <row r="455">
          <cell r="A455" t="str">
            <v>A3135</v>
          </cell>
          <cell r="B455">
            <v>0</v>
          </cell>
          <cell r="C455" t="str">
            <v> </v>
          </cell>
        </row>
        <row r="456">
          <cell r="A456" t="str">
            <v>A3134</v>
          </cell>
          <cell r="B456">
            <v>0</v>
          </cell>
          <cell r="C456" t="str">
            <v> </v>
          </cell>
        </row>
        <row r="457">
          <cell r="A457" t="str">
            <v>A3143</v>
          </cell>
          <cell r="B457">
            <v>0</v>
          </cell>
          <cell r="C457" t="str">
            <v> </v>
          </cell>
        </row>
        <row r="458">
          <cell r="A458" t="str">
            <v>A3083</v>
          </cell>
          <cell r="B458">
            <v>0</v>
          </cell>
          <cell r="C458" t="str">
            <v> </v>
          </cell>
        </row>
        <row r="459">
          <cell r="A459" t="str">
            <v>A3069</v>
          </cell>
          <cell r="B459">
            <v>0</v>
          </cell>
          <cell r="C459" t="str">
            <v> </v>
          </cell>
        </row>
        <row r="460">
          <cell r="A460">
            <v>90526</v>
          </cell>
          <cell r="B460">
            <v>0</v>
          </cell>
          <cell r="C460" t="str">
            <v> </v>
          </cell>
        </row>
        <row r="461">
          <cell r="A461" t="str">
            <v>A3165</v>
          </cell>
          <cell r="B461">
            <v>0</v>
          </cell>
          <cell r="C461" t="str">
            <v> </v>
          </cell>
        </row>
        <row r="462">
          <cell r="A462" t="str">
            <v>A0379</v>
          </cell>
          <cell r="B462">
            <v>0</v>
          </cell>
          <cell r="C462" t="str">
            <v> </v>
          </cell>
        </row>
        <row r="463">
          <cell r="A463" t="str">
            <v>A0479</v>
          </cell>
          <cell r="B463">
            <v>0</v>
          </cell>
          <cell r="C463" t="str">
            <v> </v>
          </cell>
        </row>
        <row r="464">
          <cell r="A464" t="str">
            <v>A3207</v>
          </cell>
          <cell r="B464">
            <v>0</v>
          </cell>
          <cell r="C464" t="str">
            <v> </v>
          </cell>
        </row>
        <row r="465">
          <cell r="A465" t="str">
            <v>A3224</v>
          </cell>
          <cell r="B465">
            <v>0</v>
          </cell>
          <cell r="C465" t="str">
            <v> </v>
          </cell>
        </row>
        <row r="466">
          <cell r="A466" t="str">
            <v>A3216</v>
          </cell>
          <cell r="B466">
            <v>0</v>
          </cell>
          <cell r="C466">
            <v>33</v>
          </cell>
        </row>
        <row r="467">
          <cell r="A467" t="str">
            <v>A3225</v>
          </cell>
          <cell r="B467">
            <v>0</v>
          </cell>
          <cell r="C467" t="str">
            <v> </v>
          </cell>
        </row>
        <row r="468">
          <cell r="A468" t="str">
            <v>A3220</v>
          </cell>
          <cell r="B468">
            <v>0</v>
          </cell>
          <cell r="C468">
            <v>28</v>
          </cell>
        </row>
        <row r="469">
          <cell r="A469" t="str">
            <v>A3166</v>
          </cell>
          <cell r="B469">
            <v>0</v>
          </cell>
          <cell r="C469" t="str">
            <v> </v>
          </cell>
        </row>
        <row r="470">
          <cell r="A470" t="str">
            <v>A3219</v>
          </cell>
          <cell r="B470">
            <v>0</v>
          </cell>
          <cell r="C470" t="str">
            <v> </v>
          </cell>
        </row>
        <row r="471">
          <cell r="A471" t="str">
            <v>A3209</v>
          </cell>
          <cell r="B471">
            <v>0</v>
          </cell>
          <cell r="C471" t="str">
            <v> </v>
          </cell>
        </row>
        <row r="472">
          <cell r="A472" t="str">
            <v>A2916</v>
          </cell>
          <cell r="B472">
            <v>0</v>
          </cell>
          <cell r="C472" t="str">
            <v> </v>
          </cell>
        </row>
        <row r="473">
          <cell r="A473" t="str">
            <v>A3223</v>
          </cell>
          <cell r="B473">
            <v>0</v>
          </cell>
          <cell r="C473" t="str">
            <v> </v>
          </cell>
        </row>
        <row r="474">
          <cell r="A474" t="str">
            <v>A3226</v>
          </cell>
          <cell r="B474">
            <v>0</v>
          </cell>
          <cell r="C474" t="str">
            <v> </v>
          </cell>
        </row>
        <row r="475">
          <cell r="A475" t="str">
            <v>A3153</v>
          </cell>
          <cell r="B475">
            <v>0</v>
          </cell>
          <cell r="C475" t="str">
            <v> </v>
          </cell>
        </row>
        <row r="476">
          <cell r="A476" t="str">
            <v>A3210</v>
          </cell>
          <cell r="B476">
            <v>0</v>
          </cell>
          <cell r="C476">
            <v>23</v>
          </cell>
        </row>
        <row r="477">
          <cell r="A477" t="str">
            <v>A3244</v>
          </cell>
          <cell r="B477">
            <v>0</v>
          </cell>
          <cell r="C477" t="str">
            <v> </v>
          </cell>
        </row>
        <row r="478">
          <cell r="A478" t="str">
            <v>A3246</v>
          </cell>
          <cell r="B478">
            <v>0</v>
          </cell>
          <cell r="C478" t="str">
            <v> </v>
          </cell>
        </row>
        <row r="479">
          <cell r="A479" t="str">
            <v>A3251</v>
          </cell>
          <cell r="B479">
            <v>0</v>
          </cell>
          <cell r="C479" t="str">
            <v> </v>
          </cell>
        </row>
        <row r="480">
          <cell r="A480" t="str">
            <v>A3247</v>
          </cell>
          <cell r="B480">
            <v>0</v>
          </cell>
          <cell r="C480" t="str">
            <v> </v>
          </cell>
        </row>
        <row r="481">
          <cell r="A481" t="str">
            <v>A3252</v>
          </cell>
          <cell r="B481">
            <v>0</v>
          </cell>
          <cell r="C481" t="str">
            <v> </v>
          </cell>
        </row>
        <row r="482">
          <cell r="A482" t="str">
            <v>A3239</v>
          </cell>
          <cell r="B482">
            <v>0</v>
          </cell>
          <cell r="C482" t="str">
            <v> </v>
          </cell>
        </row>
        <row r="483">
          <cell r="A483" t="str">
            <v>A3248</v>
          </cell>
          <cell r="B483">
            <v>0</v>
          </cell>
          <cell r="C483" t="str">
            <v> </v>
          </cell>
        </row>
        <row r="484">
          <cell r="A484" t="str">
            <v>A3232</v>
          </cell>
          <cell r="B484">
            <v>0</v>
          </cell>
          <cell r="C484" t="str">
            <v> </v>
          </cell>
        </row>
        <row r="485">
          <cell r="A485" t="str">
            <v>A3327</v>
          </cell>
          <cell r="B485">
            <v>0</v>
          </cell>
          <cell r="C485" t="str">
            <v> </v>
          </cell>
        </row>
        <row r="486">
          <cell r="A486" t="str">
            <v>A3188</v>
          </cell>
          <cell r="B486">
            <v>0</v>
          </cell>
          <cell r="C486">
            <v>43</v>
          </cell>
        </row>
        <row r="487">
          <cell r="A487" t="str">
            <v>A3310</v>
          </cell>
          <cell r="B487">
            <v>0</v>
          </cell>
          <cell r="C487" t="str">
            <v> </v>
          </cell>
        </row>
        <row r="488">
          <cell r="A488" t="str">
            <v>A3230</v>
          </cell>
          <cell r="B488">
            <v>0</v>
          </cell>
          <cell r="C488" t="str">
            <v> </v>
          </cell>
        </row>
        <row r="489">
          <cell r="A489" t="str">
            <v>A3236</v>
          </cell>
          <cell r="B489">
            <v>0</v>
          </cell>
          <cell r="C489" t="str">
            <v> </v>
          </cell>
        </row>
        <row r="490">
          <cell r="A490" t="str">
            <v>A3235</v>
          </cell>
          <cell r="B490">
            <v>0</v>
          </cell>
          <cell r="C490" t="str">
            <v> </v>
          </cell>
        </row>
        <row r="491">
          <cell r="A491" t="str">
            <v>A3324</v>
          </cell>
          <cell r="B491">
            <v>0</v>
          </cell>
          <cell r="C491" t="str">
            <v> </v>
          </cell>
        </row>
        <row r="492">
          <cell r="A492" t="str">
            <v>A1748</v>
          </cell>
          <cell r="B492">
            <v>0</v>
          </cell>
          <cell r="C492" t="str">
            <v> </v>
          </cell>
        </row>
        <row r="493">
          <cell r="A493" t="str">
            <v>A1071</v>
          </cell>
          <cell r="B493">
            <v>0</v>
          </cell>
          <cell r="C493" t="str">
            <v> </v>
          </cell>
        </row>
        <row r="494">
          <cell r="A494" t="str">
            <v>A3340</v>
          </cell>
          <cell r="B494">
            <v>0</v>
          </cell>
          <cell r="C494" t="str">
            <v> </v>
          </cell>
        </row>
        <row r="495">
          <cell r="A495" t="str">
            <v>A3305</v>
          </cell>
          <cell r="B495">
            <v>0</v>
          </cell>
          <cell r="C495">
            <v>45</v>
          </cell>
        </row>
        <row r="496">
          <cell r="A496" t="str">
            <v>A3182</v>
          </cell>
          <cell r="B496">
            <v>0</v>
          </cell>
          <cell r="C496" t="str">
            <v> </v>
          </cell>
        </row>
        <row r="497">
          <cell r="A497" t="str">
            <v>A3335</v>
          </cell>
          <cell r="B497">
            <v>0</v>
          </cell>
          <cell r="C497" t="str">
            <v> </v>
          </cell>
        </row>
        <row r="498">
          <cell r="A498" t="str">
            <v>A3217</v>
          </cell>
          <cell r="B498">
            <v>0</v>
          </cell>
          <cell r="C498" t="str">
            <v> </v>
          </cell>
        </row>
        <row r="499">
          <cell r="A499" t="str">
            <v>A3346</v>
          </cell>
          <cell r="B499">
            <v>0</v>
          </cell>
          <cell r="C499" t="str">
            <v> </v>
          </cell>
        </row>
        <row r="500">
          <cell r="A500" t="str">
            <v>A3333</v>
          </cell>
          <cell r="B500">
            <v>0</v>
          </cell>
          <cell r="C500">
            <v>30</v>
          </cell>
        </row>
        <row r="501">
          <cell r="B501">
            <v>0</v>
          </cell>
        </row>
        <row r="502">
          <cell r="B502">
            <v>0</v>
          </cell>
        </row>
        <row r="503">
          <cell r="B503">
            <v>0</v>
          </cell>
        </row>
        <row r="504">
          <cell r="B504">
            <v>0</v>
          </cell>
        </row>
        <row r="505">
          <cell r="B505">
            <v>0</v>
          </cell>
        </row>
        <row r="506">
          <cell r="B506">
            <v>0</v>
          </cell>
        </row>
        <row r="507">
          <cell r="B507">
            <v>0</v>
          </cell>
        </row>
        <row r="508">
          <cell r="B508">
            <v>0</v>
          </cell>
        </row>
        <row r="509">
          <cell r="B509">
            <v>0</v>
          </cell>
        </row>
        <row r="510">
          <cell r="B510">
            <v>0</v>
          </cell>
        </row>
        <row r="511">
          <cell r="B511">
            <v>0</v>
          </cell>
        </row>
        <row r="512">
          <cell r="B512">
            <v>0</v>
          </cell>
        </row>
        <row r="513">
          <cell r="B513">
            <v>0</v>
          </cell>
        </row>
        <row r="514">
          <cell r="B514">
            <v>0</v>
          </cell>
        </row>
        <row r="515">
          <cell r="B515">
            <v>0</v>
          </cell>
        </row>
        <row r="516">
          <cell r="B516">
            <v>0</v>
          </cell>
        </row>
        <row r="517">
          <cell r="B517">
            <v>0</v>
          </cell>
        </row>
        <row r="518">
          <cell r="B518">
            <v>0</v>
          </cell>
        </row>
        <row r="519">
          <cell r="B519">
            <v>0</v>
          </cell>
        </row>
        <row r="520">
          <cell r="B520">
            <v>0</v>
          </cell>
        </row>
        <row r="521">
          <cell r="B521">
            <v>0</v>
          </cell>
        </row>
        <row r="522">
          <cell r="B522">
            <v>0</v>
          </cell>
        </row>
        <row r="523">
          <cell r="B523">
            <v>0</v>
          </cell>
        </row>
        <row r="524">
          <cell r="B524">
            <v>0</v>
          </cell>
        </row>
        <row r="525">
          <cell r="B525">
            <v>0</v>
          </cell>
        </row>
        <row r="526">
          <cell r="B526">
            <v>0</v>
          </cell>
        </row>
        <row r="527">
          <cell r="B527">
            <v>0</v>
          </cell>
        </row>
        <row r="528">
          <cell r="B528">
            <v>0</v>
          </cell>
        </row>
        <row r="529">
          <cell r="B529">
            <v>0</v>
          </cell>
        </row>
        <row r="530">
          <cell r="B530">
            <v>0</v>
          </cell>
        </row>
        <row r="531">
          <cell r="B531">
            <v>0</v>
          </cell>
        </row>
        <row r="532">
          <cell r="B532">
            <v>0</v>
          </cell>
        </row>
        <row r="533">
          <cell r="B533">
            <v>0</v>
          </cell>
        </row>
        <row r="534">
          <cell r="B534">
            <v>0</v>
          </cell>
        </row>
        <row r="535">
          <cell r="B535">
            <v>0</v>
          </cell>
        </row>
        <row r="536">
          <cell r="B536">
            <v>0</v>
          </cell>
        </row>
        <row r="537">
          <cell r="B537">
            <v>0</v>
          </cell>
        </row>
        <row r="538">
          <cell r="B538">
            <v>0</v>
          </cell>
        </row>
        <row r="539">
          <cell r="B539">
            <v>0</v>
          </cell>
        </row>
        <row r="540">
          <cell r="B540">
            <v>0</v>
          </cell>
        </row>
        <row r="541">
          <cell r="B541">
            <v>0</v>
          </cell>
        </row>
        <row r="542">
          <cell r="B542">
            <v>0</v>
          </cell>
        </row>
        <row r="543">
          <cell r="B543">
            <v>0</v>
          </cell>
        </row>
        <row r="544">
          <cell r="B544">
            <v>0</v>
          </cell>
        </row>
        <row r="545">
          <cell r="B545">
            <v>0</v>
          </cell>
        </row>
        <row r="546">
          <cell r="B546">
            <v>0</v>
          </cell>
        </row>
        <row r="547">
          <cell r="B547">
            <v>0</v>
          </cell>
        </row>
        <row r="548">
          <cell r="B548">
            <v>0</v>
          </cell>
        </row>
        <row r="549">
          <cell r="B549">
            <v>0</v>
          </cell>
        </row>
        <row r="550">
          <cell r="B550">
            <v>0</v>
          </cell>
        </row>
        <row r="551">
          <cell r="B551">
            <v>0</v>
          </cell>
        </row>
        <row r="552">
          <cell r="B552">
            <v>0</v>
          </cell>
        </row>
        <row r="553">
          <cell r="B553">
            <v>0</v>
          </cell>
        </row>
        <row r="554">
          <cell r="B554">
            <v>0</v>
          </cell>
        </row>
        <row r="555">
          <cell r="B555">
            <v>0</v>
          </cell>
        </row>
        <row r="556">
          <cell r="B556">
            <v>0</v>
          </cell>
        </row>
        <row r="557">
          <cell r="B557">
            <v>0</v>
          </cell>
        </row>
        <row r="558">
          <cell r="B558">
            <v>0</v>
          </cell>
        </row>
        <row r="559">
          <cell r="B559">
            <v>0</v>
          </cell>
        </row>
        <row r="560">
          <cell r="B560">
            <v>0</v>
          </cell>
        </row>
        <row r="561">
          <cell r="B561">
            <v>0</v>
          </cell>
        </row>
        <row r="562">
          <cell r="B562">
            <v>0</v>
          </cell>
        </row>
        <row r="563">
          <cell r="B563">
            <v>0</v>
          </cell>
        </row>
        <row r="564">
          <cell r="B564">
            <v>0</v>
          </cell>
        </row>
        <row r="565">
          <cell r="B565">
            <v>0</v>
          </cell>
        </row>
        <row r="566">
          <cell r="B566">
            <v>0</v>
          </cell>
        </row>
        <row r="567">
          <cell r="B567">
            <v>0</v>
          </cell>
        </row>
        <row r="568">
          <cell r="B568">
            <v>0</v>
          </cell>
        </row>
        <row r="569">
          <cell r="B569">
            <v>0</v>
          </cell>
        </row>
        <row r="570">
          <cell r="B570">
            <v>0</v>
          </cell>
        </row>
        <row r="571">
          <cell r="B571">
            <v>0</v>
          </cell>
        </row>
        <row r="572">
          <cell r="B572">
            <v>0</v>
          </cell>
        </row>
        <row r="573">
          <cell r="B573">
            <v>0</v>
          </cell>
        </row>
        <row r="574">
          <cell r="B574">
            <v>0</v>
          </cell>
        </row>
        <row r="575">
          <cell r="B575">
            <v>0</v>
          </cell>
        </row>
        <row r="576">
          <cell r="B576">
            <v>0</v>
          </cell>
        </row>
        <row r="577">
          <cell r="B577">
            <v>0</v>
          </cell>
        </row>
        <row r="578">
          <cell r="B578">
            <v>0</v>
          </cell>
        </row>
        <row r="579">
          <cell r="B579">
            <v>0</v>
          </cell>
        </row>
        <row r="580">
          <cell r="B580">
            <v>0</v>
          </cell>
        </row>
        <row r="581">
          <cell r="B581">
            <v>0</v>
          </cell>
        </row>
        <row r="582">
          <cell r="B582">
            <v>0</v>
          </cell>
        </row>
        <row r="583">
          <cell r="B583">
            <v>0</v>
          </cell>
        </row>
        <row r="584">
          <cell r="B584">
            <v>0</v>
          </cell>
        </row>
        <row r="585">
          <cell r="B585">
            <v>0</v>
          </cell>
        </row>
        <row r="586">
          <cell r="B586">
            <v>0</v>
          </cell>
        </row>
        <row r="587">
          <cell r="B587">
            <v>0</v>
          </cell>
        </row>
        <row r="588">
          <cell r="B588">
            <v>0</v>
          </cell>
        </row>
        <row r="589">
          <cell r="B589">
            <v>0</v>
          </cell>
        </row>
        <row r="590">
          <cell r="B590">
            <v>0</v>
          </cell>
        </row>
        <row r="591">
          <cell r="B591">
            <v>0</v>
          </cell>
        </row>
        <row r="592">
          <cell r="B592">
            <v>0</v>
          </cell>
        </row>
        <row r="593">
          <cell r="B593">
            <v>0</v>
          </cell>
        </row>
        <row r="594">
          <cell r="B594">
            <v>0</v>
          </cell>
        </row>
        <row r="595">
          <cell r="B595">
            <v>0</v>
          </cell>
        </row>
        <row r="596">
          <cell r="B596">
            <v>0</v>
          </cell>
        </row>
        <row r="597">
          <cell r="B597">
            <v>0</v>
          </cell>
        </row>
        <row r="598">
          <cell r="B598">
            <v>0</v>
          </cell>
        </row>
        <row r="599">
          <cell r="B599">
            <v>0</v>
          </cell>
        </row>
        <row r="600">
          <cell r="B600">
            <v>0</v>
          </cell>
        </row>
        <row r="601">
          <cell r="B601">
            <v>0</v>
          </cell>
        </row>
        <row r="602">
          <cell r="B602">
            <v>0</v>
          </cell>
        </row>
        <row r="603">
          <cell r="B603">
            <v>0</v>
          </cell>
        </row>
        <row r="604">
          <cell r="B604">
            <v>0</v>
          </cell>
        </row>
        <row r="605">
          <cell r="B605">
            <v>0</v>
          </cell>
        </row>
        <row r="606">
          <cell r="B606">
            <v>0</v>
          </cell>
        </row>
        <row r="607">
          <cell r="B607">
            <v>0</v>
          </cell>
        </row>
        <row r="608">
          <cell r="B608">
            <v>0</v>
          </cell>
        </row>
        <row r="609">
          <cell r="B609">
            <v>0</v>
          </cell>
        </row>
        <row r="610">
          <cell r="B610">
            <v>0</v>
          </cell>
        </row>
        <row r="611">
          <cell r="B611">
            <v>0</v>
          </cell>
        </row>
        <row r="612">
          <cell r="B612">
            <v>0</v>
          </cell>
        </row>
        <row r="613">
          <cell r="B613">
            <v>0</v>
          </cell>
        </row>
        <row r="614">
          <cell r="B614">
            <v>0</v>
          </cell>
        </row>
        <row r="615">
          <cell r="B615">
            <v>0</v>
          </cell>
        </row>
        <row r="616">
          <cell r="B616">
            <v>0</v>
          </cell>
        </row>
        <row r="617">
          <cell r="B617">
            <v>0</v>
          </cell>
        </row>
        <row r="618">
          <cell r="B618">
            <v>0</v>
          </cell>
        </row>
        <row r="619">
          <cell r="B619">
            <v>0</v>
          </cell>
        </row>
        <row r="620">
          <cell r="B620">
            <v>0</v>
          </cell>
        </row>
        <row r="621">
          <cell r="B621">
            <v>0</v>
          </cell>
        </row>
        <row r="622">
          <cell r="B622">
            <v>0</v>
          </cell>
        </row>
        <row r="623">
          <cell r="B623">
            <v>0</v>
          </cell>
        </row>
        <row r="624">
          <cell r="B624">
            <v>0</v>
          </cell>
        </row>
        <row r="625">
          <cell r="B625">
            <v>0</v>
          </cell>
        </row>
        <row r="626">
          <cell r="B626">
            <v>0</v>
          </cell>
        </row>
        <row r="627">
          <cell r="B627">
            <v>0</v>
          </cell>
        </row>
        <row r="628">
          <cell r="B628">
            <v>0</v>
          </cell>
        </row>
        <row r="629">
          <cell r="B629">
            <v>0</v>
          </cell>
        </row>
        <row r="630">
          <cell r="B630">
            <v>0</v>
          </cell>
        </row>
        <row r="631">
          <cell r="B631">
            <v>0</v>
          </cell>
        </row>
        <row r="632">
          <cell r="B632">
            <v>0</v>
          </cell>
        </row>
        <row r="633">
          <cell r="B633">
            <v>0</v>
          </cell>
        </row>
        <row r="634">
          <cell r="B634">
            <v>0</v>
          </cell>
        </row>
        <row r="635">
          <cell r="B635">
            <v>0</v>
          </cell>
        </row>
        <row r="636">
          <cell r="B636">
            <v>0</v>
          </cell>
        </row>
        <row r="637">
          <cell r="B637">
            <v>0</v>
          </cell>
        </row>
        <row r="638">
          <cell r="B638">
            <v>0</v>
          </cell>
        </row>
        <row r="639">
          <cell r="B639">
            <v>0</v>
          </cell>
        </row>
        <row r="640">
          <cell r="B640">
            <v>0</v>
          </cell>
        </row>
        <row r="641">
          <cell r="B641">
            <v>0</v>
          </cell>
        </row>
        <row r="642">
          <cell r="B642">
            <v>0</v>
          </cell>
        </row>
        <row r="643">
          <cell r="B643">
            <v>0</v>
          </cell>
        </row>
        <row r="644">
          <cell r="B644">
            <v>0</v>
          </cell>
        </row>
        <row r="645">
          <cell r="B645">
            <v>0</v>
          </cell>
        </row>
        <row r="646">
          <cell r="B646">
            <v>0</v>
          </cell>
        </row>
        <row r="647">
          <cell r="B647">
            <v>0</v>
          </cell>
        </row>
        <row r="648">
          <cell r="B648">
            <v>0</v>
          </cell>
        </row>
        <row r="649">
          <cell r="B649">
            <v>0</v>
          </cell>
        </row>
        <row r="650">
          <cell r="B650">
            <v>0</v>
          </cell>
        </row>
        <row r="651">
          <cell r="B651">
            <v>0</v>
          </cell>
        </row>
        <row r="652">
          <cell r="B652">
            <v>0</v>
          </cell>
        </row>
        <row r="653">
          <cell r="B653">
            <v>0</v>
          </cell>
        </row>
        <row r="654">
          <cell r="B654">
            <v>0</v>
          </cell>
        </row>
        <row r="655">
          <cell r="B655">
            <v>0</v>
          </cell>
        </row>
        <row r="656">
          <cell r="B656">
            <v>0</v>
          </cell>
        </row>
        <row r="657">
          <cell r="B657">
            <v>0</v>
          </cell>
        </row>
        <row r="658">
          <cell r="B658">
            <v>0</v>
          </cell>
        </row>
        <row r="659">
          <cell r="B659">
            <v>0</v>
          </cell>
        </row>
        <row r="660">
          <cell r="B660">
            <v>0</v>
          </cell>
        </row>
        <row r="661">
          <cell r="B661">
            <v>0</v>
          </cell>
        </row>
        <row r="662">
          <cell r="B662">
            <v>0</v>
          </cell>
        </row>
        <row r="663">
          <cell r="B663">
            <v>0</v>
          </cell>
        </row>
        <row r="664">
          <cell r="B664">
            <v>0</v>
          </cell>
        </row>
        <row r="665">
          <cell r="B665">
            <v>0</v>
          </cell>
        </row>
        <row r="666">
          <cell r="B666">
            <v>0</v>
          </cell>
        </row>
        <row r="667">
          <cell r="B667">
            <v>0</v>
          </cell>
        </row>
        <row r="668">
          <cell r="B668">
            <v>0</v>
          </cell>
        </row>
        <row r="669">
          <cell r="B669">
            <v>0</v>
          </cell>
        </row>
        <row r="670">
          <cell r="B670">
            <v>0</v>
          </cell>
        </row>
        <row r="671">
          <cell r="B671">
            <v>0</v>
          </cell>
        </row>
        <row r="672">
          <cell r="B672">
            <v>0</v>
          </cell>
        </row>
        <row r="673">
          <cell r="B673">
            <v>0</v>
          </cell>
        </row>
        <row r="674">
          <cell r="B674">
            <v>0</v>
          </cell>
        </row>
        <row r="675">
          <cell r="B675">
            <v>0</v>
          </cell>
        </row>
        <row r="676">
          <cell r="B676">
            <v>0</v>
          </cell>
        </row>
        <row r="677">
          <cell r="B677">
            <v>0</v>
          </cell>
        </row>
        <row r="678">
          <cell r="B678">
            <v>0</v>
          </cell>
        </row>
        <row r="679">
          <cell r="B679">
            <v>0</v>
          </cell>
        </row>
        <row r="680">
          <cell r="B680">
            <v>0</v>
          </cell>
        </row>
        <row r="681">
          <cell r="B681">
            <v>0</v>
          </cell>
        </row>
        <row r="682">
          <cell r="B682">
            <v>0</v>
          </cell>
        </row>
        <row r="683">
          <cell r="B683">
            <v>0</v>
          </cell>
        </row>
        <row r="684">
          <cell r="B684">
            <v>0</v>
          </cell>
        </row>
        <row r="685">
          <cell r="B685">
            <v>0</v>
          </cell>
        </row>
        <row r="686">
          <cell r="B686">
            <v>0</v>
          </cell>
        </row>
        <row r="687">
          <cell r="B687">
            <v>0</v>
          </cell>
        </row>
        <row r="688">
          <cell r="B688">
            <v>0</v>
          </cell>
        </row>
        <row r="689">
          <cell r="B689">
            <v>0</v>
          </cell>
        </row>
        <row r="690">
          <cell r="B690">
            <v>0</v>
          </cell>
        </row>
        <row r="691">
          <cell r="B691">
            <v>0</v>
          </cell>
        </row>
        <row r="692">
          <cell r="B692">
            <v>0</v>
          </cell>
        </row>
        <row r="693">
          <cell r="B693">
            <v>0</v>
          </cell>
        </row>
        <row r="694">
          <cell r="B694">
            <v>0</v>
          </cell>
        </row>
        <row r="695">
          <cell r="B695">
            <v>0</v>
          </cell>
        </row>
        <row r="696">
          <cell r="B696">
            <v>0</v>
          </cell>
        </row>
        <row r="697">
          <cell r="B697">
            <v>0</v>
          </cell>
        </row>
        <row r="698">
          <cell r="B698">
            <v>0</v>
          </cell>
        </row>
        <row r="699">
          <cell r="B699">
            <v>0</v>
          </cell>
        </row>
        <row r="700">
          <cell r="B700">
            <v>0</v>
          </cell>
        </row>
        <row r="701">
          <cell r="B701">
            <v>0</v>
          </cell>
        </row>
        <row r="702">
          <cell r="B702">
            <v>0</v>
          </cell>
        </row>
        <row r="703">
          <cell r="B703">
            <v>0</v>
          </cell>
        </row>
        <row r="704">
          <cell r="B704">
            <v>0</v>
          </cell>
        </row>
        <row r="705">
          <cell r="B705">
            <v>0</v>
          </cell>
        </row>
        <row r="706">
          <cell r="B706">
            <v>0</v>
          </cell>
        </row>
        <row r="707">
          <cell r="B707">
            <v>0</v>
          </cell>
        </row>
        <row r="708">
          <cell r="B708">
            <v>0</v>
          </cell>
        </row>
        <row r="709">
          <cell r="B709">
            <v>0</v>
          </cell>
        </row>
        <row r="710">
          <cell r="B710">
            <v>0</v>
          </cell>
        </row>
        <row r="711">
          <cell r="B711">
            <v>0</v>
          </cell>
        </row>
        <row r="712">
          <cell r="B712">
            <v>0</v>
          </cell>
        </row>
        <row r="713">
          <cell r="B713">
            <v>0</v>
          </cell>
        </row>
        <row r="714">
          <cell r="B714">
            <v>0</v>
          </cell>
        </row>
        <row r="715">
          <cell r="B715">
            <v>0</v>
          </cell>
        </row>
        <row r="716">
          <cell r="B716">
            <v>0</v>
          </cell>
        </row>
        <row r="717">
          <cell r="B717">
            <v>0</v>
          </cell>
        </row>
        <row r="718">
          <cell r="B718">
            <v>0</v>
          </cell>
        </row>
        <row r="719">
          <cell r="B719">
            <v>0</v>
          </cell>
        </row>
        <row r="720">
          <cell r="B720">
            <v>0</v>
          </cell>
        </row>
        <row r="721">
          <cell r="B721">
            <v>0</v>
          </cell>
        </row>
        <row r="722">
          <cell r="B722">
            <v>0</v>
          </cell>
        </row>
        <row r="723">
          <cell r="B723">
            <v>0</v>
          </cell>
        </row>
        <row r="724">
          <cell r="B724">
            <v>0</v>
          </cell>
        </row>
        <row r="725">
          <cell r="B725">
            <v>0</v>
          </cell>
        </row>
        <row r="726">
          <cell r="B726">
            <v>0</v>
          </cell>
        </row>
        <row r="727">
          <cell r="B727">
            <v>0</v>
          </cell>
        </row>
        <row r="728">
          <cell r="B728">
            <v>0</v>
          </cell>
        </row>
        <row r="729">
          <cell r="B729">
            <v>0</v>
          </cell>
        </row>
        <row r="730">
          <cell r="B730">
            <v>0</v>
          </cell>
        </row>
        <row r="731">
          <cell r="B731">
            <v>0</v>
          </cell>
        </row>
        <row r="732">
          <cell r="B732">
            <v>0</v>
          </cell>
        </row>
        <row r="733">
          <cell r="B733">
            <v>0</v>
          </cell>
        </row>
        <row r="734">
          <cell r="B734">
            <v>0</v>
          </cell>
        </row>
        <row r="735">
          <cell r="B735">
            <v>0</v>
          </cell>
        </row>
        <row r="736">
          <cell r="B736">
            <v>0</v>
          </cell>
        </row>
        <row r="737">
          <cell r="B737">
            <v>0</v>
          </cell>
        </row>
        <row r="738">
          <cell r="B738">
            <v>0</v>
          </cell>
        </row>
        <row r="739">
          <cell r="B739">
            <v>0</v>
          </cell>
        </row>
        <row r="740">
          <cell r="B740">
            <v>0</v>
          </cell>
        </row>
        <row r="741">
          <cell r="B741">
            <v>0</v>
          </cell>
        </row>
        <row r="742">
          <cell r="B742">
            <v>0</v>
          </cell>
        </row>
        <row r="743">
          <cell r="B743">
            <v>0</v>
          </cell>
        </row>
        <row r="744">
          <cell r="B744">
            <v>0</v>
          </cell>
        </row>
        <row r="745">
          <cell r="B745">
            <v>0</v>
          </cell>
        </row>
        <row r="746">
          <cell r="B746">
            <v>0</v>
          </cell>
        </row>
        <row r="747">
          <cell r="B747">
            <v>0</v>
          </cell>
        </row>
        <row r="748">
          <cell r="B748">
            <v>0</v>
          </cell>
        </row>
        <row r="749">
          <cell r="B749">
            <v>0</v>
          </cell>
        </row>
        <row r="750">
          <cell r="B750">
            <v>0</v>
          </cell>
        </row>
        <row r="751">
          <cell r="B751">
            <v>0</v>
          </cell>
        </row>
        <row r="752">
          <cell r="B752">
            <v>0</v>
          </cell>
        </row>
        <row r="753">
          <cell r="B753">
            <v>0</v>
          </cell>
        </row>
        <row r="754">
          <cell r="B754">
            <v>0</v>
          </cell>
        </row>
        <row r="755">
          <cell r="B755">
            <v>0</v>
          </cell>
        </row>
        <row r="756">
          <cell r="B756">
            <v>0</v>
          </cell>
        </row>
        <row r="757">
          <cell r="B757">
            <v>0</v>
          </cell>
        </row>
        <row r="758">
          <cell r="B758">
            <v>0</v>
          </cell>
        </row>
        <row r="759">
          <cell r="B759">
            <v>0</v>
          </cell>
        </row>
        <row r="760">
          <cell r="B760">
            <v>0</v>
          </cell>
        </row>
        <row r="761">
          <cell r="B761">
            <v>0</v>
          </cell>
        </row>
        <row r="762">
          <cell r="B762">
            <v>0</v>
          </cell>
        </row>
        <row r="763">
          <cell r="B763">
            <v>0</v>
          </cell>
        </row>
        <row r="764">
          <cell r="B764">
            <v>0</v>
          </cell>
        </row>
        <row r="765">
          <cell r="B765">
            <v>0</v>
          </cell>
        </row>
        <row r="766">
          <cell r="B766">
            <v>0</v>
          </cell>
        </row>
        <row r="767">
          <cell r="B767">
            <v>0</v>
          </cell>
        </row>
        <row r="768">
          <cell r="B768">
            <v>0</v>
          </cell>
        </row>
        <row r="769">
          <cell r="B769">
            <v>0</v>
          </cell>
        </row>
        <row r="770">
          <cell r="B770">
            <v>0</v>
          </cell>
        </row>
        <row r="771">
          <cell r="B771">
            <v>0</v>
          </cell>
        </row>
        <row r="772">
          <cell r="B772">
            <v>0</v>
          </cell>
        </row>
        <row r="773">
          <cell r="B773">
            <v>0</v>
          </cell>
        </row>
        <row r="774">
          <cell r="B774">
            <v>0</v>
          </cell>
        </row>
        <row r="775">
          <cell r="B775">
            <v>0</v>
          </cell>
        </row>
        <row r="776">
          <cell r="B776">
            <v>0</v>
          </cell>
        </row>
        <row r="777">
          <cell r="B777">
            <v>0</v>
          </cell>
        </row>
        <row r="778">
          <cell r="B778">
            <v>0</v>
          </cell>
        </row>
        <row r="779">
          <cell r="B779">
            <v>0</v>
          </cell>
        </row>
        <row r="780">
          <cell r="B780">
            <v>0</v>
          </cell>
        </row>
        <row r="781">
          <cell r="B781">
            <v>0</v>
          </cell>
        </row>
        <row r="782">
          <cell r="B782">
            <v>0</v>
          </cell>
        </row>
        <row r="783">
          <cell r="B783">
            <v>0</v>
          </cell>
        </row>
        <row r="784">
          <cell r="B784">
            <v>0</v>
          </cell>
        </row>
        <row r="785">
          <cell r="B785">
            <v>0</v>
          </cell>
        </row>
        <row r="786">
          <cell r="B786">
            <v>0</v>
          </cell>
        </row>
        <row r="787">
          <cell r="B787">
            <v>0</v>
          </cell>
        </row>
        <row r="788">
          <cell r="B788">
            <v>0</v>
          </cell>
        </row>
        <row r="789">
          <cell r="B789">
            <v>0</v>
          </cell>
        </row>
        <row r="790">
          <cell r="B790">
            <v>0</v>
          </cell>
        </row>
        <row r="791">
          <cell r="B791">
            <v>0</v>
          </cell>
        </row>
        <row r="792">
          <cell r="B792">
            <v>0</v>
          </cell>
        </row>
        <row r="793">
          <cell r="B793">
            <v>0</v>
          </cell>
        </row>
        <row r="794">
          <cell r="B794">
            <v>0</v>
          </cell>
        </row>
        <row r="795">
          <cell r="B795">
            <v>0</v>
          </cell>
        </row>
        <row r="796">
          <cell r="B796">
            <v>0</v>
          </cell>
        </row>
        <row r="797">
          <cell r="B797">
            <v>0</v>
          </cell>
        </row>
        <row r="798">
          <cell r="B798">
            <v>0</v>
          </cell>
        </row>
        <row r="799">
          <cell r="B799">
            <v>0</v>
          </cell>
        </row>
        <row r="800">
          <cell r="B800">
            <v>0</v>
          </cell>
        </row>
        <row r="801">
          <cell r="B801">
            <v>0</v>
          </cell>
        </row>
        <row r="802">
          <cell r="B802">
            <v>0</v>
          </cell>
        </row>
        <row r="803">
          <cell r="B803">
            <v>0</v>
          </cell>
        </row>
        <row r="804">
          <cell r="B804">
            <v>0</v>
          </cell>
        </row>
        <row r="805">
          <cell r="B805">
            <v>0</v>
          </cell>
        </row>
        <row r="806">
          <cell r="B806">
            <v>0</v>
          </cell>
        </row>
        <row r="807">
          <cell r="B807">
            <v>0</v>
          </cell>
        </row>
        <row r="808">
          <cell r="B808">
            <v>0</v>
          </cell>
        </row>
        <row r="809">
          <cell r="B809">
            <v>0</v>
          </cell>
        </row>
        <row r="810">
          <cell r="B810">
            <v>0</v>
          </cell>
        </row>
        <row r="811">
          <cell r="B811">
            <v>0</v>
          </cell>
        </row>
        <row r="812">
          <cell r="B812">
            <v>0</v>
          </cell>
        </row>
        <row r="813">
          <cell r="B813">
            <v>0</v>
          </cell>
        </row>
        <row r="814">
          <cell r="B814">
            <v>0</v>
          </cell>
        </row>
        <row r="815">
          <cell r="B815">
            <v>0</v>
          </cell>
        </row>
        <row r="816">
          <cell r="B816">
            <v>0</v>
          </cell>
        </row>
        <row r="817">
          <cell r="B817">
            <v>0</v>
          </cell>
        </row>
        <row r="818">
          <cell r="B818">
            <v>0</v>
          </cell>
        </row>
        <row r="819">
          <cell r="B819">
            <v>0</v>
          </cell>
        </row>
        <row r="820">
          <cell r="B820">
            <v>0</v>
          </cell>
        </row>
        <row r="821">
          <cell r="B821">
            <v>0</v>
          </cell>
        </row>
        <row r="822">
          <cell r="B822">
            <v>0</v>
          </cell>
        </row>
        <row r="823">
          <cell r="B823">
            <v>0</v>
          </cell>
        </row>
        <row r="824">
          <cell r="B824">
            <v>0</v>
          </cell>
        </row>
        <row r="825">
          <cell r="A825" t="str">
            <v>A4625</v>
          </cell>
          <cell r="B825">
            <v>0</v>
          </cell>
          <cell r="C825" t="str">
            <v> </v>
          </cell>
        </row>
        <row r="826">
          <cell r="A826" t="str">
            <v>A4626</v>
          </cell>
          <cell r="B826">
            <v>0</v>
          </cell>
          <cell r="C826" t="str">
            <v> </v>
          </cell>
        </row>
        <row r="827">
          <cell r="A827" t="str">
            <v>A4627</v>
          </cell>
          <cell r="B827">
            <v>0</v>
          </cell>
          <cell r="C827" t="str">
            <v> </v>
          </cell>
        </row>
        <row r="828">
          <cell r="A828" t="str">
            <v>A4628</v>
          </cell>
          <cell r="B828">
            <v>0</v>
          </cell>
          <cell r="C828" t="str">
            <v> </v>
          </cell>
        </row>
        <row r="829">
          <cell r="A829" t="str">
            <v>A4629</v>
          </cell>
          <cell r="B829">
            <v>0</v>
          </cell>
          <cell r="C829" t="str">
            <v> </v>
          </cell>
        </row>
        <row r="830">
          <cell r="A830" t="str">
            <v>A4630</v>
          </cell>
          <cell r="B830">
            <v>0</v>
          </cell>
          <cell r="C830" t="str">
            <v> </v>
          </cell>
        </row>
        <row r="831">
          <cell r="A831" t="str">
            <v>A4374</v>
          </cell>
          <cell r="B831">
            <v>0</v>
          </cell>
          <cell r="C831" t="str">
            <v> </v>
          </cell>
        </row>
        <row r="832">
          <cell r="A832" t="str">
            <v>A4634</v>
          </cell>
          <cell r="B832">
            <v>0</v>
          </cell>
          <cell r="C832" t="str">
            <v> </v>
          </cell>
        </row>
        <row r="833">
          <cell r="A833" t="str">
            <v>A4666</v>
          </cell>
          <cell r="B833">
            <v>0</v>
          </cell>
          <cell r="C833" t="str">
            <v> </v>
          </cell>
        </row>
        <row r="834">
          <cell r="A834" t="str">
            <v>A4667</v>
          </cell>
          <cell r="B834">
            <v>0</v>
          </cell>
          <cell r="C834" t="str">
            <v> </v>
          </cell>
        </row>
        <row r="835">
          <cell r="A835" t="str">
            <v>A2317</v>
          </cell>
          <cell r="B835">
            <v>0</v>
          </cell>
          <cell r="C835" t="str">
            <v> </v>
          </cell>
        </row>
        <row r="836">
          <cell r="A836" t="str">
            <v>A0944</v>
          </cell>
          <cell r="B836">
            <v>0</v>
          </cell>
          <cell r="C836" t="str">
            <v> </v>
          </cell>
        </row>
        <row r="837">
          <cell r="A837" t="str">
            <v>A4677</v>
          </cell>
          <cell r="B837">
            <v>0</v>
          </cell>
          <cell r="C837" t="str">
            <v> </v>
          </cell>
        </row>
        <row r="838">
          <cell r="A838" t="str">
            <v>A4678</v>
          </cell>
          <cell r="B838">
            <v>0</v>
          </cell>
          <cell r="C838" t="str">
            <v> </v>
          </cell>
        </row>
        <row r="839">
          <cell r="A839" t="str">
            <v>A4679</v>
          </cell>
          <cell r="B839">
            <v>0</v>
          </cell>
          <cell r="C839" t="str">
            <v> </v>
          </cell>
        </row>
        <row r="840">
          <cell r="A840" t="str">
            <v>A4680</v>
          </cell>
          <cell r="B840">
            <v>0</v>
          </cell>
          <cell r="C840" t="str">
            <v> </v>
          </cell>
        </row>
        <row r="841">
          <cell r="A841" t="str">
            <v>A4682</v>
          </cell>
          <cell r="B841">
            <v>0</v>
          </cell>
          <cell r="C841" t="str">
            <v> </v>
          </cell>
        </row>
        <row r="842">
          <cell r="A842" t="str">
            <v>A4684</v>
          </cell>
          <cell r="B842">
            <v>0</v>
          </cell>
          <cell r="C842" t="str">
            <v> </v>
          </cell>
        </row>
        <row r="843">
          <cell r="B843">
            <v>0</v>
          </cell>
        </row>
        <row r="844">
          <cell r="B844">
            <v>0</v>
          </cell>
        </row>
        <row r="845">
          <cell r="B845">
            <v>0</v>
          </cell>
        </row>
        <row r="846">
          <cell r="B846">
            <v>0</v>
          </cell>
        </row>
        <row r="847">
          <cell r="B847">
            <v>0</v>
          </cell>
        </row>
        <row r="848">
          <cell r="B848">
            <v>0</v>
          </cell>
        </row>
        <row r="849">
          <cell r="B849">
            <v>0</v>
          </cell>
        </row>
        <row r="850">
          <cell r="B850">
            <v>0</v>
          </cell>
        </row>
        <row r="851">
          <cell r="B851">
            <v>0</v>
          </cell>
        </row>
        <row r="852">
          <cell r="B852">
            <v>0</v>
          </cell>
        </row>
        <row r="853">
          <cell r="B853">
            <v>0</v>
          </cell>
        </row>
        <row r="854">
          <cell r="B854">
            <v>0</v>
          </cell>
        </row>
        <row r="855">
          <cell r="B855">
            <v>0</v>
          </cell>
        </row>
        <row r="856">
          <cell r="B856">
            <v>0</v>
          </cell>
        </row>
        <row r="857">
          <cell r="B857">
            <v>0</v>
          </cell>
        </row>
        <row r="858">
          <cell r="B858">
            <v>0</v>
          </cell>
        </row>
        <row r="859">
          <cell r="B859">
            <v>0</v>
          </cell>
        </row>
        <row r="860">
          <cell r="B860">
            <v>0</v>
          </cell>
        </row>
        <row r="861">
          <cell r="B861">
            <v>0</v>
          </cell>
        </row>
        <row r="862">
          <cell r="B862">
            <v>0</v>
          </cell>
        </row>
        <row r="863">
          <cell r="B863">
            <v>0</v>
          </cell>
        </row>
        <row r="864">
          <cell r="B864">
            <v>0</v>
          </cell>
        </row>
        <row r="865">
          <cell r="B865">
            <v>0</v>
          </cell>
        </row>
        <row r="866">
          <cell r="B866">
            <v>0</v>
          </cell>
        </row>
        <row r="867">
          <cell r="B867">
            <v>0</v>
          </cell>
        </row>
        <row r="868">
          <cell r="B868">
            <v>0</v>
          </cell>
        </row>
        <row r="869">
          <cell r="B869">
            <v>0</v>
          </cell>
        </row>
        <row r="870">
          <cell r="B870">
            <v>0</v>
          </cell>
        </row>
        <row r="871">
          <cell r="B871">
            <v>0</v>
          </cell>
        </row>
        <row r="872">
          <cell r="B872">
            <v>0</v>
          </cell>
        </row>
        <row r="873">
          <cell r="B873">
            <v>0</v>
          </cell>
        </row>
        <row r="874">
          <cell r="B874">
            <v>0</v>
          </cell>
        </row>
        <row r="875">
          <cell r="B875">
            <v>0</v>
          </cell>
        </row>
        <row r="876">
          <cell r="B876">
            <v>0</v>
          </cell>
        </row>
        <row r="877">
          <cell r="B877">
            <v>0</v>
          </cell>
        </row>
        <row r="878">
          <cell r="B878">
            <v>0</v>
          </cell>
        </row>
        <row r="879">
          <cell r="B879">
            <v>0</v>
          </cell>
        </row>
        <row r="880">
          <cell r="B880">
            <v>0</v>
          </cell>
        </row>
        <row r="881">
          <cell r="B881">
            <v>0</v>
          </cell>
        </row>
        <row r="882">
          <cell r="B882">
            <v>0</v>
          </cell>
        </row>
        <row r="883">
          <cell r="B883">
            <v>0</v>
          </cell>
        </row>
        <row r="884">
          <cell r="B884">
            <v>0</v>
          </cell>
        </row>
        <row r="885">
          <cell r="B885">
            <v>0</v>
          </cell>
        </row>
        <row r="886">
          <cell r="B886">
            <v>0</v>
          </cell>
        </row>
        <row r="887">
          <cell r="B887">
            <v>0</v>
          </cell>
        </row>
        <row r="888">
          <cell r="B888">
            <v>0</v>
          </cell>
        </row>
        <row r="889">
          <cell r="B889">
            <v>0</v>
          </cell>
        </row>
        <row r="890">
          <cell r="B890">
            <v>0</v>
          </cell>
        </row>
        <row r="891">
          <cell r="B891">
            <v>0</v>
          </cell>
        </row>
        <row r="892">
          <cell r="B892">
            <v>0</v>
          </cell>
        </row>
        <row r="893">
          <cell r="B893">
            <v>0</v>
          </cell>
        </row>
        <row r="894">
          <cell r="B894">
            <v>0</v>
          </cell>
        </row>
        <row r="895">
          <cell r="B895">
            <v>0</v>
          </cell>
        </row>
        <row r="896">
          <cell r="B896">
            <v>0</v>
          </cell>
        </row>
        <row r="897">
          <cell r="B897">
            <v>0</v>
          </cell>
        </row>
        <row r="898">
          <cell r="B898">
            <v>0</v>
          </cell>
        </row>
        <row r="899">
          <cell r="B899">
            <v>0</v>
          </cell>
        </row>
        <row r="900">
          <cell r="B900">
            <v>0</v>
          </cell>
        </row>
        <row r="901">
          <cell r="B901">
            <v>0</v>
          </cell>
        </row>
        <row r="902">
          <cell r="B902">
            <v>0</v>
          </cell>
        </row>
        <row r="903">
          <cell r="B903">
            <v>0</v>
          </cell>
        </row>
        <row r="904">
          <cell r="B904">
            <v>0</v>
          </cell>
        </row>
        <row r="905">
          <cell r="B905">
            <v>0</v>
          </cell>
        </row>
        <row r="906">
          <cell r="B906">
            <v>0</v>
          </cell>
        </row>
        <row r="907">
          <cell r="B907">
            <v>0</v>
          </cell>
        </row>
        <row r="908">
          <cell r="B908">
            <v>0</v>
          </cell>
        </row>
        <row r="909">
          <cell r="B909">
            <v>0</v>
          </cell>
        </row>
        <row r="910">
          <cell r="B910">
            <v>0</v>
          </cell>
        </row>
        <row r="911">
          <cell r="B911">
            <v>0</v>
          </cell>
        </row>
        <row r="912">
          <cell r="B912">
            <v>0</v>
          </cell>
        </row>
        <row r="913">
          <cell r="B913">
            <v>0</v>
          </cell>
        </row>
        <row r="914">
          <cell r="B914">
            <v>0</v>
          </cell>
        </row>
        <row r="915">
          <cell r="B915">
            <v>0</v>
          </cell>
        </row>
        <row r="916">
          <cell r="B916">
            <v>0</v>
          </cell>
        </row>
        <row r="917">
          <cell r="B917">
            <v>0</v>
          </cell>
        </row>
        <row r="918">
          <cell r="B918">
            <v>0</v>
          </cell>
        </row>
        <row r="919">
          <cell r="B919">
            <v>0</v>
          </cell>
        </row>
        <row r="920">
          <cell r="B920">
            <v>0</v>
          </cell>
        </row>
        <row r="921">
          <cell r="B921">
            <v>0</v>
          </cell>
        </row>
        <row r="922">
          <cell r="B922">
            <v>0</v>
          </cell>
        </row>
        <row r="923">
          <cell r="B923">
            <v>0</v>
          </cell>
        </row>
        <row r="924">
          <cell r="B924">
            <v>0</v>
          </cell>
        </row>
        <row r="925">
          <cell r="B925">
            <v>0</v>
          </cell>
        </row>
        <row r="926">
          <cell r="B926">
            <v>0</v>
          </cell>
        </row>
        <row r="927">
          <cell r="B927">
            <v>0</v>
          </cell>
        </row>
        <row r="928">
          <cell r="B928">
            <v>0</v>
          </cell>
        </row>
        <row r="929">
          <cell r="B929">
            <v>0</v>
          </cell>
        </row>
        <row r="930">
          <cell r="B930">
            <v>0</v>
          </cell>
        </row>
        <row r="931">
          <cell r="B931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3">
          <cell r="A3" t="str">
            <v>NPK</v>
          </cell>
          <cell r="B3" t="str">
            <v xml:space="preserve">NAMA </v>
          </cell>
          <cell r="C3" t="str">
            <v>FUNGSI</v>
          </cell>
        </row>
        <row r="4">
          <cell r="A4" t="str">
            <v>A2873</v>
          </cell>
          <cell r="B4" t="str">
            <v>CHRISTOPHER LAKSAWANA</v>
          </cell>
          <cell r="C4" t="str">
            <v>AAV</v>
          </cell>
          <cell r="D4" t="str">
            <v>EKSKLUSIF</v>
          </cell>
        </row>
        <row r="5">
          <cell r="A5" t="str">
            <v>A0349</v>
          </cell>
          <cell r="B5" t="str">
            <v>Ahmad Zainal Arifin</v>
          </cell>
          <cell r="C5" t="str">
            <v>AAV</v>
          </cell>
          <cell r="D5" t="str">
            <v>EKSKLUSIF</v>
          </cell>
        </row>
        <row r="6">
          <cell r="A6" t="str">
            <v>A2066</v>
          </cell>
          <cell r="B6" t="str">
            <v>YULIANT EFENDI</v>
          </cell>
          <cell r="C6" t="str">
            <v>AAV</v>
          </cell>
          <cell r="D6" t="str">
            <v>EKSKLUSIF</v>
          </cell>
        </row>
        <row r="7">
          <cell r="A7" t="str">
            <v>A0043</v>
          </cell>
          <cell r="B7" t="str">
            <v>RIYANI AFRASARI</v>
          </cell>
          <cell r="C7" t="str">
            <v>AAV</v>
          </cell>
          <cell r="D7" t="str">
            <v>EKSKLUSIF</v>
          </cell>
        </row>
        <row r="8">
          <cell r="A8" t="str">
            <v>A3145</v>
          </cell>
          <cell r="B8" t="str">
            <v>SRI GUSMIARTI</v>
          </cell>
          <cell r="C8" t="str">
            <v xml:space="preserve">GC </v>
          </cell>
          <cell r="D8" t="str">
            <v>EKSKLUSIF</v>
          </cell>
        </row>
        <row r="9">
          <cell r="A9" t="str">
            <v>A3584</v>
          </cell>
          <cell r="B9" t="str">
            <v>RINDIE PUTRI</v>
          </cell>
          <cell r="C9" t="str">
            <v xml:space="preserve">GC </v>
          </cell>
          <cell r="D9" t="str">
            <v>EKSKLUSIF</v>
          </cell>
        </row>
        <row r="10">
          <cell r="A10" t="str">
            <v>A2383</v>
          </cell>
          <cell r="B10" t="str">
            <v>RYSMA NUR HIDAYAH</v>
          </cell>
          <cell r="C10" t="str">
            <v>SBPV</v>
          </cell>
          <cell r="D10" t="str">
            <v>EKSKLUSIF</v>
          </cell>
        </row>
        <row r="11">
          <cell r="A11" t="str">
            <v>A1971</v>
          </cell>
          <cell r="B11" t="str">
            <v>ANGGI BEATRIKS SERAN</v>
          </cell>
          <cell r="C11" t="str">
            <v>SBPV</v>
          </cell>
          <cell r="D11" t="str">
            <v>EKSKLUSIF</v>
          </cell>
        </row>
        <row r="12">
          <cell r="A12" t="str">
            <v>A2001</v>
          </cell>
          <cell r="B12" t="str">
            <v>M MENTARI GAGAT RAYNA</v>
          </cell>
          <cell r="C12" t="str">
            <v>SBPV</v>
          </cell>
          <cell r="D12" t="str">
            <v>EKSKLUSIF</v>
          </cell>
        </row>
        <row r="13">
          <cell r="A13">
            <v>92175</v>
          </cell>
          <cell r="B13" t="str">
            <v>AYU AMELIA RESANTI</v>
          </cell>
          <cell r="C13" t="str">
            <v>SBPV</v>
          </cell>
          <cell r="D13" t="str">
            <v>EKSKLUSIF</v>
          </cell>
        </row>
        <row r="14">
          <cell r="A14" t="str">
            <v>A2924</v>
          </cell>
          <cell r="B14" t="str">
            <v>IRA EVELIN SIHALOHO</v>
          </cell>
          <cell r="C14" t="str">
            <v>SBPV</v>
          </cell>
          <cell r="D14" t="str">
            <v>EKSKLUSIF</v>
          </cell>
        </row>
        <row r="15">
          <cell r="A15" t="str">
            <v>A3436</v>
          </cell>
          <cell r="B15" t="str">
            <v>Anita Kristiana Laia</v>
          </cell>
          <cell r="C15" t="str">
            <v>RVO</v>
          </cell>
          <cell r="D15" t="str">
            <v>EKSKLUSIF</v>
          </cell>
        </row>
        <row r="16">
          <cell r="A16" t="str">
            <v>A0155</v>
          </cell>
          <cell r="B16" t="str">
            <v>Raymon Piterz Godlieb</v>
          </cell>
          <cell r="C16" t="str">
            <v>RVO</v>
          </cell>
          <cell r="D16" t="str">
            <v>EKSKLUSIF</v>
          </cell>
        </row>
        <row r="17">
          <cell r="A17" t="str">
            <v>A2217</v>
          </cell>
          <cell r="B17" t="str">
            <v>SINATRIYANDIKA HARUMAWAN</v>
          </cell>
          <cell r="C17" t="str">
            <v>RVO</v>
          </cell>
          <cell r="D17" t="str">
            <v>EKSKLUSIF</v>
          </cell>
        </row>
        <row r="18">
          <cell r="A18">
            <v>90453</v>
          </cell>
          <cell r="B18" t="str">
            <v>SHERLY HAPSARI</v>
          </cell>
          <cell r="C18" t="str">
            <v>RVO</v>
          </cell>
          <cell r="D18" t="str">
            <v>EKSKLUSIF</v>
          </cell>
        </row>
        <row r="19">
          <cell r="A19" t="str">
            <v>A2400</v>
          </cell>
          <cell r="B19" t="str">
            <v>NOVARENDA PAWESTRI</v>
          </cell>
          <cell r="C19" t="str">
            <v>RVO</v>
          </cell>
          <cell r="D19" t="str">
            <v>EKSKLUSIF</v>
          </cell>
        </row>
        <row r="20">
          <cell r="A20" t="str">
            <v>A3576</v>
          </cell>
          <cell r="B20" t="str">
            <v>YONATAN ADI SAPUTRO</v>
          </cell>
          <cell r="C20" t="str">
            <v>RVO</v>
          </cell>
          <cell r="D20" t="str">
            <v>EKSKLUSIF</v>
          </cell>
        </row>
        <row r="21">
          <cell r="A21">
            <v>92694</v>
          </cell>
          <cell r="B21" t="str">
            <v>WAHYU NUGROHO</v>
          </cell>
          <cell r="C21" t="str">
            <v>RVO</v>
          </cell>
          <cell r="D21" t="str">
            <v>EKSKLUSIF</v>
          </cell>
        </row>
        <row r="22">
          <cell r="A22" t="str">
            <v>A3442</v>
          </cell>
          <cell r="B22" t="str">
            <v>IRFAN FEBRIYANTORO</v>
          </cell>
          <cell r="C22" t="str">
            <v>RVO</v>
          </cell>
          <cell r="D22" t="str">
            <v>EKSKLUSIF</v>
          </cell>
        </row>
        <row r="23">
          <cell r="A23">
            <v>90613</v>
          </cell>
          <cell r="B23" t="str">
            <v>JOHAN AIMAN RAIS</v>
          </cell>
          <cell r="C23" t="str">
            <v>RVO</v>
          </cell>
          <cell r="D23" t="str">
            <v>EKSKLUSIF</v>
          </cell>
        </row>
        <row r="24">
          <cell r="A24" t="str">
            <v>A2396</v>
          </cell>
          <cell r="B24" t="str">
            <v>ILYAS FAHMI</v>
          </cell>
          <cell r="C24" t="str">
            <v>RVO</v>
          </cell>
          <cell r="D24" t="str">
            <v>EKSKLUSIF</v>
          </cell>
        </row>
        <row r="25">
          <cell r="A25">
            <v>92006</v>
          </cell>
          <cell r="B25" t="str">
            <v>Tara Adining Widiyawati</v>
          </cell>
          <cell r="C25" t="str">
            <v>RVO</v>
          </cell>
          <cell r="D25" t="str">
            <v>EKSKLUSIF</v>
          </cell>
        </row>
        <row r="26">
          <cell r="A26">
            <v>92199</v>
          </cell>
          <cell r="B26" t="str">
            <v>Astri Kurniawati</v>
          </cell>
          <cell r="C26" t="str">
            <v>RVO</v>
          </cell>
          <cell r="D26" t="str">
            <v>EKSKLUSIF</v>
          </cell>
        </row>
        <row r="27">
          <cell r="A27">
            <v>92709</v>
          </cell>
          <cell r="B27" t="str">
            <v>Dany Ahmad Farrastio</v>
          </cell>
          <cell r="C27" t="str">
            <v>RVO</v>
          </cell>
          <cell r="D27" t="str">
            <v>EKSKLUSIF</v>
          </cell>
        </row>
        <row r="28">
          <cell r="A28">
            <v>92740</v>
          </cell>
          <cell r="B28" t="str">
            <v>FANI RAHMAWATI</v>
          </cell>
          <cell r="C28" t="str">
            <v>RVO</v>
          </cell>
          <cell r="D28" t="str">
            <v>EKSKLUSIF</v>
          </cell>
        </row>
        <row r="29">
          <cell r="A29" t="str">
            <v>A0072</v>
          </cell>
          <cell r="B29" t="str">
            <v>RAHMAD DWI ADRIAN</v>
          </cell>
          <cell r="C29" t="str">
            <v>RVO</v>
          </cell>
          <cell r="D29" t="str">
            <v>EKSKLUSIF</v>
          </cell>
        </row>
        <row r="30">
          <cell r="A30" t="str">
            <v>A0137</v>
          </cell>
          <cell r="B30" t="str">
            <v>DHIAN KARUNIA</v>
          </cell>
          <cell r="C30" t="str">
            <v>RVO</v>
          </cell>
          <cell r="D30" t="str">
            <v>EKSKLUSIF</v>
          </cell>
        </row>
        <row r="31">
          <cell r="A31">
            <v>92717</v>
          </cell>
          <cell r="B31" t="str">
            <v>Gresmilen Bilgis</v>
          </cell>
          <cell r="C31" t="str">
            <v>RVO</v>
          </cell>
          <cell r="D31" t="str">
            <v>EKSKLUSIF</v>
          </cell>
        </row>
        <row r="32">
          <cell r="A32">
            <v>92677</v>
          </cell>
          <cell r="B32" t="str">
            <v>Dhiki Satria Septiano</v>
          </cell>
          <cell r="C32" t="str">
            <v>RVO</v>
          </cell>
          <cell r="D32" t="str">
            <v>EKSKLUSIF</v>
          </cell>
        </row>
        <row r="33">
          <cell r="A33">
            <v>92000</v>
          </cell>
          <cell r="B33" t="str">
            <v>Achmad Kurniawan</v>
          </cell>
          <cell r="C33" t="str">
            <v>RVO</v>
          </cell>
          <cell r="D33" t="str">
            <v>EKSKLUSIF</v>
          </cell>
        </row>
        <row r="34">
          <cell r="A34" t="str">
            <v>A0149</v>
          </cell>
          <cell r="B34" t="str">
            <v>EUFRASIA ALMELA VICKY PURNAMA</v>
          </cell>
          <cell r="C34" t="str">
            <v>RVO</v>
          </cell>
          <cell r="D34" t="str">
            <v>EKSKLUSIF</v>
          </cell>
        </row>
        <row r="35">
          <cell r="A35">
            <v>90933</v>
          </cell>
          <cell r="B35" t="str">
            <v>REZA DESTI VAUZIA</v>
          </cell>
          <cell r="C35" t="str">
            <v>RVO</v>
          </cell>
          <cell r="D35" t="str">
            <v>EKSKLUSIF</v>
          </cell>
        </row>
        <row r="36">
          <cell r="A36">
            <v>90363</v>
          </cell>
          <cell r="B36" t="str">
            <v>NURMA HAYU</v>
          </cell>
          <cell r="C36" t="str">
            <v>RVO</v>
          </cell>
          <cell r="D36" t="str">
            <v>EKSKLUSIF</v>
          </cell>
        </row>
        <row r="37">
          <cell r="A37" t="str">
            <v>A1140</v>
          </cell>
          <cell r="B37" t="str">
            <v>NILAWATI LAIA</v>
          </cell>
          <cell r="C37" t="str">
            <v>DELTA</v>
          </cell>
          <cell r="D37" t="str">
            <v>EKSKLUSIF</v>
          </cell>
        </row>
        <row r="38">
          <cell r="A38" t="str">
            <v>A1773</v>
          </cell>
          <cell r="B38" t="str">
            <v>MELINIA WINDY ERLIYA</v>
          </cell>
          <cell r="C38" t="str">
            <v>DELTA</v>
          </cell>
          <cell r="D38" t="str">
            <v>EKSKLUSIF</v>
          </cell>
        </row>
        <row r="39">
          <cell r="A39">
            <v>92622</v>
          </cell>
          <cell r="B39" t="str">
            <v>AYU SUCI NUGROYANTI</v>
          </cell>
          <cell r="C39" t="str">
            <v>DELTA</v>
          </cell>
          <cell r="D39" t="str">
            <v>EKSKLUSIF</v>
          </cell>
        </row>
        <row r="40">
          <cell r="A40" t="str">
            <v>A2504</v>
          </cell>
          <cell r="B40" t="str">
            <v>Rachma Anindita Tasya Dewi</v>
          </cell>
          <cell r="C40" t="str">
            <v>DELTA</v>
          </cell>
          <cell r="D40" t="str">
            <v>EKSKLUSIF</v>
          </cell>
        </row>
        <row r="41">
          <cell r="A41" t="str">
            <v>A2179</v>
          </cell>
          <cell r="B41" t="str">
            <v>Annisa Larasati</v>
          </cell>
          <cell r="C41" t="str">
            <v>DELTA</v>
          </cell>
          <cell r="D41" t="str">
            <v>EKSKLUSIF</v>
          </cell>
        </row>
        <row r="42">
          <cell r="A42" t="str">
            <v>A2953</v>
          </cell>
          <cell r="B42" t="str">
            <v>NAWANGWULAN DESIKUMALA</v>
          </cell>
          <cell r="C42" t="str">
            <v>DELTA</v>
          </cell>
          <cell r="D42" t="str">
            <v>EKSKLUSIF</v>
          </cell>
        </row>
        <row r="43">
          <cell r="A43" t="str">
            <v>A1096</v>
          </cell>
          <cell r="B43" t="str">
            <v>Nila Haqiqi</v>
          </cell>
          <cell r="C43" t="str">
            <v>DELTA</v>
          </cell>
          <cell r="D43" t="str">
            <v>EKSKLUSIF</v>
          </cell>
        </row>
        <row r="44">
          <cell r="A44" t="str">
            <v>A0874</v>
          </cell>
          <cell r="B44" t="str">
            <v>GALIH MARDIANA</v>
          </cell>
          <cell r="C44" t="str">
            <v>DELTA</v>
          </cell>
          <cell r="D44" t="str">
            <v>EKSKLUSIF</v>
          </cell>
        </row>
        <row r="45">
          <cell r="A45" t="str">
            <v>A1357</v>
          </cell>
          <cell r="B45" t="str">
            <v>AGNES TRINITAS</v>
          </cell>
          <cell r="C45" t="str">
            <v>DELTA</v>
          </cell>
          <cell r="D45" t="str">
            <v>EKSKLUSIF</v>
          </cell>
        </row>
        <row r="46">
          <cell r="A46" t="str">
            <v>A3404</v>
          </cell>
          <cell r="B46" t="str">
            <v>AYU SUKMAWATI</v>
          </cell>
          <cell r="C46" t="str">
            <v>DELTA</v>
          </cell>
          <cell r="D46" t="str">
            <v>EKSKLUSIF</v>
          </cell>
        </row>
        <row r="47">
          <cell r="A47" t="str">
            <v>A1219</v>
          </cell>
          <cell r="B47" t="str">
            <v>AZIZ ALFISYAHRI</v>
          </cell>
          <cell r="C47" t="str">
            <v>DELTA</v>
          </cell>
          <cell r="D47" t="str">
            <v>EKSKLUSIF</v>
          </cell>
        </row>
        <row r="48">
          <cell r="A48" t="str">
            <v>A2322</v>
          </cell>
          <cell r="B48" t="str">
            <v>ROSI NOVI LUTFITASARI</v>
          </cell>
          <cell r="C48" t="str">
            <v>DELTA</v>
          </cell>
          <cell r="D48" t="str">
            <v>EKSKLUSIF</v>
          </cell>
        </row>
        <row r="49">
          <cell r="A49" t="str">
            <v>A3029</v>
          </cell>
          <cell r="B49" t="str">
            <v>EMMIA CLARITA BR TARIGAN</v>
          </cell>
          <cell r="C49" t="str">
            <v>DELTA</v>
          </cell>
          <cell r="D49" t="str">
            <v>EKSKLUSIF</v>
          </cell>
        </row>
        <row r="50">
          <cell r="A50" t="str">
            <v>A2925</v>
          </cell>
          <cell r="B50" t="str">
            <v>MARIA GORETTI DIAN PH</v>
          </cell>
          <cell r="C50" t="str">
            <v>DELTA</v>
          </cell>
          <cell r="D50" t="str">
            <v>EKSKLUSIF</v>
          </cell>
        </row>
        <row r="51">
          <cell r="A51" t="str">
            <v>A1342</v>
          </cell>
          <cell r="B51" t="str">
            <v>Enzellena</v>
          </cell>
          <cell r="C51" t="str">
            <v>DELTA</v>
          </cell>
          <cell r="D51" t="str">
            <v>EKSKLUSIF</v>
          </cell>
        </row>
        <row r="52">
          <cell r="A52" t="str">
            <v>A1854</v>
          </cell>
          <cell r="B52" t="str">
            <v>SALSABILA OKTAVIMADIANA</v>
          </cell>
          <cell r="C52" t="str">
            <v>DELTA</v>
          </cell>
          <cell r="D52" t="str">
            <v>EKSKLUSIF</v>
          </cell>
        </row>
        <row r="53">
          <cell r="A53" t="str">
            <v>A0192</v>
          </cell>
          <cell r="B53" t="str">
            <v>AGNES HAUDI SURYANTIKA</v>
          </cell>
          <cell r="C53" t="str">
            <v>DELTA</v>
          </cell>
          <cell r="D53" t="str">
            <v>EKSKLUSIF</v>
          </cell>
        </row>
        <row r="54">
          <cell r="A54" t="str">
            <v>A1651</v>
          </cell>
          <cell r="B54" t="str">
            <v>NUR ROMADANI FITRIANA</v>
          </cell>
          <cell r="C54" t="str">
            <v>DELTA</v>
          </cell>
          <cell r="D54" t="str">
            <v>EKSKLUSIF</v>
          </cell>
        </row>
        <row r="55">
          <cell r="A55" t="str">
            <v>A0879</v>
          </cell>
          <cell r="B55" t="str">
            <v>RISZA ANGGUN DWI ARIANANDA</v>
          </cell>
          <cell r="C55" t="str">
            <v>DELTA</v>
          </cell>
          <cell r="D55" t="str">
            <v>EKSKLUSIF</v>
          </cell>
        </row>
        <row r="56">
          <cell r="A56" t="str">
            <v>A1703</v>
          </cell>
          <cell r="B56" t="str">
            <v>Arando Pastiyandra</v>
          </cell>
          <cell r="C56" t="str">
            <v>DELTA</v>
          </cell>
          <cell r="D56" t="str">
            <v>EKSKLUSIF</v>
          </cell>
        </row>
        <row r="57">
          <cell r="A57" t="str">
            <v>A1215</v>
          </cell>
          <cell r="B57" t="str">
            <v>Esterina Kusumawati</v>
          </cell>
          <cell r="C57" t="str">
            <v>DELTA</v>
          </cell>
          <cell r="D57" t="str">
            <v>EKSKLUSIF</v>
          </cell>
        </row>
        <row r="58">
          <cell r="A58" t="str">
            <v>A0770</v>
          </cell>
          <cell r="B58" t="str">
            <v>Elze zulfanny</v>
          </cell>
          <cell r="C58" t="str">
            <v>DELTA</v>
          </cell>
          <cell r="D58" t="str">
            <v>EKSKLUSIF</v>
          </cell>
        </row>
        <row r="59">
          <cell r="A59" t="str">
            <v>A0821</v>
          </cell>
          <cell r="B59" t="str">
            <v>INDRIANA DAMAYANTI</v>
          </cell>
          <cell r="C59" t="str">
            <v>DELTA</v>
          </cell>
          <cell r="D59" t="str">
            <v>EKSKLUSIF</v>
          </cell>
        </row>
        <row r="60">
          <cell r="A60" t="str">
            <v>A1721</v>
          </cell>
          <cell r="B60" t="str">
            <v>MEGA AUDILIA</v>
          </cell>
          <cell r="C60" t="str">
            <v>DELTA</v>
          </cell>
          <cell r="D60" t="str">
            <v>EKSKLUSIF</v>
          </cell>
        </row>
        <row r="61">
          <cell r="A61" t="str">
            <v>A2462</v>
          </cell>
          <cell r="B61" t="str">
            <v>KHUSNUL KHATIMAH</v>
          </cell>
          <cell r="C61" t="str">
            <v>DELTA</v>
          </cell>
          <cell r="D61" t="str">
            <v>EKSKLUSIF</v>
          </cell>
        </row>
        <row r="62">
          <cell r="A62" t="str">
            <v>A1340</v>
          </cell>
          <cell r="B62" t="str">
            <v>RIEVALDO YOGA PRATAMA</v>
          </cell>
          <cell r="C62" t="str">
            <v>DELTA</v>
          </cell>
          <cell r="D62" t="str">
            <v>EKSKLUSIF</v>
          </cell>
        </row>
        <row r="63">
          <cell r="A63" t="str">
            <v>A2507</v>
          </cell>
          <cell r="B63" t="str">
            <v>ARJUNA TANJUNG</v>
          </cell>
          <cell r="C63" t="str">
            <v>DELTA</v>
          </cell>
          <cell r="D63" t="str">
            <v>EKSKLUSIF</v>
          </cell>
        </row>
        <row r="64">
          <cell r="A64" t="str">
            <v>A1766</v>
          </cell>
          <cell r="B64" t="str">
            <v>ELIZABETH PARAMITA</v>
          </cell>
          <cell r="C64" t="str">
            <v>DELTA</v>
          </cell>
          <cell r="D64" t="str">
            <v>EKSKLUSIF</v>
          </cell>
        </row>
        <row r="65">
          <cell r="A65" t="str">
            <v>A1209</v>
          </cell>
          <cell r="B65" t="str">
            <v>ZULFI FAQIH NURUL JANNAH</v>
          </cell>
          <cell r="C65" t="str">
            <v>DELTA</v>
          </cell>
          <cell r="D65" t="str">
            <v>EKSKLUSIF</v>
          </cell>
        </row>
        <row r="66">
          <cell r="A66">
            <v>90592</v>
          </cell>
          <cell r="B66" t="str">
            <v>DINI SHINTIA PUTRI</v>
          </cell>
          <cell r="C66" t="str">
            <v>DELTA</v>
          </cell>
          <cell r="D66" t="str">
            <v>EKSKLUSIF</v>
          </cell>
        </row>
        <row r="67">
          <cell r="A67" t="str">
            <v>A1556</v>
          </cell>
          <cell r="B67" t="str">
            <v>ISMA AUDIA PRABAWATI</v>
          </cell>
          <cell r="C67" t="str">
            <v>DELTA</v>
          </cell>
          <cell r="D67" t="str">
            <v>EKSKLUSIF</v>
          </cell>
        </row>
        <row r="68">
          <cell r="A68" t="str">
            <v>A1105</v>
          </cell>
          <cell r="B68" t="str">
            <v>ANISA NUR AINI</v>
          </cell>
          <cell r="C68" t="str">
            <v>DELTA</v>
          </cell>
          <cell r="D68" t="str">
            <v>EKSKLUSIF</v>
          </cell>
        </row>
        <row r="69">
          <cell r="A69">
            <v>92287</v>
          </cell>
          <cell r="B69" t="str">
            <v>ALYDA RIZKA ISLAMIYATI</v>
          </cell>
          <cell r="C69" t="str">
            <v>DELTA</v>
          </cell>
          <cell r="D69" t="str">
            <v>EKSKLUSIF</v>
          </cell>
        </row>
        <row r="70">
          <cell r="A70" t="str">
            <v>A0977</v>
          </cell>
          <cell r="B70" t="str">
            <v>RIA ARIANTI</v>
          </cell>
          <cell r="C70" t="str">
            <v>DELTA</v>
          </cell>
          <cell r="D70" t="str">
            <v>EKSKLUSIF</v>
          </cell>
        </row>
        <row r="71">
          <cell r="A71" t="str">
            <v>A2320</v>
          </cell>
          <cell r="B71" t="str">
            <v>MARGARITA POLLY</v>
          </cell>
          <cell r="C71" t="str">
            <v>DELTA</v>
          </cell>
          <cell r="D71" t="str">
            <v>EKSKLUSIF</v>
          </cell>
        </row>
        <row r="72">
          <cell r="A72">
            <v>92504</v>
          </cell>
          <cell r="B72" t="str">
            <v>ARTIKA YUNITA ARDI</v>
          </cell>
          <cell r="C72" t="str">
            <v>DELTA</v>
          </cell>
          <cell r="D72" t="str">
            <v>EKSKLUSIF</v>
          </cell>
        </row>
        <row r="73">
          <cell r="A73" t="str">
            <v>A1841</v>
          </cell>
          <cell r="B73" t="str">
            <v>ADHINA PUTRIANA KUSUMAWATI</v>
          </cell>
          <cell r="C73" t="str">
            <v>DELTA</v>
          </cell>
          <cell r="D73" t="str">
            <v>EKSKLUSIF</v>
          </cell>
        </row>
        <row r="74">
          <cell r="A74" t="str">
            <v>A0818</v>
          </cell>
          <cell r="B74" t="str">
            <v>AGIS DWI RAHMAWATI</v>
          </cell>
          <cell r="C74" t="str">
            <v>DELTA</v>
          </cell>
          <cell r="D74" t="str">
            <v>EKSKLUSIF</v>
          </cell>
        </row>
        <row r="75">
          <cell r="A75" t="str">
            <v>A0378</v>
          </cell>
          <cell r="B75" t="str">
            <v>WIRANTI PUTRI</v>
          </cell>
          <cell r="C75" t="str">
            <v>DELTA</v>
          </cell>
          <cell r="D75" t="str">
            <v>EKSKLUSIF</v>
          </cell>
        </row>
        <row r="76">
          <cell r="A76" t="str">
            <v>A3321</v>
          </cell>
          <cell r="B76" t="str">
            <v>DESTI RAHMAWATI</v>
          </cell>
          <cell r="C76" t="str">
            <v>DELTA</v>
          </cell>
          <cell r="D76" t="str">
            <v>EKSKLUSIF</v>
          </cell>
        </row>
        <row r="77">
          <cell r="A77">
            <v>92731</v>
          </cell>
          <cell r="B77" t="str">
            <v>NETI SETIYOWATI</v>
          </cell>
          <cell r="C77" t="str">
            <v>DELTA</v>
          </cell>
          <cell r="D77" t="str">
            <v>EKSKLUSIF</v>
          </cell>
        </row>
        <row r="78">
          <cell r="A78" t="str">
            <v>A3406</v>
          </cell>
          <cell r="B78" t="str">
            <v>SEPTI MUNTHE</v>
          </cell>
          <cell r="C78" t="str">
            <v>DELTA</v>
          </cell>
          <cell r="D78" t="str">
            <v>EKSKLUSIF</v>
          </cell>
        </row>
        <row r="79">
          <cell r="A79" t="str">
            <v>A2886</v>
          </cell>
          <cell r="B79" t="str">
            <v>ASA HIRASNA SEPTIANI</v>
          </cell>
          <cell r="C79" t="str">
            <v>DELTA</v>
          </cell>
          <cell r="D79" t="str">
            <v>EKSKLUSIF</v>
          </cell>
        </row>
        <row r="80">
          <cell r="A80" t="str">
            <v>A0225</v>
          </cell>
          <cell r="B80" t="str">
            <v>RIZAL SAPUTRA</v>
          </cell>
          <cell r="C80" t="str">
            <v>DELTA</v>
          </cell>
          <cell r="D80" t="str">
            <v>EKSKLUSIF</v>
          </cell>
        </row>
        <row r="81">
          <cell r="A81" t="str">
            <v>A1276</v>
          </cell>
          <cell r="B81" t="str">
            <v>SINDI ARLINDA DEWI</v>
          </cell>
          <cell r="C81" t="str">
            <v>DELTA</v>
          </cell>
          <cell r="D81" t="str">
            <v>EKSKLUSIF</v>
          </cell>
        </row>
        <row r="82">
          <cell r="A82" t="str">
            <v>A0453</v>
          </cell>
          <cell r="B82" t="str">
            <v>Anisa Sheyla</v>
          </cell>
          <cell r="C82" t="str">
            <v>DELTA</v>
          </cell>
          <cell r="D82" t="str">
            <v>EKSKLUSIF</v>
          </cell>
        </row>
        <row r="83">
          <cell r="A83" t="str">
            <v>A1954</v>
          </cell>
          <cell r="B83" t="str">
            <v>Jelita Ayunda</v>
          </cell>
          <cell r="C83" t="str">
            <v>DELTA</v>
          </cell>
          <cell r="D83" t="str">
            <v>EKSKLUSIF</v>
          </cell>
        </row>
        <row r="84">
          <cell r="A84" t="str">
            <v>A3194</v>
          </cell>
          <cell r="B84" t="str">
            <v>Lintang putri maharani</v>
          </cell>
          <cell r="C84" t="str">
            <v>DELTA</v>
          </cell>
          <cell r="D84" t="str">
            <v>EKSKLUSIF</v>
          </cell>
        </row>
        <row r="85">
          <cell r="A85" t="str">
            <v>A3259</v>
          </cell>
          <cell r="B85" t="str">
            <v>⁠Albertus cristian Ade darmawan</v>
          </cell>
          <cell r="C85" t="str">
            <v>DELTA</v>
          </cell>
          <cell r="D85" t="str">
            <v>EKSKLUSIF</v>
          </cell>
        </row>
        <row r="86">
          <cell r="A86" t="str">
            <v>A2255</v>
          </cell>
          <cell r="B86" t="str">
            <v>⁠Eli Santi Sitohang</v>
          </cell>
          <cell r="C86" t="str">
            <v>DELTA</v>
          </cell>
          <cell r="D86" t="str">
            <v>EKSKLUSIF</v>
          </cell>
        </row>
        <row r="87">
          <cell r="A87">
            <v>90638</v>
          </cell>
          <cell r="B87" t="str">
            <v>ZEFANYA NOVITA WIBISONO</v>
          </cell>
          <cell r="C87" t="str">
            <v>DELTA</v>
          </cell>
          <cell r="D87" t="str">
            <v>EKSKLUSIF</v>
          </cell>
        </row>
        <row r="88">
          <cell r="A88" t="str">
            <v>A3752</v>
          </cell>
          <cell r="B88" t="str">
            <v>MEYTA ANDIRA</v>
          </cell>
          <cell r="C88" t="str">
            <v>DELTA</v>
          </cell>
          <cell r="D88" t="str">
            <v>EKSKLUSIF</v>
          </cell>
        </row>
        <row r="89">
          <cell r="A89" t="str">
            <v>A3456</v>
          </cell>
          <cell r="B89" t="str">
            <v>FEBY KURNIA</v>
          </cell>
          <cell r="C89" t="str">
            <v>DELTA</v>
          </cell>
          <cell r="D89" t="str">
            <v>EKSKLUSIF</v>
          </cell>
        </row>
        <row r="90">
          <cell r="A90" t="str">
            <v>A0830</v>
          </cell>
          <cell r="B90" t="str">
            <v>MARGI SURYANI</v>
          </cell>
          <cell r="C90" t="str">
            <v>DELTA</v>
          </cell>
          <cell r="D90" t="str">
            <v>EKSKLUSIF</v>
          </cell>
        </row>
        <row r="91">
          <cell r="A91" t="str">
            <v>A0999</v>
          </cell>
          <cell r="B91" t="str">
            <v>MUH LUTHFI AZIZ</v>
          </cell>
          <cell r="C91" t="str">
            <v>DELTA</v>
          </cell>
          <cell r="D91" t="str">
            <v>EKSKLUSIF</v>
          </cell>
        </row>
        <row r="92">
          <cell r="A92" t="str">
            <v>A1329</v>
          </cell>
          <cell r="B92" t="str">
            <v>NABILA HASNA</v>
          </cell>
          <cell r="C92" t="str">
            <v>DELTA</v>
          </cell>
          <cell r="D92" t="str">
            <v>EKSKLUSIF</v>
          </cell>
        </row>
        <row r="93">
          <cell r="A93" t="str">
            <v>A3172</v>
          </cell>
          <cell r="B93" t="str">
            <v>NURYANI NURYANI</v>
          </cell>
          <cell r="C93" t="str">
            <v>DELTA</v>
          </cell>
          <cell r="D93" t="str">
            <v>EKSKLUSIF</v>
          </cell>
        </row>
        <row r="94">
          <cell r="A94" t="str">
            <v>A3474</v>
          </cell>
          <cell r="B94" t="str">
            <v>IRMA TRIANA</v>
          </cell>
          <cell r="C94" t="str">
            <v>DELTA</v>
          </cell>
          <cell r="D94" t="str">
            <v>EKSKLUSIF</v>
          </cell>
        </row>
        <row r="95">
          <cell r="A95" t="str">
            <v>A0837</v>
          </cell>
          <cell r="B95" t="str">
            <v>ANNISA GALUH TRIUTAMI</v>
          </cell>
          <cell r="C95" t="str">
            <v>DELTA</v>
          </cell>
          <cell r="D95" t="str">
            <v>EKSKLUSIF</v>
          </cell>
        </row>
        <row r="96">
          <cell r="A96" t="str">
            <v>A1842</v>
          </cell>
          <cell r="B96" t="str">
            <v>KELPIN PONTIUS ARON</v>
          </cell>
          <cell r="C96" t="str">
            <v>DELTA</v>
          </cell>
          <cell r="D96" t="str">
            <v>EKSKLUSIF</v>
          </cell>
        </row>
        <row r="97">
          <cell r="A97" t="str">
            <v>A1087</v>
          </cell>
          <cell r="B97" t="str">
            <v>LISBETH SURYANINGTYAS</v>
          </cell>
          <cell r="C97" t="str">
            <v>DELTA</v>
          </cell>
          <cell r="D97" t="str">
            <v>EKSKLUSIF</v>
          </cell>
        </row>
        <row r="98">
          <cell r="A98" t="str">
            <v>A3754</v>
          </cell>
          <cell r="B98" t="str">
            <v>FIRDA NUR KARIMA</v>
          </cell>
          <cell r="C98" t="str">
            <v>DELTA</v>
          </cell>
          <cell r="D98" t="str">
            <v>EKSKLUSIF</v>
          </cell>
        </row>
        <row r="99">
          <cell r="A99" t="str">
            <v>A3599</v>
          </cell>
          <cell r="B99" t="str">
            <v>HANIFAH RAHMADHANI</v>
          </cell>
          <cell r="C99" t="str">
            <v>DELTA</v>
          </cell>
          <cell r="D99" t="str">
            <v>EKSKLUSIF</v>
          </cell>
        </row>
        <row r="100">
          <cell r="A100">
            <v>90694</v>
          </cell>
          <cell r="B100" t="str">
            <v>DAUS DEVYANA</v>
          </cell>
          <cell r="C100" t="str">
            <v>DELTA</v>
          </cell>
          <cell r="D100" t="str">
            <v>EKSKLUSIF</v>
          </cell>
        </row>
        <row r="101">
          <cell r="A101" t="str">
            <v>A0969</v>
          </cell>
          <cell r="B101" t="str">
            <v>ANGGI DWI</v>
          </cell>
          <cell r="C101" t="str">
            <v>DELTA</v>
          </cell>
          <cell r="D101" t="str">
            <v>EKSKLUSIF</v>
          </cell>
        </row>
        <row r="102">
          <cell r="A102" t="str">
            <v>A1776</v>
          </cell>
          <cell r="B102" t="str">
            <v>ANNISA SEPTIANA</v>
          </cell>
          <cell r="C102" t="str">
            <v>DELTA</v>
          </cell>
          <cell r="D102" t="str">
            <v>EKSKLUSIF</v>
          </cell>
        </row>
        <row r="103">
          <cell r="A103" t="str">
            <v>A1465</v>
          </cell>
          <cell r="B103" t="str">
            <v>ALDY CIPTHA PRIMANDA</v>
          </cell>
          <cell r="C103" t="str">
            <v>DELTA</v>
          </cell>
          <cell r="D103" t="str">
            <v>EKSKLUSIF</v>
          </cell>
        </row>
        <row r="104">
          <cell r="A104" t="str">
            <v>A1958</v>
          </cell>
          <cell r="B104" t="str">
            <v>ITSNI FATIHATUN NISA</v>
          </cell>
          <cell r="C104" t="str">
            <v>DELTA</v>
          </cell>
          <cell r="D104" t="str">
            <v>EKSKLUSIF</v>
          </cell>
        </row>
        <row r="105">
          <cell r="A105" t="str">
            <v>A1728</v>
          </cell>
          <cell r="B105" t="str">
            <v>AYU TRI LESTARI</v>
          </cell>
          <cell r="C105" t="str">
            <v>DELTA</v>
          </cell>
          <cell r="D105" t="str">
            <v>EKSKLUSIF</v>
          </cell>
        </row>
        <row r="106">
          <cell r="A106" t="str">
            <v>A0725</v>
          </cell>
          <cell r="B106" t="str">
            <v>NUR KHASANAH</v>
          </cell>
          <cell r="C106" t="str">
            <v>DELTA</v>
          </cell>
          <cell r="D106" t="str">
            <v>EKSKLUSIF</v>
          </cell>
        </row>
        <row r="107">
          <cell r="A107" t="str">
            <v>A1349</v>
          </cell>
          <cell r="B107" t="str">
            <v>TISA NORSARI</v>
          </cell>
          <cell r="C107" t="str">
            <v>DELTA</v>
          </cell>
          <cell r="D107" t="str">
            <v>EKSKLUSIF</v>
          </cell>
        </row>
        <row r="108">
          <cell r="A108">
            <v>92539</v>
          </cell>
          <cell r="B108" t="str">
            <v>ROSIANA</v>
          </cell>
          <cell r="C108" t="str">
            <v>DELTA</v>
          </cell>
          <cell r="D108" t="str">
            <v>EKSKLUSIF</v>
          </cell>
        </row>
        <row r="109">
          <cell r="A109" t="str">
            <v>A0261</v>
          </cell>
          <cell r="B109" t="str">
            <v>CHELSI ANANDA PUTRI</v>
          </cell>
          <cell r="C109" t="str">
            <v>DELTA</v>
          </cell>
          <cell r="D109" t="str">
            <v>EKSKLUSIF</v>
          </cell>
        </row>
        <row r="110">
          <cell r="A110">
            <v>90355</v>
          </cell>
          <cell r="B110" t="str">
            <v>LANTIP GURETNO</v>
          </cell>
          <cell r="C110" t="str">
            <v>DELTA</v>
          </cell>
          <cell r="D110" t="str">
            <v>EKSKLUSIF</v>
          </cell>
        </row>
        <row r="111">
          <cell r="A111" t="str">
            <v>A2939</v>
          </cell>
          <cell r="B111" t="str">
            <v>TSAQIFANNISA YASASHI SUNARYO</v>
          </cell>
          <cell r="C111" t="str">
            <v>DELTA</v>
          </cell>
          <cell r="D111" t="str">
            <v>EKSKLUSIF</v>
          </cell>
        </row>
        <row r="112">
          <cell r="A112" t="str">
            <v>A3476</v>
          </cell>
          <cell r="B112" t="str">
            <v>PRILLA IMADIANA</v>
          </cell>
          <cell r="C112" t="str">
            <v>DELTA</v>
          </cell>
          <cell r="D112" t="str">
            <v>EKSKLUSIF</v>
          </cell>
        </row>
        <row r="113">
          <cell r="A113">
            <v>92669</v>
          </cell>
          <cell r="B113" t="str">
            <v>Apik kusuma ayu</v>
          </cell>
          <cell r="C113" t="str">
            <v>DELTA</v>
          </cell>
          <cell r="D113" t="str">
            <v>EKSKLUSIF</v>
          </cell>
        </row>
        <row r="114">
          <cell r="A114" t="str">
            <v>A0745</v>
          </cell>
          <cell r="B114" t="str">
            <v>Ane Melisa Murni</v>
          </cell>
          <cell r="C114" t="str">
            <v>DELTA</v>
          </cell>
          <cell r="D114" t="str">
            <v>EKSKLUSIF</v>
          </cell>
        </row>
        <row r="115">
          <cell r="A115">
            <v>90653</v>
          </cell>
          <cell r="B115" t="str">
            <v>Weni Saputri</v>
          </cell>
          <cell r="C115" t="str">
            <v>DELTA</v>
          </cell>
          <cell r="D115" t="str">
            <v>EKSKLUSIF</v>
          </cell>
        </row>
        <row r="116">
          <cell r="A116" t="str">
            <v>A1944</v>
          </cell>
          <cell r="B116" t="str">
            <v>Muhammad Hilmi Azzahidi</v>
          </cell>
          <cell r="C116" t="str">
            <v>DELTA</v>
          </cell>
          <cell r="D116" t="str">
            <v>EKSKLUSIF</v>
          </cell>
        </row>
        <row r="117">
          <cell r="A117" t="str">
            <v>A0750</v>
          </cell>
          <cell r="B117" t="str">
            <v>Arvianti Jilly</v>
          </cell>
          <cell r="C117" t="str">
            <v>DELTA</v>
          </cell>
          <cell r="D117" t="str">
            <v>EKSKLUSIF</v>
          </cell>
        </row>
        <row r="118">
          <cell r="A118" t="str">
            <v>A1825</v>
          </cell>
          <cell r="B118" t="str">
            <v>⁠Marliana</v>
          </cell>
          <cell r="C118" t="str">
            <v>DELTA</v>
          </cell>
          <cell r="D118" t="str">
            <v>EKSKLUSIF</v>
          </cell>
        </row>
        <row r="119">
          <cell r="A119" t="str">
            <v>A0733</v>
          </cell>
          <cell r="B119" t="str">
            <v>DERI HIDAYAT</v>
          </cell>
          <cell r="C119" t="str">
            <v>DELTA</v>
          </cell>
          <cell r="D119" t="str">
            <v>EKSKLUSIF</v>
          </cell>
        </row>
        <row r="120">
          <cell r="A120" t="str">
            <v>A0320</v>
          </cell>
          <cell r="B120" t="str">
            <v>Deafni Dinda R Utami</v>
          </cell>
          <cell r="C120" t="str">
            <v>DELTA</v>
          </cell>
          <cell r="D120" t="str">
            <v>EKSKLUSIF</v>
          </cell>
        </row>
        <row r="121">
          <cell r="A121">
            <v>92347</v>
          </cell>
          <cell r="B121" t="str">
            <v>RAHMAD SABTONO</v>
          </cell>
          <cell r="C121" t="str">
            <v>TEMA C2</v>
          </cell>
          <cell r="D121" t="str">
            <v>EKSKLUSIF</v>
          </cell>
        </row>
        <row r="122">
          <cell r="A122" t="str">
            <v>A0911</v>
          </cell>
          <cell r="B122" t="str">
            <v>ENGELINA GALUH WINDIASARI</v>
          </cell>
          <cell r="C122" t="str">
            <v>TEMA C2</v>
          </cell>
          <cell r="D122" t="str">
            <v>EKSKLUSIF</v>
          </cell>
        </row>
        <row r="123">
          <cell r="A123" t="str">
            <v>A2686</v>
          </cell>
          <cell r="B123" t="str">
            <v>ANDREAS AJI WICAKSONO</v>
          </cell>
          <cell r="C123" t="str">
            <v>TEMA C2</v>
          </cell>
          <cell r="D123" t="str">
            <v>EKSKLUSIF</v>
          </cell>
        </row>
        <row r="124">
          <cell r="A124" t="str">
            <v>A0920</v>
          </cell>
          <cell r="B124" t="str">
            <v>HANGESTI RETNO UTARI</v>
          </cell>
          <cell r="C124" t="str">
            <v>TEMA C2</v>
          </cell>
          <cell r="D124" t="str">
            <v>EKSKLUSIF</v>
          </cell>
        </row>
        <row r="125">
          <cell r="A125">
            <v>90759</v>
          </cell>
          <cell r="B125" t="str">
            <v>PERTIWI HANDAYANI</v>
          </cell>
          <cell r="C125" t="str">
            <v>TEMA C2</v>
          </cell>
          <cell r="D125" t="str">
            <v>EKSKLUSIF</v>
          </cell>
        </row>
        <row r="126">
          <cell r="A126" t="str">
            <v>A0105</v>
          </cell>
          <cell r="B126" t="str">
            <v>SANDA IRIANTO</v>
          </cell>
          <cell r="C126" t="str">
            <v>TEMA C2</v>
          </cell>
          <cell r="D126" t="str">
            <v>EKSKLUSIF</v>
          </cell>
        </row>
        <row r="127">
          <cell r="A127" t="str">
            <v>A1407</v>
          </cell>
          <cell r="B127" t="str">
            <v>Hardini Komalasari</v>
          </cell>
          <cell r="C127" t="str">
            <v>TEMA C2</v>
          </cell>
          <cell r="D127" t="str">
            <v>EKSKLUSIF</v>
          </cell>
        </row>
        <row r="128">
          <cell r="A128" t="str">
            <v>A2053</v>
          </cell>
          <cell r="B128" t="str">
            <v>WIARTIKA SISIL</v>
          </cell>
          <cell r="C128" t="str">
            <v>TEMA C2</v>
          </cell>
          <cell r="D128" t="str">
            <v>EKSKLUSIF</v>
          </cell>
        </row>
        <row r="129">
          <cell r="A129" t="str">
            <v>A2432</v>
          </cell>
          <cell r="B129" t="str">
            <v>JOFFE PANJAITAN</v>
          </cell>
          <cell r="C129" t="str">
            <v>TEMA C2</v>
          </cell>
          <cell r="D129" t="str">
            <v>EKSKLUSIF</v>
          </cell>
        </row>
        <row r="130">
          <cell r="A130" t="str">
            <v>A2901</v>
          </cell>
          <cell r="B130" t="str">
            <v>NELLY ANJANI BR SEMBIRING</v>
          </cell>
          <cell r="C130" t="str">
            <v>TEMA C2</v>
          </cell>
          <cell r="D130" t="str">
            <v>EKSKLUSIF</v>
          </cell>
        </row>
        <row r="131">
          <cell r="A131" t="str">
            <v>A1428</v>
          </cell>
          <cell r="B131" t="str">
            <v>RIFKA AYU PRADITA</v>
          </cell>
          <cell r="C131" t="str">
            <v>TEMA C2</v>
          </cell>
          <cell r="D131" t="str">
            <v>EKSKLUSIF</v>
          </cell>
        </row>
        <row r="132">
          <cell r="A132" t="str">
            <v>A1305</v>
          </cell>
          <cell r="B132" t="str">
            <v>HANIFAH DUWI AMALIA</v>
          </cell>
          <cell r="C132" t="str">
            <v>TEMA C2</v>
          </cell>
          <cell r="D132" t="str">
            <v>EKSKLUSIF</v>
          </cell>
        </row>
        <row r="133">
          <cell r="A133" t="str">
            <v>A0217</v>
          </cell>
          <cell r="B133" t="str">
            <v>YUSRIL RAMA MAHENDRA</v>
          </cell>
          <cell r="C133" t="str">
            <v>TEMA C2</v>
          </cell>
          <cell r="D133" t="str">
            <v>EKSKLUSIF</v>
          </cell>
        </row>
        <row r="134">
          <cell r="A134" t="str">
            <v>A1671</v>
          </cell>
          <cell r="B134" t="str">
            <v>RENI CAHYANI</v>
          </cell>
          <cell r="C134" t="str">
            <v>TEMA C2</v>
          </cell>
          <cell r="D134" t="str">
            <v>EKSKLUSIF</v>
          </cell>
        </row>
        <row r="135">
          <cell r="A135" t="str">
            <v>A2026</v>
          </cell>
          <cell r="B135" t="str">
            <v>ALMAY CAESARI ISMIAJI</v>
          </cell>
          <cell r="C135" t="str">
            <v>TEMA C2</v>
          </cell>
          <cell r="D135" t="str">
            <v>EKSKLUSIF</v>
          </cell>
        </row>
        <row r="136">
          <cell r="A136" t="str">
            <v>A1409</v>
          </cell>
          <cell r="B136" t="str">
            <v>YULI ANA</v>
          </cell>
          <cell r="C136" t="str">
            <v>TEMA C2</v>
          </cell>
          <cell r="D136" t="str">
            <v>EKSKLUSIF</v>
          </cell>
        </row>
        <row r="137">
          <cell r="A137" t="str">
            <v>A2174</v>
          </cell>
          <cell r="B137" t="str">
            <v>QUEENDY KALINGGA ZURDA</v>
          </cell>
          <cell r="C137" t="str">
            <v>TEMA C2</v>
          </cell>
          <cell r="D137" t="str">
            <v>EKSKLUSIF</v>
          </cell>
        </row>
        <row r="138">
          <cell r="A138" t="str">
            <v>A2455</v>
          </cell>
          <cell r="B138" t="str">
            <v>IMELDA NIKA DEBORA</v>
          </cell>
          <cell r="C138" t="str">
            <v>TEMA C2</v>
          </cell>
          <cell r="D138" t="str">
            <v>EKSKLUSIF</v>
          </cell>
        </row>
        <row r="139">
          <cell r="A139" t="str">
            <v>A1792</v>
          </cell>
          <cell r="B139" t="str">
            <v>ADINDA PUTRI ZELA</v>
          </cell>
          <cell r="C139" t="str">
            <v>TEMA C2</v>
          </cell>
          <cell r="D139" t="str">
            <v>EKSKLUSIF</v>
          </cell>
        </row>
        <row r="140">
          <cell r="A140" t="str">
            <v>A1244</v>
          </cell>
          <cell r="B140" t="str">
            <v>SHOFIA NOVIANTI</v>
          </cell>
          <cell r="C140" t="str">
            <v>TEMA C2</v>
          </cell>
          <cell r="D140" t="str">
            <v>EKSKLUSIF</v>
          </cell>
        </row>
        <row r="141">
          <cell r="A141" t="str">
            <v>A2983</v>
          </cell>
          <cell r="B141" t="str">
            <v>TRI DIANA</v>
          </cell>
          <cell r="C141" t="str">
            <v>TEMA C2</v>
          </cell>
          <cell r="D141" t="str">
            <v>EKSKLUSIF</v>
          </cell>
        </row>
        <row r="142">
          <cell r="A142" t="str">
            <v>A0927</v>
          </cell>
          <cell r="B142" t="str">
            <v>INTAN AYU WARDANI</v>
          </cell>
          <cell r="C142" t="str">
            <v>TEMA C2</v>
          </cell>
          <cell r="D142" t="str">
            <v>EKSKLUSIF</v>
          </cell>
        </row>
        <row r="143">
          <cell r="A143" t="str">
            <v>A1362</v>
          </cell>
          <cell r="B143" t="str">
            <v>NATALIA SIMAMORA</v>
          </cell>
          <cell r="C143" t="str">
            <v>TEMA C2</v>
          </cell>
          <cell r="D143" t="str">
            <v>EKSKLUSIF</v>
          </cell>
        </row>
        <row r="144">
          <cell r="A144" t="str">
            <v>A1059</v>
          </cell>
          <cell r="B144" t="str">
            <v>AZILA ZALWA</v>
          </cell>
          <cell r="C144" t="str">
            <v>TEMA C2</v>
          </cell>
          <cell r="D144" t="str">
            <v>EKSKLUSIF</v>
          </cell>
        </row>
        <row r="145">
          <cell r="A145" t="str">
            <v>A1756</v>
          </cell>
          <cell r="B145" t="str">
            <v>MELINDA INTAN RAHMAWATI</v>
          </cell>
          <cell r="C145" t="str">
            <v>TEMA C2</v>
          </cell>
          <cell r="D145" t="str">
            <v>EKSKLUSIF</v>
          </cell>
        </row>
        <row r="146">
          <cell r="A146" t="str">
            <v>A2574</v>
          </cell>
          <cell r="B146" t="str">
            <v>Jatu Astri Pradista</v>
          </cell>
          <cell r="C146" t="str">
            <v>TEMA C2</v>
          </cell>
          <cell r="D146" t="str">
            <v>EKSKLUSIF</v>
          </cell>
        </row>
        <row r="147">
          <cell r="A147" t="str">
            <v>A0707</v>
          </cell>
          <cell r="B147" t="str">
            <v>NAILI AZKA</v>
          </cell>
          <cell r="C147" t="str">
            <v>TEMA C2</v>
          </cell>
          <cell r="D147" t="str">
            <v>EKSKLUSIF</v>
          </cell>
        </row>
        <row r="148">
          <cell r="A148" t="str">
            <v>A2093</v>
          </cell>
          <cell r="B148" t="str">
            <v>DHEA PRAMESTI WARDANI</v>
          </cell>
          <cell r="C148" t="str">
            <v>TEMA C2</v>
          </cell>
          <cell r="D148" t="str">
            <v>EKSKLUSIF</v>
          </cell>
        </row>
        <row r="149">
          <cell r="A149" t="str">
            <v>A3799</v>
          </cell>
          <cell r="B149" t="str">
            <v>MUHAMAD MUSTOFAINAL ACHYAR</v>
          </cell>
          <cell r="C149" t="str">
            <v>TEMA C2</v>
          </cell>
          <cell r="D149" t="str">
            <v>EKSKLUSIF</v>
          </cell>
        </row>
        <row r="150">
          <cell r="A150" t="str">
            <v>A2369</v>
          </cell>
          <cell r="B150" t="str">
            <v>ANIS DIANA SARI</v>
          </cell>
          <cell r="C150" t="str">
            <v>TEMA C2</v>
          </cell>
          <cell r="D150" t="str">
            <v>EKSKLUSIF</v>
          </cell>
        </row>
        <row r="151">
          <cell r="A151" t="str">
            <v>A2072</v>
          </cell>
          <cell r="B151" t="str">
            <v>DIANA PUTERI</v>
          </cell>
          <cell r="C151" t="str">
            <v>TEMA C2</v>
          </cell>
          <cell r="D151" t="str">
            <v>EKSKLUSIF</v>
          </cell>
        </row>
        <row r="152">
          <cell r="A152" t="str">
            <v>A3306</v>
          </cell>
          <cell r="B152" t="str">
            <v>Ilham Muhammad Dyan Fauzi</v>
          </cell>
          <cell r="C152" t="str">
            <v>TEMA C2</v>
          </cell>
          <cell r="D152" t="str">
            <v>EKSKLUSIF</v>
          </cell>
        </row>
        <row r="153">
          <cell r="A153" t="str">
            <v>A4035</v>
          </cell>
          <cell r="B153" t="str">
            <v>RIZKI MULYAWAN</v>
          </cell>
          <cell r="C153" t="str">
            <v>TEMA C2</v>
          </cell>
          <cell r="D153" t="str">
            <v>EKSKLUSIF</v>
          </cell>
        </row>
        <row r="154">
          <cell r="A154" t="str">
            <v>A3220</v>
          </cell>
          <cell r="B154" t="str">
            <v>MUHAMAD AGUNG GUMELAR</v>
          </cell>
          <cell r="C154" t="str">
            <v>TEMA C2</v>
          </cell>
          <cell r="D154" t="str">
            <v>EKSKLUSIF</v>
          </cell>
        </row>
        <row r="155">
          <cell r="A155" t="str">
            <v>A0915</v>
          </cell>
          <cell r="B155" t="str">
            <v>PRIMA ANGGITA</v>
          </cell>
          <cell r="C155" t="str">
            <v>TEMA C2</v>
          </cell>
          <cell r="D155" t="str">
            <v>EKSKLUSIF</v>
          </cell>
        </row>
        <row r="156">
          <cell r="A156" t="str">
            <v>A1208</v>
          </cell>
          <cell r="B156" t="str">
            <v>RIYAN ISTIQOMAH</v>
          </cell>
          <cell r="C156" t="str">
            <v>TEMA C2</v>
          </cell>
          <cell r="D156" t="str">
            <v>EKSKLUSIF</v>
          </cell>
        </row>
        <row r="157">
          <cell r="A157" t="str">
            <v>A1237</v>
          </cell>
          <cell r="B157" t="str">
            <v>FEBRIANTI SIANTURI</v>
          </cell>
          <cell r="C157" t="str">
            <v>TEMA C2</v>
          </cell>
          <cell r="D157" t="str">
            <v>EKSKLUSIF</v>
          </cell>
        </row>
        <row r="158">
          <cell r="A158" t="str">
            <v>A4021</v>
          </cell>
          <cell r="B158" t="str">
            <v>Aryo Luhur</v>
          </cell>
          <cell r="C158" t="str">
            <v>TEMA C2</v>
          </cell>
          <cell r="D158" t="str">
            <v>EKSKLUSIF</v>
          </cell>
        </row>
        <row r="159">
          <cell r="A159" t="str">
            <v>A0855</v>
          </cell>
          <cell r="B159" t="str">
            <v>DWIKE MUTIARA RAHMADANI</v>
          </cell>
          <cell r="C159" t="str">
            <v>TEMA C2</v>
          </cell>
          <cell r="D159" t="str">
            <v>EKSKLUSIF</v>
          </cell>
        </row>
        <row r="160">
          <cell r="A160" t="str">
            <v>A1251</v>
          </cell>
          <cell r="B160" t="str">
            <v>HILDA MUSYAYYADAH</v>
          </cell>
          <cell r="C160" t="str">
            <v>TEMA C2</v>
          </cell>
          <cell r="D160" t="str">
            <v>EKSKLUSIF</v>
          </cell>
        </row>
        <row r="161">
          <cell r="A161" t="str">
            <v>A2702</v>
          </cell>
          <cell r="B161" t="str">
            <v>DILA FITRIANI</v>
          </cell>
          <cell r="C161" t="str">
            <v>TEMA C2</v>
          </cell>
          <cell r="D161" t="str">
            <v>EKSKLUSIF</v>
          </cell>
        </row>
        <row r="162">
          <cell r="A162" t="str">
            <v>A4011</v>
          </cell>
          <cell r="B162" t="str">
            <v>Muhammad Devansyah Fajriady</v>
          </cell>
          <cell r="C162" t="str">
            <v>TEMA C2</v>
          </cell>
          <cell r="D162" t="str">
            <v>EKSKLUSIF</v>
          </cell>
        </row>
        <row r="163">
          <cell r="A163" t="str">
            <v>A3510</v>
          </cell>
          <cell r="B163" t="str">
            <v>ANNISA FADYA</v>
          </cell>
          <cell r="C163" t="str">
            <v>TEMA C2</v>
          </cell>
          <cell r="D163" t="str">
            <v>EKSKLUSIF</v>
          </cell>
        </row>
        <row r="164">
          <cell r="A164" t="str">
            <v>A3766</v>
          </cell>
          <cell r="B164" t="str">
            <v>BESTFEBRI CHRISTY DAMERIA PAKPAHAN</v>
          </cell>
          <cell r="C164" t="str">
            <v>TEMA C2</v>
          </cell>
          <cell r="D164" t="str">
            <v>EKSKLUSIF</v>
          </cell>
        </row>
        <row r="165">
          <cell r="A165" t="str">
            <v>A3879</v>
          </cell>
          <cell r="B165" t="str">
            <v>CHARLOTTE THERESIA PATTIPEILOHY</v>
          </cell>
          <cell r="C165" t="str">
            <v>TEMA C2</v>
          </cell>
          <cell r="D165" t="str">
            <v>EKSKLUSIF</v>
          </cell>
        </row>
        <row r="166">
          <cell r="A166" t="str">
            <v>A2684</v>
          </cell>
          <cell r="B166" t="str">
            <v>Dimas Vergiawan Afiat</v>
          </cell>
          <cell r="C166" t="str">
            <v>TEMA C2</v>
          </cell>
          <cell r="D166" t="str">
            <v>EKSKLUSIF</v>
          </cell>
        </row>
        <row r="167">
          <cell r="A167" t="str">
            <v>A0724</v>
          </cell>
          <cell r="B167" t="str">
            <v>Rizky Reynaldi</v>
          </cell>
          <cell r="C167" t="str">
            <v>TEMA C2</v>
          </cell>
          <cell r="D167" t="str">
            <v>EKSKLUSIF</v>
          </cell>
        </row>
        <row r="168">
          <cell r="A168" t="str">
            <v>A1638</v>
          </cell>
          <cell r="B168" t="str">
            <v>ERNI DWI WIDYANTI</v>
          </cell>
          <cell r="C168" t="str">
            <v>TEMA C3</v>
          </cell>
          <cell r="D168" t="str">
            <v>EKSKLUSIF</v>
          </cell>
        </row>
        <row r="169">
          <cell r="A169" t="str">
            <v>A0786</v>
          </cell>
          <cell r="B169" t="str">
            <v>ARYA ARDIANSYAH</v>
          </cell>
          <cell r="C169" t="str">
            <v>TEMA C3</v>
          </cell>
          <cell r="D169" t="str">
            <v>EKSKLUSIF</v>
          </cell>
        </row>
        <row r="170">
          <cell r="A170" t="str">
            <v>A2719</v>
          </cell>
          <cell r="B170" t="str">
            <v>DYAH AYU MIRA BELLA</v>
          </cell>
          <cell r="C170" t="str">
            <v>TEMA C3</v>
          </cell>
          <cell r="D170" t="str">
            <v>EKSKLUSIF</v>
          </cell>
        </row>
        <row r="171">
          <cell r="A171" t="str">
            <v>A0792</v>
          </cell>
          <cell r="B171" t="str">
            <v>Apriliani Palallo</v>
          </cell>
          <cell r="C171" t="str">
            <v>TEMA C3</v>
          </cell>
          <cell r="D171" t="str">
            <v>EKSKLUSIF</v>
          </cell>
        </row>
        <row r="172">
          <cell r="A172" t="str">
            <v>A0560</v>
          </cell>
          <cell r="B172" t="str">
            <v>MATHILDA EUNIKE</v>
          </cell>
          <cell r="C172" t="str">
            <v>TEMA C3</v>
          </cell>
          <cell r="D172" t="str">
            <v>EKSKLUSIF</v>
          </cell>
        </row>
        <row r="173">
          <cell r="A173" t="str">
            <v>A3411</v>
          </cell>
          <cell r="B173" t="str">
            <v>SANTO SIMARMATA</v>
          </cell>
          <cell r="C173" t="str">
            <v>TEMA C3</v>
          </cell>
          <cell r="D173" t="str">
            <v>EKSKLUSIF</v>
          </cell>
        </row>
        <row r="174">
          <cell r="A174" t="str">
            <v>A2613</v>
          </cell>
          <cell r="B174" t="str">
            <v>DHEI KLAUDIYA</v>
          </cell>
          <cell r="C174" t="str">
            <v>TEMA C3</v>
          </cell>
          <cell r="D174" t="str">
            <v>EKSKLUSIF</v>
          </cell>
        </row>
        <row r="175">
          <cell r="A175" t="str">
            <v>A2308</v>
          </cell>
          <cell r="B175" t="str">
            <v>Ayu Tri Astutik</v>
          </cell>
          <cell r="C175" t="str">
            <v>TEMA C3</v>
          </cell>
          <cell r="D175" t="str">
            <v>EKSKLUSIF</v>
          </cell>
        </row>
        <row r="176">
          <cell r="A176" t="str">
            <v>A2045</v>
          </cell>
          <cell r="B176" t="str">
            <v>DEVI OKTAVIANI</v>
          </cell>
          <cell r="C176" t="str">
            <v>TEMA C3</v>
          </cell>
          <cell r="D176" t="str">
            <v>EKSKLUSIF</v>
          </cell>
        </row>
        <row r="177">
          <cell r="A177" t="str">
            <v>A1136</v>
          </cell>
          <cell r="B177" t="str">
            <v>Klaudila Hanestya Selanno</v>
          </cell>
          <cell r="C177" t="str">
            <v>TEMA C3</v>
          </cell>
          <cell r="D177" t="str">
            <v>EKSKLUSIF</v>
          </cell>
        </row>
        <row r="178">
          <cell r="A178" t="str">
            <v>A3996</v>
          </cell>
          <cell r="B178" t="str">
            <v>Joanica Intan Cahyandari</v>
          </cell>
          <cell r="C178" t="str">
            <v>TEMA C3</v>
          </cell>
          <cell r="D178" t="str">
            <v>EKSKLUSIF</v>
          </cell>
        </row>
        <row r="179">
          <cell r="A179" t="str">
            <v>A2782</v>
          </cell>
          <cell r="B179" t="str">
            <v>Adrial Ramdhani</v>
          </cell>
          <cell r="C179" t="str">
            <v>TEMA C3</v>
          </cell>
          <cell r="D179" t="str">
            <v>EKSKLUSIF</v>
          </cell>
        </row>
        <row r="180">
          <cell r="A180" t="str">
            <v>A3265</v>
          </cell>
          <cell r="B180" t="str">
            <v>Yolanda Putri Andaresta</v>
          </cell>
          <cell r="C180" t="str">
            <v>TEMA C3</v>
          </cell>
          <cell r="D180" t="str">
            <v>EKSKLUSIF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TEMA C1"/>
      <sheetName val="TEMA C2"/>
      <sheetName val="TEMA C3"/>
      <sheetName val="TEMA HAJI"/>
      <sheetName val="PD"/>
      <sheetName val="AAV"/>
      <sheetName val="GC"/>
      <sheetName val="RVO"/>
      <sheetName val="SBPV"/>
      <sheetName val="AKTIF"/>
      <sheetName val="DATABASE"/>
      <sheetName val="KUR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NPK</v>
          </cell>
          <cell r="B2" t="str">
            <v>NAMA</v>
          </cell>
          <cell r="C2" t="str">
            <v>STATUS</v>
          </cell>
        </row>
        <row r="3">
          <cell r="A3">
            <v>90170</v>
          </cell>
          <cell r="B3" t="str">
            <v>AMRI ROHMATINI</v>
          </cell>
          <cell r="C3" t="str">
            <v>REGULER</v>
          </cell>
        </row>
        <row r="4">
          <cell r="A4">
            <v>90552</v>
          </cell>
          <cell r="B4" t="str">
            <v>MARIA ROSARIA DEWI RATBA TIMUR</v>
          </cell>
          <cell r="C4" t="str">
            <v>REGULER</v>
          </cell>
        </row>
        <row r="5">
          <cell r="A5">
            <v>90557</v>
          </cell>
          <cell r="B5" t="str">
            <v>TIFANI EKA ALCISHA</v>
          </cell>
          <cell r="C5" t="str">
            <v>REGULER</v>
          </cell>
        </row>
        <row r="6">
          <cell r="A6">
            <v>90565</v>
          </cell>
          <cell r="B6" t="str">
            <v>ELISABETH YOVITA NATHANIA</v>
          </cell>
          <cell r="C6" t="str">
            <v>REGULER</v>
          </cell>
        </row>
        <row r="7">
          <cell r="A7">
            <v>90716</v>
          </cell>
          <cell r="B7" t="str">
            <v>Nikita Swastika Paramita</v>
          </cell>
          <cell r="C7" t="str">
            <v>REGULER</v>
          </cell>
        </row>
        <row r="8">
          <cell r="A8" t="str">
            <v>A0349</v>
          </cell>
          <cell r="B8" t="str">
            <v>Ahmad Zainal Arifin</v>
          </cell>
          <cell r="C8" t="str">
            <v>EKSKLUSIF</v>
          </cell>
        </row>
        <row r="9">
          <cell r="A9" t="str">
            <v>A1945</v>
          </cell>
          <cell r="B9" t="str">
            <v>MARIA CHINDRYANITA GALA</v>
          </cell>
          <cell r="C9" t="str">
            <v>REGULER</v>
          </cell>
        </row>
        <row r="10">
          <cell r="A10" t="str">
            <v>A2066</v>
          </cell>
          <cell r="B10" t="str">
            <v>YULIANT EFENDI</v>
          </cell>
          <cell r="C10" t="str">
            <v>EKSKLUSIF</v>
          </cell>
        </row>
        <row r="11">
          <cell r="A11" t="str">
            <v>A2615</v>
          </cell>
          <cell r="B11" t="str">
            <v>NOVITA LANGKAI</v>
          </cell>
          <cell r="C11" t="str">
            <v>EKSKLUSIF</v>
          </cell>
        </row>
        <row r="12">
          <cell r="A12" t="str">
            <v>A2873</v>
          </cell>
          <cell r="B12" t="str">
            <v>CHRISTOPHER LAKSAWANA</v>
          </cell>
          <cell r="C12" t="str">
            <v>EKSKLUSIF</v>
          </cell>
        </row>
        <row r="13">
          <cell r="A13" t="str">
            <v>A2879</v>
          </cell>
          <cell r="B13" t="str">
            <v>FAUZI</v>
          </cell>
          <cell r="C13" t="str">
            <v>REGULER</v>
          </cell>
        </row>
        <row r="14">
          <cell r="A14">
            <v>92500</v>
          </cell>
          <cell r="B14" t="str">
            <v>AULIA FARAH DHITASARI</v>
          </cell>
          <cell r="C14" t="str">
            <v>REGULER</v>
          </cell>
        </row>
        <row r="15">
          <cell r="A15" t="str">
            <v>A1941</v>
          </cell>
          <cell r="B15" t="str">
            <v>HANA CHRISTINA</v>
          </cell>
          <cell r="C15" t="str">
            <v>REGULER</v>
          </cell>
        </row>
        <row r="16">
          <cell r="A16" t="str">
            <v>A3498</v>
          </cell>
          <cell r="B16" t="str">
            <v>KIRANA AMILYA PASCHA</v>
          </cell>
          <cell r="C16" t="str">
            <v>REGULER</v>
          </cell>
        </row>
        <row r="17">
          <cell r="A17" t="str">
            <v>A2823</v>
          </cell>
          <cell r="B17" t="str">
            <v>INE PEBRIYANTI</v>
          </cell>
          <cell r="C17" t="str">
            <v>REGULER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TEMA C1"/>
      <sheetName val="TEMA C2"/>
      <sheetName val="TEMA C3"/>
      <sheetName val="TEMA HAJI"/>
      <sheetName val="PD"/>
      <sheetName val="AAV"/>
      <sheetName val="GC"/>
      <sheetName val="RVO"/>
      <sheetName val="SBPV"/>
      <sheetName val="AKTIF"/>
      <sheetName val="DATABASE"/>
      <sheetName val="KURANG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NPK</v>
          </cell>
          <cell r="B2" t="str">
            <v>NAMA</v>
          </cell>
          <cell r="C2" t="str">
            <v>STATUS</v>
          </cell>
        </row>
        <row r="3">
          <cell r="A3">
            <v>90170</v>
          </cell>
          <cell r="B3" t="str">
            <v>AMRI ROHMATINI</v>
          </cell>
          <cell r="C3" t="str">
            <v>REGULER</v>
          </cell>
        </row>
        <row r="4">
          <cell r="A4">
            <v>90557</v>
          </cell>
          <cell r="B4" t="str">
            <v>TIFANI EKA ALCISHA</v>
          </cell>
          <cell r="C4" t="str">
            <v>REGULER</v>
          </cell>
        </row>
        <row r="5">
          <cell r="A5">
            <v>90565</v>
          </cell>
          <cell r="B5" t="str">
            <v>ELISABETH YOVITA NATHANIA</v>
          </cell>
          <cell r="C5" t="str">
            <v>REGULER</v>
          </cell>
        </row>
        <row r="6">
          <cell r="A6">
            <v>90716</v>
          </cell>
          <cell r="B6" t="str">
            <v>Nikita Swastika Paramita</v>
          </cell>
          <cell r="C6" t="str">
            <v>REGULER</v>
          </cell>
        </row>
        <row r="7">
          <cell r="A7" t="str">
            <v>A0349</v>
          </cell>
          <cell r="B7" t="str">
            <v>Ahmad Zainal Arifin</v>
          </cell>
          <cell r="C7" t="str">
            <v>EKSKLUSIF</v>
          </cell>
        </row>
        <row r="8">
          <cell r="A8" t="str">
            <v>A1945</v>
          </cell>
          <cell r="B8" t="str">
            <v>MARIA CHINDRYANITA GALA</v>
          </cell>
          <cell r="C8" t="str">
            <v>REGULER</v>
          </cell>
        </row>
        <row r="9">
          <cell r="A9" t="str">
            <v>A2066</v>
          </cell>
          <cell r="B9" t="str">
            <v>YULIANT EFENDI</v>
          </cell>
          <cell r="C9" t="str">
            <v>EKSKLUSIF</v>
          </cell>
        </row>
        <row r="10">
          <cell r="A10" t="str">
            <v>A2615</v>
          </cell>
          <cell r="B10" t="str">
            <v>NOVITA LANGKAI</v>
          </cell>
          <cell r="C10" t="str">
            <v>EKSKLUSIF</v>
          </cell>
        </row>
        <row r="11">
          <cell r="A11" t="str">
            <v>A2873</v>
          </cell>
          <cell r="B11" t="str">
            <v>CHRISTOPHER LAKSAWANA</v>
          </cell>
          <cell r="C11" t="str">
            <v>EKSKLUSIF</v>
          </cell>
        </row>
        <row r="12">
          <cell r="A12" t="str">
            <v>A2879</v>
          </cell>
          <cell r="B12" t="str">
            <v>FAUZI</v>
          </cell>
          <cell r="C12" t="str">
            <v>REGULER</v>
          </cell>
        </row>
        <row r="13">
          <cell r="A13" t="str">
            <v>A1941</v>
          </cell>
          <cell r="B13" t="str">
            <v>HANA CHRISTINA</v>
          </cell>
          <cell r="C13" t="str">
            <v>REGULER</v>
          </cell>
        </row>
        <row r="14">
          <cell r="A14" t="str">
            <v>A2823</v>
          </cell>
          <cell r="B14" t="str">
            <v>INE PEBRIYANTI</v>
          </cell>
          <cell r="C14" t="str">
            <v>REGULER</v>
          </cell>
        </row>
        <row r="15">
          <cell r="A15" t="str">
            <v>A4247</v>
          </cell>
          <cell r="B15" t="str">
            <v>WA ODE ALYA SHINTA AMALIA</v>
          </cell>
          <cell r="C15" t="str">
            <v>REGULER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TEMA C1"/>
      <sheetName val="TEMA C2"/>
      <sheetName val="TEMA C3"/>
      <sheetName val="TEMA HAJI"/>
      <sheetName val="PD"/>
      <sheetName val="AAV"/>
      <sheetName val="GC"/>
      <sheetName val="RVO"/>
      <sheetName val="SBPV"/>
      <sheetName val="AKTIF"/>
      <sheetName val="DATABASE"/>
      <sheetName val="KURANG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NPK</v>
          </cell>
          <cell r="B2" t="str">
            <v>NAMA</v>
          </cell>
          <cell r="C2" t="str">
            <v>STATUS</v>
          </cell>
        </row>
        <row r="3">
          <cell r="A3">
            <v>90170</v>
          </cell>
          <cell r="B3" t="str">
            <v>AMRI ROHMATINI</v>
          </cell>
          <cell r="C3" t="str">
            <v>REGULER</v>
          </cell>
        </row>
        <row r="4">
          <cell r="A4">
            <v>90557</v>
          </cell>
          <cell r="B4" t="str">
            <v>TIFANI EKA ALCISHA</v>
          </cell>
          <cell r="C4" t="str">
            <v>REGULER</v>
          </cell>
        </row>
        <row r="5">
          <cell r="A5">
            <v>90565</v>
          </cell>
          <cell r="B5" t="str">
            <v>ELISABETH YOVITA NATHANIA</v>
          </cell>
          <cell r="C5" t="str">
            <v>REGULER</v>
          </cell>
        </row>
        <row r="6">
          <cell r="A6">
            <v>90716</v>
          </cell>
          <cell r="B6" t="str">
            <v>Nikita Swastika Paramita</v>
          </cell>
          <cell r="C6" t="str">
            <v>REGULER</v>
          </cell>
        </row>
        <row r="7">
          <cell r="A7" t="str">
            <v>A0349</v>
          </cell>
          <cell r="B7" t="str">
            <v>Ahmad Zainal Arifin</v>
          </cell>
          <cell r="C7" t="str">
            <v>EKSKLUSIF</v>
          </cell>
        </row>
        <row r="8">
          <cell r="A8" t="str">
            <v>A1945</v>
          </cell>
          <cell r="B8" t="str">
            <v>MARIA CHINDRYANITA GALA</v>
          </cell>
          <cell r="C8" t="str">
            <v>REGULER</v>
          </cell>
        </row>
        <row r="9">
          <cell r="A9" t="str">
            <v>A2066</v>
          </cell>
          <cell r="B9" t="str">
            <v>YULIANT EFENDI</v>
          </cell>
          <cell r="C9" t="str">
            <v>EKSKLUSIF</v>
          </cell>
        </row>
        <row r="10">
          <cell r="A10" t="str">
            <v>A2615</v>
          </cell>
          <cell r="B10" t="str">
            <v>NOVITA LANGKAI</v>
          </cell>
          <cell r="C10" t="str">
            <v>EKSKLUSIF</v>
          </cell>
        </row>
        <row r="11">
          <cell r="A11" t="str">
            <v>A2873</v>
          </cell>
          <cell r="B11" t="str">
            <v>CHRISTOPHER LAKSAWANA</v>
          </cell>
          <cell r="C11" t="str">
            <v>EKSKLUSIF</v>
          </cell>
        </row>
        <row r="12">
          <cell r="A12" t="str">
            <v>A2879</v>
          </cell>
          <cell r="B12" t="str">
            <v>FAUZI</v>
          </cell>
          <cell r="C12" t="str">
            <v>REGULER</v>
          </cell>
        </row>
        <row r="13">
          <cell r="A13" t="str">
            <v>A3498</v>
          </cell>
          <cell r="B13" t="str">
            <v>KIRANA AMILYA PASCHA</v>
          </cell>
          <cell r="C13" t="str">
            <v>REGULER</v>
          </cell>
        </row>
        <row r="14">
          <cell r="A14" t="str">
            <v>A1941</v>
          </cell>
          <cell r="B14" t="str">
            <v>HANA CHRISTINA</v>
          </cell>
          <cell r="C14" t="str">
            <v>REGULER</v>
          </cell>
        </row>
        <row r="15">
          <cell r="A15" t="str">
            <v>A2823</v>
          </cell>
          <cell r="B15" t="str">
            <v>INE PEBRIYANTI</v>
          </cell>
          <cell r="C15" t="str">
            <v>REGULER</v>
          </cell>
        </row>
        <row r="16">
          <cell r="A16" t="str">
            <v>A4247</v>
          </cell>
          <cell r="B16" t="str">
            <v>WA ODE ALYA SHINTA AMALIA</v>
          </cell>
          <cell r="C16" t="str">
            <v>REGULER</v>
          </cell>
        </row>
        <row r="17">
          <cell r="A17" t="str">
            <v>A4348</v>
          </cell>
          <cell r="B17" t="str">
            <v>RISKA WULAN NAWANGSARI</v>
          </cell>
          <cell r="C17" t="str">
            <v>REGULER</v>
          </cell>
        </row>
        <row r="18">
          <cell r="A18" t="str">
            <v>A4346</v>
          </cell>
          <cell r="B18" t="str">
            <v>KIKI RIZKY ANANDA</v>
          </cell>
          <cell r="C18" t="str">
            <v>REGULER</v>
          </cell>
        </row>
        <row r="19">
          <cell r="A19" t="str">
            <v>A4347</v>
          </cell>
          <cell r="B19" t="str">
            <v>CHINDI PRATIWI</v>
          </cell>
          <cell r="C19" t="str">
            <v>REGULER</v>
          </cell>
        </row>
        <row r="20">
          <cell r="A20" t="str">
            <v>A4403</v>
          </cell>
          <cell r="B20" t="str">
            <v>Deva Aryani</v>
          </cell>
          <cell r="C20" t="str">
            <v>REGULER</v>
          </cell>
        </row>
        <row r="21">
          <cell r="A21" t="str">
            <v>A2273</v>
          </cell>
          <cell r="B21" t="str">
            <v>Wiena Mardhina Putri</v>
          </cell>
          <cell r="C21" t="str">
            <v>REGULER</v>
          </cell>
        </row>
        <row r="22">
          <cell r="A22" t="str">
            <v>A4404</v>
          </cell>
          <cell r="B22" t="str">
            <v>Antonia Maria Ajeng Galuh Dewanti</v>
          </cell>
          <cell r="C22" t="str">
            <v>REGULER</v>
          </cell>
        </row>
        <row r="23">
          <cell r="A23" t="str">
            <v>A4429</v>
          </cell>
          <cell r="B23" t="str">
            <v>ESTER SEFANYA SULU</v>
          </cell>
          <cell r="C23" t="str">
            <v>REGULER</v>
          </cell>
        </row>
        <row r="24">
          <cell r="A24" t="str">
            <v>A4428</v>
          </cell>
          <cell r="B24" t="str">
            <v>FERDIAN ANGGA RACHMADHANI</v>
          </cell>
          <cell r="C24" t="str">
            <v>REGULER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TEMA C1"/>
      <sheetName val="TEMA C2"/>
      <sheetName val="TEMA C3"/>
      <sheetName val="TEMA HAJI"/>
      <sheetName val="PD"/>
      <sheetName val="AAV"/>
      <sheetName val="GC"/>
      <sheetName val="RVO"/>
      <sheetName val="SBPV"/>
      <sheetName val="AKTIF"/>
      <sheetName val="DATABASE"/>
      <sheetName val="KURANG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NPK</v>
          </cell>
          <cell r="B2" t="str">
            <v>NAMA</v>
          </cell>
          <cell r="C2" t="str">
            <v>STATUS</v>
          </cell>
        </row>
        <row r="3">
          <cell r="A3">
            <v>90170</v>
          </cell>
          <cell r="B3" t="str">
            <v>AMRI ROHMATINI</v>
          </cell>
          <cell r="C3" t="str">
            <v>REGULER</v>
          </cell>
        </row>
        <row r="4">
          <cell r="A4">
            <v>90557</v>
          </cell>
          <cell r="B4" t="str">
            <v>TIFANI EKA ALCISHA</v>
          </cell>
          <cell r="C4" t="str">
            <v>REGULER</v>
          </cell>
        </row>
        <row r="5">
          <cell r="A5">
            <v>90565</v>
          </cell>
          <cell r="B5" t="str">
            <v>ELISABETH YOVITA NATHANIA</v>
          </cell>
          <cell r="C5" t="str">
            <v>REGULER</v>
          </cell>
        </row>
        <row r="6">
          <cell r="A6" t="str">
            <v>A0349</v>
          </cell>
          <cell r="B6" t="str">
            <v>Ahmad Zainal Arifin</v>
          </cell>
          <cell r="C6" t="str">
            <v>EKSKLUSIF</v>
          </cell>
        </row>
        <row r="7">
          <cell r="A7" t="str">
            <v>A1945</v>
          </cell>
          <cell r="B7" t="str">
            <v>MARIA CHINDRYANITA GALA</v>
          </cell>
          <cell r="C7" t="str">
            <v>REGULER</v>
          </cell>
        </row>
        <row r="8">
          <cell r="A8" t="str">
            <v>A2066</v>
          </cell>
          <cell r="B8" t="str">
            <v>YULIANT EFENDI</v>
          </cell>
          <cell r="C8" t="str">
            <v>EKSKLUSIF</v>
          </cell>
        </row>
        <row r="9">
          <cell r="A9" t="str">
            <v>A2615</v>
          </cell>
          <cell r="B9" t="str">
            <v>NOVITA LANGKAI</v>
          </cell>
          <cell r="C9" t="str">
            <v>EKSKLUSIF</v>
          </cell>
        </row>
        <row r="10">
          <cell r="A10" t="str">
            <v>A2873</v>
          </cell>
          <cell r="B10" t="str">
            <v>CHRISTOPHER LAKSAWANA</v>
          </cell>
          <cell r="C10" t="str">
            <v>EKSKLUSIF</v>
          </cell>
        </row>
        <row r="11">
          <cell r="A11" t="str">
            <v>A2879</v>
          </cell>
          <cell r="B11" t="str">
            <v>FAUZI</v>
          </cell>
          <cell r="C11" t="str">
            <v>REGULER</v>
          </cell>
        </row>
        <row r="12">
          <cell r="A12" t="str">
            <v>A1941</v>
          </cell>
          <cell r="B12" t="str">
            <v>HANA CHRISTINA</v>
          </cell>
          <cell r="C12" t="str">
            <v>REGULER</v>
          </cell>
        </row>
        <row r="13">
          <cell r="A13" t="str">
            <v>A4247</v>
          </cell>
          <cell r="B13" t="str">
            <v>WA ODE ALYA SHINTA AMALIA</v>
          </cell>
          <cell r="C13" t="str">
            <v>REGULER</v>
          </cell>
        </row>
        <row r="14">
          <cell r="A14" t="str">
            <v>A4348</v>
          </cell>
          <cell r="B14" t="str">
            <v>RISKA WULAN NAWANGSARI</v>
          </cell>
          <cell r="C14" t="str">
            <v>REGULER</v>
          </cell>
        </row>
        <row r="15">
          <cell r="A15" t="str">
            <v>A4346</v>
          </cell>
          <cell r="B15" t="str">
            <v>KIKI RIZKY ANANDA</v>
          </cell>
          <cell r="C15" t="str">
            <v>REGULER</v>
          </cell>
        </row>
        <row r="16">
          <cell r="A16" t="str">
            <v>A4347</v>
          </cell>
          <cell r="B16" t="str">
            <v>CHINDI PRATIWI</v>
          </cell>
          <cell r="C16" t="str">
            <v>REGULER</v>
          </cell>
        </row>
        <row r="17">
          <cell r="A17" t="str">
            <v>A4404</v>
          </cell>
          <cell r="B17" t="str">
            <v>Antonia Maria Ajeng Galuh Dewanti</v>
          </cell>
          <cell r="C17" t="str">
            <v>REGULER</v>
          </cell>
        </row>
        <row r="18">
          <cell r="A18" t="str">
            <v>A3498</v>
          </cell>
          <cell r="B18" t="str">
            <v>KIRANA AMILYA PASCHA</v>
          </cell>
          <cell r="C18" t="str">
            <v>REGULER</v>
          </cell>
        </row>
        <row r="19">
          <cell r="A19" t="str">
            <v>A4429</v>
          </cell>
          <cell r="B19" t="str">
            <v>ESTER SEFANYA SULU</v>
          </cell>
          <cell r="C19" t="str">
            <v>REGULER</v>
          </cell>
        </row>
        <row r="20">
          <cell r="A20" t="str">
            <v>A4428</v>
          </cell>
          <cell r="B20" t="str">
            <v>FERDIAN ANGGA RACHMADHANI</v>
          </cell>
          <cell r="C20" t="str">
            <v>REGULER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CO.P1 DES 24"/>
      <sheetName val="P.CO-P1 DES 24"/>
      <sheetName val="Sheet1"/>
      <sheetName val="CO.JAN 25"/>
      <sheetName val="P.CO-JAN 25"/>
    </sheetNames>
    <sheetDataSet>
      <sheetData sheetId="0" refreshError="1">
        <row r="1">
          <cell r="A1" t="str">
            <v>DATABASE MEMBERSHIP MITRA P1 2024</v>
          </cell>
          <cell r="B1">
            <v>0</v>
          </cell>
          <cell r="C1">
            <v>0</v>
          </cell>
          <cell r="D1" t="str">
            <v xml:space="preserve"> </v>
          </cell>
          <cell r="F1" t="str">
            <v xml:space="preserve"> </v>
          </cell>
          <cell r="H1" t="str">
            <v xml:space="preserve"> </v>
          </cell>
          <cell r="N1" t="str">
            <v xml:space="preserve"> </v>
          </cell>
          <cell r="O1" t="str">
            <v xml:space="preserve"> </v>
          </cell>
          <cell r="Q1" t="str">
            <v xml:space="preserve"> </v>
          </cell>
          <cell r="T1" t="str">
            <v xml:space="preserve"> </v>
          </cell>
          <cell r="U1" t="str">
            <v>Dec-23</v>
          </cell>
          <cell r="V1" t="str">
            <v>Jan-24</v>
          </cell>
          <cell r="W1" t="str">
            <v>Feb-24</v>
          </cell>
          <cell r="X1" t="str">
            <v>Mar-24</v>
          </cell>
          <cell r="Y1" t="str">
            <v>Apr-24</v>
          </cell>
          <cell r="Z1" t="str">
            <v>May-24</v>
          </cell>
          <cell r="AA1" t="str">
            <v>Jun-24</v>
          </cell>
          <cell r="AD1" t="str">
            <v xml:space="preserve"> </v>
          </cell>
          <cell r="BB1">
            <v>1</v>
          </cell>
          <cell r="BC1">
            <v>2</v>
          </cell>
          <cell r="BD1">
            <v>3</v>
          </cell>
          <cell r="BE1">
            <v>4</v>
          </cell>
          <cell r="BH1">
            <v>1</v>
          </cell>
          <cell r="BI1">
            <v>2</v>
          </cell>
          <cell r="BJ1">
            <v>3</v>
          </cell>
          <cell r="BK1">
            <v>4</v>
          </cell>
          <cell r="BO1" t="str">
            <v>Jun-24</v>
          </cell>
          <cell r="BP1" t="str">
            <v>Jul-24</v>
          </cell>
          <cell r="BQ1" t="str">
            <v>Aug-24</v>
          </cell>
          <cell r="BR1" t="str">
            <v>Sep-24</v>
          </cell>
          <cell r="BS1" t="str">
            <v>Oct-24</v>
          </cell>
          <cell r="BT1" t="str">
            <v>Nov-24</v>
          </cell>
          <cell r="BU1" t="str">
            <v>Dec-24</v>
          </cell>
        </row>
        <row r="2">
          <cell r="A2">
            <v>0</v>
          </cell>
          <cell r="B2">
            <v>0</v>
          </cell>
          <cell r="C2" t="str">
            <v xml:space="preserve"> </v>
          </cell>
          <cell r="D2" t="str">
            <v xml:space="preserve"> </v>
          </cell>
          <cell r="E2" t="str">
            <v xml:space="preserve"> </v>
          </cell>
          <cell r="F2" t="str">
            <v xml:space="preserve"> </v>
          </cell>
          <cell r="H2" t="str">
            <v xml:space="preserve"> </v>
          </cell>
          <cell r="L2" t="str">
            <v xml:space="preserve"> </v>
          </cell>
          <cell r="N2" t="str">
            <v xml:space="preserve"> </v>
          </cell>
          <cell r="S2" t="str">
            <v xml:space="preserve"> </v>
          </cell>
          <cell r="U2">
            <v>45261</v>
          </cell>
          <cell r="V2">
            <v>45292</v>
          </cell>
          <cell r="W2">
            <v>45323</v>
          </cell>
          <cell r="X2">
            <v>45352</v>
          </cell>
          <cell r="Y2">
            <v>45383</v>
          </cell>
          <cell r="Z2">
            <v>45413</v>
          </cell>
          <cell r="AA2">
            <v>45444</v>
          </cell>
          <cell r="AN2" t="str">
            <v xml:space="preserve"> </v>
          </cell>
          <cell r="AO2" t="str">
            <v>P1</v>
          </cell>
          <cell r="AQ2" t="str">
            <v xml:space="preserve">   </v>
          </cell>
          <cell r="BO2">
            <v>45444</v>
          </cell>
          <cell r="BP2">
            <v>45474</v>
          </cell>
          <cell r="BQ2">
            <v>45505</v>
          </cell>
          <cell r="BR2">
            <v>45536</v>
          </cell>
          <cell r="BS2">
            <v>45566</v>
          </cell>
          <cell r="BT2">
            <v>45597</v>
          </cell>
          <cell r="BU2">
            <v>45627</v>
          </cell>
          <cell r="BV2" t="str">
            <v>V</v>
          </cell>
        </row>
        <row r="3">
          <cell r="A3" t="str">
            <v>NPK</v>
          </cell>
          <cell r="B3" t="str">
            <v>NAMA</v>
          </cell>
          <cell r="C3" t="str">
            <v>FUNGSI</v>
          </cell>
          <cell r="D3" t="str">
            <v>FIRST SLOT</v>
          </cell>
          <cell r="E3" t="str">
            <v>MONTH SLOT</v>
          </cell>
          <cell r="F3" t="str">
            <v>STATUS KEMITRAAN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 t="str">
            <v>SLOT AKUMULASI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TOTAL SLOT</v>
          </cell>
          <cell r="U3" t="str">
            <v>SLOT REGULER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 t="str">
            <v>TOTAL SLOT REGULER</v>
          </cell>
          <cell r="AC3" t="str">
            <v>CEK DOWNGRADE</v>
          </cell>
          <cell r="AD3" t="str">
            <v>DOWNGRADE?</v>
          </cell>
          <cell r="AE3" t="str">
            <v>RESET?</v>
          </cell>
          <cell r="AF3" t="str">
            <v>TOKEN</v>
          </cell>
          <cell r="AG3" t="str">
            <v>GRADING</v>
          </cell>
          <cell r="AH3" t="str">
            <v>JENIS MEMBERSHIP</v>
          </cell>
          <cell r="AI3" t="str">
            <v>REEDEM P1 2024</v>
          </cell>
          <cell r="AJ3" t="str">
            <v>BISA REDEEM?</v>
          </cell>
          <cell r="AK3" t="str">
            <v>FORM COMMITMENT</v>
          </cell>
          <cell r="AL3" t="str">
            <v>START</v>
          </cell>
          <cell r="AM3" t="str">
            <v>TODAY</v>
          </cell>
          <cell r="AN3" t="str">
            <v>USIA TOKEN</v>
          </cell>
          <cell r="AO3" t="str">
            <v>TOKEN TERSISA</v>
          </cell>
          <cell r="AP3" t="str">
            <v>STATUS KEMITRAAN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 t="str">
            <v>SLOT AKUMULASI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 t="str">
            <v>TOTAL SLOT</v>
          </cell>
          <cell r="BO3" t="str">
            <v>SLOT REGULER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 t="str">
            <v>TOTAL SLOT REGULER</v>
          </cell>
          <cell r="BW3" t="str">
            <v>CEK DOWNGRADE</v>
          </cell>
          <cell r="BX3" t="str">
            <v>DOWNGRADE?</v>
          </cell>
          <cell r="BY3" t="str">
            <v>RESET?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 t="str">
            <v>P2 DES</v>
          </cell>
          <cell r="G4" t="str">
            <v>JAN</v>
          </cell>
          <cell r="H4" t="str">
            <v>FEB</v>
          </cell>
          <cell r="I4" t="str">
            <v>MAR</v>
          </cell>
          <cell r="J4" t="str">
            <v>APR</v>
          </cell>
          <cell r="K4" t="str">
            <v>MEI</v>
          </cell>
          <cell r="L4" t="str">
            <v>P1 JUN</v>
          </cell>
          <cell r="M4" t="str">
            <v>P2 DES</v>
          </cell>
          <cell r="N4" t="str">
            <v>JAN</v>
          </cell>
          <cell r="O4" t="str">
            <v>FEB</v>
          </cell>
          <cell r="P4" t="str">
            <v>MAR</v>
          </cell>
          <cell r="Q4" t="str">
            <v>APR</v>
          </cell>
          <cell r="R4" t="str">
            <v>MEI</v>
          </cell>
          <cell r="S4" t="str">
            <v>P1 JUN</v>
          </cell>
          <cell r="T4">
            <v>0</v>
          </cell>
          <cell r="U4" t="str">
            <v>P2 DES</v>
          </cell>
          <cell r="V4" t="str">
            <v>JAN</v>
          </cell>
          <cell r="W4" t="str">
            <v>FEB</v>
          </cell>
          <cell r="X4" t="str">
            <v>MAR</v>
          </cell>
          <cell r="Y4" t="str">
            <v>APR</v>
          </cell>
          <cell r="Z4" t="str">
            <v>MEI</v>
          </cell>
          <cell r="AA4" t="str">
            <v>P1 JUN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 t="str">
            <v>P2 JUN</v>
          </cell>
          <cell r="AQ4" t="str">
            <v>JUL</v>
          </cell>
          <cell r="AR4" t="str">
            <v>AUG</v>
          </cell>
          <cell r="AS4" t="str">
            <v>SEPT</v>
          </cell>
          <cell r="AT4" t="str">
            <v>OKT</v>
          </cell>
          <cell r="AU4" t="str">
            <v>NOV</v>
          </cell>
          <cell r="AV4" t="str">
            <v>P1 DES</v>
          </cell>
          <cell r="AW4" t="str">
            <v>JUL</v>
          </cell>
          <cell r="AX4" t="str">
            <v>AUG</v>
          </cell>
          <cell r="AY4" t="str">
            <v>SEPT</v>
          </cell>
          <cell r="AZ4" t="str">
            <v>OKT</v>
          </cell>
          <cell r="BA4" t="str">
            <v>NOV</v>
          </cell>
          <cell r="BB4" t="str">
            <v>JUL</v>
          </cell>
          <cell r="BC4" t="str">
            <v>AUG</v>
          </cell>
          <cell r="BD4" t="str">
            <v>SEPT</v>
          </cell>
          <cell r="BE4" t="str">
            <v>OKT</v>
          </cell>
          <cell r="BF4" t="str">
            <v>NOV</v>
          </cell>
          <cell r="BG4" t="str">
            <v>P2 JUN</v>
          </cell>
          <cell r="BH4" t="str">
            <v>JUL</v>
          </cell>
          <cell r="BI4" t="str">
            <v>AUG</v>
          </cell>
          <cell r="BJ4" t="str">
            <v>SEPT</v>
          </cell>
          <cell r="BK4" t="str">
            <v>OKT</v>
          </cell>
          <cell r="BL4" t="str">
            <v>NOV</v>
          </cell>
          <cell r="BM4" t="str">
            <v>P1 DES</v>
          </cell>
          <cell r="BN4">
            <v>0</v>
          </cell>
          <cell r="BO4" t="str">
            <v>P2 JUN</v>
          </cell>
          <cell r="BP4" t="str">
            <v>JUL</v>
          </cell>
          <cell r="BQ4" t="str">
            <v>AUG</v>
          </cell>
          <cell r="BR4" t="str">
            <v>SEPT</v>
          </cell>
          <cell r="BS4" t="str">
            <v>OKT</v>
          </cell>
          <cell r="BT4" t="str">
            <v>NOV</v>
          </cell>
          <cell r="BU4" t="str">
            <v>P1 DES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</row>
        <row r="5">
          <cell r="A5" t="str">
            <v>A0349</v>
          </cell>
          <cell r="B5" t="str">
            <v xml:space="preserve">Ahmad Zainal Arifin </v>
          </cell>
          <cell r="C5" t="str">
            <v>AAV</v>
          </cell>
          <cell r="D5" t="str">
            <v>31 juli 2023</v>
          </cell>
          <cell r="E5" t="str">
            <v>31 juli 2023</v>
          </cell>
          <cell r="F5" t="str">
            <v>REGULER</v>
          </cell>
          <cell r="G5" t="str">
            <v>REGULER</v>
          </cell>
          <cell r="H5" t="str">
            <v>REGULER</v>
          </cell>
          <cell r="I5" t="str">
            <v>EKSKLUSIF</v>
          </cell>
          <cell r="J5" t="str">
            <v>EKSKLUSIF</v>
          </cell>
          <cell r="K5" t="str">
            <v>EKSKLUSIF</v>
          </cell>
          <cell r="L5" t="str">
            <v>EKSKLUSIF</v>
          </cell>
          <cell r="M5">
            <v>17</v>
          </cell>
          <cell r="N5">
            <v>30</v>
          </cell>
          <cell r="O5">
            <v>18</v>
          </cell>
          <cell r="P5">
            <v>48</v>
          </cell>
          <cell r="Q5">
            <v>42</v>
          </cell>
          <cell r="R5">
            <v>26</v>
          </cell>
          <cell r="S5">
            <v>24</v>
          </cell>
          <cell r="T5">
            <v>205</v>
          </cell>
          <cell r="U5">
            <v>17</v>
          </cell>
          <cell r="V5">
            <v>30</v>
          </cell>
          <cell r="W5">
            <v>18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65</v>
          </cell>
          <cell r="AC5">
            <v>0</v>
          </cell>
          <cell r="AD5" t="str">
            <v>TIDAK</v>
          </cell>
          <cell r="AE5" t="str">
            <v>TIDAK</v>
          </cell>
          <cell r="AF5">
            <v>65</v>
          </cell>
          <cell r="AG5">
            <v>2</v>
          </cell>
          <cell r="AH5" t="str">
            <v>SAPHIRE</v>
          </cell>
          <cell r="AI5">
            <v>0</v>
          </cell>
          <cell r="AJ5" t="str">
            <v>Y</v>
          </cell>
          <cell r="AK5">
            <v>0</v>
          </cell>
          <cell r="AL5">
            <v>45261</v>
          </cell>
          <cell r="AM5">
            <v>45701</v>
          </cell>
          <cell r="AN5">
            <v>1</v>
          </cell>
          <cell r="AO5">
            <v>65</v>
          </cell>
          <cell r="AP5" t="str">
            <v>EKSKLUSIF</v>
          </cell>
          <cell r="AQ5" t="str">
            <v>-</v>
          </cell>
          <cell r="AR5" t="str">
            <v>EKSKLUSIF</v>
          </cell>
          <cell r="AS5" t="str">
            <v>EKSKLUSIF</v>
          </cell>
          <cell r="AT5" t="str">
            <v>EKSKLUSIF</v>
          </cell>
          <cell r="AU5" t="str">
            <v>EKSKLUSIF</v>
          </cell>
          <cell r="AV5" t="str">
            <v/>
          </cell>
          <cell r="AW5">
            <v>51</v>
          </cell>
          <cell r="AX5">
            <v>49</v>
          </cell>
          <cell r="AY5">
            <v>45</v>
          </cell>
          <cell r="AZ5">
            <v>55</v>
          </cell>
          <cell r="BA5">
            <v>44</v>
          </cell>
          <cell r="BB5">
            <v>51</v>
          </cell>
          <cell r="BC5">
            <v>49</v>
          </cell>
          <cell r="BD5">
            <v>45</v>
          </cell>
          <cell r="BE5">
            <v>55</v>
          </cell>
          <cell r="BF5">
            <v>44</v>
          </cell>
          <cell r="BG5">
            <v>24</v>
          </cell>
          <cell r="BH5">
            <v>51</v>
          </cell>
          <cell r="BI5">
            <v>49</v>
          </cell>
          <cell r="BJ5">
            <v>45</v>
          </cell>
          <cell r="BK5">
            <v>55</v>
          </cell>
          <cell r="BL5">
            <v>44</v>
          </cell>
          <cell r="BM5">
            <v>22</v>
          </cell>
          <cell r="BN5">
            <v>290</v>
          </cell>
          <cell r="BO5">
            <v>0</v>
          </cell>
          <cell r="BP5">
            <v>51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22</v>
          </cell>
          <cell r="BV5">
            <v>73</v>
          </cell>
          <cell r="BW5">
            <v>0</v>
          </cell>
          <cell r="BX5" t="str">
            <v>TIDAK</v>
          </cell>
          <cell r="BY5" t="str">
            <v>TIDAK</v>
          </cell>
        </row>
        <row r="6">
          <cell r="A6" t="str">
            <v>A0039</v>
          </cell>
          <cell r="B6" t="str">
            <v>Alfi Wahyu Zahara</v>
          </cell>
          <cell r="C6" t="str">
            <v>AAV</v>
          </cell>
          <cell r="D6">
            <v>44824</v>
          </cell>
          <cell r="E6" t="str">
            <v>Sep-22</v>
          </cell>
          <cell r="F6" t="str">
            <v>-</v>
          </cell>
          <cell r="G6" t="str">
            <v>REGULER</v>
          </cell>
          <cell r="H6" t="str">
            <v>-</v>
          </cell>
          <cell r="I6" t="str">
            <v>REGULER</v>
          </cell>
          <cell r="J6" t="str">
            <v>-</v>
          </cell>
          <cell r="K6" t="str">
            <v>-</v>
          </cell>
          <cell r="L6" t="str">
            <v>-</v>
          </cell>
          <cell r="M6">
            <v>0</v>
          </cell>
          <cell r="N6">
            <v>1</v>
          </cell>
          <cell r="O6">
            <v>0</v>
          </cell>
          <cell r="P6">
            <v>12</v>
          </cell>
          <cell r="Q6">
            <v>0</v>
          </cell>
          <cell r="R6">
            <v>0</v>
          </cell>
          <cell r="S6">
            <v>0</v>
          </cell>
          <cell r="T6">
            <v>13</v>
          </cell>
          <cell r="U6">
            <v>0</v>
          </cell>
          <cell r="V6">
            <v>1</v>
          </cell>
          <cell r="W6">
            <v>0</v>
          </cell>
          <cell r="X6">
            <v>12</v>
          </cell>
          <cell r="Y6">
            <v>0</v>
          </cell>
          <cell r="Z6">
            <v>0</v>
          </cell>
          <cell r="AA6">
            <v>0</v>
          </cell>
          <cell r="AB6">
            <v>13</v>
          </cell>
          <cell r="AC6">
            <v>5</v>
          </cell>
          <cell r="AD6" t="str">
            <v>DOWNGRADE</v>
          </cell>
          <cell r="AE6" t="str">
            <v>RESET</v>
          </cell>
          <cell r="AF6">
            <v>0</v>
          </cell>
          <cell r="AG6">
            <v>2</v>
          </cell>
          <cell r="AH6" t="str">
            <v>SAPHIRE</v>
          </cell>
          <cell r="AI6">
            <v>0</v>
          </cell>
          <cell r="AJ6" t="str">
            <v>FALSE</v>
          </cell>
          <cell r="AK6">
            <v>0</v>
          </cell>
          <cell r="AL6">
            <v>45261</v>
          </cell>
          <cell r="AM6">
            <v>45701</v>
          </cell>
          <cell r="AN6">
            <v>1</v>
          </cell>
          <cell r="AO6">
            <v>0</v>
          </cell>
          <cell r="AP6" t="str">
            <v>-</v>
          </cell>
          <cell r="AQ6" t="str">
            <v>-</v>
          </cell>
          <cell r="AR6" t="str">
            <v>-</v>
          </cell>
          <cell r="AS6" t="str">
            <v>-</v>
          </cell>
          <cell r="AT6" t="str">
            <v>-</v>
          </cell>
          <cell r="AU6" t="str">
            <v>-</v>
          </cell>
          <cell r="AV6" t="str">
            <v/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 t="str">
            <v/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 t="str">
            <v/>
          </cell>
          <cell r="BV6">
            <v>0</v>
          </cell>
          <cell r="BW6">
            <v>7</v>
          </cell>
          <cell r="BX6" t="str">
            <v>DOWNGRADE</v>
          </cell>
          <cell r="BY6" t="str">
            <v>RESET</v>
          </cell>
        </row>
        <row r="7">
          <cell r="A7" t="str">
            <v>A2554</v>
          </cell>
          <cell r="B7" t="str">
            <v>ALLIFYA ABIWANTARI</v>
          </cell>
          <cell r="C7" t="str">
            <v>AAV</v>
          </cell>
          <cell r="D7">
            <v>45415</v>
          </cell>
          <cell r="E7" t="str">
            <v>May-24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REGULER</v>
          </cell>
          <cell r="L7" t="str">
            <v>-</v>
          </cell>
          <cell r="M7">
            <v>0</v>
          </cell>
          <cell r="N7" t="str">
            <v/>
          </cell>
          <cell r="O7">
            <v>0</v>
          </cell>
          <cell r="P7">
            <v>0</v>
          </cell>
          <cell r="Q7">
            <v>0</v>
          </cell>
          <cell r="R7">
            <v>7</v>
          </cell>
          <cell r="S7">
            <v>0</v>
          </cell>
          <cell r="T7">
            <v>7</v>
          </cell>
          <cell r="U7">
            <v>0</v>
          </cell>
          <cell r="V7" t="str">
            <v/>
          </cell>
          <cell r="W7">
            <v>0</v>
          </cell>
          <cell r="X7">
            <v>0</v>
          </cell>
          <cell r="Y7">
            <v>0</v>
          </cell>
          <cell r="Z7">
            <v>7</v>
          </cell>
          <cell r="AA7">
            <v>0</v>
          </cell>
          <cell r="AB7">
            <v>7</v>
          </cell>
          <cell r="AC7">
            <v>1</v>
          </cell>
          <cell r="AD7" t="str">
            <v>TIDAK</v>
          </cell>
          <cell r="AE7" t="str">
            <v>TIDAK</v>
          </cell>
          <cell r="AF7">
            <v>7</v>
          </cell>
          <cell r="AG7">
            <v>1</v>
          </cell>
          <cell r="AH7" t="str">
            <v>SAPHIRE</v>
          </cell>
          <cell r="AI7">
            <v>0</v>
          </cell>
          <cell r="AJ7" t="str">
            <v>FALSE</v>
          </cell>
          <cell r="AK7">
            <v>0</v>
          </cell>
          <cell r="AL7">
            <v>45261</v>
          </cell>
          <cell r="AM7">
            <v>45701</v>
          </cell>
          <cell r="AN7">
            <v>1</v>
          </cell>
          <cell r="AO7">
            <v>7</v>
          </cell>
          <cell r="AP7" t="str">
            <v>-</v>
          </cell>
          <cell r="AQ7" t="str">
            <v>-</v>
          </cell>
          <cell r="AR7" t="str">
            <v>-</v>
          </cell>
          <cell r="AS7" t="str">
            <v>-</v>
          </cell>
          <cell r="AT7" t="str">
            <v>-</v>
          </cell>
          <cell r="AU7" t="str">
            <v>-</v>
          </cell>
          <cell r="AV7" t="str">
            <v/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12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12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 t="str">
            <v/>
          </cell>
          <cell r="BN7">
            <v>12</v>
          </cell>
          <cell r="BO7">
            <v>0</v>
          </cell>
          <cell r="BP7">
            <v>12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 t="str">
            <v/>
          </cell>
          <cell r="BV7">
            <v>12</v>
          </cell>
          <cell r="BW7">
            <v>6</v>
          </cell>
          <cell r="BX7" t="str">
            <v>DOWNGRADE</v>
          </cell>
          <cell r="BY7" t="str">
            <v>RESET</v>
          </cell>
        </row>
        <row r="8">
          <cell r="A8">
            <v>90170</v>
          </cell>
          <cell r="B8" t="str">
            <v>Amri Rohmatini</v>
          </cell>
          <cell r="C8" t="str">
            <v>AAV</v>
          </cell>
          <cell r="D8">
            <v>44303</v>
          </cell>
          <cell r="E8" t="str">
            <v>Apr-21</v>
          </cell>
          <cell r="F8" t="str">
            <v>REGULER</v>
          </cell>
          <cell r="G8" t="str">
            <v>REGULER</v>
          </cell>
          <cell r="H8" t="str">
            <v>REGULER</v>
          </cell>
          <cell r="I8" t="str">
            <v>REGULER</v>
          </cell>
          <cell r="J8" t="str">
            <v>REGULER</v>
          </cell>
          <cell r="K8" t="str">
            <v>REGULER</v>
          </cell>
          <cell r="L8" t="str">
            <v>REGULER</v>
          </cell>
          <cell r="M8">
            <v>8</v>
          </cell>
          <cell r="N8">
            <v>25</v>
          </cell>
          <cell r="O8">
            <v>22</v>
          </cell>
          <cell r="P8">
            <v>23</v>
          </cell>
          <cell r="Q8">
            <v>17</v>
          </cell>
          <cell r="R8">
            <v>14</v>
          </cell>
          <cell r="S8">
            <v>9</v>
          </cell>
          <cell r="T8">
            <v>118</v>
          </cell>
          <cell r="U8">
            <v>8</v>
          </cell>
          <cell r="V8">
            <v>25</v>
          </cell>
          <cell r="W8">
            <v>22</v>
          </cell>
          <cell r="X8">
            <v>23</v>
          </cell>
          <cell r="Y8">
            <v>17</v>
          </cell>
          <cell r="Z8">
            <v>14</v>
          </cell>
          <cell r="AA8">
            <v>9</v>
          </cell>
          <cell r="AB8">
            <v>118</v>
          </cell>
          <cell r="AC8">
            <v>0</v>
          </cell>
          <cell r="AD8" t="str">
            <v>TIDAK</v>
          </cell>
          <cell r="AE8" t="str">
            <v>TIDAK</v>
          </cell>
          <cell r="AF8">
            <v>118</v>
          </cell>
          <cell r="AG8">
            <v>2</v>
          </cell>
          <cell r="AH8" t="str">
            <v>SAPHIRE</v>
          </cell>
          <cell r="AI8">
            <v>65</v>
          </cell>
          <cell r="AJ8" t="str">
            <v>Y</v>
          </cell>
          <cell r="AK8">
            <v>0</v>
          </cell>
          <cell r="AL8">
            <v>45261</v>
          </cell>
          <cell r="AM8">
            <v>45701</v>
          </cell>
          <cell r="AN8">
            <v>1</v>
          </cell>
          <cell r="AO8">
            <v>53</v>
          </cell>
          <cell r="AP8" t="str">
            <v>-</v>
          </cell>
          <cell r="AQ8" t="str">
            <v>-</v>
          </cell>
          <cell r="AR8" t="str">
            <v>REGULER</v>
          </cell>
          <cell r="AS8" t="str">
            <v>REGULER</v>
          </cell>
          <cell r="AT8" t="str">
            <v>REGULER</v>
          </cell>
          <cell r="AU8" t="str">
            <v>REGULER</v>
          </cell>
          <cell r="AV8" t="str">
            <v/>
          </cell>
          <cell r="AW8">
            <v>24</v>
          </cell>
          <cell r="AX8">
            <v>25</v>
          </cell>
          <cell r="AY8">
            <v>22</v>
          </cell>
          <cell r="AZ8">
            <v>27</v>
          </cell>
          <cell r="BA8">
            <v>25</v>
          </cell>
          <cell r="BB8">
            <v>24</v>
          </cell>
          <cell r="BC8">
            <v>25</v>
          </cell>
          <cell r="BD8">
            <v>22</v>
          </cell>
          <cell r="BE8">
            <v>27</v>
          </cell>
          <cell r="BF8">
            <v>25</v>
          </cell>
          <cell r="BG8">
            <v>12</v>
          </cell>
          <cell r="BH8">
            <v>24</v>
          </cell>
          <cell r="BI8">
            <v>25</v>
          </cell>
          <cell r="BJ8">
            <v>22</v>
          </cell>
          <cell r="BK8">
            <v>27</v>
          </cell>
          <cell r="BL8">
            <v>25</v>
          </cell>
          <cell r="BM8">
            <v>12</v>
          </cell>
          <cell r="BN8">
            <v>147</v>
          </cell>
          <cell r="BO8">
            <v>12</v>
          </cell>
          <cell r="BP8">
            <v>24</v>
          </cell>
          <cell r="BQ8">
            <v>25</v>
          </cell>
          <cell r="BR8">
            <v>22</v>
          </cell>
          <cell r="BS8">
            <v>27</v>
          </cell>
          <cell r="BT8">
            <v>25</v>
          </cell>
          <cell r="BU8">
            <v>12</v>
          </cell>
          <cell r="BV8">
            <v>147</v>
          </cell>
          <cell r="BW8">
            <v>0</v>
          </cell>
          <cell r="BX8" t="str">
            <v>TIDAK</v>
          </cell>
          <cell r="BY8" t="str">
            <v>TIDAK</v>
          </cell>
        </row>
        <row r="9">
          <cell r="A9">
            <v>92500</v>
          </cell>
          <cell r="B9" t="str">
            <v>Aulia Farah</v>
          </cell>
          <cell r="C9" t="str">
            <v>AAV</v>
          </cell>
          <cell r="D9" t="str">
            <v>27 Juni 2022</v>
          </cell>
          <cell r="E9" t="str">
            <v>27 Juni 2022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REGULER</v>
          </cell>
          <cell r="L9" t="str">
            <v>REGULER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10</v>
          </cell>
          <cell r="S9">
            <v>2</v>
          </cell>
          <cell r="T9">
            <v>12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10</v>
          </cell>
          <cell r="AA9">
            <v>2</v>
          </cell>
          <cell r="AB9">
            <v>12</v>
          </cell>
          <cell r="AC9">
            <v>5</v>
          </cell>
          <cell r="AD9" t="str">
            <v>DOWNGRADE</v>
          </cell>
          <cell r="AE9" t="str">
            <v>RESET</v>
          </cell>
          <cell r="AF9">
            <v>0</v>
          </cell>
          <cell r="AG9">
            <v>1</v>
          </cell>
          <cell r="AH9" t="str">
            <v>SAPHIRE</v>
          </cell>
          <cell r="AI9">
            <v>0</v>
          </cell>
          <cell r="AJ9" t="str">
            <v>FALSE</v>
          </cell>
          <cell r="AK9">
            <v>0</v>
          </cell>
          <cell r="AL9">
            <v>45261</v>
          </cell>
          <cell r="AM9">
            <v>45701</v>
          </cell>
          <cell r="AN9">
            <v>1</v>
          </cell>
          <cell r="AO9">
            <v>0</v>
          </cell>
          <cell r="AP9" t="str">
            <v>-</v>
          </cell>
          <cell r="AQ9" t="str">
            <v>-</v>
          </cell>
          <cell r="AR9" t="str">
            <v>REGULER</v>
          </cell>
          <cell r="AS9" t="str">
            <v>-</v>
          </cell>
          <cell r="AT9" t="str">
            <v>-</v>
          </cell>
          <cell r="AU9" t="str">
            <v>-</v>
          </cell>
          <cell r="AV9" t="str">
            <v/>
          </cell>
          <cell r="AW9">
            <v>0</v>
          </cell>
          <cell r="AX9">
            <v>4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4</v>
          </cell>
          <cell r="BD9">
            <v>0</v>
          </cell>
          <cell r="BE9">
            <v>0</v>
          </cell>
          <cell r="BF9">
            <v>0</v>
          </cell>
          <cell r="BG9">
            <v>6</v>
          </cell>
          <cell r="BH9">
            <v>0</v>
          </cell>
          <cell r="BI9">
            <v>4</v>
          </cell>
          <cell r="BJ9">
            <v>0</v>
          </cell>
          <cell r="BK9">
            <v>0</v>
          </cell>
          <cell r="BL9">
            <v>0</v>
          </cell>
          <cell r="BM9" t="str">
            <v/>
          </cell>
          <cell r="BN9">
            <v>10</v>
          </cell>
          <cell r="BO9">
            <v>6</v>
          </cell>
          <cell r="BP9">
            <v>0</v>
          </cell>
          <cell r="BQ9">
            <v>4</v>
          </cell>
          <cell r="BR9">
            <v>0</v>
          </cell>
          <cell r="BS9">
            <v>0</v>
          </cell>
          <cell r="BT9">
            <v>0</v>
          </cell>
          <cell r="BU9" t="str">
            <v/>
          </cell>
          <cell r="BV9">
            <v>10</v>
          </cell>
          <cell r="BW9">
            <v>5</v>
          </cell>
          <cell r="BX9" t="str">
            <v>DOWNGRADE</v>
          </cell>
          <cell r="BY9" t="str">
            <v>RESET</v>
          </cell>
        </row>
        <row r="10">
          <cell r="A10" t="str">
            <v>A2873</v>
          </cell>
          <cell r="B10" t="str">
            <v>Christopher Laksawana</v>
          </cell>
          <cell r="C10" t="str">
            <v>AAV</v>
          </cell>
          <cell r="D10">
            <v>45185</v>
          </cell>
          <cell r="E10" t="str">
            <v>Sep-23</v>
          </cell>
          <cell r="F10" t="str">
            <v>REGULER</v>
          </cell>
          <cell r="G10" t="str">
            <v>REGULER</v>
          </cell>
          <cell r="H10" t="str">
            <v>REGULER</v>
          </cell>
          <cell r="I10" t="str">
            <v>EKSKLUSIF</v>
          </cell>
          <cell r="J10" t="str">
            <v>EKSKLUSIF</v>
          </cell>
          <cell r="K10" t="str">
            <v>EKSKLUSIF</v>
          </cell>
          <cell r="L10" t="str">
            <v>EKSKLUSIF</v>
          </cell>
          <cell r="M10">
            <v>0</v>
          </cell>
          <cell r="N10">
            <v>28</v>
          </cell>
          <cell r="O10">
            <v>22</v>
          </cell>
          <cell r="P10">
            <v>47</v>
          </cell>
          <cell r="Q10">
            <v>44</v>
          </cell>
          <cell r="R10">
            <v>26</v>
          </cell>
          <cell r="S10">
            <v>24</v>
          </cell>
          <cell r="T10">
            <v>191</v>
          </cell>
          <cell r="U10">
            <v>0</v>
          </cell>
          <cell r="V10">
            <v>28</v>
          </cell>
          <cell r="W10">
            <v>22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50</v>
          </cell>
          <cell r="AC10">
            <v>1</v>
          </cell>
          <cell r="AD10" t="str">
            <v>TIDAK</v>
          </cell>
          <cell r="AE10" t="str">
            <v>TIDAK</v>
          </cell>
          <cell r="AF10">
            <v>50</v>
          </cell>
          <cell r="AG10">
            <v>2</v>
          </cell>
          <cell r="AH10" t="str">
            <v>SAPHIRE</v>
          </cell>
          <cell r="AI10">
            <v>0</v>
          </cell>
          <cell r="AJ10" t="str">
            <v>FALSE</v>
          </cell>
          <cell r="AK10">
            <v>0</v>
          </cell>
          <cell r="AL10">
            <v>45261</v>
          </cell>
          <cell r="AM10">
            <v>45701</v>
          </cell>
          <cell r="AN10">
            <v>1</v>
          </cell>
          <cell r="AO10">
            <v>50</v>
          </cell>
          <cell r="AP10" t="str">
            <v>EKSKLUSIF</v>
          </cell>
          <cell r="AQ10" t="str">
            <v>-</v>
          </cell>
          <cell r="AR10" t="str">
            <v>EKSKLUSIF</v>
          </cell>
          <cell r="AS10" t="str">
            <v>EKSKLUSIF</v>
          </cell>
          <cell r="AT10" t="str">
            <v>EKSKLUSIF</v>
          </cell>
          <cell r="AU10" t="str">
            <v>EKSKLUSIF</v>
          </cell>
          <cell r="AV10" t="str">
            <v/>
          </cell>
          <cell r="AW10">
            <v>53</v>
          </cell>
          <cell r="AX10">
            <v>50</v>
          </cell>
          <cell r="AY10">
            <v>48</v>
          </cell>
          <cell r="AZ10">
            <v>54</v>
          </cell>
          <cell r="BA10">
            <v>47</v>
          </cell>
          <cell r="BB10">
            <v>53</v>
          </cell>
          <cell r="BC10">
            <v>50</v>
          </cell>
          <cell r="BD10">
            <v>48</v>
          </cell>
          <cell r="BE10">
            <v>54</v>
          </cell>
          <cell r="BF10">
            <v>47</v>
          </cell>
          <cell r="BG10">
            <v>22</v>
          </cell>
          <cell r="BH10">
            <v>53</v>
          </cell>
          <cell r="BI10">
            <v>50</v>
          </cell>
          <cell r="BJ10">
            <v>48</v>
          </cell>
          <cell r="BK10">
            <v>54</v>
          </cell>
          <cell r="BL10">
            <v>47</v>
          </cell>
          <cell r="BM10">
            <v>22</v>
          </cell>
          <cell r="BN10">
            <v>296</v>
          </cell>
          <cell r="BO10">
            <v>0</v>
          </cell>
          <cell r="BP10">
            <v>53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22</v>
          </cell>
          <cell r="BV10">
            <v>75</v>
          </cell>
          <cell r="BW10">
            <v>0</v>
          </cell>
          <cell r="BX10" t="str">
            <v>TIDAK</v>
          </cell>
          <cell r="BY10" t="str">
            <v>TIDAK</v>
          </cell>
        </row>
        <row r="11">
          <cell r="A11">
            <v>90547</v>
          </cell>
          <cell r="B11" t="str">
            <v>Dhimas Fajar</v>
          </cell>
          <cell r="C11" t="str">
            <v>AAV</v>
          </cell>
          <cell r="D11" t="str">
            <v>26 Juni 2021</v>
          </cell>
          <cell r="E11" t="str">
            <v>26 Juni 2021</v>
          </cell>
          <cell r="F11" t="str">
            <v>EKSKLUSIF</v>
          </cell>
          <cell r="G11" t="str">
            <v>EKSKLUSIF</v>
          </cell>
          <cell r="H11" t="str">
            <v>REGULER</v>
          </cell>
          <cell r="I11" t="str">
            <v>-</v>
          </cell>
          <cell r="J11" t="str">
            <v>-</v>
          </cell>
          <cell r="K11" t="str">
            <v>-</v>
          </cell>
          <cell r="L11" t="str">
            <v>-</v>
          </cell>
          <cell r="M11">
            <v>24</v>
          </cell>
          <cell r="N11">
            <v>49</v>
          </cell>
          <cell r="O11">
            <v>24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97</v>
          </cell>
          <cell r="U11">
            <v>0</v>
          </cell>
          <cell r="V11">
            <v>0</v>
          </cell>
          <cell r="W11">
            <v>24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24</v>
          </cell>
          <cell r="AC11">
            <v>4</v>
          </cell>
          <cell r="AD11" t="str">
            <v>DOWNGRADE</v>
          </cell>
          <cell r="AE11" t="str">
            <v>RESET</v>
          </cell>
          <cell r="AF11">
            <v>0</v>
          </cell>
          <cell r="AG11">
            <v>2</v>
          </cell>
          <cell r="AH11" t="str">
            <v>SAPHIRE</v>
          </cell>
          <cell r="AI11">
            <v>0</v>
          </cell>
          <cell r="AJ11" t="str">
            <v>FALSE</v>
          </cell>
          <cell r="AK11">
            <v>0</v>
          </cell>
          <cell r="AL11">
            <v>45261</v>
          </cell>
          <cell r="AM11">
            <v>45701</v>
          </cell>
          <cell r="AN11">
            <v>1</v>
          </cell>
          <cell r="AO11">
            <v>0</v>
          </cell>
          <cell r="AP11" t="str">
            <v>-</v>
          </cell>
          <cell r="AQ11" t="str">
            <v>-</v>
          </cell>
          <cell r="AR11" t="str">
            <v>-</v>
          </cell>
          <cell r="AS11" t="str">
            <v>-</v>
          </cell>
          <cell r="AT11" t="str">
            <v>-</v>
          </cell>
          <cell r="AU11" t="str">
            <v>-</v>
          </cell>
          <cell r="AV11" t="str">
            <v/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 t="str">
            <v/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 t="str">
            <v/>
          </cell>
          <cell r="BV11">
            <v>0</v>
          </cell>
          <cell r="BW11">
            <v>7</v>
          </cell>
          <cell r="BX11" t="str">
            <v>DOWNGRADE</v>
          </cell>
          <cell r="BY11" t="str">
            <v>RESET</v>
          </cell>
        </row>
        <row r="12">
          <cell r="A12" t="str">
            <v>A0525</v>
          </cell>
          <cell r="B12" t="str">
            <v>Elisa Bayusri</v>
          </cell>
          <cell r="C12" t="str">
            <v>AAV</v>
          </cell>
          <cell r="D12">
            <v>44895</v>
          </cell>
          <cell r="E12" t="str">
            <v>Nov-22</v>
          </cell>
          <cell r="F12" t="str">
            <v>EKSKLUSIF</v>
          </cell>
          <cell r="G12" t="str">
            <v>EKSKLUSIF</v>
          </cell>
          <cell r="H12" t="str">
            <v>EKSKLUSIF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>
            <v>24</v>
          </cell>
          <cell r="N12">
            <v>51</v>
          </cell>
          <cell r="O12">
            <v>42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117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4</v>
          </cell>
          <cell r="AD12" t="str">
            <v>DOWNGRADE</v>
          </cell>
          <cell r="AE12" t="str">
            <v>RESET</v>
          </cell>
          <cell r="AF12">
            <v>0</v>
          </cell>
          <cell r="AG12">
            <v>3</v>
          </cell>
          <cell r="AH12" t="str">
            <v>SAPHIRE</v>
          </cell>
          <cell r="AI12">
            <v>0</v>
          </cell>
          <cell r="AJ12" t="str">
            <v>FALSE</v>
          </cell>
          <cell r="AK12">
            <v>0</v>
          </cell>
          <cell r="AL12">
            <v>45261</v>
          </cell>
          <cell r="AM12">
            <v>45701</v>
          </cell>
          <cell r="AN12">
            <v>1</v>
          </cell>
          <cell r="AO12">
            <v>0</v>
          </cell>
          <cell r="AP12" t="str">
            <v>-</v>
          </cell>
          <cell r="AQ12" t="str">
            <v>-</v>
          </cell>
          <cell r="AR12" t="str">
            <v>-</v>
          </cell>
          <cell r="AS12" t="str">
            <v>-</v>
          </cell>
          <cell r="AT12" t="str">
            <v>-</v>
          </cell>
          <cell r="AU12" t="str">
            <v>-</v>
          </cell>
          <cell r="AV12" t="str">
            <v/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 t="str">
            <v/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 t="str">
            <v/>
          </cell>
          <cell r="BV12">
            <v>0</v>
          </cell>
          <cell r="BW12">
            <v>7</v>
          </cell>
          <cell r="BX12" t="str">
            <v>DOWNGRADE</v>
          </cell>
          <cell r="BY12" t="str">
            <v>RESET</v>
          </cell>
        </row>
        <row r="13">
          <cell r="A13">
            <v>90565</v>
          </cell>
          <cell r="B13" t="str">
            <v>Elisabeth Yovita Nathania</v>
          </cell>
          <cell r="C13" t="str">
            <v>AAV</v>
          </cell>
          <cell r="D13" t="str">
            <v>5 Juli 2021</v>
          </cell>
          <cell r="E13" t="str">
            <v>5 Juli 2021</v>
          </cell>
          <cell r="F13" t="str">
            <v>REGULER</v>
          </cell>
          <cell r="G13" t="str">
            <v>REGULER</v>
          </cell>
          <cell r="H13" t="str">
            <v>REGULER</v>
          </cell>
          <cell r="I13" t="str">
            <v>REGULER</v>
          </cell>
          <cell r="J13" t="str">
            <v>REGULER</v>
          </cell>
          <cell r="K13" t="str">
            <v>REGULER</v>
          </cell>
          <cell r="L13" t="str">
            <v>-</v>
          </cell>
          <cell r="M13">
            <v>9</v>
          </cell>
          <cell r="N13">
            <v>18</v>
          </cell>
          <cell r="O13">
            <v>20</v>
          </cell>
          <cell r="P13">
            <v>35</v>
          </cell>
          <cell r="Q13">
            <v>30</v>
          </cell>
          <cell r="R13">
            <v>17</v>
          </cell>
          <cell r="S13">
            <v>0</v>
          </cell>
          <cell r="T13">
            <v>129</v>
          </cell>
          <cell r="U13">
            <v>9</v>
          </cell>
          <cell r="V13">
            <v>18</v>
          </cell>
          <cell r="W13">
            <v>20</v>
          </cell>
          <cell r="X13">
            <v>35</v>
          </cell>
          <cell r="Y13">
            <v>30</v>
          </cell>
          <cell r="Z13">
            <v>17</v>
          </cell>
          <cell r="AA13">
            <v>0</v>
          </cell>
          <cell r="AB13">
            <v>129</v>
          </cell>
          <cell r="AC13">
            <v>1</v>
          </cell>
          <cell r="AD13" t="str">
            <v>TIDAK</v>
          </cell>
          <cell r="AE13" t="str">
            <v>TIDAK</v>
          </cell>
          <cell r="AF13">
            <v>129</v>
          </cell>
          <cell r="AG13">
            <v>2</v>
          </cell>
          <cell r="AH13" t="str">
            <v>SAPHIRE</v>
          </cell>
          <cell r="AI13">
            <v>0</v>
          </cell>
          <cell r="AJ13" t="str">
            <v>Y</v>
          </cell>
          <cell r="AK13">
            <v>0</v>
          </cell>
          <cell r="AL13">
            <v>45261</v>
          </cell>
          <cell r="AM13">
            <v>45701</v>
          </cell>
          <cell r="AN13">
            <v>1</v>
          </cell>
          <cell r="AO13">
            <v>129</v>
          </cell>
          <cell r="AP13" t="str">
            <v>-</v>
          </cell>
          <cell r="AQ13" t="str">
            <v>-</v>
          </cell>
          <cell r="AR13" t="str">
            <v>REGULER</v>
          </cell>
          <cell r="AS13" t="str">
            <v>REGULER</v>
          </cell>
          <cell r="AT13" t="str">
            <v>REGULER</v>
          </cell>
          <cell r="AU13" t="str">
            <v>REGULER</v>
          </cell>
          <cell r="AV13" t="str">
            <v/>
          </cell>
          <cell r="AW13">
            <v>0</v>
          </cell>
          <cell r="AX13">
            <v>20</v>
          </cell>
          <cell r="AY13">
            <v>43</v>
          </cell>
          <cell r="AZ13">
            <v>30</v>
          </cell>
          <cell r="BA13">
            <v>35</v>
          </cell>
          <cell r="BB13">
            <v>0</v>
          </cell>
          <cell r="BC13">
            <v>20</v>
          </cell>
          <cell r="BD13">
            <v>43</v>
          </cell>
          <cell r="BE13">
            <v>30</v>
          </cell>
          <cell r="BF13">
            <v>35</v>
          </cell>
          <cell r="BG13">
            <v>0</v>
          </cell>
          <cell r="BH13">
            <v>0</v>
          </cell>
          <cell r="BI13">
            <v>20</v>
          </cell>
          <cell r="BJ13">
            <v>43</v>
          </cell>
          <cell r="BK13">
            <v>30</v>
          </cell>
          <cell r="BL13">
            <v>35</v>
          </cell>
          <cell r="BM13">
            <v>11</v>
          </cell>
          <cell r="BN13">
            <v>139</v>
          </cell>
          <cell r="BO13">
            <v>0</v>
          </cell>
          <cell r="BP13">
            <v>0</v>
          </cell>
          <cell r="BQ13">
            <v>20</v>
          </cell>
          <cell r="BR13">
            <v>43</v>
          </cell>
          <cell r="BS13">
            <v>30</v>
          </cell>
          <cell r="BT13">
            <v>35</v>
          </cell>
          <cell r="BU13">
            <v>11</v>
          </cell>
          <cell r="BV13">
            <v>139</v>
          </cell>
          <cell r="BW13">
            <v>2</v>
          </cell>
          <cell r="BX13" t="str">
            <v>TIDAK</v>
          </cell>
          <cell r="BY13" t="str">
            <v>TIDAK</v>
          </cell>
        </row>
        <row r="14">
          <cell r="A14" t="str">
            <v>A2879</v>
          </cell>
          <cell r="B14" t="str">
            <v>Fauzi</v>
          </cell>
          <cell r="C14" t="str">
            <v>AAV</v>
          </cell>
          <cell r="D14">
            <v>45185</v>
          </cell>
          <cell r="E14" t="str">
            <v>Sep-23</v>
          </cell>
          <cell r="F14" t="str">
            <v>REGULER</v>
          </cell>
          <cell r="G14" t="str">
            <v>REGULER</v>
          </cell>
          <cell r="H14" t="str">
            <v>REGULER</v>
          </cell>
          <cell r="I14" t="str">
            <v>REGULER</v>
          </cell>
          <cell r="J14" t="str">
            <v>-</v>
          </cell>
          <cell r="K14" t="str">
            <v>REGULER</v>
          </cell>
          <cell r="L14" t="str">
            <v>REGULER</v>
          </cell>
          <cell r="M14">
            <v>11</v>
          </cell>
          <cell r="N14">
            <v>12</v>
          </cell>
          <cell r="O14">
            <v>2</v>
          </cell>
          <cell r="P14">
            <v>18</v>
          </cell>
          <cell r="Q14">
            <v>0</v>
          </cell>
          <cell r="R14">
            <v>19</v>
          </cell>
          <cell r="S14">
            <v>6</v>
          </cell>
          <cell r="T14">
            <v>68</v>
          </cell>
          <cell r="U14">
            <v>11</v>
          </cell>
          <cell r="V14">
            <v>12</v>
          </cell>
          <cell r="W14">
            <v>2</v>
          </cell>
          <cell r="X14">
            <v>18</v>
          </cell>
          <cell r="Y14">
            <v>0</v>
          </cell>
          <cell r="Z14">
            <v>19</v>
          </cell>
          <cell r="AA14">
            <v>6</v>
          </cell>
          <cell r="AB14">
            <v>68</v>
          </cell>
          <cell r="AC14">
            <v>1</v>
          </cell>
          <cell r="AD14" t="str">
            <v>TIDAK</v>
          </cell>
          <cell r="AE14" t="str">
            <v>TIDAK</v>
          </cell>
          <cell r="AF14">
            <v>68</v>
          </cell>
          <cell r="AG14">
            <v>2</v>
          </cell>
          <cell r="AH14" t="str">
            <v>SAPHIRE</v>
          </cell>
          <cell r="AI14">
            <v>0</v>
          </cell>
          <cell r="AJ14" t="str">
            <v>Y</v>
          </cell>
          <cell r="AK14">
            <v>0</v>
          </cell>
          <cell r="AL14">
            <v>45261</v>
          </cell>
          <cell r="AM14">
            <v>45701</v>
          </cell>
          <cell r="AN14">
            <v>1</v>
          </cell>
          <cell r="AO14">
            <v>68</v>
          </cell>
          <cell r="AP14" t="str">
            <v>-</v>
          </cell>
          <cell r="AQ14" t="str">
            <v>-</v>
          </cell>
          <cell r="AR14" t="str">
            <v>REGULER</v>
          </cell>
          <cell r="AS14" t="str">
            <v>REGULER</v>
          </cell>
          <cell r="AT14" t="str">
            <v>REGULER</v>
          </cell>
          <cell r="AU14" t="str">
            <v>REGULER</v>
          </cell>
          <cell r="AV14" t="str">
            <v/>
          </cell>
          <cell r="AW14">
            <v>27</v>
          </cell>
          <cell r="AX14">
            <v>36</v>
          </cell>
          <cell r="AY14">
            <v>12</v>
          </cell>
          <cell r="AZ14">
            <v>27</v>
          </cell>
          <cell r="BA14">
            <v>30</v>
          </cell>
          <cell r="BB14">
            <v>27</v>
          </cell>
          <cell r="BC14">
            <v>36</v>
          </cell>
          <cell r="BD14">
            <v>12</v>
          </cell>
          <cell r="BE14">
            <v>27</v>
          </cell>
          <cell r="BF14">
            <v>30</v>
          </cell>
          <cell r="BG14">
            <v>15</v>
          </cell>
          <cell r="BH14">
            <v>27</v>
          </cell>
          <cell r="BI14">
            <v>36</v>
          </cell>
          <cell r="BJ14">
            <v>12</v>
          </cell>
          <cell r="BK14">
            <v>27</v>
          </cell>
          <cell r="BL14">
            <v>30</v>
          </cell>
          <cell r="BM14">
            <v>19</v>
          </cell>
          <cell r="BN14">
            <v>166</v>
          </cell>
          <cell r="BO14">
            <v>15</v>
          </cell>
          <cell r="BP14">
            <v>27</v>
          </cell>
          <cell r="BQ14">
            <v>36</v>
          </cell>
          <cell r="BR14">
            <v>12</v>
          </cell>
          <cell r="BS14">
            <v>27</v>
          </cell>
          <cell r="BT14">
            <v>30</v>
          </cell>
          <cell r="BU14">
            <v>19</v>
          </cell>
          <cell r="BV14">
            <v>166</v>
          </cell>
          <cell r="BW14">
            <v>0</v>
          </cell>
          <cell r="BX14" t="str">
            <v>TIDAK</v>
          </cell>
          <cell r="BY14" t="str">
            <v>TIDAK</v>
          </cell>
        </row>
        <row r="15">
          <cell r="A15" t="str">
            <v>A1941</v>
          </cell>
          <cell r="B15" t="str">
            <v>Hana Christina</v>
          </cell>
          <cell r="C15" t="str">
            <v>AAV</v>
          </cell>
          <cell r="D15">
            <v>45005</v>
          </cell>
          <cell r="E15" t="str">
            <v>Mar-23</v>
          </cell>
          <cell r="F15" t="str">
            <v>REGULER</v>
          </cell>
          <cell r="G15" t="str">
            <v>REGULER</v>
          </cell>
          <cell r="H15" t="str">
            <v>REGULER</v>
          </cell>
          <cell r="I15" t="str">
            <v>REGULER</v>
          </cell>
          <cell r="J15" t="str">
            <v>REGULER</v>
          </cell>
          <cell r="K15" t="str">
            <v>REGULER</v>
          </cell>
          <cell r="L15" t="str">
            <v>REGULER</v>
          </cell>
          <cell r="M15">
            <v>1</v>
          </cell>
          <cell r="N15">
            <v>3</v>
          </cell>
          <cell r="O15">
            <v>5</v>
          </cell>
          <cell r="P15">
            <v>3</v>
          </cell>
          <cell r="Q15">
            <v>3</v>
          </cell>
          <cell r="R15">
            <v>2</v>
          </cell>
          <cell r="S15">
            <v>1</v>
          </cell>
          <cell r="T15">
            <v>18</v>
          </cell>
          <cell r="U15">
            <v>1</v>
          </cell>
          <cell r="V15">
            <v>3</v>
          </cell>
          <cell r="W15">
            <v>5</v>
          </cell>
          <cell r="X15">
            <v>3</v>
          </cell>
          <cell r="Y15">
            <v>3</v>
          </cell>
          <cell r="Z15">
            <v>2</v>
          </cell>
          <cell r="AA15">
            <v>1</v>
          </cell>
          <cell r="AB15">
            <v>18</v>
          </cell>
          <cell r="AC15">
            <v>0</v>
          </cell>
          <cell r="AD15" t="str">
            <v>TIDAK</v>
          </cell>
          <cell r="AE15" t="str">
            <v>TIDAK</v>
          </cell>
          <cell r="AF15">
            <v>18</v>
          </cell>
          <cell r="AG15">
            <v>1</v>
          </cell>
          <cell r="AH15" t="str">
            <v>SAPHIRE</v>
          </cell>
          <cell r="AI15">
            <v>0</v>
          </cell>
          <cell r="AJ15" t="str">
            <v>FALSE</v>
          </cell>
          <cell r="AK15">
            <v>0</v>
          </cell>
          <cell r="AL15">
            <v>45261</v>
          </cell>
          <cell r="AM15">
            <v>45701</v>
          </cell>
          <cell r="AN15">
            <v>1</v>
          </cell>
          <cell r="AO15">
            <v>18</v>
          </cell>
          <cell r="AP15" t="str">
            <v>-</v>
          </cell>
          <cell r="AQ15" t="str">
            <v>-</v>
          </cell>
          <cell r="AR15" t="str">
            <v>REGULER</v>
          </cell>
          <cell r="AS15" t="str">
            <v>REGULER</v>
          </cell>
          <cell r="AT15" t="str">
            <v>REGULER</v>
          </cell>
          <cell r="AU15" t="str">
            <v>REGULER</v>
          </cell>
          <cell r="AV15" t="str">
            <v/>
          </cell>
          <cell r="AW15">
            <v>8</v>
          </cell>
          <cell r="AX15">
            <v>10</v>
          </cell>
          <cell r="AY15">
            <v>5</v>
          </cell>
          <cell r="AZ15">
            <v>6</v>
          </cell>
          <cell r="BA15">
            <v>5</v>
          </cell>
          <cell r="BB15">
            <v>8</v>
          </cell>
          <cell r="BC15">
            <v>10</v>
          </cell>
          <cell r="BD15">
            <v>5</v>
          </cell>
          <cell r="BE15">
            <v>6</v>
          </cell>
          <cell r="BF15">
            <v>5</v>
          </cell>
          <cell r="BG15">
            <v>0</v>
          </cell>
          <cell r="BH15">
            <v>8</v>
          </cell>
          <cell r="BI15">
            <v>10</v>
          </cell>
          <cell r="BJ15">
            <v>5</v>
          </cell>
          <cell r="BK15">
            <v>6</v>
          </cell>
          <cell r="BL15">
            <v>5</v>
          </cell>
          <cell r="BM15">
            <v>1</v>
          </cell>
          <cell r="BN15">
            <v>35</v>
          </cell>
          <cell r="BO15">
            <v>0</v>
          </cell>
          <cell r="BP15">
            <v>8</v>
          </cell>
          <cell r="BQ15">
            <v>10</v>
          </cell>
          <cell r="BR15">
            <v>5</v>
          </cell>
          <cell r="BS15">
            <v>6</v>
          </cell>
          <cell r="BT15">
            <v>5</v>
          </cell>
          <cell r="BU15">
            <v>1</v>
          </cell>
          <cell r="BV15">
            <v>35</v>
          </cell>
          <cell r="BW15">
            <v>1</v>
          </cell>
          <cell r="BX15" t="str">
            <v>TIDAK</v>
          </cell>
          <cell r="BY15" t="str">
            <v>TIDAK</v>
          </cell>
        </row>
        <row r="16">
          <cell r="A16" t="str">
            <v>A2823</v>
          </cell>
          <cell r="B16" t="str">
            <v>Ine Pebriyanti</v>
          </cell>
          <cell r="C16" t="str">
            <v>AAV</v>
          </cell>
          <cell r="D16">
            <v>45169</v>
          </cell>
          <cell r="E16" t="str">
            <v>Aug-23</v>
          </cell>
          <cell r="F16" t="str">
            <v>REGULER</v>
          </cell>
          <cell r="G16" t="str">
            <v>REGULER</v>
          </cell>
          <cell r="H16" t="str">
            <v>REGULER</v>
          </cell>
          <cell r="I16" t="str">
            <v>REGULER</v>
          </cell>
          <cell r="J16" t="str">
            <v>-</v>
          </cell>
          <cell r="K16" t="str">
            <v>REGULER</v>
          </cell>
          <cell r="L16" t="str">
            <v>-</v>
          </cell>
          <cell r="M16">
            <v>10</v>
          </cell>
          <cell r="N16">
            <v>18</v>
          </cell>
          <cell r="O16">
            <v>1</v>
          </cell>
          <cell r="P16">
            <v>14</v>
          </cell>
          <cell r="Q16">
            <v>0</v>
          </cell>
          <cell r="R16">
            <v>1</v>
          </cell>
          <cell r="S16">
            <v>0</v>
          </cell>
          <cell r="T16">
            <v>44</v>
          </cell>
          <cell r="U16">
            <v>10</v>
          </cell>
          <cell r="V16">
            <v>18</v>
          </cell>
          <cell r="W16">
            <v>1</v>
          </cell>
          <cell r="X16">
            <v>14</v>
          </cell>
          <cell r="Y16">
            <v>0</v>
          </cell>
          <cell r="Z16">
            <v>1</v>
          </cell>
          <cell r="AA16">
            <v>0</v>
          </cell>
          <cell r="AB16">
            <v>44</v>
          </cell>
          <cell r="AC16">
            <v>2</v>
          </cell>
          <cell r="AD16" t="str">
            <v>TIDAK</v>
          </cell>
          <cell r="AE16" t="str">
            <v>TIDAK</v>
          </cell>
          <cell r="AF16">
            <v>44</v>
          </cell>
          <cell r="AG16">
            <v>1</v>
          </cell>
          <cell r="AH16" t="str">
            <v>SAPHIRE</v>
          </cell>
          <cell r="AI16">
            <v>0</v>
          </cell>
          <cell r="AJ16" t="str">
            <v>FALSE</v>
          </cell>
          <cell r="AK16">
            <v>0</v>
          </cell>
          <cell r="AL16">
            <v>45261</v>
          </cell>
          <cell r="AM16">
            <v>45701</v>
          </cell>
          <cell r="AN16">
            <v>1</v>
          </cell>
          <cell r="AO16">
            <v>44</v>
          </cell>
          <cell r="AP16" t="str">
            <v>-</v>
          </cell>
          <cell r="AQ16" t="str">
            <v>-</v>
          </cell>
          <cell r="AR16" t="str">
            <v>REGULER</v>
          </cell>
          <cell r="AS16" t="str">
            <v>REGULER</v>
          </cell>
          <cell r="AT16" t="str">
            <v>REGULER</v>
          </cell>
          <cell r="AU16" t="str">
            <v>-</v>
          </cell>
          <cell r="AV16" t="str">
            <v/>
          </cell>
          <cell r="AW16">
            <v>15</v>
          </cell>
          <cell r="AX16">
            <v>6</v>
          </cell>
          <cell r="AY16">
            <v>9</v>
          </cell>
          <cell r="AZ16">
            <v>1</v>
          </cell>
          <cell r="BA16">
            <v>0</v>
          </cell>
          <cell r="BB16">
            <v>15</v>
          </cell>
          <cell r="BC16">
            <v>6</v>
          </cell>
          <cell r="BD16">
            <v>9</v>
          </cell>
          <cell r="BE16">
            <v>1</v>
          </cell>
          <cell r="BF16">
            <v>0</v>
          </cell>
          <cell r="BG16">
            <v>2</v>
          </cell>
          <cell r="BH16">
            <v>15</v>
          </cell>
          <cell r="BI16">
            <v>6</v>
          </cell>
          <cell r="BJ16">
            <v>9</v>
          </cell>
          <cell r="BK16">
            <v>1</v>
          </cell>
          <cell r="BL16">
            <v>0</v>
          </cell>
          <cell r="BM16" t="str">
            <v/>
          </cell>
          <cell r="BN16">
            <v>33</v>
          </cell>
          <cell r="BO16">
            <v>2</v>
          </cell>
          <cell r="BP16">
            <v>15</v>
          </cell>
          <cell r="BQ16">
            <v>6</v>
          </cell>
          <cell r="BR16">
            <v>9</v>
          </cell>
          <cell r="BS16">
            <v>1</v>
          </cell>
          <cell r="BT16">
            <v>0</v>
          </cell>
          <cell r="BU16" t="str">
            <v/>
          </cell>
          <cell r="BV16">
            <v>33</v>
          </cell>
          <cell r="BW16">
            <v>2</v>
          </cell>
          <cell r="BX16" t="str">
            <v>TIDAK</v>
          </cell>
          <cell r="BY16" t="str">
            <v>TIDAK</v>
          </cell>
        </row>
        <row r="17">
          <cell r="A17" t="str">
            <v>A3498</v>
          </cell>
          <cell r="B17" t="str">
            <v>Kirana Amilya</v>
          </cell>
          <cell r="C17" t="str">
            <v>AAV</v>
          </cell>
          <cell r="D17">
            <v>45299</v>
          </cell>
          <cell r="E17" t="str">
            <v>Jan-24</v>
          </cell>
          <cell r="F17" t="str">
            <v>-</v>
          </cell>
          <cell r="G17" t="str">
            <v>REGULER</v>
          </cell>
          <cell r="H17" t="str">
            <v>REGULER</v>
          </cell>
          <cell r="I17" t="str">
            <v>REGULER</v>
          </cell>
          <cell r="J17" t="str">
            <v>REGULER</v>
          </cell>
          <cell r="K17" t="str">
            <v>REGULER</v>
          </cell>
          <cell r="L17" t="str">
            <v>-</v>
          </cell>
          <cell r="M17">
            <v>0</v>
          </cell>
          <cell r="N17">
            <v>5</v>
          </cell>
          <cell r="O17">
            <v>7</v>
          </cell>
          <cell r="P17">
            <v>7</v>
          </cell>
          <cell r="Q17">
            <v>7</v>
          </cell>
          <cell r="R17">
            <v>5</v>
          </cell>
          <cell r="S17">
            <v>0</v>
          </cell>
          <cell r="T17">
            <v>31</v>
          </cell>
          <cell r="U17">
            <v>0</v>
          </cell>
          <cell r="V17">
            <v>5</v>
          </cell>
          <cell r="W17">
            <v>7</v>
          </cell>
          <cell r="X17">
            <v>7</v>
          </cell>
          <cell r="Y17">
            <v>7</v>
          </cell>
          <cell r="Z17">
            <v>5</v>
          </cell>
          <cell r="AA17">
            <v>0</v>
          </cell>
          <cell r="AB17">
            <v>31</v>
          </cell>
          <cell r="AC17">
            <v>1</v>
          </cell>
          <cell r="AD17" t="str">
            <v>TIDAK</v>
          </cell>
          <cell r="AE17" t="str">
            <v>TIDAK</v>
          </cell>
          <cell r="AF17">
            <v>31</v>
          </cell>
          <cell r="AG17">
            <v>1</v>
          </cell>
          <cell r="AH17" t="str">
            <v>SAPHIRE</v>
          </cell>
          <cell r="AI17">
            <v>0</v>
          </cell>
          <cell r="AJ17" t="str">
            <v>FALSE</v>
          </cell>
          <cell r="AK17">
            <v>0</v>
          </cell>
          <cell r="AL17">
            <v>45261</v>
          </cell>
          <cell r="AM17">
            <v>45701</v>
          </cell>
          <cell r="AN17">
            <v>1</v>
          </cell>
          <cell r="AO17">
            <v>31</v>
          </cell>
          <cell r="AP17" t="str">
            <v>-</v>
          </cell>
          <cell r="AQ17" t="str">
            <v>-</v>
          </cell>
          <cell r="AR17" t="str">
            <v>REGULER</v>
          </cell>
          <cell r="AS17" t="str">
            <v>-</v>
          </cell>
          <cell r="AT17" t="str">
            <v>REGULER</v>
          </cell>
          <cell r="AU17" t="str">
            <v>REGULER</v>
          </cell>
          <cell r="AV17" t="str">
            <v/>
          </cell>
          <cell r="AW17">
            <v>15</v>
          </cell>
          <cell r="AX17">
            <v>12</v>
          </cell>
          <cell r="AY17">
            <v>0</v>
          </cell>
          <cell r="AZ17">
            <v>8</v>
          </cell>
          <cell r="BA17">
            <v>2</v>
          </cell>
          <cell r="BB17">
            <v>15</v>
          </cell>
          <cell r="BC17">
            <v>12</v>
          </cell>
          <cell r="BD17">
            <v>0</v>
          </cell>
          <cell r="BE17">
            <v>8</v>
          </cell>
          <cell r="BF17">
            <v>2</v>
          </cell>
          <cell r="BG17">
            <v>14</v>
          </cell>
          <cell r="BH17">
            <v>15</v>
          </cell>
          <cell r="BI17">
            <v>12</v>
          </cell>
          <cell r="BJ17">
            <v>0</v>
          </cell>
          <cell r="BK17">
            <v>8</v>
          </cell>
          <cell r="BL17">
            <v>2</v>
          </cell>
          <cell r="BM17">
            <v>4</v>
          </cell>
          <cell r="BN17">
            <v>55</v>
          </cell>
          <cell r="BO17">
            <v>14</v>
          </cell>
          <cell r="BP17">
            <v>15</v>
          </cell>
          <cell r="BQ17">
            <v>12</v>
          </cell>
          <cell r="BR17">
            <v>0</v>
          </cell>
          <cell r="BS17">
            <v>8</v>
          </cell>
          <cell r="BT17">
            <v>2</v>
          </cell>
          <cell r="BU17">
            <v>4</v>
          </cell>
          <cell r="BV17">
            <v>55</v>
          </cell>
          <cell r="BW17">
            <v>1</v>
          </cell>
          <cell r="BX17" t="str">
            <v>TIDAK</v>
          </cell>
          <cell r="BY17" t="str">
            <v>TIDAK</v>
          </cell>
        </row>
        <row r="18">
          <cell r="A18" t="str">
            <v>A2076</v>
          </cell>
          <cell r="B18" t="str">
            <v xml:space="preserve">Kurnia Safitri </v>
          </cell>
          <cell r="C18" t="str">
            <v>AAV</v>
          </cell>
          <cell r="D18">
            <v>45069</v>
          </cell>
          <cell r="E18" t="str">
            <v>May-23</v>
          </cell>
          <cell r="F18" t="str">
            <v>REGULER</v>
          </cell>
          <cell r="G18" t="str">
            <v>REGULER</v>
          </cell>
          <cell r="H18" t="str">
            <v>REGULER</v>
          </cell>
          <cell r="I18" t="str">
            <v>REGULER</v>
          </cell>
          <cell r="J18" t="str">
            <v>REGULER</v>
          </cell>
          <cell r="K18" t="str">
            <v>-</v>
          </cell>
          <cell r="L18" t="str">
            <v>-</v>
          </cell>
          <cell r="M18">
            <v>25</v>
          </cell>
          <cell r="N18">
            <v>44</v>
          </cell>
          <cell r="O18">
            <v>36</v>
          </cell>
          <cell r="P18">
            <v>26</v>
          </cell>
          <cell r="Q18">
            <v>7</v>
          </cell>
          <cell r="R18">
            <v>0</v>
          </cell>
          <cell r="S18">
            <v>0</v>
          </cell>
          <cell r="T18">
            <v>138</v>
          </cell>
          <cell r="U18">
            <v>25</v>
          </cell>
          <cell r="V18">
            <v>44</v>
          </cell>
          <cell r="W18">
            <v>36</v>
          </cell>
          <cell r="X18">
            <v>26</v>
          </cell>
          <cell r="Y18">
            <v>7</v>
          </cell>
          <cell r="Z18">
            <v>0</v>
          </cell>
          <cell r="AA18">
            <v>0</v>
          </cell>
          <cell r="AB18">
            <v>138</v>
          </cell>
          <cell r="AC18">
            <v>2</v>
          </cell>
          <cell r="AD18" t="str">
            <v>TIDAK</v>
          </cell>
          <cell r="AE18" t="str">
            <v>TIDAK</v>
          </cell>
          <cell r="AF18">
            <v>138</v>
          </cell>
          <cell r="AG18">
            <v>2</v>
          </cell>
          <cell r="AH18" t="str">
            <v>SAPHIRE</v>
          </cell>
          <cell r="AI18">
            <v>0</v>
          </cell>
          <cell r="AJ18" t="str">
            <v>Y</v>
          </cell>
          <cell r="AK18">
            <v>0</v>
          </cell>
          <cell r="AL18">
            <v>45261</v>
          </cell>
          <cell r="AM18">
            <v>45701</v>
          </cell>
          <cell r="AN18">
            <v>1</v>
          </cell>
          <cell r="AO18">
            <v>138</v>
          </cell>
          <cell r="AP18" t="str">
            <v>-</v>
          </cell>
          <cell r="AQ18" t="str">
            <v>-</v>
          </cell>
          <cell r="AR18" t="str">
            <v>-</v>
          </cell>
          <cell r="AS18" t="str">
            <v>-</v>
          </cell>
          <cell r="AT18" t="str">
            <v>-</v>
          </cell>
          <cell r="AU18" t="str">
            <v>-</v>
          </cell>
          <cell r="AV18" t="str">
            <v/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 t="str">
            <v/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 t="str">
            <v/>
          </cell>
          <cell r="BV18">
            <v>0</v>
          </cell>
          <cell r="BW18">
            <v>7</v>
          </cell>
          <cell r="BX18" t="str">
            <v>DOWNGRADE</v>
          </cell>
          <cell r="BY18" t="str">
            <v>RESET</v>
          </cell>
        </row>
        <row r="19">
          <cell r="A19" t="str">
            <v>A1945</v>
          </cell>
          <cell r="B19" t="str">
            <v>Maria Chindryanita Gala</v>
          </cell>
          <cell r="C19" t="str">
            <v>AAV</v>
          </cell>
          <cell r="D19">
            <v>45002</v>
          </cell>
          <cell r="E19" t="str">
            <v>Mar-23</v>
          </cell>
          <cell r="F19" t="str">
            <v>REGULER</v>
          </cell>
          <cell r="G19" t="str">
            <v>REGULER</v>
          </cell>
          <cell r="H19" t="str">
            <v>REGULER</v>
          </cell>
          <cell r="I19" t="str">
            <v>REGULER</v>
          </cell>
          <cell r="J19" t="str">
            <v>REGULER</v>
          </cell>
          <cell r="K19" t="str">
            <v>REGULER</v>
          </cell>
          <cell r="L19" t="str">
            <v>-</v>
          </cell>
          <cell r="M19">
            <v>11</v>
          </cell>
          <cell r="N19">
            <v>38</v>
          </cell>
          <cell r="O19">
            <v>39</v>
          </cell>
          <cell r="P19">
            <v>29</v>
          </cell>
          <cell r="Q19">
            <v>28</v>
          </cell>
          <cell r="R19">
            <v>12</v>
          </cell>
          <cell r="S19">
            <v>0</v>
          </cell>
          <cell r="T19">
            <v>157</v>
          </cell>
          <cell r="U19">
            <v>11</v>
          </cell>
          <cell r="V19">
            <v>38</v>
          </cell>
          <cell r="W19">
            <v>39</v>
          </cell>
          <cell r="X19">
            <v>29</v>
          </cell>
          <cell r="Y19">
            <v>28</v>
          </cell>
          <cell r="Z19">
            <v>12</v>
          </cell>
          <cell r="AA19">
            <v>0</v>
          </cell>
          <cell r="AB19">
            <v>157</v>
          </cell>
          <cell r="AC19">
            <v>1</v>
          </cell>
          <cell r="AD19" t="str">
            <v>TIDAK</v>
          </cell>
          <cell r="AE19" t="str">
            <v>TIDAK</v>
          </cell>
          <cell r="AF19">
            <v>157</v>
          </cell>
          <cell r="AG19">
            <v>2</v>
          </cell>
          <cell r="AH19" t="str">
            <v>SAPHIRE</v>
          </cell>
          <cell r="AI19">
            <v>0</v>
          </cell>
          <cell r="AJ19" t="str">
            <v>Y</v>
          </cell>
          <cell r="AK19">
            <v>0</v>
          </cell>
          <cell r="AL19">
            <v>45261</v>
          </cell>
          <cell r="AM19">
            <v>45701</v>
          </cell>
          <cell r="AN19">
            <v>1</v>
          </cell>
          <cell r="AO19">
            <v>157</v>
          </cell>
          <cell r="AP19" t="str">
            <v>-</v>
          </cell>
          <cell r="AQ19" t="str">
            <v>-</v>
          </cell>
          <cell r="AR19" t="str">
            <v>REGULER</v>
          </cell>
          <cell r="AS19" t="str">
            <v>REGULER</v>
          </cell>
          <cell r="AT19" t="str">
            <v>REGULER</v>
          </cell>
          <cell r="AU19" t="str">
            <v>REGULER</v>
          </cell>
          <cell r="AV19" t="str">
            <v/>
          </cell>
          <cell r="AW19">
            <v>23</v>
          </cell>
          <cell r="AX19">
            <v>28</v>
          </cell>
          <cell r="AY19">
            <v>31</v>
          </cell>
          <cell r="AZ19">
            <v>38</v>
          </cell>
          <cell r="BA19">
            <v>29</v>
          </cell>
          <cell r="BB19">
            <v>23</v>
          </cell>
          <cell r="BC19">
            <v>28</v>
          </cell>
          <cell r="BD19">
            <v>31</v>
          </cell>
          <cell r="BE19">
            <v>38</v>
          </cell>
          <cell r="BF19">
            <v>29</v>
          </cell>
          <cell r="BG19">
            <v>0</v>
          </cell>
          <cell r="BH19">
            <v>23</v>
          </cell>
          <cell r="BI19">
            <v>28</v>
          </cell>
          <cell r="BJ19">
            <v>31</v>
          </cell>
          <cell r="BK19">
            <v>38</v>
          </cell>
          <cell r="BL19">
            <v>29</v>
          </cell>
          <cell r="BM19">
            <v>17</v>
          </cell>
          <cell r="BN19">
            <v>166</v>
          </cell>
          <cell r="BO19">
            <v>0</v>
          </cell>
          <cell r="BP19">
            <v>23</v>
          </cell>
          <cell r="BQ19">
            <v>28</v>
          </cell>
          <cell r="BR19">
            <v>31</v>
          </cell>
          <cell r="BS19">
            <v>38</v>
          </cell>
          <cell r="BT19">
            <v>29</v>
          </cell>
          <cell r="BU19">
            <v>17</v>
          </cell>
          <cell r="BV19">
            <v>166</v>
          </cell>
          <cell r="BW19">
            <v>1</v>
          </cell>
          <cell r="BX19" t="str">
            <v>TIDAK</v>
          </cell>
          <cell r="BY19" t="str">
            <v>TIDAK</v>
          </cell>
        </row>
        <row r="20">
          <cell r="A20" t="str">
            <v>A2663</v>
          </cell>
          <cell r="B20" t="str">
            <v>Nadia Rita Apriyanti</v>
          </cell>
          <cell r="C20" t="str">
            <v>AAV</v>
          </cell>
          <cell r="D20">
            <v>45169</v>
          </cell>
          <cell r="E20" t="str">
            <v>Aug-23</v>
          </cell>
          <cell r="F20" t="str">
            <v>-</v>
          </cell>
          <cell r="G20" t="str">
            <v>REGULER</v>
          </cell>
          <cell r="H20" t="str">
            <v>-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>
            <v>0</v>
          </cell>
          <cell r="N20">
            <v>2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2</v>
          </cell>
          <cell r="U20">
            <v>0</v>
          </cell>
          <cell r="V20">
            <v>2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2</v>
          </cell>
          <cell r="AC20">
            <v>6</v>
          </cell>
          <cell r="AD20" t="str">
            <v>DOWNGRADE</v>
          </cell>
          <cell r="AE20" t="str">
            <v>RESET</v>
          </cell>
          <cell r="AF20">
            <v>0</v>
          </cell>
          <cell r="AG20">
            <v>1</v>
          </cell>
          <cell r="AH20" t="str">
            <v>SAPHIRE</v>
          </cell>
          <cell r="AI20">
            <v>0</v>
          </cell>
          <cell r="AJ20" t="str">
            <v>FALSE</v>
          </cell>
          <cell r="AK20">
            <v>0</v>
          </cell>
          <cell r="AL20">
            <v>45261</v>
          </cell>
          <cell r="AM20">
            <v>45701</v>
          </cell>
          <cell r="AN20">
            <v>1</v>
          </cell>
          <cell r="AO20">
            <v>0</v>
          </cell>
          <cell r="AP20" t="str">
            <v>-</v>
          </cell>
          <cell r="AQ20" t="str">
            <v>-</v>
          </cell>
          <cell r="AR20" t="str">
            <v>-</v>
          </cell>
          <cell r="AS20" t="str">
            <v>-</v>
          </cell>
          <cell r="AT20" t="str">
            <v>-</v>
          </cell>
          <cell r="AU20" t="str">
            <v>-</v>
          </cell>
          <cell r="AV20" t="str">
            <v/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 t="str">
            <v/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 t="str">
            <v/>
          </cell>
          <cell r="BV20">
            <v>0</v>
          </cell>
          <cell r="BW20">
            <v>7</v>
          </cell>
          <cell r="BX20" t="str">
            <v>DOWNGRADE</v>
          </cell>
          <cell r="BY20" t="str">
            <v>RESET</v>
          </cell>
        </row>
        <row r="21">
          <cell r="A21">
            <v>90716</v>
          </cell>
          <cell r="B21" t="str">
            <v>Nikita Swastika</v>
          </cell>
          <cell r="C21" t="str">
            <v>AAV</v>
          </cell>
          <cell r="D21">
            <v>44487</v>
          </cell>
          <cell r="E21" t="str">
            <v>Oct-21</v>
          </cell>
          <cell r="F21" t="str">
            <v>-</v>
          </cell>
          <cell r="G21" t="str">
            <v>REGULER</v>
          </cell>
          <cell r="H21" t="str">
            <v>REGULER</v>
          </cell>
          <cell r="I21" t="str">
            <v>REGULER</v>
          </cell>
          <cell r="J21" t="str">
            <v>REGULER</v>
          </cell>
          <cell r="K21" t="str">
            <v>REGULER</v>
          </cell>
          <cell r="L21" t="str">
            <v>REGULER</v>
          </cell>
          <cell r="M21">
            <v>0</v>
          </cell>
          <cell r="N21">
            <v>12</v>
          </cell>
          <cell r="O21">
            <v>26</v>
          </cell>
          <cell r="P21">
            <v>35</v>
          </cell>
          <cell r="Q21">
            <v>29</v>
          </cell>
          <cell r="R21">
            <v>18</v>
          </cell>
          <cell r="S21">
            <v>16</v>
          </cell>
          <cell r="T21">
            <v>136</v>
          </cell>
          <cell r="U21">
            <v>0</v>
          </cell>
          <cell r="V21">
            <v>12</v>
          </cell>
          <cell r="W21">
            <v>26</v>
          </cell>
          <cell r="X21">
            <v>35</v>
          </cell>
          <cell r="Y21">
            <v>29</v>
          </cell>
          <cell r="Z21">
            <v>18</v>
          </cell>
          <cell r="AA21">
            <v>16</v>
          </cell>
          <cell r="AB21">
            <v>136</v>
          </cell>
          <cell r="AC21">
            <v>1</v>
          </cell>
          <cell r="AD21" t="str">
            <v>TIDAK</v>
          </cell>
          <cell r="AE21" t="str">
            <v>TIDAK</v>
          </cell>
          <cell r="AF21">
            <v>136</v>
          </cell>
          <cell r="AG21">
            <v>2</v>
          </cell>
          <cell r="AH21" t="str">
            <v>SAPHIRE</v>
          </cell>
          <cell r="AI21">
            <v>0</v>
          </cell>
          <cell r="AJ21" t="str">
            <v>Y</v>
          </cell>
          <cell r="AK21">
            <v>0</v>
          </cell>
          <cell r="AL21">
            <v>45261</v>
          </cell>
          <cell r="AM21">
            <v>45701</v>
          </cell>
          <cell r="AN21">
            <v>1</v>
          </cell>
          <cell r="AO21">
            <v>136</v>
          </cell>
          <cell r="AP21" t="str">
            <v>-</v>
          </cell>
          <cell r="AQ21" t="str">
            <v>-</v>
          </cell>
          <cell r="AR21" t="str">
            <v>REGULER</v>
          </cell>
          <cell r="AS21" t="str">
            <v>REGULER</v>
          </cell>
          <cell r="AT21" t="str">
            <v>REGULER</v>
          </cell>
          <cell r="AU21" t="str">
            <v>-</v>
          </cell>
          <cell r="AV21" t="str">
            <v/>
          </cell>
          <cell r="AW21">
            <v>18</v>
          </cell>
          <cell r="AX21">
            <v>32</v>
          </cell>
          <cell r="AY21">
            <v>31</v>
          </cell>
          <cell r="AZ21">
            <v>36</v>
          </cell>
          <cell r="BA21">
            <v>0</v>
          </cell>
          <cell r="BB21">
            <v>18</v>
          </cell>
          <cell r="BC21">
            <v>32</v>
          </cell>
          <cell r="BD21">
            <v>31</v>
          </cell>
          <cell r="BE21">
            <v>36</v>
          </cell>
          <cell r="BF21">
            <v>0</v>
          </cell>
          <cell r="BG21">
            <v>7</v>
          </cell>
          <cell r="BH21">
            <v>18</v>
          </cell>
          <cell r="BI21">
            <v>32</v>
          </cell>
          <cell r="BJ21">
            <v>31</v>
          </cell>
          <cell r="BK21">
            <v>36</v>
          </cell>
          <cell r="BL21">
            <v>0</v>
          </cell>
          <cell r="BM21" t="str">
            <v/>
          </cell>
          <cell r="BN21">
            <v>124</v>
          </cell>
          <cell r="BO21">
            <v>7</v>
          </cell>
          <cell r="BP21">
            <v>18</v>
          </cell>
          <cell r="BQ21">
            <v>32</v>
          </cell>
          <cell r="BR21">
            <v>31</v>
          </cell>
          <cell r="BS21">
            <v>36</v>
          </cell>
          <cell r="BT21">
            <v>0</v>
          </cell>
          <cell r="BU21" t="str">
            <v/>
          </cell>
          <cell r="BV21">
            <v>124</v>
          </cell>
          <cell r="BW21">
            <v>2</v>
          </cell>
          <cell r="BX21" t="str">
            <v>TIDAK</v>
          </cell>
          <cell r="BY21" t="str">
            <v>TIDAK</v>
          </cell>
        </row>
        <row r="22">
          <cell r="A22" t="str">
            <v>A2615</v>
          </cell>
          <cell r="B22" t="str">
            <v>Novita Langkai</v>
          </cell>
          <cell r="C22" t="str">
            <v>AAV</v>
          </cell>
          <cell r="D22">
            <v>45199</v>
          </cell>
          <cell r="E22" t="str">
            <v>Sep-23</v>
          </cell>
          <cell r="F22" t="str">
            <v>REGULER</v>
          </cell>
          <cell r="G22" t="str">
            <v>REGULER</v>
          </cell>
          <cell r="H22" t="str">
            <v>REGULER</v>
          </cell>
          <cell r="I22" t="str">
            <v>REGULER</v>
          </cell>
          <cell r="J22" t="str">
            <v>REGULER</v>
          </cell>
          <cell r="K22" t="str">
            <v>REGULER</v>
          </cell>
          <cell r="L22" t="str">
            <v>REGULER</v>
          </cell>
          <cell r="M22">
            <v>16</v>
          </cell>
          <cell r="N22">
            <v>27</v>
          </cell>
          <cell r="O22">
            <v>16</v>
          </cell>
          <cell r="P22">
            <v>27</v>
          </cell>
          <cell r="Q22">
            <v>24</v>
          </cell>
          <cell r="R22">
            <v>21</v>
          </cell>
          <cell r="S22">
            <v>8</v>
          </cell>
          <cell r="T22">
            <v>139</v>
          </cell>
          <cell r="U22">
            <v>16</v>
          </cell>
          <cell r="V22">
            <v>27</v>
          </cell>
          <cell r="W22">
            <v>16</v>
          </cell>
          <cell r="X22">
            <v>27</v>
          </cell>
          <cell r="Y22">
            <v>24</v>
          </cell>
          <cell r="Z22">
            <v>21</v>
          </cell>
          <cell r="AA22">
            <v>8</v>
          </cell>
          <cell r="AB22">
            <v>139</v>
          </cell>
          <cell r="AC22">
            <v>0</v>
          </cell>
          <cell r="AD22" t="str">
            <v>TIDAK</v>
          </cell>
          <cell r="AE22" t="str">
            <v>TIDAK</v>
          </cell>
          <cell r="AF22">
            <v>139</v>
          </cell>
          <cell r="AG22">
            <v>2</v>
          </cell>
          <cell r="AH22" t="str">
            <v>SAPHIRE</v>
          </cell>
          <cell r="AI22">
            <v>65</v>
          </cell>
          <cell r="AJ22" t="str">
            <v>Y</v>
          </cell>
          <cell r="AK22">
            <v>0</v>
          </cell>
          <cell r="AL22">
            <v>45261</v>
          </cell>
          <cell r="AM22">
            <v>45701</v>
          </cell>
          <cell r="AN22">
            <v>1</v>
          </cell>
          <cell r="AO22">
            <v>74</v>
          </cell>
          <cell r="AP22" t="str">
            <v>-</v>
          </cell>
          <cell r="AQ22" t="str">
            <v>-</v>
          </cell>
          <cell r="AR22" t="str">
            <v>EKSKLUSIF</v>
          </cell>
          <cell r="AS22" t="str">
            <v>EKSKLUSIF</v>
          </cell>
          <cell r="AT22" t="str">
            <v>EKSKLUSIF</v>
          </cell>
          <cell r="AU22" t="str">
            <v>EKSKLUSIF</v>
          </cell>
          <cell r="AV22" t="str">
            <v/>
          </cell>
          <cell r="AW22">
            <v>44</v>
          </cell>
          <cell r="AX22">
            <v>48</v>
          </cell>
          <cell r="AY22">
            <v>48</v>
          </cell>
          <cell r="AZ22">
            <v>57</v>
          </cell>
          <cell r="BA22">
            <v>54</v>
          </cell>
          <cell r="BB22">
            <v>44</v>
          </cell>
          <cell r="BC22">
            <v>48</v>
          </cell>
          <cell r="BD22">
            <v>48</v>
          </cell>
          <cell r="BE22">
            <v>57</v>
          </cell>
          <cell r="BF22">
            <v>54</v>
          </cell>
          <cell r="BG22">
            <v>19</v>
          </cell>
          <cell r="BH22">
            <v>44</v>
          </cell>
          <cell r="BI22">
            <v>48</v>
          </cell>
          <cell r="BJ22">
            <v>48</v>
          </cell>
          <cell r="BK22">
            <v>57</v>
          </cell>
          <cell r="BL22">
            <v>54</v>
          </cell>
          <cell r="BM22">
            <v>23</v>
          </cell>
          <cell r="BN22">
            <v>293</v>
          </cell>
          <cell r="BO22">
            <v>19</v>
          </cell>
          <cell r="BP22">
            <v>44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23</v>
          </cell>
          <cell r="BV22">
            <v>86</v>
          </cell>
          <cell r="BW22">
            <v>0</v>
          </cell>
          <cell r="BX22" t="str">
            <v>TIDAK</v>
          </cell>
          <cell r="BY22" t="str">
            <v>TIDAK</v>
          </cell>
        </row>
        <row r="23">
          <cell r="A23" t="str">
            <v>A0948</v>
          </cell>
          <cell r="B23" t="str">
            <v>Nurul Hikmah</v>
          </cell>
          <cell r="C23" t="str">
            <v>AAV</v>
          </cell>
          <cell r="D23">
            <v>45293</v>
          </cell>
          <cell r="E23" t="str">
            <v>Jan-24</v>
          </cell>
          <cell r="F23" t="str">
            <v>-</v>
          </cell>
          <cell r="G23" t="str">
            <v>REGULER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>
            <v>0</v>
          </cell>
          <cell r="N23">
            <v>4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4</v>
          </cell>
          <cell r="U23">
            <v>0</v>
          </cell>
          <cell r="V23">
            <v>4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4</v>
          </cell>
          <cell r="AC23">
            <v>5</v>
          </cell>
          <cell r="AD23" t="str">
            <v>DOWNGRADE</v>
          </cell>
          <cell r="AE23" t="str">
            <v>RESET</v>
          </cell>
          <cell r="AF23">
            <v>0</v>
          </cell>
          <cell r="AG23">
            <v>1</v>
          </cell>
          <cell r="AH23" t="str">
            <v>SAPHIRE</v>
          </cell>
          <cell r="AI23">
            <v>0</v>
          </cell>
          <cell r="AJ23" t="str">
            <v>FALSE</v>
          </cell>
          <cell r="AK23">
            <v>0</v>
          </cell>
          <cell r="AL23">
            <v>45261</v>
          </cell>
          <cell r="AM23">
            <v>45701</v>
          </cell>
          <cell r="AN23">
            <v>1</v>
          </cell>
          <cell r="AO23">
            <v>0</v>
          </cell>
          <cell r="AP23" t="str">
            <v>-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/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 t="str">
            <v/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 t="str">
            <v/>
          </cell>
          <cell r="BV23">
            <v>0</v>
          </cell>
          <cell r="BW23">
            <v>7</v>
          </cell>
          <cell r="BX23" t="str">
            <v>DOWNGRADE</v>
          </cell>
          <cell r="BY23" t="str">
            <v>RESET</v>
          </cell>
        </row>
        <row r="24">
          <cell r="A24" t="str">
            <v>A3612</v>
          </cell>
          <cell r="B24" t="str">
            <v>Rintan Mirza Diani</v>
          </cell>
          <cell r="C24" t="str">
            <v>AAV</v>
          </cell>
          <cell r="D24">
            <v>45293</v>
          </cell>
          <cell r="E24" t="str">
            <v>Jan-24</v>
          </cell>
          <cell r="F24" t="str">
            <v>-</v>
          </cell>
          <cell r="G24" t="str">
            <v>REGULER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>
            <v>0</v>
          </cell>
          <cell r="N24">
            <v>1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</v>
          </cell>
          <cell r="U24">
            <v>0</v>
          </cell>
          <cell r="V24">
            <v>1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1</v>
          </cell>
          <cell r="AC24">
            <v>5</v>
          </cell>
          <cell r="AD24" t="str">
            <v>DOWNGRADE</v>
          </cell>
          <cell r="AE24" t="str">
            <v>RESET</v>
          </cell>
          <cell r="AF24">
            <v>0</v>
          </cell>
          <cell r="AG24">
            <v>1</v>
          </cell>
          <cell r="AH24" t="str">
            <v>SAPHIRE</v>
          </cell>
          <cell r="AI24">
            <v>0</v>
          </cell>
          <cell r="AJ24" t="str">
            <v>FALSE</v>
          </cell>
          <cell r="AK24">
            <v>0</v>
          </cell>
          <cell r="AL24">
            <v>45261</v>
          </cell>
          <cell r="AM24">
            <v>45701</v>
          </cell>
          <cell r="AN24">
            <v>1</v>
          </cell>
          <cell r="AO24">
            <v>0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/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 t="str">
            <v/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 t="str">
            <v/>
          </cell>
          <cell r="BV24">
            <v>0</v>
          </cell>
          <cell r="BW24">
            <v>7</v>
          </cell>
          <cell r="BX24" t="str">
            <v>DOWNGRADE</v>
          </cell>
          <cell r="BY24" t="str">
            <v>RESET</v>
          </cell>
        </row>
        <row r="25">
          <cell r="A25" t="str">
            <v>A0043</v>
          </cell>
          <cell r="B25" t="str">
            <v>Riyani Arfarasari</v>
          </cell>
          <cell r="C25" t="str">
            <v>AAV</v>
          </cell>
          <cell r="D25">
            <v>44814</v>
          </cell>
          <cell r="E25" t="str">
            <v>Sep-22</v>
          </cell>
          <cell r="F25" t="str">
            <v>EKSKLUSIF</v>
          </cell>
          <cell r="G25" t="str">
            <v>EKSKLUSIF</v>
          </cell>
          <cell r="H25" t="str">
            <v>EKSKLUSIF</v>
          </cell>
          <cell r="I25" t="str">
            <v>EKSKLUSIF</v>
          </cell>
          <cell r="J25" t="str">
            <v>EKSKLUSIF</v>
          </cell>
          <cell r="K25" t="str">
            <v>EKSKLUSIF</v>
          </cell>
          <cell r="L25" t="str">
            <v>EKSKLUSIF</v>
          </cell>
          <cell r="M25">
            <v>26</v>
          </cell>
          <cell r="N25">
            <v>49</v>
          </cell>
          <cell r="O25">
            <v>45</v>
          </cell>
          <cell r="P25">
            <v>46</v>
          </cell>
          <cell r="Q25">
            <v>43</v>
          </cell>
          <cell r="R25">
            <v>25</v>
          </cell>
          <cell r="S25">
            <v>23</v>
          </cell>
          <cell r="T25">
            <v>257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 t="str">
            <v>TIDAK</v>
          </cell>
          <cell r="AE25" t="str">
            <v>TIDAK</v>
          </cell>
          <cell r="AF25">
            <v>0</v>
          </cell>
          <cell r="AG25">
            <v>3</v>
          </cell>
          <cell r="AH25" t="str">
            <v>SAPHIRE</v>
          </cell>
          <cell r="AI25">
            <v>0</v>
          </cell>
          <cell r="AJ25" t="str">
            <v>FALSE</v>
          </cell>
          <cell r="AK25">
            <v>0</v>
          </cell>
          <cell r="AL25">
            <v>45261</v>
          </cell>
          <cell r="AM25">
            <v>45701</v>
          </cell>
          <cell r="AN25">
            <v>1</v>
          </cell>
          <cell r="AO25">
            <v>0</v>
          </cell>
          <cell r="AP25" t="str">
            <v>EKSKLUSIF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/>
          </cell>
          <cell r="AW25">
            <v>47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47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24</v>
          </cell>
          <cell r="BH25">
            <v>47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 t="str">
            <v/>
          </cell>
          <cell r="BN25">
            <v>71</v>
          </cell>
          <cell r="BO25">
            <v>0</v>
          </cell>
          <cell r="BP25">
            <v>47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/>
          </cell>
          <cell r="BV25">
            <v>47</v>
          </cell>
          <cell r="BW25">
            <v>5</v>
          </cell>
          <cell r="BX25" t="str">
            <v>DOWNGRADE</v>
          </cell>
          <cell r="BY25" t="str">
            <v>RESET</v>
          </cell>
        </row>
        <row r="26">
          <cell r="A26">
            <v>90557</v>
          </cell>
          <cell r="B26" t="str">
            <v>Tifani Eka Alcisha</v>
          </cell>
          <cell r="C26" t="str">
            <v>AAV</v>
          </cell>
          <cell r="D26" t="str">
            <v>26 Juni 2021</v>
          </cell>
          <cell r="E26" t="str">
            <v>26 Juni 2021</v>
          </cell>
          <cell r="F26" t="str">
            <v>REGULER</v>
          </cell>
          <cell r="G26" t="str">
            <v>REGULER</v>
          </cell>
          <cell r="H26" t="str">
            <v>REGULER</v>
          </cell>
          <cell r="I26" t="str">
            <v>REGULER</v>
          </cell>
          <cell r="J26" t="str">
            <v>REGULER</v>
          </cell>
          <cell r="K26" t="str">
            <v>REGULER</v>
          </cell>
          <cell r="L26" t="str">
            <v>REGULER</v>
          </cell>
          <cell r="M26">
            <v>19</v>
          </cell>
          <cell r="N26">
            <v>37</v>
          </cell>
          <cell r="O26">
            <v>36</v>
          </cell>
          <cell r="P26">
            <v>20</v>
          </cell>
          <cell r="Q26">
            <v>30</v>
          </cell>
          <cell r="R26">
            <v>11</v>
          </cell>
          <cell r="S26">
            <v>19</v>
          </cell>
          <cell r="T26">
            <v>172</v>
          </cell>
          <cell r="U26">
            <v>19</v>
          </cell>
          <cell r="V26">
            <v>37</v>
          </cell>
          <cell r="W26">
            <v>36</v>
          </cell>
          <cell r="X26">
            <v>20</v>
          </cell>
          <cell r="Y26">
            <v>30</v>
          </cell>
          <cell r="Z26">
            <v>11</v>
          </cell>
          <cell r="AA26">
            <v>19</v>
          </cell>
          <cell r="AB26">
            <v>172</v>
          </cell>
          <cell r="AC26">
            <v>0</v>
          </cell>
          <cell r="AD26" t="str">
            <v>TIDAK</v>
          </cell>
          <cell r="AE26" t="str">
            <v>TIDAK</v>
          </cell>
          <cell r="AF26">
            <v>172</v>
          </cell>
          <cell r="AG26">
            <v>3</v>
          </cell>
          <cell r="AH26" t="str">
            <v>SAPHIRE</v>
          </cell>
          <cell r="AI26">
            <v>0</v>
          </cell>
          <cell r="AJ26" t="str">
            <v>Y</v>
          </cell>
          <cell r="AK26">
            <v>0</v>
          </cell>
          <cell r="AL26">
            <v>45261</v>
          </cell>
          <cell r="AM26">
            <v>45701</v>
          </cell>
          <cell r="AN26">
            <v>1</v>
          </cell>
          <cell r="AO26">
            <v>172</v>
          </cell>
          <cell r="AP26" t="str">
            <v>-</v>
          </cell>
          <cell r="AQ26" t="str">
            <v>-</v>
          </cell>
          <cell r="AR26" t="str">
            <v>REGULER</v>
          </cell>
          <cell r="AS26" t="str">
            <v>REGULER</v>
          </cell>
          <cell r="AT26" t="str">
            <v>REGULER</v>
          </cell>
          <cell r="AU26" t="str">
            <v>REGULER</v>
          </cell>
          <cell r="AV26" t="str">
            <v/>
          </cell>
          <cell r="AW26">
            <v>40</v>
          </cell>
          <cell r="AX26">
            <v>34</v>
          </cell>
          <cell r="AY26">
            <v>30</v>
          </cell>
          <cell r="AZ26">
            <v>36</v>
          </cell>
          <cell r="BA26">
            <v>34</v>
          </cell>
          <cell r="BB26">
            <v>40</v>
          </cell>
          <cell r="BC26">
            <v>34</v>
          </cell>
          <cell r="BD26">
            <v>30</v>
          </cell>
          <cell r="BE26">
            <v>36</v>
          </cell>
          <cell r="BF26">
            <v>34</v>
          </cell>
          <cell r="BG26">
            <v>19</v>
          </cell>
          <cell r="BH26">
            <v>40</v>
          </cell>
          <cell r="BI26">
            <v>34</v>
          </cell>
          <cell r="BJ26">
            <v>30</v>
          </cell>
          <cell r="BK26">
            <v>36</v>
          </cell>
          <cell r="BL26">
            <v>34</v>
          </cell>
          <cell r="BM26">
            <v>18</v>
          </cell>
          <cell r="BN26">
            <v>211</v>
          </cell>
          <cell r="BO26">
            <v>19</v>
          </cell>
          <cell r="BP26">
            <v>40</v>
          </cell>
          <cell r="BQ26">
            <v>34</v>
          </cell>
          <cell r="BR26">
            <v>30</v>
          </cell>
          <cell r="BS26">
            <v>36</v>
          </cell>
          <cell r="BT26">
            <v>34</v>
          </cell>
          <cell r="BU26">
            <v>18</v>
          </cell>
          <cell r="BV26">
            <v>211</v>
          </cell>
          <cell r="BW26">
            <v>0</v>
          </cell>
          <cell r="BX26" t="str">
            <v>TIDAK</v>
          </cell>
          <cell r="BY26" t="str">
            <v>TIDAK</v>
          </cell>
        </row>
        <row r="27">
          <cell r="A27" t="str">
            <v>A3431</v>
          </cell>
          <cell r="B27" t="str">
            <v>Yuliana Diah Ayu Mitayani</v>
          </cell>
          <cell r="C27" t="str">
            <v>AAV</v>
          </cell>
          <cell r="D27">
            <v>45293</v>
          </cell>
          <cell r="E27" t="str">
            <v>Jan-24</v>
          </cell>
          <cell r="F27" t="str">
            <v>-</v>
          </cell>
          <cell r="G27" t="str">
            <v>REGULER</v>
          </cell>
          <cell r="H27" t="str">
            <v>REGULER</v>
          </cell>
          <cell r="I27" t="str">
            <v>REGULER</v>
          </cell>
          <cell r="J27" t="str">
            <v>REGULER</v>
          </cell>
          <cell r="K27" t="str">
            <v>REGULER</v>
          </cell>
          <cell r="L27" t="str">
            <v>-</v>
          </cell>
          <cell r="M27">
            <v>0</v>
          </cell>
          <cell r="N27">
            <v>16</v>
          </cell>
          <cell r="O27">
            <v>13</v>
          </cell>
          <cell r="P27">
            <v>10</v>
          </cell>
          <cell r="Q27">
            <v>15</v>
          </cell>
          <cell r="R27">
            <v>0</v>
          </cell>
          <cell r="S27">
            <v>0</v>
          </cell>
          <cell r="T27">
            <v>54</v>
          </cell>
          <cell r="U27">
            <v>0</v>
          </cell>
          <cell r="V27">
            <v>16</v>
          </cell>
          <cell r="W27">
            <v>13</v>
          </cell>
          <cell r="X27">
            <v>10</v>
          </cell>
          <cell r="Y27">
            <v>15</v>
          </cell>
          <cell r="Z27">
            <v>0</v>
          </cell>
          <cell r="AA27">
            <v>0</v>
          </cell>
          <cell r="AB27">
            <v>54</v>
          </cell>
          <cell r="AC27">
            <v>2</v>
          </cell>
          <cell r="AD27" t="str">
            <v>TIDAK</v>
          </cell>
          <cell r="AE27" t="str">
            <v>TIDAK</v>
          </cell>
          <cell r="AF27">
            <v>54</v>
          </cell>
          <cell r="AG27">
            <v>2</v>
          </cell>
          <cell r="AH27" t="str">
            <v>SAPHIRE</v>
          </cell>
          <cell r="AI27">
            <v>0</v>
          </cell>
          <cell r="AJ27" t="str">
            <v>FALSE</v>
          </cell>
          <cell r="AK27">
            <v>0</v>
          </cell>
          <cell r="AL27">
            <v>45261</v>
          </cell>
          <cell r="AM27">
            <v>45701</v>
          </cell>
          <cell r="AN27">
            <v>1</v>
          </cell>
          <cell r="AO27">
            <v>54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/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 t="str">
            <v/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 t="str">
            <v/>
          </cell>
          <cell r="BV27">
            <v>0</v>
          </cell>
          <cell r="BW27">
            <v>7</v>
          </cell>
          <cell r="BX27" t="str">
            <v>DOWNGRADE</v>
          </cell>
          <cell r="BY27" t="str">
            <v>RESET</v>
          </cell>
        </row>
        <row r="28">
          <cell r="A28" t="str">
            <v>A2066</v>
          </cell>
          <cell r="B28" t="str">
            <v xml:space="preserve">Yuliant Efendi </v>
          </cell>
          <cell r="C28" t="str">
            <v>AAV</v>
          </cell>
          <cell r="D28">
            <v>45017</v>
          </cell>
          <cell r="E28" t="str">
            <v>Apr-23</v>
          </cell>
          <cell r="F28" t="str">
            <v>EKSKLUSIF</v>
          </cell>
          <cell r="G28" t="str">
            <v>EKSKLUSIF</v>
          </cell>
          <cell r="H28" t="str">
            <v>EKSKLUSIF</v>
          </cell>
          <cell r="I28" t="str">
            <v>EKSKLUSIF</v>
          </cell>
          <cell r="J28" t="str">
            <v>EKSKLUSIF</v>
          </cell>
          <cell r="K28" t="str">
            <v>EKSKLUSIF</v>
          </cell>
          <cell r="L28" t="str">
            <v>EKSKLUSIF</v>
          </cell>
          <cell r="M28">
            <v>24</v>
          </cell>
          <cell r="N28">
            <v>49</v>
          </cell>
          <cell r="O28">
            <v>43</v>
          </cell>
          <cell r="P28">
            <v>49</v>
          </cell>
          <cell r="Q28">
            <v>45</v>
          </cell>
          <cell r="R28">
            <v>25</v>
          </cell>
          <cell r="S28">
            <v>22</v>
          </cell>
          <cell r="T28">
            <v>257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 t="str">
            <v>TIDAK</v>
          </cell>
          <cell r="AE28" t="str">
            <v>TIDAK</v>
          </cell>
          <cell r="AF28">
            <v>0</v>
          </cell>
          <cell r="AG28">
            <v>3</v>
          </cell>
          <cell r="AH28" t="str">
            <v>SAPHIRE</v>
          </cell>
          <cell r="AI28">
            <v>0</v>
          </cell>
          <cell r="AJ28" t="str">
            <v>FALSE</v>
          </cell>
          <cell r="AK28">
            <v>0</v>
          </cell>
          <cell r="AL28">
            <v>45261</v>
          </cell>
          <cell r="AM28">
            <v>45701</v>
          </cell>
          <cell r="AN28">
            <v>1</v>
          </cell>
          <cell r="AO28">
            <v>0</v>
          </cell>
          <cell r="AP28" t="str">
            <v>EKSKLUSIF</v>
          </cell>
          <cell r="AQ28" t="str">
            <v>-</v>
          </cell>
          <cell r="AR28" t="str">
            <v>EKSKLUSIF</v>
          </cell>
          <cell r="AS28" t="str">
            <v>EKSKLUSIF</v>
          </cell>
          <cell r="AT28" t="str">
            <v>EKSKLUSIF</v>
          </cell>
          <cell r="AU28" t="str">
            <v>EKSKLUSIF</v>
          </cell>
          <cell r="AV28" t="str">
            <v/>
          </cell>
          <cell r="AW28">
            <v>53</v>
          </cell>
          <cell r="AX28">
            <v>51</v>
          </cell>
          <cell r="AY28">
            <v>42</v>
          </cell>
          <cell r="AZ28">
            <v>53</v>
          </cell>
          <cell r="BA28">
            <v>49</v>
          </cell>
          <cell r="BB28">
            <v>53</v>
          </cell>
          <cell r="BC28">
            <v>51</v>
          </cell>
          <cell r="BD28">
            <v>42</v>
          </cell>
          <cell r="BE28">
            <v>53</v>
          </cell>
          <cell r="BF28">
            <v>49</v>
          </cell>
          <cell r="BG28">
            <v>22</v>
          </cell>
          <cell r="BH28">
            <v>53</v>
          </cell>
          <cell r="BI28">
            <v>51</v>
          </cell>
          <cell r="BJ28">
            <v>42</v>
          </cell>
          <cell r="BK28">
            <v>53</v>
          </cell>
          <cell r="BL28">
            <v>49</v>
          </cell>
          <cell r="BM28">
            <v>23</v>
          </cell>
          <cell r="BN28">
            <v>293</v>
          </cell>
          <cell r="BO28">
            <v>0</v>
          </cell>
          <cell r="BP28">
            <v>53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23</v>
          </cell>
          <cell r="BV28">
            <v>76</v>
          </cell>
          <cell r="BW28">
            <v>0</v>
          </cell>
          <cell r="BX28" t="str">
            <v>TIDAK</v>
          </cell>
          <cell r="BY28" t="str">
            <v>TIDAK</v>
          </cell>
        </row>
        <row r="29">
          <cell r="A29" t="str">
            <v>A4247</v>
          </cell>
          <cell r="B29" t="str">
            <v>WA ODE ALYA SHINTA AMALIA</v>
          </cell>
          <cell r="C29" t="str">
            <v>AAV</v>
          </cell>
          <cell r="D29">
            <v>45536</v>
          </cell>
          <cell r="E29" t="str">
            <v>Sep-24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str">
            <v>-</v>
          </cell>
          <cell r="AQ29" t="str">
            <v>-</v>
          </cell>
          <cell r="AR29" t="str">
            <v>-</v>
          </cell>
          <cell r="AS29" t="str">
            <v>REGULER</v>
          </cell>
          <cell r="AT29" t="str">
            <v>REGULER</v>
          </cell>
          <cell r="AU29" t="str">
            <v>REGULER</v>
          </cell>
          <cell r="AV29" t="str">
            <v/>
          </cell>
          <cell r="AW29">
            <v>0</v>
          </cell>
          <cell r="AX29">
            <v>0</v>
          </cell>
          <cell r="AY29">
            <v>19</v>
          </cell>
          <cell r="AZ29">
            <v>20</v>
          </cell>
          <cell r="BA29">
            <v>17</v>
          </cell>
          <cell r="BB29">
            <v>0</v>
          </cell>
          <cell r="BC29">
            <v>0</v>
          </cell>
          <cell r="BD29">
            <v>19</v>
          </cell>
          <cell r="BE29">
            <v>20</v>
          </cell>
          <cell r="BF29">
            <v>17</v>
          </cell>
          <cell r="BG29" t="str">
            <v/>
          </cell>
          <cell r="BH29">
            <v>0</v>
          </cell>
          <cell r="BI29">
            <v>0</v>
          </cell>
          <cell r="BJ29">
            <v>19</v>
          </cell>
          <cell r="BK29">
            <v>20</v>
          </cell>
          <cell r="BL29">
            <v>17</v>
          </cell>
          <cell r="BM29">
            <v>9</v>
          </cell>
          <cell r="BN29">
            <v>65</v>
          </cell>
          <cell r="BO29" t="str">
            <v/>
          </cell>
          <cell r="BP29">
            <v>0</v>
          </cell>
          <cell r="BQ29">
            <v>0</v>
          </cell>
          <cell r="BR29">
            <v>19</v>
          </cell>
          <cell r="BS29">
            <v>20</v>
          </cell>
          <cell r="BT29">
            <v>17</v>
          </cell>
          <cell r="BU29">
            <v>9</v>
          </cell>
          <cell r="BV29">
            <v>65</v>
          </cell>
          <cell r="BW29">
            <v>0</v>
          </cell>
          <cell r="BX29" t="str">
            <v>TIDAK</v>
          </cell>
          <cell r="BY29" t="str">
            <v>TIDAK</v>
          </cell>
        </row>
        <row r="30">
          <cell r="A30" t="str">
            <v>A4348</v>
          </cell>
          <cell r="B30" t="str">
            <v>RISKA WULAN NAWANGSARI</v>
          </cell>
          <cell r="C30" t="str">
            <v>AAV</v>
          </cell>
          <cell r="D30">
            <v>45568</v>
          </cell>
          <cell r="E30" t="str">
            <v>Oct-24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REGULER</v>
          </cell>
          <cell r="AU30" t="str">
            <v>REGULER</v>
          </cell>
          <cell r="AV30" t="str">
            <v/>
          </cell>
          <cell r="AW30">
            <v>0</v>
          </cell>
          <cell r="AX30">
            <v>0</v>
          </cell>
          <cell r="AY30">
            <v>0</v>
          </cell>
          <cell r="AZ30">
            <v>19</v>
          </cell>
          <cell r="BA30">
            <v>25</v>
          </cell>
          <cell r="BB30">
            <v>0</v>
          </cell>
          <cell r="BC30">
            <v>0</v>
          </cell>
          <cell r="BD30">
            <v>0</v>
          </cell>
          <cell r="BE30">
            <v>19</v>
          </cell>
          <cell r="BF30">
            <v>25</v>
          </cell>
          <cell r="BG30" t="str">
            <v/>
          </cell>
          <cell r="BH30">
            <v>0</v>
          </cell>
          <cell r="BI30">
            <v>0</v>
          </cell>
          <cell r="BJ30">
            <v>0</v>
          </cell>
          <cell r="BK30">
            <v>19</v>
          </cell>
          <cell r="BL30">
            <v>25</v>
          </cell>
          <cell r="BM30">
            <v>3</v>
          </cell>
          <cell r="BN30">
            <v>47</v>
          </cell>
          <cell r="BO30" t="str">
            <v/>
          </cell>
          <cell r="BP30">
            <v>0</v>
          </cell>
          <cell r="BQ30">
            <v>0</v>
          </cell>
          <cell r="BR30">
            <v>0</v>
          </cell>
          <cell r="BS30">
            <v>19</v>
          </cell>
          <cell r="BT30">
            <v>25</v>
          </cell>
          <cell r="BU30">
            <v>3</v>
          </cell>
          <cell r="BV30">
            <v>47</v>
          </cell>
          <cell r="BW30">
            <v>0</v>
          </cell>
          <cell r="BX30" t="str">
            <v>TIDAK</v>
          </cell>
          <cell r="BY30" t="str">
            <v>TIDAK</v>
          </cell>
        </row>
        <row r="31">
          <cell r="A31" t="str">
            <v>A4346</v>
          </cell>
          <cell r="B31" t="str">
            <v>KIKI RIZKY ANANDA</v>
          </cell>
          <cell r="C31" t="str">
            <v>AAV</v>
          </cell>
          <cell r="D31">
            <v>45569</v>
          </cell>
          <cell r="E31" t="str">
            <v>Oct-24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str">
            <v>-</v>
          </cell>
          <cell r="AQ31" t="str">
            <v>-</v>
          </cell>
          <cell r="AR31" t="str">
            <v>-</v>
          </cell>
          <cell r="AS31" t="str">
            <v>-</v>
          </cell>
          <cell r="AT31" t="str">
            <v>REGULER</v>
          </cell>
          <cell r="AU31" t="str">
            <v>REGULER</v>
          </cell>
          <cell r="AV31" t="str">
            <v/>
          </cell>
          <cell r="AW31">
            <v>0</v>
          </cell>
          <cell r="AX31">
            <v>0</v>
          </cell>
          <cell r="AY31">
            <v>0</v>
          </cell>
          <cell r="AZ31">
            <v>37</v>
          </cell>
          <cell r="BA31">
            <v>16</v>
          </cell>
          <cell r="BB31">
            <v>0</v>
          </cell>
          <cell r="BC31">
            <v>0</v>
          </cell>
          <cell r="BD31">
            <v>0</v>
          </cell>
          <cell r="BE31">
            <v>37</v>
          </cell>
          <cell r="BF31">
            <v>16</v>
          </cell>
          <cell r="BG31" t="str">
            <v/>
          </cell>
          <cell r="BH31">
            <v>0</v>
          </cell>
          <cell r="BI31">
            <v>0</v>
          </cell>
          <cell r="BJ31">
            <v>0</v>
          </cell>
          <cell r="BK31">
            <v>37</v>
          </cell>
          <cell r="BL31">
            <v>16</v>
          </cell>
          <cell r="BM31" t="str">
            <v/>
          </cell>
          <cell r="BN31">
            <v>53</v>
          </cell>
          <cell r="BO31" t="str">
            <v/>
          </cell>
          <cell r="BP31">
            <v>0</v>
          </cell>
          <cell r="BQ31">
            <v>0</v>
          </cell>
          <cell r="BR31">
            <v>0</v>
          </cell>
          <cell r="BS31">
            <v>37</v>
          </cell>
          <cell r="BT31">
            <v>16</v>
          </cell>
          <cell r="BU31" t="str">
            <v/>
          </cell>
          <cell r="BV31">
            <v>53</v>
          </cell>
          <cell r="BW31">
            <v>1</v>
          </cell>
          <cell r="BX31" t="str">
            <v>TIDAK</v>
          </cell>
          <cell r="BY31" t="str">
            <v>TIDAK</v>
          </cell>
        </row>
        <row r="32">
          <cell r="A32" t="str">
            <v>A4347</v>
          </cell>
          <cell r="B32" t="str">
            <v>CHINDI PRATIWI</v>
          </cell>
          <cell r="C32" t="str">
            <v>AAV</v>
          </cell>
          <cell r="D32">
            <v>45572</v>
          </cell>
          <cell r="E32" t="str">
            <v>Oct-24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REGULER</v>
          </cell>
          <cell r="AU32" t="str">
            <v>REGULER</v>
          </cell>
          <cell r="AV32" t="str">
            <v/>
          </cell>
          <cell r="AW32">
            <v>0</v>
          </cell>
          <cell r="AX32">
            <v>0</v>
          </cell>
          <cell r="AY32">
            <v>0</v>
          </cell>
          <cell r="AZ32">
            <v>7</v>
          </cell>
          <cell r="BA32">
            <v>9</v>
          </cell>
          <cell r="BB32">
            <v>0</v>
          </cell>
          <cell r="BC32">
            <v>0</v>
          </cell>
          <cell r="BD32">
            <v>0</v>
          </cell>
          <cell r="BE32">
            <v>7</v>
          </cell>
          <cell r="BF32">
            <v>9</v>
          </cell>
          <cell r="BG32" t="str">
            <v/>
          </cell>
          <cell r="BH32">
            <v>0</v>
          </cell>
          <cell r="BI32">
            <v>0</v>
          </cell>
          <cell r="BJ32">
            <v>0</v>
          </cell>
          <cell r="BK32">
            <v>7</v>
          </cell>
          <cell r="BL32">
            <v>9</v>
          </cell>
          <cell r="BM32" t="str">
            <v/>
          </cell>
          <cell r="BN32">
            <v>16</v>
          </cell>
          <cell r="BO32" t="str">
            <v/>
          </cell>
          <cell r="BP32">
            <v>0</v>
          </cell>
          <cell r="BQ32">
            <v>0</v>
          </cell>
          <cell r="BR32">
            <v>0</v>
          </cell>
          <cell r="BS32">
            <v>7</v>
          </cell>
          <cell r="BT32">
            <v>9</v>
          </cell>
          <cell r="BU32" t="str">
            <v/>
          </cell>
          <cell r="BV32">
            <v>16</v>
          </cell>
          <cell r="BW32">
            <v>1</v>
          </cell>
          <cell r="BX32" t="str">
            <v>TIDAK</v>
          </cell>
          <cell r="BY32" t="str">
            <v>TIDAK</v>
          </cell>
        </row>
        <row r="33">
          <cell r="A33" t="str">
            <v>A4403</v>
          </cell>
          <cell r="B33" t="str">
            <v>Deva Aryani</v>
          </cell>
          <cell r="C33" t="str">
            <v>AAV</v>
          </cell>
          <cell r="D33">
            <v>45595</v>
          </cell>
          <cell r="E33" t="str">
            <v>Oct-24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str">
            <v>-</v>
          </cell>
          <cell r="AQ33" t="str">
            <v>-</v>
          </cell>
          <cell r="AR33" t="str">
            <v>-</v>
          </cell>
          <cell r="AS33" t="str">
            <v>-</v>
          </cell>
          <cell r="AT33" t="str">
            <v>REGULER</v>
          </cell>
          <cell r="AU33" t="str">
            <v>-</v>
          </cell>
          <cell r="AV33" t="str">
            <v/>
          </cell>
          <cell r="AW33">
            <v>0</v>
          </cell>
          <cell r="AX33">
            <v>0</v>
          </cell>
          <cell r="AY33">
            <v>0</v>
          </cell>
          <cell r="AZ33">
            <v>3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3</v>
          </cell>
          <cell r="BF33">
            <v>0</v>
          </cell>
          <cell r="BG33" t="str">
            <v/>
          </cell>
          <cell r="BH33">
            <v>0</v>
          </cell>
          <cell r="BI33">
            <v>0</v>
          </cell>
          <cell r="BJ33">
            <v>0</v>
          </cell>
          <cell r="BK33">
            <v>3</v>
          </cell>
          <cell r="BL33">
            <v>0</v>
          </cell>
          <cell r="BM33" t="str">
            <v/>
          </cell>
          <cell r="BN33">
            <v>3</v>
          </cell>
          <cell r="BO33" t="str">
            <v/>
          </cell>
          <cell r="BP33">
            <v>0</v>
          </cell>
          <cell r="BQ33">
            <v>0</v>
          </cell>
          <cell r="BR33">
            <v>0</v>
          </cell>
          <cell r="BS33">
            <v>3</v>
          </cell>
          <cell r="BT33">
            <v>0</v>
          </cell>
          <cell r="BU33" t="str">
            <v/>
          </cell>
          <cell r="BV33">
            <v>3</v>
          </cell>
          <cell r="BW33">
            <v>2</v>
          </cell>
          <cell r="BX33" t="str">
            <v>TIDAK</v>
          </cell>
          <cell r="BY33" t="str">
            <v>TIDAK</v>
          </cell>
        </row>
        <row r="34">
          <cell r="A34" t="str">
            <v>A2273</v>
          </cell>
          <cell r="B34" t="str">
            <v>Wiena Mardhina Putri</v>
          </cell>
          <cell r="C34" t="str">
            <v>AAV</v>
          </cell>
          <cell r="D34">
            <v>45595</v>
          </cell>
          <cell r="E34" t="str">
            <v>Oct-24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REGULER</v>
          </cell>
          <cell r="AU34" t="str">
            <v>-</v>
          </cell>
          <cell r="AV34" t="str">
            <v/>
          </cell>
          <cell r="AW34">
            <v>0</v>
          </cell>
          <cell r="AX34">
            <v>0</v>
          </cell>
          <cell r="AY34">
            <v>0</v>
          </cell>
          <cell r="AZ34">
            <v>3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3</v>
          </cell>
          <cell r="BF34">
            <v>0</v>
          </cell>
          <cell r="BG34" t="str">
            <v/>
          </cell>
          <cell r="BH34">
            <v>0</v>
          </cell>
          <cell r="BI34">
            <v>0</v>
          </cell>
          <cell r="BJ34">
            <v>0</v>
          </cell>
          <cell r="BK34">
            <v>3</v>
          </cell>
          <cell r="BL34">
            <v>0</v>
          </cell>
          <cell r="BM34" t="str">
            <v/>
          </cell>
          <cell r="BN34">
            <v>3</v>
          </cell>
          <cell r="BO34" t="str">
            <v/>
          </cell>
          <cell r="BP34">
            <v>0</v>
          </cell>
          <cell r="BQ34">
            <v>0</v>
          </cell>
          <cell r="BR34">
            <v>0</v>
          </cell>
          <cell r="BS34">
            <v>3</v>
          </cell>
          <cell r="BT34">
            <v>0</v>
          </cell>
          <cell r="BU34" t="str">
            <v/>
          </cell>
          <cell r="BV34">
            <v>3</v>
          </cell>
          <cell r="BW34">
            <v>2</v>
          </cell>
          <cell r="BX34" t="str">
            <v>TIDAK</v>
          </cell>
          <cell r="BY34" t="str">
            <v>TIDAK</v>
          </cell>
        </row>
        <row r="35">
          <cell r="A35" t="str">
            <v>A4404</v>
          </cell>
          <cell r="B35" t="str">
            <v>Antonia Maria Ajeng Galuh Dewanti</v>
          </cell>
          <cell r="C35" t="str">
            <v>AAV</v>
          </cell>
          <cell r="D35">
            <v>45591</v>
          </cell>
          <cell r="E35" t="str">
            <v>Oct-24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REGULER</v>
          </cell>
          <cell r="AU35" t="str">
            <v>REGULER</v>
          </cell>
          <cell r="AV35" t="str">
            <v/>
          </cell>
          <cell r="AW35">
            <v>0</v>
          </cell>
          <cell r="AX35">
            <v>0</v>
          </cell>
          <cell r="AY35">
            <v>0</v>
          </cell>
          <cell r="AZ35">
            <v>3</v>
          </cell>
          <cell r="BA35">
            <v>8</v>
          </cell>
          <cell r="BB35">
            <v>0</v>
          </cell>
          <cell r="BC35">
            <v>0</v>
          </cell>
          <cell r="BD35">
            <v>0</v>
          </cell>
          <cell r="BE35">
            <v>3</v>
          </cell>
          <cell r="BF35">
            <v>8</v>
          </cell>
          <cell r="BG35" t="str">
            <v/>
          </cell>
          <cell r="BH35">
            <v>0</v>
          </cell>
          <cell r="BI35">
            <v>0</v>
          </cell>
          <cell r="BJ35">
            <v>0</v>
          </cell>
          <cell r="BK35">
            <v>3</v>
          </cell>
          <cell r="BL35">
            <v>8</v>
          </cell>
          <cell r="BM35">
            <v>12</v>
          </cell>
          <cell r="BN35">
            <v>23</v>
          </cell>
          <cell r="BO35" t="str">
            <v/>
          </cell>
          <cell r="BP35">
            <v>0</v>
          </cell>
          <cell r="BQ35">
            <v>0</v>
          </cell>
          <cell r="BR35">
            <v>0</v>
          </cell>
          <cell r="BS35">
            <v>3</v>
          </cell>
          <cell r="BT35">
            <v>8</v>
          </cell>
          <cell r="BU35">
            <v>12</v>
          </cell>
          <cell r="BV35">
            <v>23</v>
          </cell>
          <cell r="BW35">
            <v>0</v>
          </cell>
          <cell r="BX35" t="str">
            <v>TIDAK</v>
          </cell>
          <cell r="BY35" t="str">
            <v>TIDAK</v>
          </cell>
        </row>
        <row r="36">
          <cell r="A36" t="str">
            <v>A4429</v>
          </cell>
          <cell r="B36" t="str">
            <v>ESTER SEFANYA SULU</v>
          </cell>
          <cell r="C36" t="str">
            <v>AAV</v>
          </cell>
          <cell r="D36">
            <v>45596</v>
          </cell>
          <cell r="E36" t="str">
            <v>Oct-24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REGULER</v>
          </cell>
          <cell r="AU36" t="str">
            <v>REGULER</v>
          </cell>
          <cell r="AV36" t="str">
            <v/>
          </cell>
          <cell r="AW36">
            <v>0</v>
          </cell>
          <cell r="AX36">
            <v>1</v>
          </cell>
          <cell r="AY36">
            <v>0</v>
          </cell>
          <cell r="AZ36">
            <v>1</v>
          </cell>
          <cell r="BA36">
            <v>1</v>
          </cell>
          <cell r="BB36">
            <v>0</v>
          </cell>
          <cell r="BC36">
            <v>0</v>
          </cell>
          <cell r="BD36">
            <v>0</v>
          </cell>
          <cell r="BE36">
            <v>1</v>
          </cell>
          <cell r="BF36">
            <v>1</v>
          </cell>
          <cell r="BG36" t="str">
            <v/>
          </cell>
          <cell r="BH36">
            <v>0</v>
          </cell>
          <cell r="BI36">
            <v>1</v>
          </cell>
          <cell r="BJ36">
            <v>0</v>
          </cell>
          <cell r="BK36">
            <v>1</v>
          </cell>
          <cell r="BL36">
            <v>1</v>
          </cell>
          <cell r="BM36" t="str">
            <v/>
          </cell>
          <cell r="BN36">
            <v>3</v>
          </cell>
          <cell r="BO36" t="str">
            <v/>
          </cell>
          <cell r="BP36">
            <v>0</v>
          </cell>
          <cell r="BQ36">
            <v>1</v>
          </cell>
          <cell r="BR36">
            <v>0</v>
          </cell>
          <cell r="BS36">
            <v>1</v>
          </cell>
          <cell r="BT36">
            <v>1</v>
          </cell>
          <cell r="BU36" t="str">
            <v/>
          </cell>
          <cell r="BV36">
            <v>3</v>
          </cell>
          <cell r="BW36">
            <v>1</v>
          </cell>
          <cell r="BX36" t="str">
            <v>TIDAK</v>
          </cell>
          <cell r="BY36" t="str">
            <v>TIDAK</v>
          </cell>
        </row>
        <row r="37">
          <cell r="A37" t="str">
            <v>A4428</v>
          </cell>
          <cell r="B37" t="str">
            <v>FERDIAN ANGGA RACHMADHANI</v>
          </cell>
          <cell r="C37" t="str">
            <v>AAV</v>
          </cell>
          <cell r="D37">
            <v>45596</v>
          </cell>
          <cell r="E37" t="str">
            <v>Oct-24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REGULER</v>
          </cell>
          <cell r="AU37" t="str">
            <v>REGULER</v>
          </cell>
          <cell r="AV37" t="str">
            <v/>
          </cell>
          <cell r="AW37">
            <v>0</v>
          </cell>
          <cell r="AX37">
            <v>0</v>
          </cell>
          <cell r="AY37">
            <v>0</v>
          </cell>
          <cell r="AZ37">
            <v>1</v>
          </cell>
          <cell r="BA37">
            <v>2</v>
          </cell>
          <cell r="BB37">
            <v>0</v>
          </cell>
          <cell r="BC37">
            <v>0</v>
          </cell>
          <cell r="BD37">
            <v>0</v>
          </cell>
          <cell r="BE37">
            <v>1</v>
          </cell>
          <cell r="BF37">
            <v>2</v>
          </cell>
          <cell r="BG37" t="str">
            <v/>
          </cell>
          <cell r="BH37">
            <v>0</v>
          </cell>
          <cell r="BI37">
            <v>0</v>
          </cell>
          <cell r="BJ37">
            <v>0</v>
          </cell>
          <cell r="BK37">
            <v>1</v>
          </cell>
          <cell r="BL37">
            <v>2</v>
          </cell>
          <cell r="BM37">
            <v>4</v>
          </cell>
          <cell r="BN37">
            <v>7</v>
          </cell>
          <cell r="BO37" t="str">
            <v/>
          </cell>
          <cell r="BP37">
            <v>0</v>
          </cell>
          <cell r="BQ37">
            <v>0</v>
          </cell>
          <cell r="BR37">
            <v>0</v>
          </cell>
          <cell r="BS37">
            <v>1</v>
          </cell>
          <cell r="BT37">
            <v>2</v>
          </cell>
          <cell r="BU37">
            <v>4</v>
          </cell>
          <cell r="BV37">
            <v>7</v>
          </cell>
          <cell r="BW37">
            <v>0</v>
          </cell>
          <cell r="BX37" t="str">
            <v>TIDAK</v>
          </cell>
          <cell r="BY37" t="str">
            <v>TIDAK</v>
          </cell>
        </row>
        <row r="38">
          <cell r="A38" t="str">
            <v>A4527</v>
          </cell>
          <cell r="B38" t="str">
            <v>DEWI ADELIA BANI</v>
          </cell>
          <cell r="C38" t="str">
            <v>AAV AUTO 2000</v>
          </cell>
          <cell r="D38">
            <v>45628</v>
          </cell>
          <cell r="E38" t="str">
            <v>Dec-24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 t="str">
            <v/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>
            <v>0</v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>
            <v>16</v>
          </cell>
          <cell r="BN38">
            <v>16</v>
          </cell>
          <cell r="BO38">
            <v>0</v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>
            <v>16</v>
          </cell>
          <cell r="BV38">
            <v>16</v>
          </cell>
          <cell r="BW38">
            <v>0</v>
          </cell>
          <cell r="BX38" t="str">
            <v>TIDAK</v>
          </cell>
          <cell r="BY38" t="str">
            <v>TIDAK</v>
          </cell>
        </row>
        <row r="39">
          <cell r="A39" t="str">
            <v>A4526</v>
          </cell>
          <cell r="B39" t="str">
            <v>EREN JUWITA PURNAMA</v>
          </cell>
          <cell r="C39" t="str">
            <v>AAV AUTO 2000</v>
          </cell>
          <cell r="D39">
            <v>45628</v>
          </cell>
          <cell r="E39" t="str">
            <v>Dec-24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 t="str">
            <v/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>
            <v>0</v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>
            <v>21</v>
          </cell>
          <cell r="BN39">
            <v>21</v>
          </cell>
          <cell r="BO39">
            <v>0</v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>
            <v>21</v>
          </cell>
          <cell r="BV39">
            <v>21</v>
          </cell>
          <cell r="BW39">
            <v>0</v>
          </cell>
          <cell r="BX39" t="str">
            <v>TIDAK</v>
          </cell>
          <cell r="BY39" t="str">
            <v>TIDAK</v>
          </cell>
        </row>
        <row r="40">
          <cell r="A40" t="str">
            <v>A4529</v>
          </cell>
          <cell r="B40" t="str">
            <v>MILA KAMILA HAERAWATI</v>
          </cell>
          <cell r="C40" t="str">
            <v>AAV AUTO 2000</v>
          </cell>
          <cell r="D40">
            <v>45628</v>
          </cell>
          <cell r="E40" t="str">
            <v>Dec-24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 t="str">
            <v/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>
            <v>0</v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>
            <v>19</v>
          </cell>
          <cell r="BN40">
            <v>19</v>
          </cell>
          <cell r="BO40">
            <v>0</v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>
            <v>19</v>
          </cell>
          <cell r="BV40">
            <v>19</v>
          </cell>
          <cell r="BW40">
            <v>0</v>
          </cell>
          <cell r="BX40" t="str">
            <v>TIDAK</v>
          </cell>
          <cell r="BY40" t="str">
            <v>TIDAK</v>
          </cell>
        </row>
        <row r="41">
          <cell r="A41" t="str">
            <v>A4525</v>
          </cell>
          <cell r="B41" t="str">
            <v>NAILA SAFITRI</v>
          </cell>
          <cell r="C41" t="str">
            <v>AAV AUTO 2000</v>
          </cell>
          <cell r="D41">
            <v>45628</v>
          </cell>
          <cell r="E41" t="str">
            <v>Dec-24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 t="str">
            <v/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>
            <v>0</v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>
            <v>14</v>
          </cell>
          <cell r="BN41">
            <v>14</v>
          </cell>
          <cell r="BO41">
            <v>0</v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>
            <v>14</v>
          </cell>
          <cell r="BV41">
            <v>14</v>
          </cell>
          <cell r="BW41">
            <v>0</v>
          </cell>
          <cell r="BX41" t="str">
            <v>TIDAK</v>
          </cell>
          <cell r="BY41" t="str">
            <v>TIDAK</v>
          </cell>
        </row>
        <row r="42">
          <cell r="A42" t="str">
            <v>A4532</v>
          </cell>
          <cell r="B42" t="str">
            <v>KINTAN SHAFA AMELIA</v>
          </cell>
          <cell r="C42" t="str">
            <v>AAV AUTO 2000</v>
          </cell>
          <cell r="D42">
            <v>45628</v>
          </cell>
          <cell r="E42" t="str">
            <v>Dec-24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 t="str">
            <v/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>
            <v>0</v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>
            <v>21</v>
          </cell>
          <cell r="BN42">
            <v>21</v>
          </cell>
          <cell r="BO42">
            <v>0</v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>
            <v>21</v>
          </cell>
          <cell r="BV42">
            <v>21</v>
          </cell>
          <cell r="BW42">
            <v>0</v>
          </cell>
          <cell r="BX42" t="str">
            <v>TIDAK</v>
          </cell>
          <cell r="BY42" t="str">
            <v>TIDAK</v>
          </cell>
        </row>
        <row r="43">
          <cell r="A43" t="str">
            <v>A4524</v>
          </cell>
          <cell r="B43" t="str">
            <v>NAFIRA TAFASSUHA</v>
          </cell>
          <cell r="C43" t="str">
            <v>AAV AUTO 2000</v>
          </cell>
          <cell r="D43">
            <v>45628</v>
          </cell>
          <cell r="E43" t="str">
            <v>Dec-24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 t="str">
            <v/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>
            <v>0</v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>
            <v>22</v>
          </cell>
          <cell r="BN43">
            <v>22</v>
          </cell>
          <cell r="BO43">
            <v>0</v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>
            <v>22</v>
          </cell>
          <cell r="BV43">
            <v>22</v>
          </cell>
          <cell r="BW43">
            <v>0</v>
          </cell>
          <cell r="BX43" t="str">
            <v>TIDAK</v>
          </cell>
          <cell r="BY43" t="str">
            <v>TIDAK</v>
          </cell>
        </row>
        <row r="44">
          <cell r="A44" t="str">
            <v>A4523</v>
          </cell>
          <cell r="B44" t="str">
            <v>ALDI ILHAM BACHTIAR</v>
          </cell>
          <cell r="C44" t="str">
            <v>AAV AUTO 2000</v>
          </cell>
          <cell r="D44">
            <v>45628</v>
          </cell>
          <cell r="E44" t="str">
            <v>Dec-24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 t="str">
            <v/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>
            <v>0</v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>
            <v>22</v>
          </cell>
          <cell r="BN44">
            <v>22</v>
          </cell>
          <cell r="BO44">
            <v>0</v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>
            <v>22</v>
          </cell>
          <cell r="BV44">
            <v>22</v>
          </cell>
          <cell r="BW44">
            <v>0</v>
          </cell>
          <cell r="BX44" t="str">
            <v>TIDAK</v>
          </cell>
          <cell r="BY44" t="str">
            <v>TIDAK</v>
          </cell>
        </row>
        <row r="45">
          <cell r="A45" t="str">
            <v>A4531</v>
          </cell>
          <cell r="B45" t="str">
            <v>RATNA AMALIYAH</v>
          </cell>
          <cell r="C45" t="str">
            <v>AAV AUTO 2000</v>
          </cell>
          <cell r="D45">
            <v>45628</v>
          </cell>
          <cell r="E45" t="str">
            <v>Dec-24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 t="str">
            <v/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>
            <v>0</v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>
            <v>17</v>
          </cell>
          <cell r="BN45">
            <v>17</v>
          </cell>
          <cell r="BO45">
            <v>0</v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>
            <v>17</v>
          </cell>
          <cell r="BV45">
            <v>17</v>
          </cell>
          <cell r="BW45">
            <v>0</v>
          </cell>
          <cell r="BX45" t="str">
            <v>TIDAK</v>
          </cell>
          <cell r="BY45" t="str">
            <v>TIDAK</v>
          </cell>
        </row>
        <row r="46">
          <cell r="A46">
            <v>92298</v>
          </cell>
          <cell r="B46" t="str">
            <v>HERDHIKA ARYASENA</v>
          </cell>
          <cell r="C46" t="str">
            <v>AAV AUTO 2000</v>
          </cell>
          <cell r="D46">
            <v>45628</v>
          </cell>
          <cell r="E46" t="str">
            <v>Dec-24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 t="str">
            <v/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>
            <v>0</v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>
            <v>7</v>
          </cell>
          <cell r="BN46">
            <v>7</v>
          </cell>
          <cell r="BO46">
            <v>0</v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>
            <v>7</v>
          </cell>
          <cell r="BV46">
            <v>7</v>
          </cell>
          <cell r="BW46">
            <v>0</v>
          </cell>
          <cell r="BX46" t="str">
            <v>TIDAK</v>
          </cell>
          <cell r="BY46" t="str">
            <v>TIDAK</v>
          </cell>
        </row>
        <row r="47">
          <cell r="A47" t="str">
            <v>A4530</v>
          </cell>
          <cell r="B47" t="str">
            <v>NARESWARI NISITA</v>
          </cell>
          <cell r="C47" t="str">
            <v>AAV AUTO 2000</v>
          </cell>
          <cell r="D47">
            <v>45628</v>
          </cell>
          <cell r="E47" t="str">
            <v>Dec-24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 t="str">
            <v/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>
            <v>0</v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>
            <v>6</v>
          </cell>
          <cell r="BN47">
            <v>6</v>
          </cell>
          <cell r="BO47">
            <v>0</v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>
            <v>6</v>
          </cell>
          <cell r="BV47">
            <v>6</v>
          </cell>
          <cell r="BW47">
            <v>0</v>
          </cell>
          <cell r="BX47" t="str">
            <v>TIDAK</v>
          </cell>
          <cell r="BY47" t="str">
            <v>TIDAK</v>
          </cell>
        </row>
        <row r="48">
          <cell r="A48" t="str">
            <v>A4533</v>
          </cell>
          <cell r="B48" t="str">
            <v>PANDU WIDYASMARA</v>
          </cell>
          <cell r="C48" t="str">
            <v>AAV AUTO 2000</v>
          </cell>
          <cell r="D48">
            <v>45628</v>
          </cell>
          <cell r="E48" t="str">
            <v>Dec-24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 t="str">
            <v/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>
            <v>0</v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>
            <v>7</v>
          </cell>
          <cell r="BN48">
            <v>7</v>
          </cell>
          <cell r="BO48">
            <v>0</v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>
            <v>7</v>
          </cell>
          <cell r="BV48">
            <v>7</v>
          </cell>
          <cell r="BW48">
            <v>0</v>
          </cell>
          <cell r="BX48" t="str">
            <v>TIDAK</v>
          </cell>
          <cell r="BY48" t="str">
            <v>TIDAK</v>
          </cell>
        </row>
        <row r="49">
          <cell r="A49" t="str">
            <v>A3946</v>
          </cell>
          <cell r="B49" t="str">
            <v>Alfina Fairuzah</v>
          </cell>
          <cell r="C49" t="str">
            <v>CC SK</v>
          </cell>
          <cell r="D49">
            <v>45395</v>
          </cell>
          <cell r="E49" t="str">
            <v>Apr-24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30</v>
          </cell>
          <cell r="R49">
            <v>48</v>
          </cell>
          <cell r="S49">
            <v>24</v>
          </cell>
          <cell r="T49">
            <v>102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30</v>
          </cell>
          <cell r="Z49">
            <v>48</v>
          </cell>
          <cell r="AA49">
            <v>24</v>
          </cell>
          <cell r="AB49">
            <v>102</v>
          </cell>
          <cell r="AC49">
            <v>0</v>
          </cell>
          <cell r="AD49" t="str">
            <v>TIDAK</v>
          </cell>
          <cell r="AE49" t="str">
            <v>TIDAK</v>
          </cell>
          <cell r="AF49">
            <v>102</v>
          </cell>
          <cell r="AG49">
            <v>1</v>
          </cell>
          <cell r="AH49" t="str">
            <v>SAPHIRE</v>
          </cell>
          <cell r="AI49">
            <v>65</v>
          </cell>
          <cell r="AJ49" t="str">
            <v>Y</v>
          </cell>
          <cell r="AK49">
            <v>0</v>
          </cell>
          <cell r="AL49">
            <v>45261</v>
          </cell>
          <cell r="AM49">
            <v>45701</v>
          </cell>
          <cell r="AN49">
            <v>1</v>
          </cell>
          <cell r="AO49">
            <v>37</v>
          </cell>
          <cell r="AP49" t="str">
            <v>-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 t="str">
            <v/>
          </cell>
          <cell r="AW49">
            <v>18</v>
          </cell>
          <cell r="AX49">
            <v>12</v>
          </cell>
          <cell r="AY49">
            <v>11</v>
          </cell>
          <cell r="AZ49">
            <v>14</v>
          </cell>
          <cell r="BA49">
            <v>0</v>
          </cell>
          <cell r="BB49">
            <v>18</v>
          </cell>
          <cell r="BC49">
            <v>12</v>
          </cell>
          <cell r="BD49">
            <v>11</v>
          </cell>
          <cell r="BE49">
            <v>14</v>
          </cell>
          <cell r="BF49">
            <v>0</v>
          </cell>
          <cell r="BG49">
            <v>22</v>
          </cell>
          <cell r="BH49">
            <v>18</v>
          </cell>
          <cell r="BI49">
            <v>12</v>
          </cell>
          <cell r="BJ49">
            <v>11</v>
          </cell>
          <cell r="BK49">
            <v>14</v>
          </cell>
          <cell r="BL49">
            <v>0</v>
          </cell>
          <cell r="BM49">
            <v>0</v>
          </cell>
          <cell r="BN49">
            <v>77</v>
          </cell>
          <cell r="BO49">
            <v>22</v>
          </cell>
          <cell r="BP49">
            <v>18</v>
          </cell>
          <cell r="BQ49">
            <v>12</v>
          </cell>
          <cell r="BR49">
            <v>11</v>
          </cell>
          <cell r="BS49">
            <v>14</v>
          </cell>
          <cell r="BT49">
            <v>0</v>
          </cell>
          <cell r="BU49">
            <v>0</v>
          </cell>
          <cell r="BV49">
            <v>77</v>
          </cell>
          <cell r="BW49">
            <v>2</v>
          </cell>
          <cell r="BX49" t="str">
            <v>TIDAK</v>
          </cell>
          <cell r="BY49" t="str">
            <v>TIDAK</v>
          </cell>
        </row>
        <row r="50">
          <cell r="A50" t="str">
            <v>A3041</v>
          </cell>
          <cell r="B50" t="str">
            <v>Anisa Fitrianingsih</v>
          </cell>
          <cell r="C50" t="str">
            <v>CC SK</v>
          </cell>
          <cell r="D50">
            <v>45219</v>
          </cell>
          <cell r="E50" t="str">
            <v>Oct-23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18</v>
          </cell>
          <cell r="N50">
            <v>47</v>
          </cell>
          <cell r="O50">
            <v>31</v>
          </cell>
          <cell r="P50">
            <v>47</v>
          </cell>
          <cell r="Q50">
            <v>39</v>
          </cell>
          <cell r="R50">
            <v>44</v>
          </cell>
          <cell r="S50">
            <v>24</v>
          </cell>
          <cell r="T50">
            <v>250</v>
          </cell>
          <cell r="U50">
            <v>18</v>
          </cell>
          <cell r="V50">
            <v>47</v>
          </cell>
          <cell r="W50">
            <v>31</v>
          </cell>
          <cell r="X50">
            <v>47</v>
          </cell>
          <cell r="Y50">
            <v>39</v>
          </cell>
          <cell r="Z50">
            <v>44</v>
          </cell>
          <cell r="AA50">
            <v>24</v>
          </cell>
          <cell r="AB50">
            <v>250</v>
          </cell>
          <cell r="AC50">
            <v>0</v>
          </cell>
          <cell r="AD50" t="str">
            <v>TIDAK</v>
          </cell>
          <cell r="AE50" t="str">
            <v>TIDAK</v>
          </cell>
          <cell r="AF50">
            <v>250</v>
          </cell>
          <cell r="AG50">
            <v>1</v>
          </cell>
          <cell r="AH50" t="str">
            <v>SAPHIRE</v>
          </cell>
          <cell r="AI50">
            <v>195</v>
          </cell>
          <cell r="AJ50" t="str">
            <v>Y</v>
          </cell>
          <cell r="AK50">
            <v>0</v>
          </cell>
          <cell r="AL50">
            <v>45261</v>
          </cell>
          <cell r="AM50">
            <v>45701</v>
          </cell>
          <cell r="AN50">
            <v>1</v>
          </cell>
          <cell r="AO50">
            <v>55</v>
          </cell>
          <cell r="AP50" t="str">
            <v>-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 t="str">
            <v/>
          </cell>
          <cell r="AW50">
            <v>50</v>
          </cell>
          <cell r="AX50">
            <v>40</v>
          </cell>
          <cell r="AY50">
            <v>40</v>
          </cell>
          <cell r="AZ50">
            <v>43</v>
          </cell>
          <cell r="BA50">
            <v>32</v>
          </cell>
          <cell r="BB50">
            <v>50</v>
          </cell>
          <cell r="BC50">
            <v>40</v>
          </cell>
          <cell r="BD50">
            <v>40</v>
          </cell>
          <cell r="BE50">
            <v>43</v>
          </cell>
          <cell r="BF50">
            <v>32</v>
          </cell>
          <cell r="BG50">
            <v>5</v>
          </cell>
          <cell r="BH50">
            <v>50</v>
          </cell>
          <cell r="BI50">
            <v>40</v>
          </cell>
          <cell r="BJ50">
            <v>40</v>
          </cell>
          <cell r="BK50">
            <v>43</v>
          </cell>
          <cell r="BL50">
            <v>32</v>
          </cell>
          <cell r="BM50">
            <v>7</v>
          </cell>
          <cell r="BN50">
            <v>217</v>
          </cell>
          <cell r="BO50">
            <v>5</v>
          </cell>
          <cell r="BP50">
            <v>50</v>
          </cell>
          <cell r="BQ50">
            <v>40</v>
          </cell>
          <cell r="BR50">
            <v>40</v>
          </cell>
          <cell r="BS50">
            <v>43</v>
          </cell>
          <cell r="BT50">
            <v>32</v>
          </cell>
          <cell r="BU50">
            <v>7</v>
          </cell>
          <cell r="BV50">
            <v>217</v>
          </cell>
          <cell r="BW50">
            <v>0</v>
          </cell>
          <cell r="BX50" t="str">
            <v>TIDAK</v>
          </cell>
          <cell r="BY50" t="str">
            <v>TIDAK</v>
          </cell>
        </row>
        <row r="51">
          <cell r="A51" t="str">
            <v>A3720</v>
          </cell>
          <cell r="B51" t="str">
            <v>Apri Rohmanto</v>
          </cell>
          <cell r="C51" t="str">
            <v>CC SK</v>
          </cell>
          <cell r="D51">
            <v>45325</v>
          </cell>
          <cell r="E51" t="str">
            <v>Feb-24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1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1</v>
          </cell>
          <cell r="U51">
            <v>0</v>
          </cell>
          <cell r="V51">
            <v>0</v>
          </cell>
          <cell r="W51">
            <v>1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</v>
          </cell>
          <cell r="AC51">
            <v>4</v>
          </cell>
          <cell r="AD51" t="str">
            <v>DOWNGRADE</v>
          </cell>
          <cell r="AE51" t="str">
            <v>RESET</v>
          </cell>
          <cell r="AF51">
            <v>0</v>
          </cell>
          <cell r="AG51">
            <v>1</v>
          </cell>
          <cell r="AH51" t="str">
            <v>SAPHIRE</v>
          </cell>
          <cell r="AI51">
            <v>0</v>
          </cell>
          <cell r="AJ51" t="str">
            <v>FALSE</v>
          </cell>
          <cell r="AK51">
            <v>0</v>
          </cell>
          <cell r="AL51">
            <v>45261</v>
          </cell>
          <cell r="AM51">
            <v>45701</v>
          </cell>
          <cell r="AN51">
            <v>1</v>
          </cell>
          <cell r="AO51">
            <v>0</v>
          </cell>
          <cell r="AP51" t="str">
            <v>-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 t="str">
            <v/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 t="str">
            <v/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 t="str">
            <v/>
          </cell>
          <cell r="BN51">
            <v>0</v>
          </cell>
          <cell r="BO51" t="str">
            <v/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 t="str">
            <v/>
          </cell>
          <cell r="BV51">
            <v>0</v>
          </cell>
          <cell r="BW51">
            <v>7</v>
          </cell>
          <cell r="BX51" t="str">
            <v>DOWNGRADE</v>
          </cell>
          <cell r="BY51" t="str">
            <v>RESET</v>
          </cell>
        </row>
        <row r="52">
          <cell r="A52" t="str">
            <v>A3608</v>
          </cell>
          <cell r="B52" t="str">
            <v>Donabella Aulia Azzahra</v>
          </cell>
          <cell r="C52" t="str">
            <v>CC SK</v>
          </cell>
          <cell r="D52">
            <v>45292</v>
          </cell>
          <cell r="E52" t="str">
            <v>Jan-24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 t="str">
            <v xml:space="preserve"> </v>
          </cell>
          <cell r="M52">
            <v>0</v>
          </cell>
          <cell r="N52">
            <v>2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2</v>
          </cell>
          <cell r="U52">
            <v>0</v>
          </cell>
          <cell r="V52">
            <v>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2</v>
          </cell>
          <cell r="AC52">
            <v>5</v>
          </cell>
          <cell r="AD52" t="str">
            <v>DOWNGRADE</v>
          </cell>
          <cell r="AE52" t="str">
            <v>RESET</v>
          </cell>
          <cell r="AF52">
            <v>0</v>
          </cell>
          <cell r="AG52">
            <v>1</v>
          </cell>
          <cell r="AH52" t="str">
            <v>SAPHIRE</v>
          </cell>
          <cell r="AI52">
            <v>0</v>
          </cell>
          <cell r="AJ52" t="str">
            <v>FALSE</v>
          </cell>
          <cell r="AK52">
            <v>0</v>
          </cell>
          <cell r="AL52">
            <v>45261</v>
          </cell>
          <cell r="AM52">
            <v>45701</v>
          </cell>
          <cell r="AN52">
            <v>1</v>
          </cell>
          <cell r="AO52">
            <v>0</v>
          </cell>
          <cell r="AP52" t="str">
            <v>-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 t="str">
            <v/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 t="str">
            <v/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 t="str">
            <v/>
          </cell>
          <cell r="BN52">
            <v>0</v>
          </cell>
          <cell r="BO52" t="str">
            <v/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 t="str">
            <v/>
          </cell>
          <cell r="BV52">
            <v>0</v>
          </cell>
          <cell r="BW52">
            <v>7</v>
          </cell>
          <cell r="BX52" t="str">
            <v>DOWNGRADE</v>
          </cell>
          <cell r="BY52" t="str">
            <v>RESET</v>
          </cell>
        </row>
        <row r="53">
          <cell r="A53" t="str">
            <v>A2267</v>
          </cell>
          <cell r="B53" t="str">
            <v>Eko Prabowo</v>
          </cell>
          <cell r="C53" t="str">
            <v>CC SK</v>
          </cell>
          <cell r="D53">
            <v>45049</v>
          </cell>
          <cell r="E53" t="str">
            <v>May-23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18</v>
          </cell>
          <cell r="N53">
            <v>52</v>
          </cell>
          <cell r="O53">
            <v>36</v>
          </cell>
          <cell r="P53">
            <v>45</v>
          </cell>
          <cell r="Q53">
            <v>2</v>
          </cell>
          <cell r="R53">
            <v>1</v>
          </cell>
          <cell r="S53">
            <v>0</v>
          </cell>
          <cell r="T53">
            <v>154</v>
          </cell>
          <cell r="U53">
            <v>18</v>
          </cell>
          <cell r="V53">
            <v>52</v>
          </cell>
          <cell r="W53">
            <v>36</v>
          </cell>
          <cell r="X53">
            <v>45</v>
          </cell>
          <cell r="Y53">
            <v>2</v>
          </cell>
          <cell r="Z53">
            <v>1</v>
          </cell>
          <cell r="AA53">
            <v>0</v>
          </cell>
          <cell r="AB53">
            <v>154</v>
          </cell>
          <cell r="AC53">
            <v>1</v>
          </cell>
          <cell r="AD53" t="str">
            <v>TIDAK</v>
          </cell>
          <cell r="AE53" t="str">
            <v>TIDAK</v>
          </cell>
          <cell r="AF53">
            <v>154</v>
          </cell>
          <cell r="AG53">
            <v>1</v>
          </cell>
          <cell r="AH53" t="str">
            <v>SAPHIRE</v>
          </cell>
          <cell r="AI53">
            <v>0</v>
          </cell>
          <cell r="AJ53" t="str">
            <v>Y</v>
          </cell>
          <cell r="AK53">
            <v>0</v>
          </cell>
          <cell r="AL53">
            <v>45261</v>
          </cell>
          <cell r="AM53">
            <v>45701</v>
          </cell>
          <cell r="AN53">
            <v>1</v>
          </cell>
          <cell r="AO53">
            <v>154</v>
          </cell>
          <cell r="AP53" t="str">
            <v>-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 t="str">
            <v/>
          </cell>
          <cell r="AW53">
            <v>3</v>
          </cell>
          <cell r="AX53">
            <v>1</v>
          </cell>
          <cell r="AY53">
            <v>0</v>
          </cell>
          <cell r="AZ53">
            <v>0</v>
          </cell>
          <cell r="BA53">
            <v>0</v>
          </cell>
          <cell r="BB53">
            <v>3</v>
          </cell>
          <cell r="BC53">
            <v>1</v>
          </cell>
          <cell r="BD53">
            <v>0</v>
          </cell>
          <cell r="BE53">
            <v>0</v>
          </cell>
          <cell r="BF53">
            <v>0</v>
          </cell>
          <cell r="BG53" t="str">
            <v/>
          </cell>
          <cell r="BH53">
            <v>3</v>
          </cell>
          <cell r="BI53">
            <v>1</v>
          </cell>
          <cell r="BJ53">
            <v>0</v>
          </cell>
          <cell r="BK53">
            <v>0</v>
          </cell>
          <cell r="BL53">
            <v>0</v>
          </cell>
          <cell r="BM53" t="str">
            <v/>
          </cell>
          <cell r="BN53">
            <v>4</v>
          </cell>
          <cell r="BO53" t="str">
            <v/>
          </cell>
          <cell r="BP53">
            <v>3</v>
          </cell>
          <cell r="BQ53">
            <v>1</v>
          </cell>
          <cell r="BR53">
            <v>0</v>
          </cell>
          <cell r="BS53">
            <v>0</v>
          </cell>
          <cell r="BT53">
            <v>0</v>
          </cell>
          <cell r="BU53" t="str">
            <v/>
          </cell>
          <cell r="BV53">
            <v>4</v>
          </cell>
          <cell r="BW53">
            <v>5</v>
          </cell>
          <cell r="BX53" t="str">
            <v>DOWNGRADE</v>
          </cell>
          <cell r="BY53" t="str">
            <v>RESET</v>
          </cell>
        </row>
        <row r="54">
          <cell r="A54" t="str">
            <v>A3718</v>
          </cell>
          <cell r="B54" t="str">
            <v>Fatihah Nur Aini</v>
          </cell>
          <cell r="C54" t="str">
            <v>CC SK</v>
          </cell>
          <cell r="D54">
            <v>45323</v>
          </cell>
          <cell r="E54" t="str">
            <v>Feb-24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28</v>
          </cell>
          <cell r="P54">
            <v>26</v>
          </cell>
          <cell r="Q54">
            <v>31</v>
          </cell>
          <cell r="R54">
            <v>0</v>
          </cell>
          <cell r="S54">
            <v>0</v>
          </cell>
          <cell r="T54">
            <v>85</v>
          </cell>
          <cell r="U54">
            <v>0</v>
          </cell>
          <cell r="V54">
            <v>0</v>
          </cell>
          <cell r="W54">
            <v>28</v>
          </cell>
          <cell r="X54">
            <v>26</v>
          </cell>
          <cell r="Y54">
            <v>31</v>
          </cell>
          <cell r="Z54">
            <v>0</v>
          </cell>
          <cell r="AA54">
            <v>0</v>
          </cell>
          <cell r="AB54">
            <v>85</v>
          </cell>
          <cell r="AC54">
            <v>2</v>
          </cell>
          <cell r="AD54" t="str">
            <v>TIDAK</v>
          </cell>
          <cell r="AE54" t="str">
            <v>TIDAK</v>
          </cell>
          <cell r="AF54">
            <v>85</v>
          </cell>
          <cell r="AG54">
            <v>1</v>
          </cell>
          <cell r="AH54" t="str">
            <v>SAPHIRE</v>
          </cell>
          <cell r="AI54">
            <v>0</v>
          </cell>
          <cell r="AJ54" t="str">
            <v>Y</v>
          </cell>
          <cell r="AK54">
            <v>0</v>
          </cell>
          <cell r="AL54">
            <v>45261</v>
          </cell>
          <cell r="AM54">
            <v>45701</v>
          </cell>
          <cell r="AN54">
            <v>1</v>
          </cell>
          <cell r="AO54">
            <v>85</v>
          </cell>
          <cell r="AP54" t="str">
            <v>-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 t="str">
            <v/>
          </cell>
          <cell r="AW54">
            <v>42</v>
          </cell>
          <cell r="AX54">
            <v>34</v>
          </cell>
          <cell r="AY54">
            <v>19</v>
          </cell>
          <cell r="AZ54">
            <v>0</v>
          </cell>
          <cell r="BA54">
            <v>0</v>
          </cell>
          <cell r="BB54">
            <v>42</v>
          </cell>
          <cell r="BC54">
            <v>34</v>
          </cell>
          <cell r="BD54">
            <v>19</v>
          </cell>
          <cell r="BE54">
            <v>0</v>
          </cell>
          <cell r="BF54">
            <v>0</v>
          </cell>
          <cell r="BG54" t="str">
            <v/>
          </cell>
          <cell r="BH54">
            <v>42</v>
          </cell>
          <cell r="BI54">
            <v>34</v>
          </cell>
          <cell r="BJ54">
            <v>19</v>
          </cell>
          <cell r="BK54">
            <v>0</v>
          </cell>
          <cell r="BL54">
            <v>0</v>
          </cell>
          <cell r="BM54" t="str">
            <v/>
          </cell>
          <cell r="BN54">
            <v>95</v>
          </cell>
          <cell r="BO54" t="str">
            <v/>
          </cell>
          <cell r="BP54">
            <v>42</v>
          </cell>
          <cell r="BQ54">
            <v>34</v>
          </cell>
          <cell r="BR54">
            <v>19</v>
          </cell>
          <cell r="BS54">
            <v>0</v>
          </cell>
          <cell r="BT54">
            <v>0</v>
          </cell>
          <cell r="BU54" t="str">
            <v/>
          </cell>
          <cell r="BV54">
            <v>95</v>
          </cell>
          <cell r="BW54">
            <v>4</v>
          </cell>
          <cell r="BX54" t="str">
            <v>DOWNGRADE</v>
          </cell>
          <cell r="BY54" t="str">
            <v>RESET</v>
          </cell>
        </row>
        <row r="55">
          <cell r="A55" t="str">
            <v>A2269</v>
          </cell>
          <cell r="B55" t="str">
            <v>Kharisma Cahyani Djauhari</v>
          </cell>
          <cell r="C55" t="str">
            <v>CC SK</v>
          </cell>
          <cell r="D55">
            <v>45050</v>
          </cell>
          <cell r="E55" t="str">
            <v>May-23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6</v>
          </cell>
          <cell r="N55">
            <v>41</v>
          </cell>
          <cell r="O55">
            <v>33</v>
          </cell>
          <cell r="P55">
            <v>3</v>
          </cell>
          <cell r="Q55">
            <v>0</v>
          </cell>
          <cell r="R55">
            <v>1</v>
          </cell>
          <cell r="S55">
            <v>0</v>
          </cell>
          <cell r="T55">
            <v>84</v>
          </cell>
          <cell r="U55">
            <v>6</v>
          </cell>
          <cell r="V55">
            <v>41</v>
          </cell>
          <cell r="W55">
            <v>33</v>
          </cell>
          <cell r="X55">
            <v>3</v>
          </cell>
          <cell r="Y55">
            <v>0</v>
          </cell>
          <cell r="Z55">
            <v>1</v>
          </cell>
          <cell r="AA55">
            <v>0</v>
          </cell>
          <cell r="AB55">
            <v>84</v>
          </cell>
          <cell r="AC55">
            <v>2</v>
          </cell>
          <cell r="AD55" t="str">
            <v>TIDAK</v>
          </cell>
          <cell r="AE55" t="str">
            <v>TIDAK</v>
          </cell>
          <cell r="AF55">
            <v>84</v>
          </cell>
          <cell r="AG55">
            <v>1</v>
          </cell>
          <cell r="AH55" t="str">
            <v>SAPHIRE</v>
          </cell>
          <cell r="AI55">
            <v>0</v>
          </cell>
          <cell r="AJ55" t="str">
            <v>Y</v>
          </cell>
          <cell r="AK55">
            <v>0</v>
          </cell>
          <cell r="AL55">
            <v>45261</v>
          </cell>
          <cell r="AM55">
            <v>45701</v>
          </cell>
          <cell r="AN55">
            <v>1</v>
          </cell>
          <cell r="AO55">
            <v>84</v>
          </cell>
          <cell r="AP55" t="str">
            <v>-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 t="str">
            <v/>
          </cell>
          <cell r="AW55">
            <v>0</v>
          </cell>
          <cell r="AX55">
            <v>1</v>
          </cell>
          <cell r="AY55">
            <v>2</v>
          </cell>
          <cell r="AZ55">
            <v>0</v>
          </cell>
          <cell r="BA55">
            <v>0</v>
          </cell>
          <cell r="BB55">
            <v>0</v>
          </cell>
          <cell r="BC55">
            <v>1</v>
          </cell>
          <cell r="BD55">
            <v>2</v>
          </cell>
          <cell r="BE55">
            <v>0</v>
          </cell>
          <cell r="BF55">
            <v>0</v>
          </cell>
          <cell r="BG55" t="str">
            <v/>
          </cell>
          <cell r="BH55">
            <v>0</v>
          </cell>
          <cell r="BI55">
            <v>1</v>
          </cell>
          <cell r="BJ55">
            <v>2</v>
          </cell>
          <cell r="BK55">
            <v>0</v>
          </cell>
          <cell r="BL55">
            <v>0</v>
          </cell>
          <cell r="BM55" t="str">
            <v/>
          </cell>
          <cell r="BN55">
            <v>3</v>
          </cell>
          <cell r="BO55" t="str">
            <v/>
          </cell>
          <cell r="BP55">
            <v>0</v>
          </cell>
          <cell r="BQ55">
            <v>1</v>
          </cell>
          <cell r="BR55">
            <v>2</v>
          </cell>
          <cell r="BS55">
            <v>0</v>
          </cell>
          <cell r="BT55">
            <v>0</v>
          </cell>
          <cell r="BU55" t="str">
            <v/>
          </cell>
          <cell r="BV55">
            <v>3</v>
          </cell>
          <cell r="BW55">
            <v>5</v>
          </cell>
          <cell r="BX55" t="str">
            <v>DOWNGRADE</v>
          </cell>
          <cell r="BY55" t="str">
            <v>RESET</v>
          </cell>
        </row>
        <row r="56">
          <cell r="A56" t="str">
            <v>A3610</v>
          </cell>
          <cell r="B56" t="str">
            <v>Malicha Zahrotunnisa</v>
          </cell>
          <cell r="C56" t="str">
            <v>CC SK</v>
          </cell>
          <cell r="D56">
            <v>45315</v>
          </cell>
          <cell r="E56" t="str">
            <v>Jan-24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</v>
          </cell>
          <cell r="O56">
            <v>6</v>
          </cell>
          <cell r="P56">
            <v>5</v>
          </cell>
          <cell r="Q56">
            <v>0</v>
          </cell>
          <cell r="R56">
            <v>0</v>
          </cell>
          <cell r="S56">
            <v>0</v>
          </cell>
          <cell r="T56">
            <v>15</v>
          </cell>
          <cell r="U56">
            <v>0</v>
          </cell>
          <cell r="V56">
            <v>4</v>
          </cell>
          <cell r="W56">
            <v>6</v>
          </cell>
          <cell r="X56">
            <v>5</v>
          </cell>
          <cell r="Y56">
            <v>0</v>
          </cell>
          <cell r="Z56">
            <v>0</v>
          </cell>
          <cell r="AA56">
            <v>0</v>
          </cell>
          <cell r="AB56">
            <v>15</v>
          </cell>
          <cell r="AC56">
            <v>3</v>
          </cell>
          <cell r="AD56" t="str">
            <v>DOWNGRADE</v>
          </cell>
          <cell r="AE56" t="str">
            <v>RESET</v>
          </cell>
          <cell r="AF56">
            <v>0</v>
          </cell>
          <cell r="AG56">
            <v>1</v>
          </cell>
          <cell r="AH56" t="str">
            <v>SAPHIRE</v>
          </cell>
          <cell r="AI56">
            <v>0</v>
          </cell>
          <cell r="AJ56" t="str">
            <v>FALSE</v>
          </cell>
          <cell r="AK56">
            <v>0</v>
          </cell>
          <cell r="AL56">
            <v>45261</v>
          </cell>
          <cell r="AM56">
            <v>45701</v>
          </cell>
          <cell r="AN56">
            <v>1</v>
          </cell>
          <cell r="AO56">
            <v>0</v>
          </cell>
          <cell r="AP56" t="str">
            <v>-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 t="str">
            <v/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 t="str">
            <v/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 t="str">
            <v/>
          </cell>
          <cell r="BN56">
            <v>0</v>
          </cell>
          <cell r="BO56" t="str">
            <v/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 t="str">
            <v/>
          </cell>
          <cell r="BV56">
            <v>0</v>
          </cell>
          <cell r="BW56">
            <v>7</v>
          </cell>
          <cell r="BX56" t="str">
            <v>DOWNGRADE</v>
          </cell>
          <cell r="BY56" t="str">
            <v>RESET</v>
          </cell>
        </row>
        <row r="57">
          <cell r="A57" t="str">
            <v>A2934</v>
          </cell>
          <cell r="B57" t="str">
            <v>Maysyifa Aulia</v>
          </cell>
          <cell r="C57" t="str">
            <v>CC SK</v>
          </cell>
          <cell r="D57">
            <v>45170</v>
          </cell>
          <cell r="E57" t="str">
            <v>Sep-23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16</v>
          </cell>
          <cell r="N57">
            <v>5</v>
          </cell>
          <cell r="O57">
            <v>1</v>
          </cell>
          <cell r="P57">
            <v>0</v>
          </cell>
          <cell r="Q57">
            <v>0</v>
          </cell>
          <cell r="R57">
            <v>1</v>
          </cell>
          <cell r="S57">
            <v>0</v>
          </cell>
          <cell r="T57">
            <v>23</v>
          </cell>
          <cell r="U57">
            <v>16</v>
          </cell>
          <cell r="V57">
            <v>5</v>
          </cell>
          <cell r="W57">
            <v>1</v>
          </cell>
          <cell r="X57">
            <v>0</v>
          </cell>
          <cell r="Y57">
            <v>0</v>
          </cell>
          <cell r="Z57">
            <v>1</v>
          </cell>
          <cell r="AA57">
            <v>0</v>
          </cell>
          <cell r="AB57">
            <v>23</v>
          </cell>
          <cell r="AC57">
            <v>3</v>
          </cell>
          <cell r="AD57" t="str">
            <v>DOWNGRADE</v>
          </cell>
          <cell r="AE57" t="str">
            <v>TIDAK</v>
          </cell>
          <cell r="AF57">
            <v>11.5</v>
          </cell>
          <cell r="AG57">
            <v>1</v>
          </cell>
          <cell r="AH57" t="str">
            <v>SAPHIRE</v>
          </cell>
          <cell r="AI57">
            <v>0</v>
          </cell>
          <cell r="AJ57" t="str">
            <v>FALSE</v>
          </cell>
          <cell r="AK57">
            <v>0</v>
          </cell>
          <cell r="AL57">
            <v>45261</v>
          </cell>
          <cell r="AM57">
            <v>45701</v>
          </cell>
          <cell r="AN57">
            <v>1</v>
          </cell>
          <cell r="AO57">
            <v>11.5</v>
          </cell>
          <cell r="AP57" t="str">
            <v>-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 t="str">
            <v/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 t="str">
            <v/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 t="str">
            <v/>
          </cell>
          <cell r="BN57">
            <v>0</v>
          </cell>
          <cell r="BO57" t="str">
            <v/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 t="str">
            <v/>
          </cell>
          <cell r="BV57">
            <v>0</v>
          </cell>
          <cell r="BW57">
            <v>7</v>
          </cell>
          <cell r="BX57" t="str">
            <v>DOWNGRADE</v>
          </cell>
          <cell r="BY57" t="str">
            <v>RESET</v>
          </cell>
        </row>
        <row r="58">
          <cell r="A58" t="str">
            <v>A2342</v>
          </cell>
          <cell r="B58" t="str">
            <v>Naufal Ikbar</v>
          </cell>
          <cell r="C58" t="str">
            <v>CC SK</v>
          </cell>
          <cell r="D58">
            <v>45170</v>
          </cell>
          <cell r="E58" t="str">
            <v>Sep-23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23</v>
          </cell>
          <cell r="N58">
            <v>48</v>
          </cell>
          <cell r="O58">
            <v>38</v>
          </cell>
          <cell r="P58">
            <v>48</v>
          </cell>
          <cell r="Q58">
            <v>6</v>
          </cell>
          <cell r="R58">
            <v>48</v>
          </cell>
          <cell r="S58">
            <v>24</v>
          </cell>
          <cell r="T58">
            <v>235</v>
          </cell>
          <cell r="U58">
            <v>23</v>
          </cell>
          <cell r="V58">
            <v>48</v>
          </cell>
          <cell r="W58">
            <v>38</v>
          </cell>
          <cell r="X58">
            <v>48</v>
          </cell>
          <cell r="Y58">
            <v>6</v>
          </cell>
          <cell r="Z58">
            <v>48</v>
          </cell>
          <cell r="AA58">
            <v>24</v>
          </cell>
          <cell r="AB58">
            <v>235</v>
          </cell>
          <cell r="AC58">
            <v>0</v>
          </cell>
          <cell r="AD58" t="str">
            <v>TIDAK</v>
          </cell>
          <cell r="AE58" t="str">
            <v>TIDAK</v>
          </cell>
          <cell r="AF58">
            <v>235</v>
          </cell>
          <cell r="AG58">
            <v>1</v>
          </cell>
          <cell r="AH58" t="str">
            <v>SAPHIRE</v>
          </cell>
          <cell r="AI58">
            <v>195</v>
          </cell>
          <cell r="AJ58" t="str">
            <v>Y</v>
          </cell>
          <cell r="AK58">
            <v>0</v>
          </cell>
          <cell r="AL58">
            <v>45261</v>
          </cell>
          <cell r="AM58">
            <v>45701</v>
          </cell>
          <cell r="AN58">
            <v>1</v>
          </cell>
          <cell r="AO58">
            <v>40</v>
          </cell>
          <cell r="AP58" t="str">
            <v>-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 t="str">
            <v/>
          </cell>
          <cell r="AW58">
            <v>54</v>
          </cell>
          <cell r="AX58">
            <v>47</v>
          </cell>
          <cell r="AY58">
            <v>45</v>
          </cell>
          <cell r="AZ58">
            <v>54</v>
          </cell>
          <cell r="BA58">
            <v>20</v>
          </cell>
          <cell r="BB58">
            <v>54</v>
          </cell>
          <cell r="BC58">
            <v>47</v>
          </cell>
          <cell r="BD58">
            <v>45</v>
          </cell>
          <cell r="BE58">
            <v>54</v>
          </cell>
          <cell r="BF58">
            <v>20</v>
          </cell>
          <cell r="BG58">
            <v>22</v>
          </cell>
          <cell r="BH58">
            <v>54</v>
          </cell>
          <cell r="BI58">
            <v>47</v>
          </cell>
          <cell r="BJ58">
            <v>45</v>
          </cell>
          <cell r="BK58">
            <v>54</v>
          </cell>
          <cell r="BL58">
            <v>20</v>
          </cell>
          <cell r="BM58">
            <v>1</v>
          </cell>
          <cell r="BN58">
            <v>243</v>
          </cell>
          <cell r="BO58">
            <v>22</v>
          </cell>
          <cell r="BP58">
            <v>54</v>
          </cell>
          <cell r="BQ58">
            <v>47</v>
          </cell>
          <cell r="BR58">
            <v>45</v>
          </cell>
          <cell r="BS58">
            <v>54</v>
          </cell>
          <cell r="BT58">
            <v>20</v>
          </cell>
          <cell r="BU58">
            <v>1</v>
          </cell>
          <cell r="BV58">
            <v>243</v>
          </cell>
          <cell r="BW58">
            <v>0</v>
          </cell>
          <cell r="BX58" t="str">
            <v>TIDAK</v>
          </cell>
          <cell r="BY58" t="str">
            <v>TIDAK</v>
          </cell>
        </row>
        <row r="59">
          <cell r="A59" t="str">
            <v>A4010</v>
          </cell>
          <cell r="B59" t="str">
            <v>Rheina Sebayang</v>
          </cell>
          <cell r="C59" t="str">
            <v>CC SK</v>
          </cell>
          <cell r="D59">
            <v>45404</v>
          </cell>
          <cell r="E59" t="str">
            <v>Apr-24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3</v>
          </cell>
          <cell r="R59">
            <v>0</v>
          </cell>
          <cell r="S59">
            <v>0</v>
          </cell>
          <cell r="T59">
            <v>3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3</v>
          </cell>
          <cell r="Z59">
            <v>0</v>
          </cell>
          <cell r="AA59">
            <v>0</v>
          </cell>
          <cell r="AB59">
            <v>3</v>
          </cell>
          <cell r="AC59">
            <v>2</v>
          </cell>
          <cell r="AD59" t="str">
            <v>TIDAK</v>
          </cell>
          <cell r="AE59" t="str">
            <v>TIDAK</v>
          </cell>
          <cell r="AF59">
            <v>3</v>
          </cell>
          <cell r="AG59">
            <v>1</v>
          </cell>
          <cell r="AH59" t="str">
            <v>SAPHIRE</v>
          </cell>
          <cell r="AI59">
            <v>0</v>
          </cell>
          <cell r="AJ59" t="str">
            <v>FALSE</v>
          </cell>
          <cell r="AK59">
            <v>0</v>
          </cell>
          <cell r="AL59">
            <v>45261</v>
          </cell>
          <cell r="AM59">
            <v>45701</v>
          </cell>
          <cell r="AN59">
            <v>1</v>
          </cell>
          <cell r="AO59">
            <v>3</v>
          </cell>
          <cell r="AP59" t="str">
            <v>-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 t="str">
            <v/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 t="str">
            <v/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 t="str">
            <v/>
          </cell>
          <cell r="BN59">
            <v>0</v>
          </cell>
          <cell r="BO59" t="str">
            <v/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 t="str">
            <v/>
          </cell>
          <cell r="BV59">
            <v>0</v>
          </cell>
          <cell r="BW59">
            <v>7</v>
          </cell>
          <cell r="BX59" t="str">
            <v>DOWNGRADE</v>
          </cell>
          <cell r="BY59" t="str">
            <v>RESET</v>
          </cell>
        </row>
        <row r="60">
          <cell r="A60" t="str">
            <v>A3870</v>
          </cell>
          <cell r="B60" t="str">
            <v>Rizki Fernanda</v>
          </cell>
          <cell r="C60" t="str">
            <v>CC SK</v>
          </cell>
          <cell r="D60">
            <v>45377</v>
          </cell>
          <cell r="E60" t="str">
            <v>Mar-24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  <cell r="Q60">
            <v>12</v>
          </cell>
          <cell r="R60">
            <v>18</v>
          </cell>
          <cell r="S60">
            <v>3</v>
          </cell>
          <cell r="T60">
            <v>35</v>
          </cell>
          <cell r="U60">
            <v>0</v>
          </cell>
          <cell r="V60">
            <v>0</v>
          </cell>
          <cell r="W60">
            <v>0</v>
          </cell>
          <cell r="X60">
            <v>2</v>
          </cell>
          <cell r="Y60">
            <v>12</v>
          </cell>
          <cell r="Z60">
            <v>18</v>
          </cell>
          <cell r="AA60">
            <v>3</v>
          </cell>
          <cell r="AB60">
            <v>35</v>
          </cell>
          <cell r="AC60">
            <v>0</v>
          </cell>
          <cell r="AD60" t="str">
            <v>TIDAK</v>
          </cell>
          <cell r="AE60" t="str">
            <v>TIDAK</v>
          </cell>
          <cell r="AF60">
            <v>35</v>
          </cell>
          <cell r="AG60">
            <v>1</v>
          </cell>
          <cell r="AH60" t="str">
            <v>SAPHIRE</v>
          </cell>
          <cell r="AI60">
            <v>0</v>
          </cell>
          <cell r="AJ60" t="str">
            <v>FALSE</v>
          </cell>
          <cell r="AK60">
            <v>0</v>
          </cell>
          <cell r="AL60">
            <v>45261</v>
          </cell>
          <cell r="AM60">
            <v>45701</v>
          </cell>
          <cell r="AN60">
            <v>1</v>
          </cell>
          <cell r="AO60">
            <v>35</v>
          </cell>
          <cell r="AP60" t="str">
            <v>-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 t="str">
            <v/>
          </cell>
          <cell r="AW60">
            <v>19</v>
          </cell>
          <cell r="AX60">
            <v>26</v>
          </cell>
          <cell r="AY60">
            <v>0</v>
          </cell>
          <cell r="AZ60">
            <v>0</v>
          </cell>
          <cell r="BA60">
            <v>21</v>
          </cell>
          <cell r="BB60">
            <v>19</v>
          </cell>
          <cell r="BC60">
            <v>26</v>
          </cell>
          <cell r="BD60">
            <v>0</v>
          </cell>
          <cell r="BE60">
            <v>0</v>
          </cell>
          <cell r="BF60">
            <v>21</v>
          </cell>
          <cell r="BG60">
            <v>18</v>
          </cell>
          <cell r="BH60">
            <v>19</v>
          </cell>
          <cell r="BI60">
            <v>26</v>
          </cell>
          <cell r="BJ60">
            <v>0</v>
          </cell>
          <cell r="BK60">
            <v>0</v>
          </cell>
          <cell r="BL60">
            <v>21</v>
          </cell>
          <cell r="BM60">
            <v>14</v>
          </cell>
          <cell r="BN60">
            <v>98</v>
          </cell>
          <cell r="BO60">
            <v>18</v>
          </cell>
          <cell r="BP60">
            <v>19</v>
          </cell>
          <cell r="BQ60">
            <v>26</v>
          </cell>
          <cell r="BR60">
            <v>0</v>
          </cell>
          <cell r="BS60">
            <v>0</v>
          </cell>
          <cell r="BT60">
            <v>21</v>
          </cell>
          <cell r="BU60">
            <v>14</v>
          </cell>
          <cell r="BV60">
            <v>98</v>
          </cell>
          <cell r="BW60">
            <v>2</v>
          </cell>
          <cell r="BX60" t="str">
            <v>TIDAK</v>
          </cell>
          <cell r="BY60" t="str">
            <v>TIDAK</v>
          </cell>
        </row>
        <row r="61">
          <cell r="A61" t="str">
            <v>A4009</v>
          </cell>
          <cell r="B61" t="str">
            <v>Rizqy Mayasari</v>
          </cell>
          <cell r="C61" t="str">
            <v>CC SK</v>
          </cell>
          <cell r="D61">
            <v>45405</v>
          </cell>
          <cell r="E61" t="str">
            <v>Apr-24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5</v>
          </cell>
          <cell r="R61">
            <v>22</v>
          </cell>
          <cell r="S61">
            <v>0</v>
          </cell>
          <cell r="T61">
            <v>27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5</v>
          </cell>
          <cell r="Z61">
            <v>22</v>
          </cell>
          <cell r="AA61">
            <v>0</v>
          </cell>
          <cell r="AB61">
            <v>27</v>
          </cell>
          <cell r="AC61">
            <v>1</v>
          </cell>
          <cell r="AD61" t="str">
            <v>TIDAK</v>
          </cell>
          <cell r="AE61" t="str">
            <v>TIDAK</v>
          </cell>
          <cell r="AF61">
            <v>27</v>
          </cell>
          <cell r="AG61">
            <v>1</v>
          </cell>
          <cell r="AH61" t="str">
            <v>SAPHIRE</v>
          </cell>
          <cell r="AI61">
            <v>0</v>
          </cell>
          <cell r="AJ61" t="str">
            <v>FALSE</v>
          </cell>
          <cell r="AK61">
            <v>0</v>
          </cell>
          <cell r="AL61">
            <v>45261</v>
          </cell>
          <cell r="AM61">
            <v>45701</v>
          </cell>
          <cell r="AN61">
            <v>1</v>
          </cell>
          <cell r="AO61">
            <v>27</v>
          </cell>
          <cell r="AP61" t="str">
            <v>-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 t="str">
            <v/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 t="str">
            <v/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 t="str">
            <v/>
          </cell>
          <cell r="BN61">
            <v>0</v>
          </cell>
          <cell r="BO61" t="str">
            <v/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 t="str">
            <v/>
          </cell>
          <cell r="BV61">
            <v>0</v>
          </cell>
          <cell r="BW61">
            <v>7</v>
          </cell>
          <cell r="BX61" t="str">
            <v>DOWNGRADE</v>
          </cell>
          <cell r="BY61" t="str">
            <v>RESET</v>
          </cell>
        </row>
        <row r="62">
          <cell r="A62" t="str">
            <v>A3945</v>
          </cell>
          <cell r="B62" t="str">
            <v>Salma Mala Mahira</v>
          </cell>
          <cell r="C62" t="str">
            <v>CC SK</v>
          </cell>
          <cell r="D62">
            <v>45399</v>
          </cell>
          <cell r="E62" t="str">
            <v>Apr-24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12</v>
          </cell>
          <cell r="R62">
            <v>8</v>
          </cell>
          <cell r="S62">
            <v>21</v>
          </cell>
          <cell r="T62">
            <v>41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12</v>
          </cell>
          <cell r="Z62">
            <v>8</v>
          </cell>
          <cell r="AA62">
            <v>21</v>
          </cell>
          <cell r="AB62">
            <v>41</v>
          </cell>
          <cell r="AC62">
            <v>0</v>
          </cell>
          <cell r="AD62" t="str">
            <v>TIDAK</v>
          </cell>
          <cell r="AE62" t="str">
            <v>TIDAK</v>
          </cell>
          <cell r="AF62">
            <v>41</v>
          </cell>
          <cell r="AG62">
            <v>1</v>
          </cell>
          <cell r="AH62" t="str">
            <v>SAPHIRE</v>
          </cell>
          <cell r="AI62">
            <v>0</v>
          </cell>
          <cell r="AJ62" t="str">
            <v>FALSE</v>
          </cell>
          <cell r="AK62">
            <v>0</v>
          </cell>
          <cell r="AL62">
            <v>45261</v>
          </cell>
          <cell r="AM62">
            <v>45701</v>
          </cell>
          <cell r="AN62">
            <v>1</v>
          </cell>
          <cell r="AO62">
            <v>41</v>
          </cell>
          <cell r="AP62" t="str">
            <v>-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 t="str">
            <v/>
          </cell>
          <cell r="AW62">
            <v>2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2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17</v>
          </cell>
          <cell r="BH62">
            <v>2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 t="str">
            <v/>
          </cell>
          <cell r="BN62">
            <v>19</v>
          </cell>
          <cell r="BO62">
            <v>17</v>
          </cell>
          <cell r="BP62">
            <v>2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 t="str">
            <v/>
          </cell>
          <cell r="BV62">
            <v>19</v>
          </cell>
          <cell r="BW62">
            <v>5</v>
          </cell>
          <cell r="BX62" t="str">
            <v>DOWNGRADE</v>
          </cell>
          <cell r="BY62" t="str">
            <v>RESET</v>
          </cell>
        </row>
        <row r="63">
          <cell r="A63" t="str">
            <v>A2579</v>
          </cell>
          <cell r="B63" t="str">
            <v>Sholehah Isyanofa Putri</v>
          </cell>
          <cell r="C63" t="str">
            <v>CC SK</v>
          </cell>
          <cell r="D63" t="str">
            <v>14 Agustus 2023</v>
          </cell>
          <cell r="E63" t="str">
            <v>14 Agustus 2023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5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5</v>
          </cell>
          <cell r="U63">
            <v>5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5</v>
          </cell>
          <cell r="AC63">
            <v>6</v>
          </cell>
          <cell r="AD63" t="str">
            <v>DOWNGRADE</v>
          </cell>
          <cell r="AE63" t="str">
            <v>RESET</v>
          </cell>
          <cell r="AF63">
            <v>0</v>
          </cell>
          <cell r="AG63">
            <v>1</v>
          </cell>
          <cell r="AH63" t="str">
            <v>SAPHIRE</v>
          </cell>
          <cell r="AI63">
            <v>0</v>
          </cell>
          <cell r="AJ63" t="str">
            <v>FALSE</v>
          </cell>
          <cell r="AK63">
            <v>0</v>
          </cell>
          <cell r="AL63">
            <v>45261</v>
          </cell>
          <cell r="AM63">
            <v>45701</v>
          </cell>
          <cell r="AN63">
            <v>1</v>
          </cell>
          <cell r="AO63">
            <v>0</v>
          </cell>
          <cell r="AP63" t="str">
            <v>-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 t="str">
            <v/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 t="str">
            <v/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 t="str">
            <v/>
          </cell>
          <cell r="BN63">
            <v>0</v>
          </cell>
          <cell r="BO63" t="str">
            <v/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 t="str">
            <v/>
          </cell>
          <cell r="BV63">
            <v>0</v>
          </cell>
          <cell r="BW63">
            <v>7</v>
          </cell>
          <cell r="BX63" t="str">
            <v>DOWNGRADE</v>
          </cell>
          <cell r="BY63" t="str">
            <v>RESET</v>
          </cell>
        </row>
        <row r="64">
          <cell r="A64" t="str">
            <v>A4201</v>
          </cell>
          <cell r="B64" t="str">
            <v>JONATHAN ALRASHYD RIZKIANA PUTRA</v>
          </cell>
          <cell r="C64" t="str">
            <v>CC SK</v>
          </cell>
          <cell r="D64">
            <v>45503</v>
          </cell>
          <cell r="E64" t="str">
            <v>Jul-24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 t="str">
            <v>-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 t="str">
            <v/>
          </cell>
          <cell r="AW64">
            <v>3</v>
          </cell>
          <cell r="AX64">
            <v>33</v>
          </cell>
          <cell r="AY64">
            <v>10</v>
          </cell>
          <cell r="AZ64">
            <v>21</v>
          </cell>
          <cell r="BA64">
            <v>18</v>
          </cell>
          <cell r="BB64">
            <v>3</v>
          </cell>
          <cell r="BC64">
            <v>33</v>
          </cell>
          <cell r="BD64">
            <v>10</v>
          </cell>
          <cell r="BE64">
            <v>21</v>
          </cell>
          <cell r="BF64">
            <v>18</v>
          </cell>
          <cell r="BG64" t="str">
            <v/>
          </cell>
          <cell r="BH64">
            <v>3</v>
          </cell>
          <cell r="BI64">
            <v>33</v>
          </cell>
          <cell r="BJ64">
            <v>10</v>
          </cell>
          <cell r="BK64">
            <v>21</v>
          </cell>
          <cell r="BL64">
            <v>18</v>
          </cell>
          <cell r="BM64">
            <v>9</v>
          </cell>
          <cell r="BN64">
            <v>94</v>
          </cell>
          <cell r="BO64" t="str">
            <v/>
          </cell>
          <cell r="BP64">
            <v>3</v>
          </cell>
          <cell r="BQ64">
            <v>33</v>
          </cell>
          <cell r="BR64">
            <v>10</v>
          </cell>
          <cell r="BS64">
            <v>21</v>
          </cell>
          <cell r="BT64">
            <v>18</v>
          </cell>
          <cell r="BU64">
            <v>9</v>
          </cell>
          <cell r="BV64">
            <v>94</v>
          </cell>
          <cell r="BW64">
            <v>0</v>
          </cell>
          <cell r="BX64" t="str">
            <v>TIDAK</v>
          </cell>
          <cell r="BY64" t="str">
            <v>TIDAK</v>
          </cell>
        </row>
        <row r="65">
          <cell r="A65" t="str">
            <v>A4317</v>
          </cell>
          <cell r="B65" t="str">
            <v>ANNISA SHOFI ROFIFAH</v>
          </cell>
          <cell r="C65" t="str">
            <v>CC SK</v>
          </cell>
          <cell r="D65">
            <v>45554</v>
          </cell>
          <cell r="E65" t="str">
            <v>Sep-24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 t="str">
            <v>-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 t="str">
            <v/>
          </cell>
          <cell r="AW65">
            <v>0</v>
          </cell>
          <cell r="AX65">
            <v>0</v>
          </cell>
          <cell r="AY65">
            <v>13</v>
          </cell>
          <cell r="AZ65">
            <v>34</v>
          </cell>
          <cell r="BA65">
            <v>31</v>
          </cell>
          <cell r="BB65">
            <v>0</v>
          </cell>
          <cell r="BC65">
            <v>0</v>
          </cell>
          <cell r="BD65">
            <v>13</v>
          </cell>
          <cell r="BE65">
            <v>34</v>
          </cell>
          <cell r="BF65">
            <v>31</v>
          </cell>
          <cell r="BG65" t="str">
            <v/>
          </cell>
          <cell r="BH65">
            <v>0</v>
          </cell>
          <cell r="BI65">
            <v>0</v>
          </cell>
          <cell r="BJ65">
            <v>13</v>
          </cell>
          <cell r="BK65">
            <v>34</v>
          </cell>
          <cell r="BL65">
            <v>31</v>
          </cell>
          <cell r="BM65">
            <v>14</v>
          </cell>
          <cell r="BN65">
            <v>92</v>
          </cell>
          <cell r="BO65" t="str">
            <v/>
          </cell>
          <cell r="BP65">
            <v>0</v>
          </cell>
          <cell r="BQ65">
            <v>0</v>
          </cell>
          <cell r="BR65">
            <v>13</v>
          </cell>
          <cell r="BS65">
            <v>34</v>
          </cell>
          <cell r="BT65">
            <v>31</v>
          </cell>
          <cell r="BU65">
            <v>14</v>
          </cell>
          <cell r="BV65">
            <v>92</v>
          </cell>
          <cell r="BW65">
            <v>0</v>
          </cell>
          <cell r="BX65" t="str">
            <v>TIDAK</v>
          </cell>
          <cell r="BY65" t="str">
            <v>TIDAK</v>
          </cell>
        </row>
        <row r="66">
          <cell r="A66" t="str">
            <v>A4416</v>
          </cell>
          <cell r="B66" t="str">
            <v>RUTH SELMA SEKAR CITRA</v>
          </cell>
          <cell r="C66" t="str">
            <v>CC SK</v>
          </cell>
          <cell r="D66">
            <v>45597</v>
          </cell>
          <cell r="E66" t="str">
            <v>Nov-24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 t="str">
            <v>-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 t="str">
            <v/>
          </cell>
          <cell r="AW66">
            <v>0</v>
          </cell>
          <cell r="AX66">
            <v>0</v>
          </cell>
          <cell r="AY66">
            <v>0</v>
          </cell>
          <cell r="AZ66">
            <v>2</v>
          </cell>
          <cell r="BA66">
            <v>42</v>
          </cell>
          <cell r="BB66">
            <v>0</v>
          </cell>
          <cell r="BC66">
            <v>0</v>
          </cell>
          <cell r="BD66">
            <v>0</v>
          </cell>
          <cell r="BE66">
            <v>2</v>
          </cell>
          <cell r="BF66">
            <v>42</v>
          </cell>
          <cell r="BG66" t="str">
            <v/>
          </cell>
          <cell r="BH66">
            <v>0</v>
          </cell>
          <cell r="BI66">
            <v>0</v>
          </cell>
          <cell r="BJ66">
            <v>0</v>
          </cell>
          <cell r="BK66">
            <v>2</v>
          </cell>
          <cell r="BL66">
            <v>42</v>
          </cell>
          <cell r="BM66">
            <v>24</v>
          </cell>
          <cell r="BN66">
            <v>68</v>
          </cell>
          <cell r="BO66" t="str">
            <v/>
          </cell>
          <cell r="BP66">
            <v>0</v>
          </cell>
          <cell r="BQ66">
            <v>0</v>
          </cell>
          <cell r="BR66">
            <v>0</v>
          </cell>
          <cell r="BS66">
            <v>2</v>
          </cell>
          <cell r="BT66">
            <v>42</v>
          </cell>
          <cell r="BU66">
            <v>24</v>
          </cell>
          <cell r="BV66">
            <v>68</v>
          </cell>
          <cell r="BW66">
            <v>0</v>
          </cell>
          <cell r="BX66" t="str">
            <v>TIDAK</v>
          </cell>
          <cell r="BY66" t="str">
            <v>TIDAK</v>
          </cell>
        </row>
        <row r="67">
          <cell r="A67" t="str">
            <v>A0690</v>
          </cell>
          <cell r="B67" t="str">
            <v>MUHAMMAD RAFY RAMADHAN</v>
          </cell>
          <cell r="C67" t="str">
            <v>CC SK</v>
          </cell>
          <cell r="D67">
            <v>45566</v>
          </cell>
          <cell r="E67" t="str">
            <v>Oct-24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 t="str">
            <v>-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 t="str">
            <v/>
          </cell>
          <cell r="AW67">
            <v>0</v>
          </cell>
          <cell r="AX67">
            <v>0</v>
          </cell>
          <cell r="AY67">
            <v>0</v>
          </cell>
          <cell r="AZ67">
            <v>1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1</v>
          </cell>
          <cell r="BF67">
            <v>0</v>
          </cell>
          <cell r="BG67" t="str">
            <v/>
          </cell>
          <cell r="BH67">
            <v>0</v>
          </cell>
          <cell r="BI67">
            <v>0</v>
          </cell>
          <cell r="BJ67">
            <v>0</v>
          </cell>
          <cell r="BK67">
            <v>1</v>
          </cell>
          <cell r="BL67">
            <v>0</v>
          </cell>
          <cell r="BM67" t="str">
            <v/>
          </cell>
          <cell r="BN67">
            <v>1</v>
          </cell>
          <cell r="BO67" t="str">
            <v/>
          </cell>
          <cell r="BP67">
            <v>0</v>
          </cell>
          <cell r="BQ67">
            <v>0</v>
          </cell>
          <cell r="BR67">
            <v>0</v>
          </cell>
          <cell r="BS67">
            <v>1</v>
          </cell>
          <cell r="BT67">
            <v>0</v>
          </cell>
          <cell r="BU67" t="str">
            <v/>
          </cell>
          <cell r="BV67">
            <v>1</v>
          </cell>
          <cell r="BW67">
            <v>2</v>
          </cell>
          <cell r="BX67" t="str">
            <v>TIDAK</v>
          </cell>
          <cell r="BY67" t="str">
            <v>TIDAK</v>
          </cell>
        </row>
        <row r="68">
          <cell r="A68" t="str">
            <v>A4467</v>
          </cell>
          <cell r="B68" t="str">
            <v>SALMA NAYLUL MUNA</v>
          </cell>
          <cell r="C68" t="str">
            <v>CC SK</v>
          </cell>
          <cell r="D68">
            <v>45624</v>
          </cell>
          <cell r="E68" t="str">
            <v>Nov-24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 t="str">
            <v>-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 t="str">
            <v/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5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5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5</v>
          </cell>
          <cell r="BM68">
            <v>1</v>
          </cell>
          <cell r="BN68">
            <v>6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5</v>
          </cell>
          <cell r="BU68">
            <v>1</v>
          </cell>
          <cell r="BV68">
            <v>6</v>
          </cell>
          <cell r="BW68">
            <v>0</v>
          </cell>
          <cell r="BX68" t="str">
            <v>TIDAK</v>
          </cell>
          <cell r="BY68" t="str">
            <v>TIDAK</v>
          </cell>
        </row>
        <row r="69">
          <cell r="A69" t="str">
            <v>A4466</v>
          </cell>
          <cell r="B69" t="str">
            <v>ARSYI MUTIARA</v>
          </cell>
          <cell r="C69" t="str">
            <v>CC SK</v>
          </cell>
          <cell r="D69">
            <v>45626</v>
          </cell>
          <cell r="E69" t="str">
            <v>Nov-24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 t="str">
            <v>-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 t="str">
            <v/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2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2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2</v>
          </cell>
          <cell r="BM69">
            <v>4</v>
          </cell>
          <cell r="BN69">
            <v>6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2</v>
          </cell>
          <cell r="BU69">
            <v>4</v>
          </cell>
          <cell r="BV69">
            <v>6</v>
          </cell>
          <cell r="BW69">
            <v>0</v>
          </cell>
          <cell r="BX69" t="str">
            <v>TIDAK</v>
          </cell>
          <cell r="BY69" t="str">
            <v>TIDAK</v>
          </cell>
        </row>
        <row r="70">
          <cell r="A70">
            <v>90552</v>
          </cell>
          <cell r="B70" t="str">
            <v>Maria Rosaria Dewi Ratna Timur</v>
          </cell>
          <cell r="C70" t="str">
            <v>DELTA</v>
          </cell>
          <cell r="D70">
            <v>44378</v>
          </cell>
          <cell r="E70" t="str">
            <v>Jul-21</v>
          </cell>
          <cell r="F70" t="str">
            <v>REGULER</v>
          </cell>
          <cell r="G70" t="str">
            <v>REGULER</v>
          </cell>
          <cell r="H70" t="str">
            <v>REGULER</v>
          </cell>
          <cell r="I70" t="str">
            <v>REGULER</v>
          </cell>
          <cell r="J70" t="str">
            <v>REGULER</v>
          </cell>
          <cell r="K70" t="str">
            <v>REGULER</v>
          </cell>
          <cell r="L70" t="str">
            <v>REGULER</v>
          </cell>
          <cell r="M70">
            <v>0</v>
          </cell>
          <cell r="N70">
            <v>34</v>
          </cell>
          <cell r="O70">
            <v>33</v>
          </cell>
          <cell r="P70">
            <v>40</v>
          </cell>
          <cell r="Q70">
            <v>33</v>
          </cell>
          <cell r="R70">
            <v>14</v>
          </cell>
          <cell r="S70">
            <v>13</v>
          </cell>
          <cell r="T70">
            <v>167</v>
          </cell>
          <cell r="U70">
            <v>0</v>
          </cell>
          <cell r="V70">
            <v>34</v>
          </cell>
          <cell r="W70">
            <v>33</v>
          </cell>
          <cell r="X70">
            <v>40</v>
          </cell>
          <cell r="Y70">
            <v>33</v>
          </cell>
          <cell r="Z70">
            <v>14</v>
          </cell>
          <cell r="AA70">
            <v>13</v>
          </cell>
          <cell r="AB70">
            <v>167</v>
          </cell>
          <cell r="AC70">
            <v>1</v>
          </cell>
          <cell r="AD70" t="str">
            <v>TIDAK</v>
          </cell>
          <cell r="AE70" t="str">
            <v>TIDAK</v>
          </cell>
          <cell r="AF70">
            <v>167</v>
          </cell>
          <cell r="AG70">
            <v>3</v>
          </cell>
          <cell r="AH70" t="str">
            <v>SAPHIRE</v>
          </cell>
          <cell r="AI70">
            <v>0</v>
          </cell>
          <cell r="AJ70" t="str">
            <v>Y</v>
          </cell>
          <cell r="AK70">
            <v>0</v>
          </cell>
          <cell r="AL70">
            <v>45261</v>
          </cell>
          <cell r="AM70">
            <v>45701</v>
          </cell>
          <cell r="AN70">
            <v>1</v>
          </cell>
          <cell r="AO70">
            <v>167</v>
          </cell>
          <cell r="AP70" t="str">
            <v>-</v>
          </cell>
          <cell r="AQ70" t="str">
            <v>-</v>
          </cell>
          <cell r="AR70" t="str">
            <v>REGULER</v>
          </cell>
          <cell r="AS70" t="str">
            <v>-</v>
          </cell>
          <cell r="AT70" t="str">
            <v>-</v>
          </cell>
          <cell r="AU70" t="str">
            <v>-</v>
          </cell>
          <cell r="AV70" t="str">
            <v/>
          </cell>
          <cell r="AW70">
            <v>8</v>
          </cell>
          <cell r="AX70">
            <v>28</v>
          </cell>
          <cell r="AY70">
            <v>43</v>
          </cell>
          <cell r="AZ70">
            <v>45</v>
          </cell>
          <cell r="BA70">
            <v>38</v>
          </cell>
          <cell r="BB70">
            <v>8</v>
          </cell>
          <cell r="BC70">
            <v>28</v>
          </cell>
          <cell r="BD70">
            <v>43</v>
          </cell>
          <cell r="BE70">
            <v>45</v>
          </cell>
          <cell r="BF70">
            <v>38</v>
          </cell>
          <cell r="BG70">
            <v>5</v>
          </cell>
          <cell r="BH70">
            <v>8</v>
          </cell>
          <cell r="BI70">
            <v>28</v>
          </cell>
          <cell r="BJ70">
            <v>43</v>
          </cell>
          <cell r="BK70">
            <v>45</v>
          </cell>
          <cell r="BL70">
            <v>38</v>
          </cell>
          <cell r="BM70">
            <v>20</v>
          </cell>
          <cell r="BN70">
            <v>187</v>
          </cell>
          <cell r="BO70">
            <v>5</v>
          </cell>
          <cell r="BP70">
            <v>8</v>
          </cell>
          <cell r="BQ70">
            <v>28</v>
          </cell>
          <cell r="BR70">
            <v>43</v>
          </cell>
          <cell r="BS70">
            <v>45</v>
          </cell>
          <cell r="BT70">
            <v>38</v>
          </cell>
          <cell r="BU70">
            <v>20</v>
          </cell>
          <cell r="BV70">
            <v>187</v>
          </cell>
          <cell r="BW70">
            <v>0</v>
          </cell>
          <cell r="BX70" t="str">
            <v>TIDAK</v>
          </cell>
          <cell r="BY70" t="str">
            <v>TIDAK</v>
          </cell>
        </row>
        <row r="71">
          <cell r="A71" t="str">
            <v>A3721</v>
          </cell>
          <cell r="B71" t="str">
            <v>Abyan Bari Bhramanta</v>
          </cell>
          <cell r="C71" t="str">
            <v>DELTA</v>
          </cell>
          <cell r="D71">
            <v>45338</v>
          </cell>
          <cell r="E71" t="str">
            <v>Feb-24</v>
          </cell>
          <cell r="F71" t="str">
            <v>-</v>
          </cell>
          <cell r="G71" t="str">
            <v>-</v>
          </cell>
          <cell r="H71" t="str">
            <v>REGULER</v>
          </cell>
          <cell r="I71" t="str">
            <v>REGULER</v>
          </cell>
          <cell r="J71" t="str">
            <v>REGULER</v>
          </cell>
          <cell r="K71" t="str">
            <v>REGULER</v>
          </cell>
          <cell r="L71" t="str">
            <v>REGULER</v>
          </cell>
          <cell r="M71">
            <v>0</v>
          </cell>
          <cell r="N71">
            <v>0</v>
          </cell>
          <cell r="O71">
            <v>10</v>
          </cell>
          <cell r="P71">
            <v>16</v>
          </cell>
          <cell r="Q71">
            <v>33</v>
          </cell>
          <cell r="R71">
            <v>18</v>
          </cell>
          <cell r="S71">
            <v>16</v>
          </cell>
          <cell r="T71">
            <v>93</v>
          </cell>
          <cell r="U71">
            <v>0</v>
          </cell>
          <cell r="V71">
            <v>0</v>
          </cell>
          <cell r="W71">
            <v>10</v>
          </cell>
          <cell r="X71">
            <v>16</v>
          </cell>
          <cell r="Y71">
            <v>33</v>
          </cell>
          <cell r="Z71">
            <v>18</v>
          </cell>
          <cell r="AA71">
            <v>16</v>
          </cell>
          <cell r="AB71">
            <v>93</v>
          </cell>
          <cell r="AC71">
            <v>0</v>
          </cell>
          <cell r="AD71" t="str">
            <v>TIDAK</v>
          </cell>
          <cell r="AE71" t="str">
            <v>TIDAK</v>
          </cell>
          <cell r="AF71">
            <v>93</v>
          </cell>
          <cell r="AG71">
            <v>2</v>
          </cell>
          <cell r="AH71" t="str">
            <v>SAPHIRE</v>
          </cell>
          <cell r="AI71">
            <v>0</v>
          </cell>
          <cell r="AJ71" t="str">
            <v>Y</v>
          </cell>
          <cell r="AK71">
            <v>0</v>
          </cell>
          <cell r="AL71">
            <v>45261</v>
          </cell>
          <cell r="AM71">
            <v>45701</v>
          </cell>
          <cell r="AN71">
            <v>1</v>
          </cell>
          <cell r="AO71">
            <v>93</v>
          </cell>
          <cell r="AP71" t="str">
            <v>-</v>
          </cell>
          <cell r="AQ71" t="str">
            <v>-</v>
          </cell>
          <cell r="AR71" t="str">
            <v>REGULER</v>
          </cell>
          <cell r="AS71" t="str">
            <v>REGULER</v>
          </cell>
          <cell r="AT71" t="str">
            <v>REGULER</v>
          </cell>
          <cell r="AU71" t="str">
            <v>REGULER</v>
          </cell>
          <cell r="AV71" t="str">
            <v/>
          </cell>
          <cell r="AW71">
            <v>39</v>
          </cell>
          <cell r="AX71">
            <v>43</v>
          </cell>
          <cell r="AY71">
            <v>28</v>
          </cell>
          <cell r="AZ71">
            <v>19</v>
          </cell>
          <cell r="BA71">
            <v>33</v>
          </cell>
          <cell r="BB71">
            <v>39</v>
          </cell>
          <cell r="BC71">
            <v>43</v>
          </cell>
          <cell r="BD71">
            <v>28</v>
          </cell>
          <cell r="BE71">
            <v>19</v>
          </cell>
          <cell r="BF71">
            <v>33</v>
          </cell>
          <cell r="BG71">
            <v>19</v>
          </cell>
          <cell r="BH71">
            <v>39</v>
          </cell>
          <cell r="BI71">
            <v>43</v>
          </cell>
          <cell r="BJ71">
            <v>28</v>
          </cell>
          <cell r="BK71">
            <v>19</v>
          </cell>
          <cell r="BL71">
            <v>33</v>
          </cell>
          <cell r="BM71">
            <v>16</v>
          </cell>
          <cell r="BN71">
            <v>197</v>
          </cell>
          <cell r="BO71">
            <v>19</v>
          </cell>
          <cell r="BP71">
            <v>39</v>
          </cell>
          <cell r="BQ71">
            <v>43</v>
          </cell>
          <cell r="BR71">
            <v>28</v>
          </cell>
          <cell r="BS71">
            <v>19</v>
          </cell>
          <cell r="BT71">
            <v>33</v>
          </cell>
          <cell r="BU71">
            <v>16</v>
          </cell>
          <cell r="BV71">
            <v>197</v>
          </cell>
          <cell r="BW71">
            <v>0</v>
          </cell>
          <cell r="BX71" t="str">
            <v>TIDAK</v>
          </cell>
          <cell r="BY71" t="str">
            <v>TIDAK</v>
          </cell>
        </row>
        <row r="72">
          <cell r="A72" t="str">
            <v>A1156</v>
          </cell>
          <cell r="B72" t="str">
            <v>Achmad Dwi Tama Nugraha</v>
          </cell>
          <cell r="C72" t="str">
            <v>DELTA</v>
          </cell>
          <cell r="D72">
            <v>44986</v>
          </cell>
          <cell r="E72" t="str">
            <v>Mar-23</v>
          </cell>
          <cell r="F72" t="str">
            <v>REGULER</v>
          </cell>
          <cell r="G72" t="str">
            <v>REGULER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>
            <v>16</v>
          </cell>
          <cell r="N72">
            <v>15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 t="str">
            <v/>
          </cell>
          <cell r="T72">
            <v>31</v>
          </cell>
          <cell r="U72">
            <v>16</v>
          </cell>
          <cell r="V72">
            <v>15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 t="str">
            <v/>
          </cell>
          <cell r="AB72">
            <v>31</v>
          </cell>
          <cell r="AC72">
            <v>5</v>
          </cell>
          <cell r="AD72" t="str">
            <v>DOWNGRADE</v>
          </cell>
          <cell r="AE72" t="str">
            <v>RESET</v>
          </cell>
          <cell r="AF72">
            <v>0</v>
          </cell>
          <cell r="AG72">
            <v>2</v>
          </cell>
          <cell r="AH72" t="str">
            <v>SAPHIRE</v>
          </cell>
          <cell r="AI72">
            <v>0</v>
          </cell>
          <cell r="AJ72" t="str">
            <v>FALSE</v>
          </cell>
          <cell r="AK72">
            <v>0</v>
          </cell>
          <cell r="AL72">
            <v>45261</v>
          </cell>
          <cell r="AM72">
            <v>45701</v>
          </cell>
          <cell r="AN72">
            <v>1</v>
          </cell>
          <cell r="AO72">
            <v>0</v>
          </cell>
          <cell r="AP72" t="str">
            <v>-</v>
          </cell>
          <cell r="AQ72" t="str">
            <v>-</v>
          </cell>
          <cell r="AR72" t="str">
            <v>-</v>
          </cell>
          <cell r="AS72" t="str">
            <v>-</v>
          </cell>
          <cell r="AT72" t="str">
            <v>-</v>
          </cell>
          <cell r="AU72" t="str">
            <v>-</v>
          </cell>
          <cell r="AV72" t="str">
            <v/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 t="str">
            <v/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 t="str">
            <v/>
          </cell>
          <cell r="BN72">
            <v>0</v>
          </cell>
          <cell r="BO72" t="str">
            <v/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 t="str">
            <v/>
          </cell>
          <cell r="BV72">
            <v>0</v>
          </cell>
          <cell r="BW72">
            <v>7</v>
          </cell>
          <cell r="BX72" t="str">
            <v>DOWNGRADE</v>
          </cell>
          <cell r="BY72" t="str">
            <v>RESET</v>
          </cell>
        </row>
        <row r="73">
          <cell r="A73" t="str">
            <v>A3901</v>
          </cell>
          <cell r="B73" t="str">
            <v>Adetia Chorisolekah</v>
          </cell>
          <cell r="C73" t="str">
            <v>DELTA</v>
          </cell>
          <cell r="D73">
            <v>45398</v>
          </cell>
          <cell r="E73" t="str">
            <v>Apr-24</v>
          </cell>
          <cell r="F73" t="str">
            <v>-</v>
          </cell>
          <cell r="G73" t="str">
            <v>-</v>
          </cell>
          <cell r="H73" t="str">
            <v>-</v>
          </cell>
          <cell r="I73" t="str">
            <v>-</v>
          </cell>
          <cell r="J73" t="str">
            <v>REGULER</v>
          </cell>
          <cell r="K73" t="str">
            <v>-</v>
          </cell>
          <cell r="L73" t="str">
            <v>-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</v>
          </cell>
          <cell r="R73">
            <v>0</v>
          </cell>
          <cell r="S73" t="str">
            <v/>
          </cell>
          <cell r="T73">
            <v>1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</v>
          </cell>
          <cell r="Z73">
            <v>0</v>
          </cell>
          <cell r="AA73" t="str">
            <v/>
          </cell>
          <cell r="AB73">
            <v>1</v>
          </cell>
          <cell r="AC73">
            <v>2</v>
          </cell>
          <cell r="AD73" t="str">
            <v>TIDAK</v>
          </cell>
          <cell r="AE73" t="str">
            <v>TIDAK</v>
          </cell>
          <cell r="AF73">
            <v>1</v>
          </cell>
          <cell r="AG73">
            <v>0</v>
          </cell>
          <cell r="AH73" t="str">
            <v>SAPHIRE</v>
          </cell>
          <cell r="AI73">
            <v>0</v>
          </cell>
          <cell r="AJ73" t="str">
            <v>FALSE</v>
          </cell>
          <cell r="AK73">
            <v>0</v>
          </cell>
          <cell r="AL73">
            <v>45261</v>
          </cell>
          <cell r="AM73">
            <v>45701</v>
          </cell>
          <cell r="AN73">
            <v>1</v>
          </cell>
          <cell r="AO73">
            <v>1</v>
          </cell>
          <cell r="AP73" t="str">
            <v>-</v>
          </cell>
          <cell r="AQ73" t="str">
            <v>-</v>
          </cell>
          <cell r="AR73" t="str">
            <v>-</v>
          </cell>
          <cell r="AS73" t="str">
            <v>-</v>
          </cell>
          <cell r="AT73" t="str">
            <v>-</v>
          </cell>
          <cell r="AU73" t="str">
            <v>-</v>
          </cell>
          <cell r="AV73" t="str">
            <v/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 t="str">
            <v/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 t="str">
            <v/>
          </cell>
          <cell r="BN73">
            <v>0</v>
          </cell>
          <cell r="BO73" t="str">
            <v/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 t="str">
            <v/>
          </cell>
          <cell r="BV73">
            <v>0</v>
          </cell>
          <cell r="BW73">
            <v>7</v>
          </cell>
          <cell r="BX73" t="str">
            <v>DOWNGRADE</v>
          </cell>
          <cell r="BY73" t="str">
            <v>RESET</v>
          </cell>
        </row>
        <row r="74">
          <cell r="A74" t="str">
            <v>A1841</v>
          </cell>
          <cell r="B74" t="str">
            <v>Adhina Putriana Kusumawati</v>
          </cell>
          <cell r="C74" t="str">
            <v>DELTA</v>
          </cell>
          <cell r="D74">
            <v>45001</v>
          </cell>
          <cell r="E74" t="str">
            <v>Mar-23</v>
          </cell>
          <cell r="F74" t="str">
            <v>EKSKLUSIF</v>
          </cell>
          <cell r="G74" t="str">
            <v>EKSKLUSIF</v>
          </cell>
          <cell r="H74" t="str">
            <v>EKSKLUSIF</v>
          </cell>
          <cell r="I74" t="str">
            <v>EKSKLUSIF</v>
          </cell>
          <cell r="J74" t="str">
            <v>EKSKLUSIF</v>
          </cell>
          <cell r="K74" t="str">
            <v>EKSKLUSIF</v>
          </cell>
          <cell r="L74" t="str">
            <v>EKSKLUSIF</v>
          </cell>
          <cell r="M74">
            <v>20</v>
          </cell>
          <cell r="N74">
            <v>44</v>
          </cell>
          <cell r="O74">
            <v>38</v>
          </cell>
          <cell r="P74">
            <v>41</v>
          </cell>
          <cell r="Q74">
            <v>37</v>
          </cell>
          <cell r="R74">
            <v>40</v>
          </cell>
          <cell r="S74">
            <v>21</v>
          </cell>
          <cell r="T74">
            <v>241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 t="str">
            <v>TIDAK</v>
          </cell>
          <cell r="AE74" t="str">
            <v>TIDAK</v>
          </cell>
          <cell r="AF74">
            <v>0</v>
          </cell>
          <cell r="AG74">
            <v>2</v>
          </cell>
          <cell r="AH74" t="str">
            <v>SAPHIRE</v>
          </cell>
          <cell r="AI74">
            <v>0</v>
          </cell>
          <cell r="AJ74" t="str">
            <v>FALSE</v>
          </cell>
          <cell r="AK74">
            <v>0</v>
          </cell>
          <cell r="AL74">
            <v>45261</v>
          </cell>
          <cell r="AM74">
            <v>45701</v>
          </cell>
          <cell r="AN74">
            <v>1</v>
          </cell>
          <cell r="AO74">
            <v>0</v>
          </cell>
          <cell r="AP74" t="str">
            <v>EKSKLUSIF</v>
          </cell>
          <cell r="AQ74" t="str">
            <v>-</v>
          </cell>
          <cell r="AR74" t="str">
            <v>EKSKLUSIF</v>
          </cell>
          <cell r="AS74" t="str">
            <v>EKSKLUSIF</v>
          </cell>
          <cell r="AT74" t="str">
            <v>EKSKLUSIF</v>
          </cell>
          <cell r="AU74" t="str">
            <v>REGULER</v>
          </cell>
          <cell r="AV74" t="str">
            <v/>
          </cell>
          <cell r="AW74">
            <v>47</v>
          </cell>
          <cell r="AX74">
            <v>48</v>
          </cell>
          <cell r="AY74">
            <v>40</v>
          </cell>
          <cell r="AZ74">
            <v>48</v>
          </cell>
          <cell r="BA74">
            <v>31</v>
          </cell>
          <cell r="BB74">
            <v>47</v>
          </cell>
          <cell r="BC74">
            <v>48</v>
          </cell>
          <cell r="BD74">
            <v>40</v>
          </cell>
          <cell r="BE74">
            <v>48</v>
          </cell>
          <cell r="BF74">
            <v>31</v>
          </cell>
          <cell r="BG74">
            <v>19</v>
          </cell>
          <cell r="BH74">
            <v>47</v>
          </cell>
          <cell r="BI74">
            <v>48</v>
          </cell>
          <cell r="BJ74">
            <v>40</v>
          </cell>
          <cell r="BK74">
            <v>48</v>
          </cell>
          <cell r="BL74">
            <v>31</v>
          </cell>
          <cell r="BM74">
            <v>15</v>
          </cell>
          <cell r="BN74">
            <v>248</v>
          </cell>
          <cell r="BO74">
            <v>0</v>
          </cell>
          <cell r="BP74">
            <v>47</v>
          </cell>
          <cell r="BQ74">
            <v>0</v>
          </cell>
          <cell r="BR74">
            <v>0</v>
          </cell>
          <cell r="BS74">
            <v>0</v>
          </cell>
          <cell r="BT74">
            <v>31</v>
          </cell>
          <cell r="BU74">
            <v>15</v>
          </cell>
          <cell r="BV74">
            <v>93</v>
          </cell>
          <cell r="BW74">
            <v>0</v>
          </cell>
          <cell r="BX74" t="str">
            <v>TIDAK</v>
          </cell>
          <cell r="BY74" t="str">
            <v>TIDAK</v>
          </cell>
        </row>
        <row r="75">
          <cell r="A75" t="str">
            <v>A1652</v>
          </cell>
          <cell r="B75" t="str">
            <v>Adinda Putri Amalia</v>
          </cell>
          <cell r="C75" t="str">
            <v>DELTA</v>
          </cell>
          <cell r="D75">
            <v>45003</v>
          </cell>
          <cell r="E75" t="str">
            <v>Mar-23</v>
          </cell>
          <cell r="F75" t="str">
            <v>REGULER</v>
          </cell>
          <cell r="G75" t="str">
            <v>REGULER</v>
          </cell>
          <cell r="H75" t="str">
            <v>REGULER</v>
          </cell>
          <cell r="I75" t="str">
            <v>REGULER</v>
          </cell>
          <cell r="J75" t="str">
            <v>REGULER</v>
          </cell>
          <cell r="K75" t="str">
            <v>REGULER</v>
          </cell>
          <cell r="L75" t="str">
            <v>REGULER</v>
          </cell>
          <cell r="M75">
            <v>17</v>
          </cell>
          <cell r="N75">
            <v>35</v>
          </cell>
          <cell r="O75">
            <v>35</v>
          </cell>
          <cell r="P75">
            <v>35</v>
          </cell>
          <cell r="Q75">
            <v>35</v>
          </cell>
          <cell r="R75">
            <v>38</v>
          </cell>
          <cell r="S75">
            <v>19</v>
          </cell>
          <cell r="T75">
            <v>214</v>
          </cell>
          <cell r="U75">
            <v>17</v>
          </cell>
          <cell r="V75">
            <v>35</v>
          </cell>
          <cell r="W75">
            <v>35</v>
          </cell>
          <cell r="X75">
            <v>35</v>
          </cell>
          <cell r="Y75">
            <v>35</v>
          </cell>
          <cell r="Z75">
            <v>38</v>
          </cell>
          <cell r="AA75">
            <v>19</v>
          </cell>
          <cell r="AB75">
            <v>214</v>
          </cell>
          <cell r="AC75">
            <v>0</v>
          </cell>
          <cell r="AD75" t="str">
            <v>TIDAK</v>
          </cell>
          <cell r="AE75" t="str">
            <v>TIDAK</v>
          </cell>
          <cell r="AF75">
            <v>214</v>
          </cell>
          <cell r="AG75">
            <v>2</v>
          </cell>
          <cell r="AH75" t="str">
            <v>SAPHIRE</v>
          </cell>
          <cell r="AI75">
            <v>0</v>
          </cell>
          <cell r="AJ75" t="str">
            <v>Y</v>
          </cell>
          <cell r="AK75">
            <v>0</v>
          </cell>
          <cell r="AL75">
            <v>45261</v>
          </cell>
          <cell r="AM75">
            <v>45701</v>
          </cell>
          <cell r="AN75">
            <v>1</v>
          </cell>
          <cell r="AO75">
            <v>214</v>
          </cell>
          <cell r="AP75" t="str">
            <v>-</v>
          </cell>
          <cell r="AQ75" t="str">
            <v>-</v>
          </cell>
          <cell r="AR75" t="str">
            <v>REGULER</v>
          </cell>
          <cell r="AS75" t="str">
            <v>REGULER</v>
          </cell>
          <cell r="AT75" t="str">
            <v>REGULER</v>
          </cell>
          <cell r="AU75" t="str">
            <v>REGULER</v>
          </cell>
          <cell r="AV75" t="str">
            <v/>
          </cell>
          <cell r="AW75">
            <v>21</v>
          </cell>
          <cell r="AX75">
            <v>20</v>
          </cell>
          <cell r="AY75">
            <v>23</v>
          </cell>
          <cell r="AZ75">
            <v>22</v>
          </cell>
          <cell r="BA75">
            <v>34</v>
          </cell>
          <cell r="BB75">
            <v>21</v>
          </cell>
          <cell r="BC75">
            <v>20</v>
          </cell>
          <cell r="BD75">
            <v>23</v>
          </cell>
          <cell r="BE75">
            <v>22</v>
          </cell>
          <cell r="BF75">
            <v>34</v>
          </cell>
          <cell r="BG75">
            <v>20</v>
          </cell>
          <cell r="BH75">
            <v>21</v>
          </cell>
          <cell r="BI75">
            <v>20</v>
          </cell>
          <cell r="BJ75">
            <v>23</v>
          </cell>
          <cell r="BK75">
            <v>22</v>
          </cell>
          <cell r="BL75">
            <v>34</v>
          </cell>
          <cell r="BM75">
            <v>15</v>
          </cell>
          <cell r="BN75">
            <v>155</v>
          </cell>
          <cell r="BO75">
            <v>20</v>
          </cell>
          <cell r="BP75">
            <v>21</v>
          </cell>
          <cell r="BQ75">
            <v>20</v>
          </cell>
          <cell r="BR75">
            <v>23</v>
          </cell>
          <cell r="BS75">
            <v>22</v>
          </cell>
          <cell r="BT75">
            <v>34</v>
          </cell>
          <cell r="BU75">
            <v>15</v>
          </cell>
          <cell r="BV75">
            <v>155</v>
          </cell>
          <cell r="BW75">
            <v>0</v>
          </cell>
          <cell r="BX75" t="str">
            <v>TIDAK</v>
          </cell>
          <cell r="BY75" t="str">
            <v>TIDAK</v>
          </cell>
        </row>
        <row r="76">
          <cell r="A76" t="str">
            <v>A2254</v>
          </cell>
          <cell r="B76" t="str">
            <v>Aghnanda Salsabila Sanca</v>
          </cell>
          <cell r="C76" t="str">
            <v>DELTA</v>
          </cell>
          <cell r="D76">
            <v>45084</v>
          </cell>
          <cell r="E76" t="str">
            <v>Jun-23</v>
          </cell>
          <cell r="F76" t="str">
            <v>REGULER</v>
          </cell>
          <cell r="G76" t="str">
            <v>REGULER</v>
          </cell>
          <cell r="H76" t="str">
            <v>REGULER</v>
          </cell>
          <cell r="I76" t="str">
            <v>REGULER</v>
          </cell>
          <cell r="J76" t="str">
            <v>REGULER</v>
          </cell>
          <cell r="K76" t="str">
            <v>REGULER</v>
          </cell>
          <cell r="L76" t="str">
            <v>REGULER</v>
          </cell>
          <cell r="M76">
            <v>4</v>
          </cell>
          <cell r="N76">
            <v>16</v>
          </cell>
          <cell r="O76">
            <v>12</v>
          </cell>
          <cell r="P76">
            <v>15</v>
          </cell>
          <cell r="Q76">
            <v>18</v>
          </cell>
          <cell r="R76">
            <v>31</v>
          </cell>
          <cell r="S76">
            <v>15</v>
          </cell>
          <cell r="T76">
            <v>111</v>
          </cell>
          <cell r="U76">
            <v>4</v>
          </cell>
          <cell r="V76">
            <v>16</v>
          </cell>
          <cell r="W76">
            <v>12</v>
          </cell>
          <cell r="X76">
            <v>15</v>
          </cell>
          <cell r="Y76">
            <v>18</v>
          </cell>
          <cell r="Z76">
            <v>31</v>
          </cell>
          <cell r="AA76">
            <v>15</v>
          </cell>
          <cell r="AB76">
            <v>111</v>
          </cell>
          <cell r="AC76">
            <v>0</v>
          </cell>
          <cell r="AD76" t="str">
            <v>TIDAK</v>
          </cell>
          <cell r="AE76" t="str">
            <v>TIDAK</v>
          </cell>
          <cell r="AF76">
            <v>111</v>
          </cell>
          <cell r="AG76">
            <v>2</v>
          </cell>
          <cell r="AH76" t="str">
            <v>SAPHIRE</v>
          </cell>
          <cell r="AI76">
            <v>0</v>
          </cell>
          <cell r="AJ76" t="str">
            <v>Y</v>
          </cell>
          <cell r="AK76">
            <v>0</v>
          </cell>
          <cell r="AL76">
            <v>45261</v>
          </cell>
          <cell r="AM76">
            <v>45701</v>
          </cell>
          <cell r="AN76">
            <v>1</v>
          </cell>
          <cell r="AO76">
            <v>111</v>
          </cell>
          <cell r="AP76" t="str">
            <v>-</v>
          </cell>
          <cell r="AQ76" t="str">
            <v>-</v>
          </cell>
          <cell r="AR76" t="str">
            <v>-</v>
          </cell>
          <cell r="AS76" t="str">
            <v>-</v>
          </cell>
          <cell r="AT76" t="str">
            <v>-</v>
          </cell>
          <cell r="AU76" t="str">
            <v>-</v>
          </cell>
          <cell r="AV76" t="str">
            <v/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16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 t="str">
            <v/>
          </cell>
          <cell r="BN76">
            <v>16</v>
          </cell>
          <cell r="BO76">
            <v>16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 t="str">
            <v/>
          </cell>
          <cell r="BV76">
            <v>16</v>
          </cell>
          <cell r="BW76">
            <v>6</v>
          </cell>
          <cell r="BX76" t="str">
            <v>DOWNGRADE</v>
          </cell>
          <cell r="BY76" t="str">
            <v>RESET</v>
          </cell>
        </row>
        <row r="77">
          <cell r="A77" t="str">
            <v>A3407</v>
          </cell>
          <cell r="B77" t="str">
            <v>Agi Mulyana Saki</v>
          </cell>
          <cell r="C77" t="str">
            <v>DELTA</v>
          </cell>
          <cell r="D77">
            <v>45243</v>
          </cell>
          <cell r="E77" t="str">
            <v>Nov-23</v>
          </cell>
          <cell r="F77" t="str">
            <v>REGULER</v>
          </cell>
          <cell r="G77" t="str">
            <v>REGULER</v>
          </cell>
          <cell r="H77" t="str">
            <v>REGULER</v>
          </cell>
          <cell r="I77" t="str">
            <v>REGULER</v>
          </cell>
          <cell r="J77" t="str">
            <v>-</v>
          </cell>
          <cell r="K77" t="str">
            <v>-</v>
          </cell>
          <cell r="L77" t="str">
            <v>-</v>
          </cell>
          <cell r="M77">
            <v>19</v>
          </cell>
          <cell r="N77">
            <v>36</v>
          </cell>
          <cell r="O77">
            <v>41</v>
          </cell>
          <cell r="P77">
            <v>8</v>
          </cell>
          <cell r="Q77">
            <v>0</v>
          </cell>
          <cell r="R77">
            <v>0</v>
          </cell>
          <cell r="S77" t="str">
            <v/>
          </cell>
          <cell r="T77">
            <v>104</v>
          </cell>
          <cell r="U77">
            <v>19</v>
          </cell>
          <cell r="V77">
            <v>36</v>
          </cell>
          <cell r="W77">
            <v>41</v>
          </cell>
          <cell r="X77">
            <v>8</v>
          </cell>
          <cell r="Y77">
            <v>0</v>
          </cell>
          <cell r="Z77">
            <v>0</v>
          </cell>
          <cell r="AA77" t="str">
            <v/>
          </cell>
          <cell r="AB77">
            <v>104</v>
          </cell>
          <cell r="AC77">
            <v>3</v>
          </cell>
          <cell r="AD77" t="str">
            <v>DOWNGRADE</v>
          </cell>
          <cell r="AE77" t="str">
            <v>RESET</v>
          </cell>
          <cell r="AF77">
            <v>0</v>
          </cell>
          <cell r="AG77">
            <v>2</v>
          </cell>
          <cell r="AH77" t="str">
            <v>SAPHIRE</v>
          </cell>
          <cell r="AI77">
            <v>0</v>
          </cell>
          <cell r="AJ77" t="str">
            <v>FALSE</v>
          </cell>
          <cell r="AK77">
            <v>0</v>
          </cell>
          <cell r="AL77">
            <v>45261</v>
          </cell>
          <cell r="AM77">
            <v>45701</v>
          </cell>
          <cell r="AN77">
            <v>1</v>
          </cell>
          <cell r="AO77">
            <v>0</v>
          </cell>
          <cell r="AP77" t="str">
            <v>-</v>
          </cell>
          <cell r="AQ77" t="str">
            <v>-</v>
          </cell>
          <cell r="AR77" t="str">
            <v>-</v>
          </cell>
          <cell r="AS77" t="str">
            <v>-</v>
          </cell>
          <cell r="AT77" t="str">
            <v>-</v>
          </cell>
          <cell r="AU77" t="str">
            <v>-</v>
          </cell>
          <cell r="AV77" t="str">
            <v/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 t="str">
            <v/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 t="str">
            <v/>
          </cell>
          <cell r="BN77">
            <v>0</v>
          </cell>
          <cell r="BO77" t="str">
            <v/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 t="str">
            <v/>
          </cell>
          <cell r="BV77">
            <v>0</v>
          </cell>
          <cell r="BW77">
            <v>7</v>
          </cell>
          <cell r="BX77" t="str">
            <v>DOWNGRADE</v>
          </cell>
          <cell r="BY77" t="str">
            <v>RESET</v>
          </cell>
        </row>
        <row r="78">
          <cell r="A78" t="str">
            <v>A0818</v>
          </cell>
          <cell r="B78" t="str">
            <v>Agis Dwi Rahmawati</v>
          </cell>
          <cell r="C78" t="str">
            <v>DELTA</v>
          </cell>
          <cell r="D78">
            <v>44928</v>
          </cell>
          <cell r="E78" t="str">
            <v>Jan-23</v>
          </cell>
          <cell r="F78" t="str">
            <v>EKSKLUSIF</v>
          </cell>
          <cell r="G78" t="str">
            <v>EKSKLUSIF</v>
          </cell>
          <cell r="H78" t="str">
            <v>EKSKLUSIF</v>
          </cell>
          <cell r="I78" t="str">
            <v>REGULER</v>
          </cell>
          <cell r="J78" t="str">
            <v>REGULER</v>
          </cell>
          <cell r="K78" t="str">
            <v>EKSKLUSIF</v>
          </cell>
          <cell r="L78" t="str">
            <v>EKSKLUSIF</v>
          </cell>
          <cell r="M78">
            <v>21</v>
          </cell>
          <cell r="N78">
            <v>45</v>
          </cell>
          <cell r="O78">
            <v>38</v>
          </cell>
          <cell r="P78">
            <v>16</v>
          </cell>
          <cell r="Q78">
            <v>6</v>
          </cell>
          <cell r="R78">
            <v>41</v>
          </cell>
          <cell r="S78">
            <v>20</v>
          </cell>
          <cell r="T78">
            <v>187</v>
          </cell>
          <cell r="U78">
            <v>0</v>
          </cell>
          <cell r="V78">
            <v>0</v>
          </cell>
          <cell r="W78">
            <v>0</v>
          </cell>
          <cell r="X78">
            <v>16</v>
          </cell>
          <cell r="Y78">
            <v>6</v>
          </cell>
          <cell r="Z78">
            <v>0</v>
          </cell>
          <cell r="AA78">
            <v>0</v>
          </cell>
          <cell r="AB78">
            <v>22</v>
          </cell>
          <cell r="AC78">
            <v>0</v>
          </cell>
          <cell r="AD78" t="str">
            <v>TIDAK</v>
          </cell>
          <cell r="AE78" t="str">
            <v>TIDAK</v>
          </cell>
          <cell r="AF78">
            <v>22</v>
          </cell>
          <cell r="AG78">
            <v>2</v>
          </cell>
          <cell r="AH78" t="str">
            <v>SAPHIRE</v>
          </cell>
          <cell r="AI78">
            <v>0</v>
          </cell>
          <cell r="AJ78" t="str">
            <v>FALSE</v>
          </cell>
          <cell r="AK78">
            <v>0</v>
          </cell>
          <cell r="AL78">
            <v>45261</v>
          </cell>
          <cell r="AM78">
            <v>45701</v>
          </cell>
          <cell r="AN78">
            <v>1</v>
          </cell>
          <cell r="AO78">
            <v>22</v>
          </cell>
          <cell r="AP78" t="str">
            <v>EKSKLUSIF</v>
          </cell>
          <cell r="AQ78" t="str">
            <v>-</v>
          </cell>
          <cell r="AR78" t="str">
            <v>REGULER</v>
          </cell>
          <cell r="AS78" t="str">
            <v>EKSKLUSIF</v>
          </cell>
          <cell r="AT78" t="str">
            <v>EKSKLUSIF</v>
          </cell>
          <cell r="AU78" t="str">
            <v>EKSKLUSIF</v>
          </cell>
          <cell r="AV78" t="str">
            <v/>
          </cell>
          <cell r="AW78">
            <v>48</v>
          </cell>
          <cell r="AX78">
            <v>1</v>
          </cell>
          <cell r="AY78">
            <v>43</v>
          </cell>
          <cell r="AZ78">
            <v>47</v>
          </cell>
          <cell r="BA78">
            <v>43</v>
          </cell>
          <cell r="BB78">
            <v>48</v>
          </cell>
          <cell r="BC78">
            <v>1</v>
          </cell>
          <cell r="BD78">
            <v>43</v>
          </cell>
          <cell r="BE78">
            <v>47</v>
          </cell>
          <cell r="BF78">
            <v>43</v>
          </cell>
          <cell r="BG78">
            <v>20</v>
          </cell>
          <cell r="BH78">
            <v>48</v>
          </cell>
          <cell r="BI78">
            <v>1</v>
          </cell>
          <cell r="BJ78">
            <v>43</v>
          </cell>
          <cell r="BK78">
            <v>47</v>
          </cell>
          <cell r="BL78">
            <v>43</v>
          </cell>
          <cell r="BM78">
            <v>20</v>
          </cell>
          <cell r="BN78">
            <v>222</v>
          </cell>
          <cell r="BO78">
            <v>0</v>
          </cell>
          <cell r="BP78">
            <v>48</v>
          </cell>
          <cell r="BQ78">
            <v>1</v>
          </cell>
          <cell r="BR78">
            <v>0</v>
          </cell>
          <cell r="BS78">
            <v>0</v>
          </cell>
          <cell r="BT78">
            <v>0</v>
          </cell>
          <cell r="BU78">
            <v>20</v>
          </cell>
          <cell r="BV78">
            <v>69</v>
          </cell>
          <cell r="BW78">
            <v>0</v>
          </cell>
          <cell r="BX78" t="str">
            <v>TIDAK</v>
          </cell>
          <cell r="BY78" t="str">
            <v>TIDAK</v>
          </cell>
        </row>
        <row r="79">
          <cell r="A79" t="str">
            <v>A3408</v>
          </cell>
          <cell r="B79" t="str">
            <v>Agista Wigi Nuroini</v>
          </cell>
          <cell r="C79" t="str">
            <v>DELTA</v>
          </cell>
          <cell r="D79">
            <v>45241</v>
          </cell>
          <cell r="E79" t="str">
            <v>Nov-23</v>
          </cell>
          <cell r="F79" t="str">
            <v>REGULER</v>
          </cell>
          <cell r="G79" t="str">
            <v>REGULER</v>
          </cell>
          <cell r="H79" t="str">
            <v>REGULER</v>
          </cell>
          <cell r="I79" t="str">
            <v>REGULER</v>
          </cell>
          <cell r="J79" t="str">
            <v>REGULER</v>
          </cell>
          <cell r="K79" t="str">
            <v>REGULER</v>
          </cell>
          <cell r="L79" t="str">
            <v>REGULER</v>
          </cell>
          <cell r="M79">
            <v>18</v>
          </cell>
          <cell r="N79">
            <v>26</v>
          </cell>
          <cell r="O79">
            <v>24</v>
          </cell>
          <cell r="P79">
            <v>32</v>
          </cell>
          <cell r="Q79">
            <v>29</v>
          </cell>
          <cell r="R79">
            <v>32</v>
          </cell>
          <cell r="S79">
            <v>15</v>
          </cell>
          <cell r="T79">
            <v>176</v>
          </cell>
          <cell r="U79">
            <v>18</v>
          </cell>
          <cell r="V79">
            <v>26</v>
          </cell>
          <cell r="W79">
            <v>24</v>
          </cell>
          <cell r="X79">
            <v>32</v>
          </cell>
          <cell r="Y79">
            <v>29</v>
          </cell>
          <cell r="Z79">
            <v>32</v>
          </cell>
          <cell r="AA79">
            <v>15</v>
          </cell>
          <cell r="AB79">
            <v>176</v>
          </cell>
          <cell r="AC79">
            <v>0</v>
          </cell>
          <cell r="AD79" t="str">
            <v>TIDAK</v>
          </cell>
          <cell r="AE79" t="str">
            <v>TIDAK</v>
          </cell>
          <cell r="AF79">
            <v>176</v>
          </cell>
          <cell r="AG79">
            <v>2</v>
          </cell>
          <cell r="AH79" t="str">
            <v>SAPHIRE</v>
          </cell>
          <cell r="AI79">
            <v>0</v>
          </cell>
          <cell r="AJ79" t="str">
            <v>Y</v>
          </cell>
          <cell r="AK79">
            <v>0</v>
          </cell>
          <cell r="AL79">
            <v>45261</v>
          </cell>
          <cell r="AM79">
            <v>45701</v>
          </cell>
          <cell r="AN79">
            <v>1</v>
          </cell>
          <cell r="AO79">
            <v>176</v>
          </cell>
          <cell r="AP79" t="str">
            <v>-</v>
          </cell>
          <cell r="AQ79" t="str">
            <v>-</v>
          </cell>
          <cell r="AR79" t="str">
            <v>REGULER</v>
          </cell>
          <cell r="AS79" t="str">
            <v>REGULER</v>
          </cell>
          <cell r="AT79" t="str">
            <v>REGULER</v>
          </cell>
          <cell r="AU79" t="str">
            <v>REGULER</v>
          </cell>
          <cell r="AV79" t="str">
            <v/>
          </cell>
          <cell r="AW79">
            <v>25</v>
          </cell>
          <cell r="AX79">
            <v>40</v>
          </cell>
          <cell r="AY79">
            <v>34</v>
          </cell>
          <cell r="AZ79">
            <v>34</v>
          </cell>
          <cell r="BA79">
            <v>36</v>
          </cell>
          <cell r="BB79">
            <v>25</v>
          </cell>
          <cell r="BC79">
            <v>40</v>
          </cell>
          <cell r="BD79">
            <v>34</v>
          </cell>
          <cell r="BE79">
            <v>34</v>
          </cell>
          <cell r="BF79">
            <v>36</v>
          </cell>
          <cell r="BG79">
            <v>15</v>
          </cell>
          <cell r="BH79">
            <v>25</v>
          </cell>
          <cell r="BI79">
            <v>40</v>
          </cell>
          <cell r="BJ79">
            <v>34</v>
          </cell>
          <cell r="BK79">
            <v>34</v>
          </cell>
          <cell r="BL79">
            <v>36</v>
          </cell>
          <cell r="BM79">
            <v>18</v>
          </cell>
          <cell r="BN79">
            <v>202</v>
          </cell>
          <cell r="BO79">
            <v>15</v>
          </cell>
          <cell r="BP79">
            <v>25</v>
          </cell>
          <cell r="BQ79">
            <v>40</v>
          </cell>
          <cell r="BR79">
            <v>34</v>
          </cell>
          <cell r="BS79">
            <v>34</v>
          </cell>
          <cell r="BT79">
            <v>36</v>
          </cell>
          <cell r="BU79">
            <v>18</v>
          </cell>
          <cell r="BV79">
            <v>202</v>
          </cell>
          <cell r="BW79">
            <v>0</v>
          </cell>
          <cell r="BX79" t="str">
            <v>TIDAK</v>
          </cell>
          <cell r="BY79" t="str">
            <v>TIDAK</v>
          </cell>
        </row>
        <row r="80">
          <cell r="A80" t="str">
            <v>A0192</v>
          </cell>
          <cell r="B80" t="str">
            <v>Agnes Haudi Suryantika</v>
          </cell>
          <cell r="C80" t="str">
            <v>DELTA</v>
          </cell>
          <cell r="D80">
            <v>44806</v>
          </cell>
          <cell r="E80" t="str">
            <v>Sep-22</v>
          </cell>
          <cell r="F80" t="str">
            <v>EKSKLUSIF</v>
          </cell>
          <cell r="G80" t="str">
            <v>EKSKLUSIF</v>
          </cell>
          <cell r="H80" t="str">
            <v>EKSKLUSIF</v>
          </cell>
          <cell r="I80" t="str">
            <v>EKSKLUSIF</v>
          </cell>
          <cell r="J80" t="str">
            <v>EKSKLUSIF</v>
          </cell>
          <cell r="K80" t="str">
            <v>EKSKLUSIF</v>
          </cell>
          <cell r="L80" t="str">
            <v>EKSKLUSIF</v>
          </cell>
          <cell r="M80">
            <v>22</v>
          </cell>
          <cell r="N80">
            <v>46</v>
          </cell>
          <cell r="O80">
            <v>41</v>
          </cell>
          <cell r="P80">
            <v>41</v>
          </cell>
          <cell r="Q80">
            <v>39</v>
          </cell>
          <cell r="R80">
            <v>42</v>
          </cell>
          <cell r="S80">
            <v>22</v>
          </cell>
          <cell r="T80">
            <v>253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 t="str">
            <v>TIDAK</v>
          </cell>
          <cell r="AE80" t="str">
            <v>TIDAK</v>
          </cell>
          <cell r="AF80">
            <v>0</v>
          </cell>
          <cell r="AG80">
            <v>2</v>
          </cell>
          <cell r="AH80" t="str">
            <v>SAPHIRE</v>
          </cell>
          <cell r="AI80">
            <v>0</v>
          </cell>
          <cell r="AJ80" t="str">
            <v>FALSE</v>
          </cell>
          <cell r="AK80">
            <v>0</v>
          </cell>
          <cell r="AL80">
            <v>45261</v>
          </cell>
          <cell r="AM80">
            <v>45701</v>
          </cell>
          <cell r="AN80">
            <v>1</v>
          </cell>
          <cell r="AO80">
            <v>0</v>
          </cell>
          <cell r="AP80" t="str">
            <v>EKSKLUSIF</v>
          </cell>
          <cell r="AQ80" t="str">
            <v>-</v>
          </cell>
          <cell r="AR80" t="str">
            <v>EKSKLUSIF</v>
          </cell>
          <cell r="AS80" t="str">
            <v>EKSKLUSIF</v>
          </cell>
          <cell r="AT80" t="str">
            <v>REGULER</v>
          </cell>
          <cell r="AU80" t="str">
            <v>EKSKLUSIF</v>
          </cell>
          <cell r="AV80" t="str">
            <v/>
          </cell>
          <cell r="AW80">
            <v>47</v>
          </cell>
          <cell r="AX80">
            <v>47</v>
          </cell>
          <cell r="AY80">
            <v>44</v>
          </cell>
          <cell r="AZ80">
            <v>25</v>
          </cell>
          <cell r="BA80">
            <v>45</v>
          </cell>
          <cell r="BB80">
            <v>47</v>
          </cell>
          <cell r="BC80">
            <v>47</v>
          </cell>
          <cell r="BD80">
            <v>44</v>
          </cell>
          <cell r="BE80">
            <v>25</v>
          </cell>
          <cell r="BF80">
            <v>45</v>
          </cell>
          <cell r="BG80">
            <v>19</v>
          </cell>
          <cell r="BH80">
            <v>47</v>
          </cell>
          <cell r="BI80">
            <v>47</v>
          </cell>
          <cell r="BJ80">
            <v>44</v>
          </cell>
          <cell r="BK80">
            <v>25</v>
          </cell>
          <cell r="BL80">
            <v>45</v>
          </cell>
          <cell r="BM80">
            <v>21</v>
          </cell>
          <cell r="BN80">
            <v>248</v>
          </cell>
          <cell r="BO80">
            <v>0</v>
          </cell>
          <cell r="BP80">
            <v>47</v>
          </cell>
          <cell r="BQ80">
            <v>0</v>
          </cell>
          <cell r="BR80">
            <v>0</v>
          </cell>
          <cell r="BS80">
            <v>25</v>
          </cell>
          <cell r="BT80">
            <v>0</v>
          </cell>
          <cell r="BU80">
            <v>21</v>
          </cell>
          <cell r="BV80">
            <v>93</v>
          </cell>
          <cell r="BW80">
            <v>0</v>
          </cell>
          <cell r="BX80" t="str">
            <v>TIDAK</v>
          </cell>
          <cell r="BY80" t="str">
            <v>TIDAK</v>
          </cell>
        </row>
        <row r="81">
          <cell r="A81" t="str">
            <v>A1357</v>
          </cell>
          <cell r="B81" t="str">
            <v>Agnes Trinitas</v>
          </cell>
          <cell r="C81" t="str">
            <v>DELTA</v>
          </cell>
          <cell r="D81">
            <v>44995</v>
          </cell>
          <cell r="E81" t="str">
            <v>Mar-23</v>
          </cell>
          <cell r="F81" t="str">
            <v>REGULER</v>
          </cell>
          <cell r="G81" t="str">
            <v>EKSKLUSIF</v>
          </cell>
          <cell r="H81" t="str">
            <v>EKSKLUSIF</v>
          </cell>
          <cell r="I81" t="str">
            <v>EKSKLUSIF</v>
          </cell>
          <cell r="J81" t="str">
            <v>EKSKLUSIF</v>
          </cell>
          <cell r="K81" t="str">
            <v>EKSKLUSIF</v>
          </cell>
          <cell r="L81" t="str">
            <v>EKSKLUSIF</v>
          </cell>
          <cell r="M81">
            <v>10</v>
          </cell>
          <cell r="N81">
            <v>46</v>
          </cell>
          <cell r="O81">
            <v>40</v>
          </cell>
          <cell r="P81">
            <v>40</v>
          </cell>
          <cell r="Q81">
            <v>39</v>
          </cell>
          <cell r="R81">
            <v>41</v>
          </cell>
          <cell r="S81">
            <v>21</v>
          </cell>
          <cell r="T81">
            <v>237</v>
          </cell>
          <cell r="U81">
            <v>10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10</v>
          </cell>
          <cell r="AC81">
            <v>0</v>
          </cell>
          <cell r="AD81" t="str">
            <v>TIDAK</v>
          </cell>
          <cell r="AE81" t="str">
            <v>TIDAK</v>
          </cell>
          <cell r="AF81">
            <v>10</v>
          </cell>
          <cell r="AG81">
            <v>2</v>
          </cell>
          <cell r="AH81" t="str">
            <v>SAPHIRE</v>
          </cell>
          <cell r="AI81">
            <v>0</v>
          </cell>
          <cell r="AJ81" t="str">
            <v>FALSE</v>
          </cell>
          <cell r="AK81">
            <v>0</v>
          </cell>
          <cell r="AL81">
            <v>45261</v>
          </cell>
          <cell r="AM81">
            <v>45701</v>
          </cell>
          <cell r="AN81">
            <v>1</v>
          </cell>
          <cell r="AO81">
            <v>10</v>
          </cell>
          <cell r="AP81" t="str">
            <v>EKSKLUSIF</v>
          </cell>
          <cell r="AQ81" t="str">
            <v>-</v>
          </cell>
          <cell r="AR81" t="str">
            <v>EKSKLUSIF</v>
          </cell>
          <cell r="AS81" t="str">
            <v>EKSKLUSIF</v>
          </cell>
          <cell r="AT81" t="str">
            <v>EKSKLUSIF</v>
          </cell>
          <cell r="AU81" t="str">
            <v>REGULER</v>
          </cell>
          <cell r="AV81" t="str">
            <v/>
          </cell>
          <cell r="AW81">
            <v>38</v>
          </cell>
          <cell r="AX81">
            <v>47</v>
          </cell>
          <cell r="AY81">
            <v>41</v>
          </cell>
          <cell r="AZ81">
            <v>47</v>
          </cell>
          <cell r="BA81">
            <v>32</v>
          </cell>
          <cell r="BB81">
            <v>38</v>
          </cell>
          <cell r="BC81">
            <v>47</v>
          </cell>
          <cell r="BD81">
            <v>41</v>
          </cell>
          <cell r="BE81">
            <v>47</v>
          </cell>
          <cell r="BF81">
            <v>32</v>
          </cell>
          <cell r="BG81">
            <v>19</v>
          </cell>
          <cell r="BH81">
            <v>38</v>
          </cell>
          <cell r="BI81">
            <v>47</v>
          </cell>
          <cell r="BJ81">
            <v>41</v>
          </cell>
          <cell r="BK81">
            <v>47</v>
          </cell>
          <cell r="BL81">
            <v>32</v>
          </cell>
          <cell r="BM81">
            <v>16</v>
          </cell>
          <cell r="BN81">
            <v>240</v>
          </cell>
          <cell r="BO81">
            <v>0</v>
          </cell>
          <cell r="BP81">
            <v>38</v>
          </cell>
          <cell r="BQ81">
            <v>0</v>
          </cell>
          <cell r="BR81">
            <v>0</v>
          </cell>
          <cell r="BS81">
            <v>0</v>
          </cell>
          <cell r="BT81">
            <v>32</v>
          </cell>
          <cell r="BU81">
            <v>16</v>
          </cell>
          <cell r="BV81">
            <v>86</v>
          </cell>
          <cell r="BW81">
            <v>0</v>
          </cell>
          <cell r="BX81" t="str">
            <v>TIDAK</v>
          </cell>
          <cell r="BY81" t="str">
            <v>TIDAK</v>
          </cell>
        </row>
        <row r="82">
          <cell r="A82" t="str">
            <v>A2961</v>
          </cell>
          <cell r="B82" t="str">
            <v>Agung Prasetyadi</v>
          </cell>
          <cell r="C82" t="str">
            <v>DELTA</v>
          </cell>
          <cell r="D82">
            <v>45189</v>
          </cell>
          <cell r="E82" t="str">
            <v>Sep-23</v>
          </cell>
          <cell r="F82" t="str">
            <v>REGULER</v>
          </cell>
          <cell r="G82" t="str">
            <v>REGULER</v>
          </cell>
          <cell r="H82" t="str">
            <v>REGULER</v>
          </cell>
          <cell r="I82" t="str">
            <v>REGULER</v>
          </cell>
          <cell r="J82" t="str">
            <v>-</v>
          </cell>
          <cell r="K82" t="str">
            <v>REGULER</v>
          </cell>
          <cell r="L82" t="str">
            <v>REGULER</v>
          </cell>
          <cell r="M82">
            <v>20</v>
          </cell>
          <cell r="N82">
            <v>30</v>
          </cell>
          <cell r="O82">
            <v>32</v>
          </cell>
          <cell r="P82">
            <v>30</v>
          </cell>
          <cell r="Q82">
            <v>0</v>
          </cell>
          <cell r="R82">
            <v>30</v>
          </cell>
          <cell r="S82">
            <v>15</v>
          </cell>
          <cell r="T82">
            <v>157</v>
          </cell>
          <cell r="U82">
            <v>20</v>
          </cell>
          <cell r="V82">
            <v>30</v>
          </cell>
          <cell r="W82">
            <v>32</v>
          </cell>
          <cell r="X82">
            <v>30</v>
          </cell>
          <cell r="Y82">
            <v>0</v>
          </cell>
          <cell r="Z82">
            <v>30</v>
          </cell>
          <cell r="AA82">
            <v>15</v>
          </cell>
          <cell r="AB82">
            <v>157</v>
          </cell>
          <cell r="AC82">
            <v>1</v>
          </cell>
          <cell r="AD82" t="str">
            <v>TIDAK</v>
          </cell>
          <cell r="AE82" t="str">
            <v>TIDAK</v>
          </cell>
          <cell r="AF82">
            <v>157</v>
          </cell>
          <cell r="AG82">
            <v>2</v>
          </cell>
          <cell r="AH82" t="str">
            <v>SAPHIRE</v>
          </cell>
          <cell r="AI82">
            <v>0</v>
          </cell>
          <cell r="AJ82" t="str">
            <v>Y</v>
          </cell>
          <cell r="AK82">
            <v>0</v>
          </cell>
          <cell r="AL82">
            <v>45261</v>
          </cell>
          <cell r="AM82">
            <v>45701</v>
          </cell>
          <cell r="AN82">
            <v>1</v>
          </cell>
          <cell r="AO82">
            <v>157</v>
          </cell>
          <cell r="AP82" t="str">
            <v>-</v>
          </cell>
          <cell r="AQ82" t="str">
            <v>-</v>
          </cell>
          <cell r="AR82" t="str">
            <v>REGULER</v>
          </cell>
          <cell r="AS82" t="str">
            <v>REGULER</v>
          </cell>
          <cell r="AT82" t="str">
            <v>EKSKLUSIF</v>
          </cell>
          <cell r="AU82" t="str">
            <v>EKSKLUSIF</v>
          </cell>
          <cell r="AV82" t="str">
            <v/>
          </cell>
          <cell r="AW82">
            <v>30</v>
          </cell>
          <cell r="AX82">
            <v>33</v>
          </cell>
          <cell r="AY82">
            <v>30</v>
          </cell>
          <cell r="AZ82">
            <v>47</v>
          </cell>
          <cell r="BA82">
            <v>41</v>
          </cell>
          <cell r="BB82">
            <v>30</v>
          </cell>
          <cell r="BC82">
            <v>33</v>
          </cell>
          <cell r="BD82">
            <v>30</v>
          </cell>
          <cell r="BE82">
            <v>47</v>
          </cell>
          <cell r="BF82">
            <v>41</v>
          </cell>
          <cell r="BG82">
            <v>1</v>
          </cell>
          <cell r="BH82">
            <v>30</v>
          </cell>
          <cell r="BI82">
            <v>33</v>
          </cell>
          <cell r="BJ82">
            <v>30</v>
          </cell>
          <cell r="BK82">
            <v>47</v>
          </cell>
          <cell r="BL82">
            <v>41</v>
          </cell>
          <cell r="BM82">
            <v>22</v>
          </cell>
          <cell r="BN82">
            <v>204</v>
          </cell>
          <cell r="BO82">
            <v>1</v>
          </cell>
          <cell r="BP82">
            <v>30</v>
          </cell>
          <cell r="BQ82">
            <v>33</v>
          </cell>
          <cell r="BR82">
            <v>30</v>
          </cell>
          <cell r="BS82">
            <v>0</v>
          </cell>
          <cell r="BT82">
            <v>0</v>
          </cell>
          <cell r="BU82">
            <v>22</v>
          </cell>
          <cell r="BV82">
            <v>116</v>
          </cell>
          <cell r="BW82">
            <v>0</v>
          </cell>
          <cell r="BX82" t="str">
            <v>TIDAK</v>
          </cell>
          <cell r="BY82" t="str">
            <v>TIDAK</v>
          </cell>
        </row>
        <row r="83">
          <cell r="A83" t="str">
            <v>A0531</v>
          </cell>
          <cell r="B83" t="str">
            <v>Agus Prayitno</v>
          </cell>
          <cell r="C83" t="str">
            <v>DELTA</v>
          </cell>
          <cell r="D83">
            <v>44870</v>
          </cell>
          <cell r="E83" t="str">
            <v>Nov-22</v>
          </cell>
          <cell r="F83" t="str">
            <v>EKSKLUSIF</v>
          </cell>
          <cell r="G83" t="str">
            <v>REGULER</v>
          </cell>
          <cell r="H83" t="str">
            <v>-</v>
          </cell>
          <cell r="I83" t="str">
            <v>-</v>
          </cell>
          <cell r="J83" t="str">
            <v>-</v>
          </cell>
          <cell r="K83" t="str">
            <v>-</v>
          </cell>
          <cell r="L83" t="str">
            <v>-</v>
          </cell>
          <cell r="M83">
            <v>21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 t="str">
            <v/>
          </cell>
          <cell r="T83">
            <v>21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 t="str">
            <v/>
          </cell>
          <cell r="AB83">
            <v>0</v>
          </cell>
          <cell r="AC83">
            <v>6</v>
          </cell>
          <cell r="AD83" t="str">
            <v>DOWNGRADE</v>
          </cell>
          <cell r="AE83" t="str">
            <v>RESET</v>
          </cell>
          <cell r="AF83">
            <v>0</v>
          </cell>
          <cell r="AG83">
            <v>2</v>
          </cell>
          <cell r="AH83" t="str">
            <v>SAPHIRE</v>
          </cell>
          <cell r="AI83">
            <v>0</v>
          </cell>
          <cell r="AJ83" t="str">
            <v>FALSE</v>
          </cell>
          <cell r="AK83">
            <v>0</v>
          </cell>
          <cell r="AL83">
            <v>45261</v>
          </cell>
          <cell r="AM83">
            <v>45701</v>
          </cell>
          <cell r="AN83">
            <v>1</v>
          </cell>
          <cell r="AO83">
            <v>0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 t="str">
            <v/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 t="str">
            <v/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 t="str">
            <v/>
          </cell>
          <cell r="BN83">
            <v>0</v>
          </cell>
          <cell r="BO83" t="str">
            <v/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 t="str">
            <v/>
          </cell>
          <cell r="BV83">
            <v>0</v>
          </cell>
          <cell r="BW83">
            <v>7</v>
          </cell>
          <cell r="BX83" t="str">
            <v>DOWNGRADE</v>
          </cell>
          <cell r="BY83" t="str">
            <v>RESET</v>
          </cell>
        </row>
        <row r="84">
          <cell r="A84" t="str">
            <v>A3354</v>
          </cell>
          <cell r="B84" t="str">
            <v>Ahmad Mustofa</v>
          </cell>
          <cell r="C84" t="str">
            <v>DELTA</v>
          </cell>
          <cell r="D84">
            <v>45261</v>
          </cell>
          <cell r="E84" t="str">
            <v>Dec-23</v>
          </cell>
          <cell r="F84" t="str">
            <v>REGULER</v>
          </cell>
          <cell r="G84" t="str">
            <v>REGULER</v>
          </cell>
          <cell r="H84" t="str">
            <v>-</v>
          </cell>
          <cell r="I84" t="str">
            <v>-</v>
          </cell>
          <cell r="J84" t="str">
            <v>-</v>
          </cell>
          <cell r="K84" t="str">
            <v>-</v>
          </cell>
          <cell r="L84" t="str">
            <v>-</v>
          </cell>
          <cell r="M84">
            <v>18</v>
          </cell>
          <cell r="N84">
            <v>2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 t="str">
            <v/>
          </cell>
          <cell r="T84">
            <v>20</v>
          </cell>
          <cell r="U84">
            <v>18</v>
          </cell>
          <cell r="V84">
            <v>2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 t="str">
            <v/>
          </cell>
          <cell r="AB84">
            <v>20</v>
          </cell>
          <cell r="AC84">
            <v>5</v>
          </cell>
          <cell r="AD84" t="str">
            <v>DOWNGRADE</v>
          </cell>
          <cell r="AE84" t="str">
            <v>RESET</v>
          </cell>
          <cell r="AF84">
            <v>0</v>
          </cell>
          <cell r="AG84">
            <v>2</v>
          </cell>
          <cell r="AH84" t="str">
            <v>SAPHIRE</v>
          </cell>
          <cell r="AI84">
            <v>0</v>
          </cell>
          <cell r="AJ84" t="str">
            <v>FALSE</v>
          </cell>
          <cell r="AK84">
            <v>0</v>
          </cell>
          <cell r="AL84">
            <v>45261</v>
          </cell>
          <cell r="AM84">
            <v>45701</v>
          </cell>
          <cell r="AN84">
            <v>1</v>
          </cell>
          <cell r="AO84">
            <v>0</v>
          </cell>
          <cell r="AP84" t="str">
            <v>-</v>
          </cell>
          <cell r="AQ84" t="str">
            <v>-</v>
          </cell>
          <cell r="AR84" t="str">
            <v>-</v>
          </cell>
          <cell r="AS84" t="str">
            <v>-</v>
          </cell>
          <cell r="AT84" t="str">
            <v>-</v>
          </cell>
          <cell r="AU84" t="str">
            <v>-</v>
          </cell>
          <cell r="AV84" t="str">
            <v/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 t="str">
            <v/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 t="str">
            <v/>
          </cell>
          <cell r="BN84">
            <v>0</v>
          </cell>
          <cell r="BO84" t="str">
            <v/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 t="str">
            <v/>
          </cell>
          <cell r="BV84">
            <v>0</v>
          </cell>
          <cell r="BW84">
            <v>7</v>
          </cell>
          <cell r="BX84" t="str">
            <v>DOWNGRADE</v>
          </cell>
          <cell r="BY84" t="str">
            <v>RESET</v>
          </cell>
        </row>
        <row r="85">
          <cell r="A85" t="str">
            <v>A1710</v>
          </cell>
          <cell r="B85" t="str">
            <v>Aisya Hanan Nabila</v>
          </cell>
          <cell r="C85" t="str">
            <v>DELTA</v>
          </cell>
          <cell r="D85">
            <v>44988</v>
          </cell>
          <cell r="E85" t="str">
            <v>Mar-23</v>
          </cell>
          <cell r="F85" t="str">
            <v>REGULER</v>
          </cell>
          <cell r="G85" t="str">
            <v>REGULER</v>
          </cell>
          <cell r="H85" t="str">
            <v>EKSKLUSIF</v>
          </cell>
          <cell r="I85" t="str">
            <v>EKSKLUSIF</v>
          </cell>
          <cell r="J85" t="str">
            <v>EKSKLUSIF</v>
          </cell>
          <cell r="K85" t="str">
            <v>REGULER</v>
          </cell>
          <cell r="L85" t="str">
            <v>-</v>
          </cell>
          <cell r="M85">
            <v>0</v>
          </cell>
          <cell r="N85">
            <v>5</v>
          </cell>
          <cell r="O85">
            <v>42</v>
          </cell>
          <cell r="P85">
            <v>41</v>
          </cell>
          <cell r="Q85">
            <v>37</v>
          </cell>
          <cell r="R85">
            <v>33</v>
          </cell>
          <cell r="S85" t="str">
            <v/>
          </cell>
          <cell r="T85">
            <v>158</v>
          </cell>
          <cell r="U85">
            <v>0</v>
          </cell>
          <cell r="V85">
            <v>5</v>
          </cell>
          <cell r="W85">
            <v>0</v>
          </cell>
          <cell r="X85">
            <v>0</v>
          </cell>
          <cell r="Y85">
            <v>0</v>
          </cell>
          <cell r="Z85">
            <v>33</v>
          </cell>
          <cell r="AA85" t="str">
            <v/>
          </cell>
          <cell r="AB85">
            <v>38</v>
          </cell>
          <cell r="AC85">
            <v>2</v>
          </cell>
          <cell r="AD85" t="str">
            <v>TIDAK</v>
          </cell>
          <cell r="AE85" t="str">
            <v>TIDAK</v>
          </cell>
          <cell r="AF85">
            <v>38</v>
          </cell>
          <cell r="AG85">
            <v>2</v>
          </cell>
          <cell r="AH85" t="str">
            <v>SAPHIRE</v>
          </cell>
          <cell r="AI85">
            <v>0</v>
          </cell>
          <cell r="AJ85" t="str">
            <v>FALSE</v>
          </cell>
          <cell r="AK85">
            <v>0</v>
          </cell>
          <cell r="AL85">
            <v>45261</v>
          </cell>
          <cell r="AM85">
            <v>45701</v>
          </cell>
          <cell r="AN85">
            <v>1</v>
          </cell>
          <cell r="AO85">
            <v>38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/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 t="str">
            <v/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 t="str">
            <v/>
          </cell>
          <cell r="BN85">
            <v>0</v>
          </cell>
          <cell r="BO85" t="str">
            <v/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 t="str">
            <v/>
          </cell>
          <cell r="BV85">
            <v>0</v>
          </cell>
          <cell r="BW85">
            <v>7</v>
          </cell>
          <cell r="BX85" t="str">
            <v>DOWNGRADE</v>
          </cell>
          <cell r="BY85" t="str">
            <v>RESET</v>
          </cell>
        </row>
        <row r="86">
          <cell r="A86" t="str">
            <v>A2441</v>
          </cell>
          <cell r="B86" t="str">
            <v>Ajeng Surya Asminingrum</v>
          </cell>
          <cell r="C86" t="str">
            <v>DELTA</v>
          </cell>
          <cell r="D86">
            <v>45122</v>
          </cell>
          <cell r="E86" t="str">
            <v>Jul-23</v>
          </cell>
          <cell r="F86" t="str">
            <v>REGULER</v>
          </cell>
          <cell r="G86" t="str">
            <v>REGULER</v>
          </cell>
          <cell r="H86" t="str">
            <v>REGULER</v>
          </cell>
          <cell r="I86" t="str">
            <v>REGULER</v>
          </cell>
          <cell r="J86" t="str">
            <v>REGULER</v>
          </cell>
          <cell r="K86" t="str">
            <v>REGULER</v>
          </cell>
          <cell r="L86" t="str">
            <v>REGULER</v>
          </cell>
          <cell r="M86">
            <v>15</v>
          </cell>
          <cell r="N86">
            <v>26</v>
          </cell>
          <cell r="O86">
            <v>25</v>
          </cell>
          <cell r="P86">
            <v>27</v>
          </cell>
          <cell r="Q86">
            <v>37</v>
          </cell>
          <cell r="R86">
            <v>32</v>
          </cell>
          <cell r="S86">
            <v>2</v>
          </cell>
          <cell r="T86">
            <v>164</v>
          </cell>
          <cell r="U86">
            <v>15</v>
          </cell>
          <cell r="V86">
            <v>26</v>
          </cell>
          <cell r="W86">
            <v>25</v>
          </cell>
          <cell r="X86">
            <v>27</v>
          </cell>
          <cell r="Y86">
            <v>37</v>
          </cell>
          <cell r="Z86">
            <v>32</v>
          </cell>
          <cell r="AA86">
            <v>2</v>
          </cell>
          <cell r="AB86">
            <v>164</v>
          </cell>
          <cell r="AC86">
            <v>0</v>
          </cell>
          <cell r="AD86" t="str">
            <v>TIDAK</v>
          </cell>
          <cell r="AE86" t="str">
            <v>TIDAK</v>
          </cell>
          <cell r="AF86">
            <v>164</v>
          </cell>
          <cell r="AG86">
            <v>2</v>
          </cell>
          <cell r="AH86" t="str">
            <v>SAPHIRE</v>
          </cell>
          <cell r="AI86">
            <v>0</v>
          </cell>
          <cell r="AJ86" t="str">
            <v>Y</v>
          </cell>
          <cell r="AK86">
            <v>0</v>
          </cell>
          <cell r="AL86">
            <v>45261</v>
          </cell>
          <cell r="AM86">
            <v>45701</v>
          </cell>
          <cell r="AN86">
            <v>1</v>
          </cell>
          <cell r="AO86">
            <v>164</v>
          </cell>
          <cell r="AP86" t="str">
            <v>-</v>
          </cell>
          <cell r="AQ86" t="str">
            <v>-</v>
          </cell>
          <cell r="AR86" t="str">
            <v>REGULER</v>
          </cell>
          <cell r="AS86" t="str">
            <v>REGULER</v>
          </cell>
          <cell r="AT86" t="str">
            <v>REGULER</v>
          </cell>
          <cell r="AU86" t="str">
            <v>REGULER</v>
          </cell>
          <cell r="AV86" t="str">
            <v/>
          </cell>
          <cell r="AW86">
            <v>20</v>
          </cell>
          <cell r="AX86">
            <v>41</v>
          </cell>
          <cell r="AY86">
            <v>33</v>
          </cell>
          <cell r="AZ86">
            <v>18</v>
          </cell>
          <cell r="BA86">
            <v>15</v>
          </cell>
          <cell r="BB86">
            <v>20</v>
          </cell>
          <cell r="BC86">
            <v>41</v>
          </cell>
          <cell r="BD86">
            <v>33</v>
          </cell>
          <cell r="BE86">
            <v>18</v>
          </cell>
          <cell r="BF86">
            <v>15</v>
          </cell>
          <cell r="BG86" t="str">
            <v/>
          </cell>
          <cell r="BH86">
            <v>20</v>
          </cell>
          <cell r="BI86">
            <v>41</v>
          </cell>
          <cell r="BJ86">
            <v>33</v>
          </cell>
          <cell r="BK86">
            <v>18</v>
          </cell>
          <cell r="BL86">
            <v>15</v>
          </cell>
          <cell r="BM86">
            <v>15</v>
          </cell>
          <cell r="BN86">
            <v>142</v>
          </cell>
          <cell r="BO86" t="str">
            <v/>
          </cell>
          <cell r="BP86">
            <v>20</v>
          </cell>
          <cell r="BQ86">
            <v>41</v>
          </cell>
          <cell r="BR86">
            <v>33</v>
          </cell>
          <cell r="BS86">
            <v>18</v>
          </cell>
          <cell r="BT86">
            <v>15</v>
          </cell>
          <cell r="BU86">
            <v>15</v>
          </cell>
          <cell r="BV86">
            <v>142</v>
          </cell>
          <cell r="BW86">
            <v>1</v>
          </cell>
          <cell r="BX86" t="str">
            <v>TIDAK</v>
          </cell>
          <cell r="BY86" t="str">
            <v>TIDAK</v>
          </cell>
        </row>
        <row r="87">
          <cell r="A87" t="str">
            <v>A1461</v>
          </cell>
          <cell r="B87" t="str">
            <v>Akhsa Eka Maharani</v>
          </cell>
          <cell r="C87" t="str">
            <v>DELTA</v>
          </cell>
          <cell r="D87">
            <v>44986</v>
          </cell>
          <cell r="E87" t="str">
            <v>Mar-23</v>
          </cell>
          <cell r="F87" t="str">
            <v>EKSKLUSIF</v>
          </cell>
          <cell r="G87" t="str">
            <v>EKSKLUSIF</v>
          </cell>
          <cell r="H87" t="str">
            <v>EKSKLUSIF</v>
          </cell>
          <cell r="I87" t="str">
            <v>EKSKLUSIF</v>
          </cell>
          <cell r="J87" t="str">
            <v>EKSKLUSIF</v>
          </cell>
          <cell r="K87" t="str">
            <v>REGULER</v>
          </cell>
          <cell r="L87" t="str">
            <v>REGULER</v>
          </cell>
          <cell r="M87">
            <v>22</v>
          </cell>
          <cell r="N87">
            <v>47</v>
          </cell>
          <cell r="O87">
            <v>41</v>
          </cell>
          <cell r="P87">
            <v>42</v>
          </cell>
          <cell r="Q87">
            <v>37</v>
          </cell>
          <cell r="R87">
            <v>19</v>
          </cell>
          <cell r="S87">
            <v>15</v>
          </cell>
          <cell r="T87">
            <v>223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19</v>
          </cell>
          <cell r="AA87">
            <v>15</v>
          </cell>
          <cell r="AB87">
            <v>34</v>
          </cell>
          <cell r="AC87">
            <v>0</v>
          </cell>
          <cell r="AD87" t="str">
            <v>TIDAK</v>
          </cell>
          <cell r="AE87" t="str">
            <v>TIDAK</v>
          </cell>
          <cell r="AF87">
            <v>34</v>
          </cell>
          <cell r="AG87">
            <v>2</v>
          </cell>
          <cell r="AH87" t="str">
            <v>SAPHIRE</v>
          </cell>
          <cell r="AI87">
            <v>0</v>
          </cell>
          <cell r="AJ87" t="str">
            <v>FALSE</v>
          </cell>
          <cell r="AK87">
            <v>0</v>
          </cell>
          <cell r="AL87">
            <v>45261</v>
          </cell>
          <cell r="AM87">
            <v>45701</v>
          </cell>
          <cell r="AN87">
            <v>1</v>
          </cell>
          <cell r="AO87">
            <v>34</v>
          </cell>
          <cell r="AP87" t="str">
            <v>-</v>
          </cell>
          <cell r="AQ87" t="str">
            <v>-</v>
          </cell>
          <cell r="AR87" t="str">
            <v>EKSKLUSIF</v>
          </cell>
          <cell r="AS87" t="str">
            <v>EKSKLUSIF</v>
          </cell>
          <cell r="AT87" t="str">
            <v>EKSKLUSIF</v>
          </cell>
          <cell r="AU87" t="str">
            <v>EKSKLUSIF</v>
          </cell>
          <cell r="AV87" t="str">
            <v/>
          </cell>
          <cell r="AW87">
            <v>50</v>
          </cell>
          <cell r="AX87">
            <v>48</v>
          </cell>
          <cell r="AY87">
            <v>40</v>
          </cell>
          <cell r="AZ87">
            <v>48</v>
          </cell>
          <cell r="BA87">
            <v>43</v>
          </cell>
          <cell r="BB87">
            <v>50</v>
          </cell>
          <cell r="BC87">
            <v>48</v>
          </cell>
          <cell r="BD87">
            <v>40</v>
          </cell>
          <cell r="BE87">
            <v>48</v>
          </cell>
          <cell r="BF87">
            <v>43</v>
          </cell>
          <cell r="BG87">
            <v>1</v>
          </cell>
          <cell r="BH87">
            <v>50</v>
          </cell>
          <cell r="BI87">
            <v>48</v>
          </cell>
          <cell r="BJ87">
            <v>40</v>
          </cell>
          <cell r="BK87">
            <v>48</v>
          </cell>
          <cell r="BL87">
            <v>43</v>
          </cell>
          <cell r="BM87">
            <v>21</v>
          </cell>
          <cell r="BN87">
            <v>251</v>
          </cell>
          <cell r="BO87">
            <v>1</v>
          </cell>
          <cell r="BP87">
            <v>50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21</v>
          </cell>
          <cell r="BV87">
            <v>72</v>
          </cell>
          <cell r="BW87">
            <v>0</v>
          </cell>
          <cell r="BX87" t="str">
            <v>TIDAK</v>
          </cell>
          <cell r="BY87" t="str">
            <v>TIDAK</v>
          </cell>
        </row>
        <row r="88">
          <cell r="A88" t="str">
            <v>A3259</v>
          </cell>
          <cell r="B88" t="str">
            <v>Albertus Christian Ade Darmawan</v>
          </cell>
          <cell r="C88" t="str">
            <v>DELTA</v>
          </cell>
          <cell r="D88">
            <v>45231</v>
          </cell>
          <cell r="E88" t="str">
            <v>Nov-23</v>
          </cell>
          <cell r="F88" t="str">
            <v>REGULER</v>
          </cell>
          <cell r="G88" t="str">
            <v>REGULER</v>
          </cell>
          <cell r="H88" t="str">
            <v>EKSKLUSIF</v>
          </cell>
          <cell r="I88" t="str">
            <v>EKSKLUSIF</v>
          </cell>
          <cell r="J88" t="str">
            <v>EKSKLUSIF</v>
          </cell>
          <cell r="K88" t="str">
            <v>EKSKLUSIF</v>
          </cell>
          <cell r="L88" t="str">
            <v>EKSKLUSIF</v>
          </cell>
          <cell r="M88">
            <v>17</v>
          </cell>
          <cell r="N88">
            <v>42</v>
          </cell>
          <cell r="O88">
            <v>42</v>
          </cell>
          <cell r="P88">
            <v>44</v>
          </cell>
          <cell r="Q88">
            <v>39</v>
          </cell>
          <cell r="R88">
            <v>42</v>
          </cell>
          <cell r="S88">
            <v>22</v>
          </cell>
          <cell r="T88">
            <v>248</v>
          </cell>
          <cell r="U88">
            <v>17</v>
          </cell>
          <cell r="V88">
            <v>42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59</v>
          </cell>
          <cell r="AC88">
            <v>0</v>
          </cell>
          <cell r="AD88" t="str">
            <v>TIDAK</v>
          </cell>
          <cell r="AE88" t="str">
            <v>TIDAK</v>
          </cell>
          <cell r="AF88">
            <v>59</v>
          </cell>
          <cell r="AG88">
            <v>2</v>
          </cell>
          <cell r="AH88" t="str">
            <v>SAPHIRE</v>
          </cell>
          <cell r="AI88">
            <v>0</v>
          </cell>
          <cell r="AJ88" t="str">
            <v>FALSE</v>
          </cell>
          <cell r="AK88">
            <v>0</v>
          </cell>
          <cell r="AL88">
            <v>45261</v>
          </cell>
          <cell r="AM88">
            <v>45701</v>
          </cell>
          <cell r="AN88">
            <v>1</v>
          </cell>
          <cell r="AO88">
            <v>59</v>
          </cell>
          <cell r="AP88" t="str">
            <v>EKSKLUSIF</v>
          </cell>
          <cell r="AQ88" t="str">
            <v>-</v>
          </cell>
          <cell r="AR88" t="str">
            <v>EKSKLUSIF</v>
          </cell>
          <cell r="AS88" t="str">
            <v>EKSKLUSIF</v>
          </cell>
          <cell r="AT88" t="str">
            <v>EKSKLUSIF</v>
          </cell>
          <cell r="AU88" t="str">
            <v>EKSKLUSIF</v>
          </cell>
          <cell r="AV88" t="str">
            <v/>
          </cell>
          <cell r="AW88">
            <v>50</v>
          </cell>
          <cell r="AX88">
            <v>49</v>
          </cell>
          <cell r="AY88">
            <v>45</v>
          </cell>
          <cell r="AZ88">
            <v>50</v>
          </cell>
          <cell r="BA88">
            <v>46</v>
          </cell>
          <cell r="BB88">
            <v>50</v>
          </cell>
          <cell r="BC88">
            <v>49</v>
          </cell>
          <cell r="BD88">
            <v>45</v>
          </cell>
          <cell r="BE88">
            <v>50</v>
          </cell>
          <cell r="BF88">
            <v>46</v>
          </cell>
          <cell r="BG88">
            <v>20</v>
          </cell>
          <cell r="BH88">
            <v>50</v>
          </cell>
          <cell r="BI88">
            <v>49</v>
          </cell>
          <cell r="BJ88">
            <v>45</v>
          </cell>
          <cell r="BK88">
            <v>50</v>
          </cell>
          <cell r="BL88">
            <v>46</v>
          </cell>
          <cell r="BM88">
            <v>22</v>
          </cell>
          <cell r="BN88">
            <v>282</v>
          </cell>
          <cell r="BO88">
            <v>0</v>
          </cell>
          <cell r="BP88">
            <v>50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22</v>
          </cell>
          <cell r="BV88">
            <v>72</v>
          </cell>
          <cell r="BW88">
            <v>0</v>
          </cell>
          <cell r="BX88" t="str">
            <v>TIDAK</v>
          </cell>
          <cell r="BY88" t="str">
            <v>TIDAK</v>
          </cell>
        </row>
        <row r="89">
          <cell r="A89" t="str">
            <v>A1761</v>
          </cell>
          <cell r="B89" t="str">
            <v>Aldi Kurniawan</v>
          </cell>
          <cell r="C89" t="str">
            <v>DELTA</v>
          </cell>
          <cell r="D89">
            <v>45033</v>
          </cell>
          <cell r="E89" t="str">
            <v>Apr-23</v>
          </cell>
          <cell r="F89" t="str">
            <v>EKSKLUSIF</v>
          </cell>
          <cell r="G89" t="str">
            <v>EKSKLUSIF</v>
          </cell>
          <cell r="H89" t="str">
            <v>EKSKLUSIF</v>
          </cell>
          <cell r="I89" t="str">
            <v>EKSKLUSIF</v>
          </cell>
          <cell r="J89" t="str">
            <v>REGULER</v>
          </cell>
          <cell r="K89" t="str">
            <v>REGULER</v>
          </cell>
          <cell r="L89" t="str">
            <v>-</v>
          </cell>
          <cell r="M89">
            <v>20</v>
          </cell>
          <cell r="N89">
            <v>44</v>
          </cell>
          <cell r="O89">
            <v>40</v>
          </cell>
          <cell r="P89">
            <v>39</v>
          </cell>
          <cell r="Q89">
            <v>27</v>
          </cell>
          <cell r="R89">
            <v>12</v>
          </cell>
          <cell r="S89" t="str">
            <v/>
          </cell>
          <cell r="T89">
            <v>182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27</v>
          </cell>
          <cell r="Z89">
            <v>12</v>
          </cell>
          <cell r="AA89" t="str">
            <v/>
          </cell>
          <cell r="AB89">
            <v>39</v>
          </cell>
          <cell r="AC89">
            <v>1</v>
          </cell>
          <cell r="AD89" t="str">
            <v>TIDAK</v>
          </cell>
          <cell r="AE89" t="str">
            <v>TIDAK</v>
          </cell>
          <cell r="AF89">
            <v>39</v>
          </cell>
          <cell r="AG89">
            <v>2</v>
          </cell>
          <cell r="AH89" t="str">
            <v>SAPHIRE</v>
          </cell>
          <cell r="AI89">
            <v>0</v>
          </cell>
          <cell r="AJ89" t="str">
            <v>FALSE</v>
          </cell>
          <cell r="AK89">
            <v>0</v>
          </cell>
          <cell r="AL89">
            <v>45261</v>
          </cell>
          <cell r="AM89">
            <v>45701</v>
          </cell>
          <cell r="AN89">
            <v>1</v>
          </cell>
          <cell r="AO89">
            <v>39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REGULER</v>
          </cell>
          <cell r="AT89" t="str">
            <v>-</v>
          </cell>
          <cell r="AU89" t="str">
            <v>-</v>
          </cell>
          <cell r="AV89" t="str">
            <v/>
          </cell>
          <cell r="AW89">
            <v>1</v>
          </cell>
          <cell r="AX89">
            <v>0</v>
          </cell>
          <cell r="AY89">
            <v>21</v>
          </cell>
          <cell r="AZ89">
            <v>0</v>
          </cell>
          <cell r="BA89">
            <v>0</v>
          </cell>
          <cell r="BB89">
            <v>1</v>
          </cell>
          <cell r="BC89">
            <v>0</v>
          </cell>
          <cell r="BD89">
            <v>21</v>
          </cell>
          <cell r="BE89">
            <v>0</v>
          </cell>
          <cell r="BF89">
            <v>0</v>
          </cell>
          <cell r="BG89" t="str">
            <v/>
          </cell>
          <cell r="BH89">
            <v>1</v>
          </cell>
          <cell r="BI89">
            <v>0</v>
          </cell>
          <cell r="BJ89">
            <v>21</v>
          </cell>
          <cell r="BK89">
            <v>0</v>
          </cell>
          <cell r="BL89">
            <v>0</v>
          </cell>
          <cell r="BM89" t="str">
            <v/>
          </cell>
          <cell r="BN89">
            <v>22</v>
          </cell>
          <cell r="BO89" t="str">
            <v/>
          </cell>
          <cell r="BP89">
            <v>1</v>
          </cell>
          <cell r="BQ89">
            <v>0</v>
          </cell>
          <cell r="BR89">
            <v>21</v>
          </cell>
          <cell r="BS89">
            <v>0</v>
          </cell>
          <cell r="BT89">
            <v>0</v>
          </cell>
          <cell r="BU89" t="str">
            <v/>
          </cell>
          <cell r="BV89">
            <v>22</v>
          </cell>
          <cell r="BW89">
            <v>5</v>
          </cell>
          <cell r="BX89" t="str">
            <v>DOWNGRADE</v>
          </cell>
          <cell r="BY89" t="str">
            <v>RESET</v>
          </cell>
        </row>
        <row r="90">
          <cell r="A90" t="str">
            <v>A1465</v>
          </cell>
          <cell r="B90" t="str">
            <v>Aldy Ciptha Primanda</v>
          </cell>
          <cell r="C90" t="str">
            <v>DELTA</v>
          </cell>
          <cell r="D90">
            <v>44988</v>
          </cell>
          <cell r="E90" t="str">
            <v>Mar-23</v>
          </cell>
          <cell r="F90" t="str">
            <v>EKSKLUSIF</v>
          </cell>
          <cell r="G90" t="str">
            <v>EKSKLUSIF</v>
          </cell>
          <cell r="H90" t="str">
            <v>REGULER</v>
          </cell>
          <cell r="I90" t="str">
            <v>REGULER</v>
          </cell>
          <cell r="J90" t="str">
            <v>REGULER</v>
          </cell>
          <cell r="K90" t="str">
            <v>REGULER</v>
          </cell>
          <cell r="L90" t="str">
            <v>EKSKLUSIF</v>
          </cell>
          <cell r="M90">
            <v>20</v>
          </cell>
          <cell r="N90">
            <v>47</v>
          </cell>
          <cell r="O90">
            <v>2</v>
          </cell>
          <cell r="P90">
            <v>40</v>
          </cell>
          <cell r="Q90">
            <v>24</v>
          </cell>
          <cell r="R90">
            <v>43</v>
          </cell>
          <cell r="S90">
            <v>21</v>
          </cell>
          <cell r="T90">
            <v>197</v>
          </cell>
          <cell r="U90">
            <v>0</v>
          </cell>
          <cell r="V90">
            <v>0</v>
          </cell>
          <cell r="W90">
            <v>2</v>
          </cell>
          <cell r="X90">
            <v>40</v>
          </cell>
          <cell r="Y90">
            <v>24</v>
          </cell>
          <cell r="Z90">
            <v>43</v>
          </cell>
          <cell r="AA90">
            <v>0</v>
          </cell>
          <cell r="AB90">
            <v>109</v>
          </cell>
          <cell r="AC90">
            <v>0</v>
          </cell>
          <cell r="AD90" t="str">
            <v>TIDAK</v>
          </cell>
          <cell r="AE90" t="str">
            <v>TIDAK</v>
          </cell>
          <cell r="AF90">
            <v>109</v>
          </cell>
          <cell r="AG90">
            <v>2</v>
          </cell>
          <cell r="AH90" t="str">
            <v>SAPHIRE</v>
          </cell>
          <cell r="AI90">
            <v>0</v>
          </cell>
          <cell r="AJ90" t="str">
            <v>Y</v>
          </cell>
          <cell r="AK90">
            <v>0</v>
          </cell>
          <cell r="AL90">
            <v>45261</v>
          </cell>
          <cell r="AM90">
            <v>45701</v>
          </cell>
          <cell r="AN90">
            <v>1</v>
          </cell>
          <cell r="AO90">
            <v>109</v>
          </cell>
          <cell r="AP90" t="str">
            <v>EKSKLUSIF</v>
          </cell>
          <cell r="AQ90" t="str">
            <v>-</v>
          </cell>
          <cell r="AR90" t="str">
            <v>EKSKLUSIF</v>
          </cell>
          <cell r="AS90" t="str">
            <v>REGULER</v>
          </cell>
          <cell r="AT90" t="str">
            <v>REGULER</v>
          </cell>
          <cell r="AU90" t="str">
            <v>REGULER</v>
          </cell>
          <cell r="AV90" t="str">
            <v/>
          </cell>
          <cell r="AW90">
            <v>49</v>
          </cell>
          <cell r="AX90">
            <v>46</v>
          </cell>
          <cell r="AY90">
            <v>39</v>
          </cell>
          <cell r="AZ90">
            <v>45</v>
          </cell>
          <cell r="BA90">
            <v>36</v>
          </cell>
          <cell r="BB90">
            <v>49</v>
          </cell>
          <cell r="BC90">
            <v>46</v>
          </cell>
          <cell r="BD90">
            <v>39</v>
          </cell>
          <cell r="BE90">
            <v>45</v>
          </cell>
          <cell r="BF90">
            <v>36</v>
          </cell>
          <cell r="BG90">
            <v>20</v>
          </cell>
          <cell r="BH90">
            <v>49</v>
          </cell>
          <cell r="BI90">
            <v>46</v>
          </cell>
          <cell r="BJ90">
            <v>39</v>
          </cell>
          <cell r="BK90">
            <v>45</v>
          </cell>
          <cell r="BL90">
            <v>36</v>
          </cell>
          <cell r="BM90">
            <v>18</v>
          </cell>
          <cell r="BN90">
            <v>253</v>
          </cell>
          <cell r="BO90">
            <v>0</v>
          </cell>
          <cell r="BP90">
            <v>49</v>
          </cell>
          <cell r="BQ90">
            <v>0</v>
          </cell>
          <cell r="BR90">
            <v>39</v>
          </cell>
          <cell r="BS90">
            <v>45</v>
          </cell>
          <cell r="BT90">
            <v>36</v>
          </cell>
          <cell r="BU90">
            <v>18</v>
          </cell>
          <cell r="BV90">
            <v>187</v>
          </cell>
          <cell r="BW90">
            <v>0</v>
          </cell>
          <cell r="BX90" t="str">
            <v>TIDAK</v>
          </cell>
          <cell r="BY90" t="str">
            <v>TIDAK</v>
          </cell>
        </row>
        <row r="91">
          <cell r="A91" t="str">
            <v>A2937</v>
          </cell>
          <cell r="B91" t="str">
            <v>Alexandro Elsika Soge</v>
          </cell>
          <cell r="C91" t="str">
            <v>DELTA</v>
          </cell>
          <cell r="D91">
            <v>45133</v>
          </cell>
          <cell r="E91" t="str">
            <v>Jul-23</v>
          </cell>
          <cell r="F91" t="str">
            <v>REGULER</v>
          </cell>
          <cell r="G91" t="str">
            <v>REGULER</v>
          </cell>
          <cell r="H91" t="str">
            <v>REGULER</v>
          </cell>
          <cell r="I91" t="str">
            <v>REGULER</v>
          </cell>
          <cell r="J91" t="str">
            <v>REGULER</v>
          </cell>
          <cell r="K91" t="str">
            <v>REGULER</v>
          </cell>
          <cell r="L91" t="str">
            <v>REGULER</v>
          </cell>
          <cell r="M91">
            <v>15</v>
          </cell>
          <cell r="N91">
            <v>29</v>
          </cell>
          <cell r="O91">
            <v>16</v>
          </cell>
          <cell r="P91">
            <v>34</v>
          </cell>
          <cell r="Q91">
            <v>35</v>
          </cell>
          <cell r="R91">
            <v>34</v>
          </cell>
          <cell r="S91">
            <v>3</v>
          </cell>
          <cell r="T91">
            <v>166</v>
          </cell>
          <cell r="U91">
            <v>15</v>
          </cell>
          <cell r="V91">
            <v>29</v>
          </cell>
          <cell r="W91">
            <v>16</v>
          </cell>
          <cell r="X91">
            <v>34</v>
          </cell>
          <cell r="Y91">
            <v>35</v>
          </cell>
          <cell r="Z91">
            <v>34</v>
          </cell>
          <cell r="AA91">
            <v>3</v>
          </cell>
          <cell r="AB91">
            <v>166</v>
          </cell>
          <cell r="AC91">
            <v>0</v>
          </cell>
          <cell r="AD91" t="str">
            <v>TIDAK</v>
          </cell>
          <cell r="AE91" t="str">
            <v>TIDAK</v>
          </cell>
          <cell r="AF91">
            <v>166</v>
          </cell>
          <cell r="AG91">
            <v>2</v>
          </cell>
          <cell r="AH91" t="str">
            <v>SAPHIRE</v>
          </cell>
          <cell r="AI91">
            <v>0</v>
          </cell>
          <cell r="AJ91" t="str">
            <v>Y</v>
          </cell>
          <cell r="AK91">
            <v>0</v>
          </cell>
          <cell r="AL91">
            <v>45261</v>
          </cell>
          <cell r="AM91">
            <v>45701</v>
          </cell>
          <cell r="AN91">
            <v>1</v>
          </cell>
          <cell r="AO91">
            <v>166</v>
          </cell>
          <cell r="AP91" t="str">
            <v>-</v>
          </cell>
          <cell r="AQ91" t="str">
            <v>-</v>
          </cell>
          <cell r="AR91" t="str">
            <v>REGULER</v>
          </cell>
          <cell r="AS91" t="str">
            <v>REGULER</v>
          </cell>
          <cell r="AT91" t="str">
            <v>REGULER</v>
          </cell>
          <cell r="AU91" t="str">
            <v>REGULER</v>
          </cell>
          <cell r="AV91" t="str">
            <v/>
          </cell>
          <cell r="AW91">
            <v>47</v>
          </cell>
          <cell r="AX91">
            <v>40</v>
          </cell>
          <cell r="AY91">
            <v>4</v>
          </cell>
          <cell r="AZ91">
            <v>38</v>
          </cell>
          <cell r="BA91">
            <v>39</v>
          </cell>
          <cell r="BB91">
            <v>47</v>
          </cell>
          <cell r="BC91">
            <v>40</v>
          </cell>
          <cell r="BD91">
            <v>4</v>
          </cell>
          <cell r="BE91">
            <v>38</v>
          </cell>
          <cell r="BF91">
            <v>39</v>
          </cell>
          <cell r="BG91">
            <v>16</v>
          </cell>
          <cell r="BH91">
            <v>47</v>
          </cell>
          <cell r="BI91">
            <v>40</v>
          </cell>
          <cell r="BJ91">
            <v>4</v>
          </cell>
          <cell r="BK91">
            <v>38</v>
          </cell>
          <cell r="BL91">
            <v>39</v>
          </cell>
          <cell r="BM91">
            <v>16</v>
          </cell>
          <cell r="BN91">
            <v>200</v>
          </cell>
          <cell r="BO91">
            <v>16</v>
          </cell>
          <cell r="BP91">
            <v>47</v>
          </cell>
          <cell r="BQ91">
            <v>40</v>
          </cell>
          <cell r="BR91">
            <v>4</v>
          </cell>
          <cell r="BS91">
            <v>38</v>
          </cell>
          <cell r="BT91">
            <v>39</v>
          </cell>
          <cell r="BU91">
            <v>16</v>
          </cell>
          <cell r="BV91">
            <v>200</v>
          </cell>
          <cell r="BW91">
            <v>0</v>
          </cell>
          <cell r="BX91" t="str">
            <v>TIDAK</v>
          </cell>
          <cell r="BY91" t="str">
            <v>TIDAK</v>
          </cell>
        </row>
        <row r="92">
          <cell r="A92" t="str">
            <v>A3994</v>
          </cell>
          <cell r="B92" t="str">
            <v>ALIF BINTANG HASIHOLAN POHAN</v>
          </cell>
          <cell r="C92" t="str">
            <v>DELTA</v>
          </cell>
          <cell r="D92">
            <v>45419</v>
          </cell>
          <cell r="E92" t="str">
            <v>May-24</v>
          </cell>
          <cell r="F92" t="str">
            <v>-</v>
          </cell>
          <cell r="G92" t="str">
            <v>-</v>
          </cell>
          <cell r="H92" t="str">
            <v>-</v>
          </cell>
          <cell r="I92" t="str">
            <v>-</v>
          </cell>
          <cell r="J92" t="str">
            <v>-</v>
          </cell>
          <cell r="K92" t="str">
            <v>REGULER</v>
          </cell>
          <cell r="L92" t="str">
            <v>REGULER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15</v>
          </cell>
          <cell r="S92">
            <v>18</v>
          </cell>
          <cell r="T92">
            <v>33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15</v>
          </cell>
          <cell r="AA92">
            <v>18</v>
          </cell>
          <cell r="AB92">
            <v>33</v>
          </cell>
          <cell r="AC92">
            <v>0</v>
          </cell>
          <cell r="AD92" t="str">
            <v>TIDAK</v>
          </cell>
          <cell r="AE92" t="str">
            <v>TIDAK</v>
          </cell>
          <cell r="AF92">
            <v>33</v>
          </cell>
          <cell r="AG92">
            <v>2</v>
          </cell>
          <cell r="AH92" t="str">
            <v>SAPHIRE</v>
          </cell>
          <cell r="AI92">
            <v>0</v>
          </cell>
          <cell r="AJ92" t="str">
            <v>FALSE</v>
          </cell>
          <cell r="AK92">
            <v>0</v>
          </cell>
          <cell r="AL92">
            <v>45261</v>
          </cell>
          <cell r="AM92">
            <v>45701</v>
          </cell>
          <cell r="AN92">
            <v>1</v>
          </cell>
          <cell r="AO92">
            <v>33</v>
          </cell>
          <cell r="AP92" t="str">
            <v>-</v>
          </cell>
          <cell r="AQ92" t="str">
            <v>-</v>
          </cell>
          <cell r="AR92" t="str">
            <v>EKSKLUSIF</v>
          </cell>
          <cell r="AS92" t="str">
            <v>EKSKLUSIF</v>
          </cell>
          <cell r="AT92" t="str">
            <v>EKSKLUSIF</v>
          </cell>
          <cell r="AU92" t="str">
            <v>EKSKLUSIF</v>
          </cell>
          <cell r="AV92" t="str">
            <v/>
          </cell>
          <cell r="AW92">
            <v>45</v>
          </cell>
          <cell r="AX92">
            <v>49</v>
          </cell>
          <cell r="AY92">
            <v>45</v>
          </cell>
          <cell r="AZ92">
            <v>50</v>
          </cell>
          <cell r="BA92">
            <v>44</v>
          </cell>
          <cell r="BB92">
            <v>45</v>
          </cell>
          <cell r="BC92">
            <v>49</v>
          </cell>
          <cell r="BD92">
            <v>45</v>
          </cell>
          <cell r="BE92">
            <v>50</v>
          </cell>
          <cell r="BF92">
            <v>44</v>
          </cell>
          <cell r="BG92">
            <v>20</v>
          </cell>
          <cell r="BH92">
            <v>45</v>
          </cell>
          <cell r="BI92">
            <v>49</v>
          </cell>
          <cell r="BJ92">
            <v>45</v>
          </cell>
          <cell r="BK92">
            <v>50</v>
          </cell>
          <cell r="BL92">
            <v>44</v>
          </cell>
          <cell r="BM92">
            <v>21</v>
          </cell>
          <cell r="BN92">
            <v>274</v>
          </cell>
          <cell r="BO92">
            <v>20</v>
          </cell>
          <cell r="BP92">
            <v>45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21</v>
          </cell>
          <cell r="BV92">
            <v>86</v>
          </cell>
          <cell r="BW92">
            <v>0</v>
          </cell>
          <cell r="BX92" t="str">
            <v>TIDAK</v>
          </cell>
          <cell r="BY92" t="str">
            <v>TIDAK</v>
          </cell>
        </row>
        <row r="93">
          <cell r="A93" t="str">
            <v>A0649</v>
          </cell>
          <cell r="B93" t="str">
            <v>Alya Nayla Salsabila</v>
          </cell>
          <cell r="C93" t="str">
            <v>DELTA</v>
          </cell>
          <cell r="D93">
            <v>44858</v>
          </cell>
          <cell r="E93" t="str">
            <v>Oct-22</v>
          </cell>
          <cell r="F93" t="str">
            <v>REGULER</v>
          </cell>
          <cell r="G93" t="str">
            <v>REGULER</v>
          </cell>
          <cell r="H93" t="str">
            <v>-</v>
          </cell>
          <cell r="I93" t="str">
            <v>REGULER</v>
          </cell>
          <cell r="J93" t="str">
            <v>REGULER</v>
          </cell>
          <cell r="K93" t="str">
            <v>-</v>
          </cell>
          <cell r="L93" t="str">
            <v>-</v>
          </cell>
          <cell r="M93">
            <v>7</v>
          </cell>
          <cell r="N93">
            <v>11</v>
          </cell>
          <cell r="O93">
            <v>0</v>
          </cell>
          <cell r="P93">
            <v>1</v>
          </cell>
          <cell r="Q93">
            <v>9</v>
          </cell>
          <cell r="R93">
            <v>0</v>
          </cell>
          <cell r="S93" t="str">
            <v/>
          </cell>
          <cell r="T93">
            <v>28</v>
          </cell>
          <cell r="U93">
            <v>7</v>
          </cell>
          <cell r="V93">
            <v>11</v>
          </cell>
          <cell r="W93">
            <v>0</v>
          </cell>
          <cell r="X93">
            <v>1</v>
          </cell>
          <cell r="Y93">
            <v>9</v>
          </cell>
          <cell r="Z93">
            <v>0</v>
          </cell>
          <cell r="AA93" t="str">
            <v/>
          </cell>
          <cell r="AB93">
            <v>28</v>
          </cell>
          <cell r="AC93">
            <v>3</v>
          </cell>
          <cell r="AD93" t="str">
            <v>DOWNGRADE</v>
          </cell>
          <cell r="AE93" t="str">
            <v>TIDAK</v>
          </cell>
          <cell r="AF93">
            <v>14</v>
          </cell>
          <cell r="AG93">
            <v>2</v>
          </cell>
          <cell r="AH93" t="str">
            <v>SAPHIRE</v>
          </cell>
          <cell r="AI93">
            <v>0</v>
          </cell>
          <cell r="AJ93" t="str">
            <v>FALSE</v>
          </cell>
          <cell r="AK93">
            <v>0</v>
          </cell>
          <cell r="AL93">
            <v>45261</v>
          </cell>
          <cell r="AM93">
            <v>45701</v>
          </cell>
          <cell r="AN93">
            <v>1</v>
          </cell>
          <cell r="AO93">
            <v>14</v>
          </cell>
          <cell r="AP93" t="str">
            <v>-</v>
          </cell>
          <cell r="AQ93" t="str">
            <v>-</v>
          </cell>
          <cell r="AR93" t="str">
            <v>REGULER</v>
          </cell>
          <cell r="AS93" t="str">
            <v>REGULER</v>
          </cell>
          <cell r="AT93" t="str">
            <v>-</v>
          </cell>
          <cell r="AU93" t="str">
            <v>REGULER</v>
          </cell>
          <cell r="AV93" t="str">
            <v/>
          </cell>
          <cell r="AW93">
            <v>29</v>
          </cell>
          <cell r="AX93">
            <v>34</v>
          </cell>
          <cell r="AY93">
            <v>15</v>
          </cell>
          <cell r="AZ93">
            <v>0</v>
          </cell>
          <cell r="BA93">
            <v>9</v>
          </cell>
          <cell r="BB93">
            <v>29</v>
          </cell>
          <cell r="BC93">
            <v>34</v>
          </cell>
          <cell r="BD93">
            <v>15</v>
          </cell>
          <cell r="BE93">
            <v>0</v>
          </cell>
          <cell r="BF93">
            <v>9</v>
          </cell>
          <cell r="BG93" t="str">
            <v/>
          </cell>
          <cell r="BH93">
            <v>29</v>
          </cell>
          <cell r="BI93">
            <v>34</v>
          </cell>
          <cell r="BJ93">
            <v>15</v>
          </cell>
          <cell r="BK93">
            <v>0</v>
          </cell>
          <cell r="BL93">
            <v>9</v>
          </cell>
          <cell r="BM93">
            <v>5</v>
          </cell>
          <cell r="BN93">
            <v>92</v>
          </cell>
          <cell r="BO93" t="str">
            <v/>
          </cell>
          <cell r="BP93">
            <v>29</v>
          </cell>
          <cell r="BQ93">
            <v>34</v>
          </cell>
          <cell r="BR93">
            <v>15</v>
          </cell>
          <cell r="BS93">
            <v>0</v>
          </cell>
          <cell r="BT93">
            <v>9</v>
          </cell>
          <cell r="BU93">
            <v>5</v>
          </cell>
          <cell r="BV93">
            <v>92</v>
          </cell>
          <cell r="BW93">
            <v>2</v>
          </cell>
          <cell r="BX93" t="str">
            <v>TIDAK</v>
          </cell>
          <cell r="BY93" t="str">
            <v>TIDAK</v>
          </cell>
        </row>
        <row r="94">
          <cell r="A94">
            <v>92287</v>
          </cell>
          <cell r="B94" t="str">
            <v>Alyda Rizka</v>
          </cell>
          <cell r="C94" t="str">
            <v>DELTA</v>
          </cell>
          <cell r="D94">
            <v>44667</v>
          </cell>
          <cell r="E94" t="str">
            <v>Apr-22</v>
          </cell>
          <cell r="F94" t="str">
            <v>REGULER</v>
          </cell>
          <cell r="G94" t="str">
            <v>REGULER</v>
          </cell>
          <cell r="H94" t="str">
            <v>REGULER</v>
          </cell>
          <cell r="I94" t="str">
            <v>REGULER</v>
          </cell>
          <cell r="J94" t="str">
            <v>REGULER</v>
          </cell>
          <cell r="K94" t="str">
            <v>EKSKLUSIF</v>
          </cell>
          <cell r="L94" t="str">
            <v>EKSKLUSIF</v>
          </cell>
          <cell r="M94">
            <v>7</v>
          </cell>
          <cell r="N94">
            <v>31</v>
          </cell>
          <cell r="O94">
            <v>35</v>
          </cell>
          <cell r="P94">
            <v>42</v>
          </cell>
          <cell r="Q94">
            <v>34</v>
          </cell>
          <cell r="R94">
            <v>43</v>
          </cell>
          <cell r="S94">
            <v>21</v>
          </cell>
          <cell r="T94">
            <v>213</v>
          </cell>
          <cell r="U94">
            <v>7</v>
          </cell>
          <cell r="V94">
            <v>31</v>
          </cell>
          <cell r="W94">
            <v>35</v>
          </cell>
          <cell r="X94">
            <v>42</v>
          </cell>
          <cell r="Y94">
            <v>34</v>
          </cell>
          <cell r="Z94">
            <v>0</v>
          </cell>
          <cell r="AA94">
            <v>0</v>
          </cell>
          <cell r="AB94">
            <v>149</v>
          </cell>
          <cell r="AC94">
            <v>0</v>
          </cell>
          <cell r="AD94" t="str">
            <v>TIDAK</v>
          </cell>
          <cell r="AE94" t="str">
            <v>TIDAK</v>
          </cell>
          <cell r="AF94">
            <v>149</v>
          </cell>
          <cell r="AG94">
            <v>2</v>
          </cell>
          <cell r="AH94" t="str">
            <v>SAPHIRE</v>
          </cell>
          <cell r="AI94">
            <v>0</v>
          </cell>
          <cell r="AJ94" t="str">
            <v>Y</v>
          </cell>
          <cell r="AK94">
            <v>0</v>
          </cell>
          <cell r="AL94">
            <v>45261</v>
          </cell>
          <cell r="AM94">
            <v>45701</v>
          </cell>
          <cell r="AN94">
            <v>1</v>
          </cell>
          <cell r="AO94">
            <v>149</v>
          </cell>
          <cell r="AP94" t="str">
            <v>EKSKLUSIF</v>
          </cell>
          <cell r="AQ94" t="str">
            <v>-</v>
          </cell>
          <cell r="AR94" t="str">
            <v>EKSKLUSIF</v>
          </cell>
          <cell r="AS94" t="str">
            <v>EKSKLUSIF</v>
          </cell>
          <cell r="AT94" t="str">
            <v>EKSKLUSIF</v>
          </cell>
          <cell r="AU94" t="str">
            <v>EKSKLUSIF</v>
          </cell>
          <cell r="AV94" t="str">
            <v/>
          </cell>
          <cell r="AW94">
            <v>47</v>
          </cell>
          <cell r="AX94">
            <v>47</v>
          </cell>
          <cell r="AY94">
            <v>42</v>
          </cell>
          <cell r="AZ94">
            <v>48</v>
          </cell>
          <cell r="BA94">
            <v>43</v>
          </cell>
          <cell r="BB94">
            <v>47</v>
          </cell>
          <cell r="BC94">
            <v>47</v>
          </cell>
          <cell r="BD94">
            <v>42</v>
          </cell>
          <cell r="BE94">
            <v>48</v>
          </cell>
          <cell r="BF94">
            <v>43</v>
          </cell>
          <cell r="BG94">
            <v>19</v>
          </cell>
          <cell r="BH94">
            <v>47</v>
          </cell>
          <cell r="BI94">
            <v>47</v>
          </cell>
          <cell r="BJ94">
            <v>42</v>
          </cell>
          <cell r="BK94">
            <v>48</v>
          </cell>
          <cell r="BL94">
            <v>43</v>
          </cell>
          <cell r="BM94">
            <v>21</v>
          </cell>
          <cell r="BN94">
            <v>267</v>
          </cell>
          <cell r="BO94">
            <v>0</v>
          </cell>
          <cell r="BP94">
            <v>47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21</v>
          </cell>
          <cell r="BV94">
            <v>68</v>
          </cell>
          <cell r="BW94">
            <v>0</v>
          </cell>
          <cell r="BX94" t="str">
            <v>TIDAK</v>
          </cell>
          <cell r="BY94" t="str">
            <v>TIDAK</v>
          </cell>
        </row>
        <row r="95">
          <cell r="A95" t="str">
            <v>A0642</v>
          </cell>
          <cell r="B95" t="str">
            <v>Amalia Azzahroh</v>
          </cell>
          <cell r="C95" t="str">
            <v>DELTA</v>
          </cell>
          <cell r="D95">
            <v>44903</v>
          </cell>
          <cell r="E95" t="str">
            <v>Dec-22</v>
          </cell>
          <cell r="F95" t="str">
            <v>REGULER</v>
          </cell>
          <cell r="G95" t="str">
            <v>REGULER</v>
          </cell>
          <cell r="H95" t="str">
            <v>REGULER</v>
          </cell>
          <cell r="I95" t="str">
            <v>REGULER</v>
          </cell>
          <cell r="J95" t="str">
            <v>REGULER</v>
          </cell>
          <cell r="K95" t="str">
            <v>REGULER</v>
          </cell>
          <cell r="L95" t="str">
            <v>REGULER</v>
          </cell>
          <cell r="M95">
            <v>11</v>
          </cell>
          <cell r="N95">
            <v>32</v>
          </cell>
          <cell r="O95">
            <v>19</v>
          </cell>
          <cell r="P95">
            <v>36</v>
          </cell>
          <cell r="Q95">
            <v>15</v>
          </cell>
          <cell r="R95">
            <v>18</v>
          </cell>
          <cell r="S95">
            <v>15</v>
          </cell>
          <cell r="T95">
            <v>146</v>
          </cell>
          <cell r="U95">
            <v>11</v>
          </cell>
          <cell r="V95">
            <v>32</v>
          </cell>
          <cell r="W95">
            <v>19</v>
          </cell>
          <cell r="X95">
            <v>36</v>
          </cell>
          <cell r="Y95">
            <v>15</v>
          </cell>
          <cell r="Z95">
            <v>18</v>
          </cell>
          <cell r="AA95">
            <v>15</v>
          </cell>
          <cell r="AB95">
            <v>146</v>
          </cell>
          <cell r="AC95">
            <v>0</v>
          </cell>
          <cell r="AD95" t="str">
            <v>TIDAK</v>
          </cell>
          <cell r="AE95" t="str">
            <v>TIDAK</v>
          </cell>
          <cell r="AF95">
            <v>146</v>
          </cell>
          <cell r="AG95">
            <v>2</v>
          </cell>
          <cell r="AH95" t="str">
            <v>SAPHIRE</v>
          </cell>
          <cell r="AI95">
            <v>0</v>
          </cell>
          <cell r="AJ95" t="str">
            <v>Y</v>
          </cell>
          <cell r="AK95">
            <v>0</v>
          </cell>
          <cell r="AL95">
            <v>45261</v>
          </cell>
          <cell r="AM95">
            <v>45701</v>
          </cell>
          <cell r="AN95">
            <v>1</v>
          </cell>
          <cell r="AO95">
            <v>146</v>
          </cell>
          <cell r="AP95" t="str">
            <v>-</v>
          </cell>
          <cell r="AQ95" t="str">
            <v>-</v>
          </cell>
          <cell r="AR95" t="str">
            <v>-</v>
          </cell>
          <cell r="AS95" t="str">
            <v>-</v>
          </cell>
          <cell r="AT95" t="str">
            <v>-</v>
          </cell>
          <cell r="AU95" t="str">
            <v>-</v>
          </cell>
          <cell r="AV95" t="str">
            <v/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15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 t="str">
            <v/>
          </cell>
          <cell r="BN95">
            <v>15</v>
          </cell>
          <cell r="BO95">
            <v>15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 t="str">
            <v/>
          </cell>
          <cell r="BV95">
            <v>15</v>
          </cell>
          <cell r="BW95">
            <v>6</v>
          </cell>
          <cell r="BX95" t="str">
            <v>DOWNGRADE</v>
          </cell>
          <cell r="BY95" t="str">
            <v>RESET</v>
          </cell>
        </row>
        <row r="96">
          <cell r="A96">
            <v>92509</v>
          </cell>
          <cell r="B96" t="str">
            <v>An Nisa Julyansyah</v>
          </cell>
          <cell r="C96" t="str">
            <v>DELTA</v>
          </cell>
          <cell r="D96">
            <v>44735</v>
          </cell>
          <cell r="E96" t="str">
            <v>Jun-22</v>
          </cell>
          <cell r="F96" t="str">
            <v>REGULER</v>
          </cell>
          <cell r="G96" t="str">
            <v>REGULER</v>
          </cell>
          <cell r="H96" t="str">
            <v>REGULER</v>
          </cell>
          <cell r="I96" t="str">
            <v>REGULER</v>
          </cell>
          <cell r="J96" t="str">
            <v>REGULER</v>
          </cell>
          <cell r="K96" t="str">
            <v>REGULER</v>
          </cell>
          <cell r="L96" t="str">
            <v>REGULER</v>
          </cell>
          <cell r="M96">
            <v>17</v>
          </cell>
          <cell r="N96">
            <v>32</v>
          </cell>
          <cell r="O96">
            <v>32</v>
          </cell>
          <cell r="P96">
            <v>35</v>
          </cell>
          <cell r="Q96">
            <v>21</v>
          </cell>
          <cell r="R96">
            <v>18</v>
          </cell>
          <cell r="S96">
            <v>1</v>
          </cell>
          <cell r="T96">
            <v>156</v>
          </cell>
          <cell r="U96">
            <v>17</v>
          </cell>
          <cell r="V96">
            <v>32</v>
          </cell>
          <cell r="W96">
            <v>32</v>
          </cell>
          <cell r="X96">
            <v>35</v>
          </cell>
          <cell r="Y96">
            <v>21</v>
          </cell>
          <cell r="Z96">
            <v>18</v>
          </cell>
          <cell r="AA96">
            <v>1</v>
          </cell>
          <cell r="AB96">
            <v>156</v>
          </cell>
          <cell r="AC96">
            <v>0</v>
          </cell>
          <cell r="AD96" t="str">
            <v>TIDAK</v>
          </cell>
          <cell r="AE96" t="str">
            <v>TIDAK</v>
          </cell>
          <cell r="AF96">
            <v>156</v>
          </cell>
          <cell r="AG96">
            <v>3</v>
          </cell>
          <cell r="AH96" t="str">
            <v>SAPHIRE</v>
          </cell>
          <cell r="AI96">
            <v>0</v>
          </cell>
          <cell r="AJ96" t="str">
            <v>Y</v>
          </cell>
          <cell r="AK96">
            <v>0</v>
          </cell>
          <cell r="AL96">
            <v>45261</v>
          </cell>
          <cell r="AM96">
            <v>45701</v>
          </cell>
          <cell r="AN96">
            <v>1</v>
          </cell>
          <cell r="AO96">
            <v>156</v>
          </cell>
          <cell r="AP96" t="str">
            <v>-</v>
          </cell>
          <cell r="AQ96" t="str">
            <v>-</v>
          </cell>
          <cell r="AR96" t="str">
            <v>-</v>
          </cell>
          <cell r="AS96" t="str">
            <v>-</v>
          </cell>
          <cell r="AT96" t="str">
            <v>-</v>
          </cell>
          <cell r="AU96" t="str">
            <v>-</v>
          </cell>
          <cell r="AV96" t="str">
            <v/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16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 t="str">
            <v/>
          </cell>
          <cell r="BN96">
            <v>16</v>
          </cell>
          <cell r="BO96">
            <v>16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 t="str">
            <v/>
          </cell>
          <cell r="BV96">
            <v>16</v>
          </cell>
          <cell r="BW96">
            <v>6</v>
          </cell>
          <cell r="BX96" t="str">
            <v>DOWNGRADE</v>
          </cell>
          <cell r="BY96" t="str">
            <v>RESET</v>
          </cell>
        </row>
        <row r="97">
          <cell r="A97" t="str">
            <v>A0519</v>
          </cell>
          <cell r="B97" t="str">
            <v>Anastacia Juliana</v>
          </cell>
          <cell r="C97" t="str">
            <v>DELTA</v>
          </cell>
          <cell r="D97">
            <v>44866</v>
          </cell>
          <cell r="E97" t="str">
            <v>Nov-22</v>
          </cell>
          <cell r="F97" t="str">
            <v>EKSKLUSIF</v>
          </cell>
          <cell r="G97" t="str">
            <v>EKSKLUSIF</v>
          </cell>
          <cell r="H97" t="str">
            <v>EKSKLUSIF</v>
          </cell>
          <cell r="I97" t="str">
            <v>-</v>
          </cell>
          <cell r="J97" t="str">
            <v>-</v>
          </cell>
          <cell r="K97" t="str">
            <v>REGULER</v>
          </cell>
          <cell r="L97" t="str">
            <v>REGULER</v>
          </cell>
          <cell r="M97">
            <v>20</v>
          </cell>
          <cell r="N97">
            <v>46</v>
          </cell>
          <cell r="O97">
            <v>37</v>
          </cell>
          <cell r="P97">
            <v>0</v>
          </cell>
          <cell r="Q97">
            <v>0</v>
          </cell>
          <cell r="R97">
            <v>35</v>
          </cell>
          <cell r="S97">
            <v>20</v>
          </cell>
          <cell r="T97">
            <v>158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35</v>
          </cell>
          <cell r="AA97">
            <v>20</v>
          </cell>
          <cell r="AB97">
            <v>55</v>
          </cell>
          <cell r="AC97">
            <v>2</v>
          </cell>
          <cell r="AD97" t="str">
            <v>TIDAK</v>
          </cell>
          <cell r="AE97" t="str">
            <v>TIDAK</v>
          </cell>
          <cell r="AF97">
            <v>55</v>
          </cell>
          <cell r="AG97">
            <v>2</v>
          </cell>
          <cell r="AH97" t="str">
            <v>SAPHIRE</v>
          </cell>
          <cell r="AI97">
            <v>0</v>
          </cell>
          <cell r="AJ97" t="str">
            <v>FALSE</v>
          </cell>
          <cell r="AK97">
            <v>0</v>
          </cell>
          <cell r="AL97">
            <v>45261</v>
          </cell>
          <cell r="AM97">
            <v>45701</v>
          </cell>
          <cell r="AN97">
            <v>1</v>
          </cell>
          <cell r="AO97">
            <v>55</v>
          </cell>
          <cell r="AP97" t="str">
            <v>-</v>
          </cell>
          <cell r="AQ97" t="str">
            <v>-</v>
          </cell>
          <cell r="AR97" t="str">
            <v>-</v>
          </cell>
          <cell r="AS97" t="str">
            <v>-</v>
          </cell>
          <cell r="AT97" t="str">
            <v>REGULER</v>
          </cell>
          <cell r="AU97" t="str">
            <v>REGULER</v>
          </cell>
          <cell r="AV97" t="str">
            <v/>
          </cell>
          <cell r="AW97">
            <v>15</v>
          </cell>
          <cell r="AX97">
            <v>0</v>
          </cell>
          <cell r="AY97">
            <v>0</v>
          </cell>
          <cell r="AZ97">
            <v>7</v>
          </cell>
          <cell r="BA97">
            <v>42</v>
          </cell>
          <cell r="BB97">
            <v>15</v>
          </cell>
          <cell r="BC97">
            <v>0</v>
          </cell>
          <cell r="BD97">
            <v>0</v>
          </cell>
          <cell r="BE97">
            <v>7</v>
          </cell>
          <cell r="BF97">
            <v>42</v>
          </cell>
          <cell r="BG97">
            <v>19</v>
          </cell>
          <cell r="BH97">
            <v>15</v>
          </cell>
          <cell r="BI97">
            <v>0</v>
          </cell>
          <cell r="BJ97">
            <v>0</v>
          </cell>
          <cell r="BK97">
            <v>7</v>
          </cell>
          <cell r="BL97">
            <v>42</v>
          </cell>
          <cell r="BM97">
            <v>21</v>
          </cell>
          <cell r="BN97">
            <v>104</v>
          </cell>
          <cell r="BO97">
            <v>19</v>
          </cell>
          <cell r="BP97">
            <v>15</v>
          </cell>
          <cell r="BQ97">
            <v>0</v>
          </cell>
          <cell r="BR97">
            <v>0</v>
          </cell>
          <cell r="BS97">
            <v>7</v>
          </cell>
          <cell r="BT97">
            <v>42</v>
          </cell>
          <cell r="BU97">
            <v>21</v>
          </cell>
          <cell r="BV97">
            <v>104</v>
          </cell>
          <cell r="BW97">
            <v>2</v>
          </cell>
          <cell r="BX97" t="str">
            <v>TIDAK</v>
          </cell>
          <cell r="BY97" t="str">
            <v>TIDAK</v>
          </cell>
        </row>
        <row r="98">
          <cell r="A98" t="str">
            <v>A3620</v>
          </cell>
          <cell r="B98" t="str">
            <v>Anastasia Prameswari Widyastuti</v>
          </cell>
          <cell r="C98" t="str">
            <v>DELTA</v>
          </cell>
          <cell r="D98">
            <v>45352</v>
          </cell>
          <cell r="E98" t="str">
            <v>Mar-24</v>
          </cell>
          <cell r="F98" t="str">
            <v>-</v>
          </cell>
          <cell r="G98" t="str">
            <v>-</v>
          </cell>
          <cell r="H98" t="str">
            <v>-</v>
          </cell>
          <cell r="I98" t="str">
            <v>REGULER</v>
          </cell>
          <cell r="J98" t="str">
            <v>REGULER</v>
          </cell>
          <cell r="K98" t="str">
            <v>REGULER</v>
          </cell>
          <cell r="L98" t="str">
            <v>REGULER</v>
          </cell>
          <cell r="M98">
            <v>0</v>
          </cell>
          <cell r="N98">
            <v>0</v>
          </cell>
          <cell r="O98">
            <v>0</v>
          </cell>
          <cell r="P98">
            <v>5</v>
          </cell>
          <cell r="Q98">
            <v>22</v>
          </cell>
          <cell r="R98">
            <v>34</v>
          </cell>
          <cell r="S98">
            <v>19</v>
          </cell>
          <cell r="T98">
            <v>80</v>
          </cell>
          <cell r="U98">
            <v>0</v>
          </cell>
          <cell r="V98">
            <v>0</v>
          </cell>
          <cell r="W98">
            <v>0</v>
          </cell>
          <cell r="X98">
            <v>5</v>
          </cell>
          <cell r="Y98">
            <v>22</v>
          </cell>
          <cell r="Z98">
            <v>34</v>
          </cell>
          <cell r="AA98">
            <v>19</v>
          </cell>
          <cell r="AB98">
            <v>80</v>
          </cell>
          <cell r="AC98">
            <v>0</v>
          </cell>
          <cell r="AD98" t="str">
            <v>TIDAK</v>
          </cell>
          <cell r="AE98" t="str">
            <v>TIDAK</v>
          </cell>
          <cell r="AF98">
            <v>80</v>
          </cell>
          <cell r="AG98">
            <v>2</v>
          </cell>
          <cell r="AH98" t="str">
            <v>SAPHIRE</v>
          </cell>
          <cell r="AI98">
            <v>0</v>
          </cell>
          <cell r="AJ98" t="str">
            <v>Y</v>
          </cell>
          <cell r="AK98">
            <v>0</v>
          </cell>
          <cell r="AL98">
            <v>45261</v>
          </cell>
          <cell r="AM98">
            <v>45701</v>
          </cell>
          <cell r="AN98">
            <v>1</v>
          </cell>
          <cell r="AO98">
            <v>80</v>
          </cell>
          <cell r="AP98" t="str">
            <v>-</v>
          </cell>
          <cell r="AQ98" t="str">
            <v>-</v>
          </cell>
          <cell r="AR98" t="str">
            <v>-</v>
          </cell>
          <cell r="AS98" t="str">
            <v>-</v>
          </cell>
          <cell r="AT98" t="str">
            <v>-</v>
          </cell>
          <cell r="AU98" t="str">
            <v>-</v>
          </cell>
          <cell r="AV98" t="str">
            <v/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3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 t="str">
            <v/>
          </cell>
          <cell r="BN98">
            <v>3</v>
          </cell>
          <cell r="BO98">
            <v>3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 t="str">
            <v/>
          </cell>
          <cell r="BV98">
            <v>3</v>
          </cell>
          <cell r="BW98">
            <v>6</v>
          </cell>
          <cell r="BX98" t="str">
            <v>DOWNGRADE</v>
          </cell>
          <cell r="BY98" t="str">
            <v>RESET</v>
          </cell>
        </row>
        <row r="99">
          <cell r="A99" t="str">
            <v>A0346</v>
          </cell>
          <cell r="B99" t="str">
            <v>Anatasya Giri Anjassari</v>
          </cell>
          <cell r="C99" t="str">
            <v>DELTA</v>
          </cell>
          <cell r="D99">
            <v>44877</v>
          </cell>
          <cell r="E99" t="str">
            <v>Nov-22</v>
          </cell>
          <cell r="F99" t="str">
            <v>EKSKLUSIF</v>
          </cell>
          <cell r="G99" t="str">
            <v>EKSKLUSIF</v>
          </cell>
          <cell r="H99" t="str">
            <v>EKSKLUSIF</v>
          </cell>
          <cell r="I99" t="str">
            <v>REGULER</v>
          </cell>
          <cell r="J99" t="str">
            <v>REGULER</v>
          </cell>
          <cell r="K99" t="str">
            <v>-</v>
          </cell>
          <cell r="L99" t="str">
            <v>-</v>
          </cell>
          <cell r="M99">
            <v>20</v>
          </cell>
          <cell r="N99">
            <v>46</v>
          </cell>
          <cell r="O99">
            <v>39</v>
          </cell>
          <cell r="P99">
            <v>0</v>
          </cell>
          <cell r="Q99">
            <v>23</v>
          </cell>
          <cell r="R99">
            <v>0</v>
          </cell>
          <cell r="S99" t="str">
            <v/>
          </cell>
          <cell r="T99">
            <v>128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23</v>
          </cell>
          <cell r="Z99">
            <v>0</v>
          </cell>
          <cell r="AA99" t="str">
            <v/>
          </cell>
          <cell r="AB99">
            <v>23</v>
          </cell>
          <cell r="AC99">
            <v>3</v>
          </cell>
          <cell r="AD99" t="str">
            <v>DOWNGRADE</v>
          </cell>
          <cell r="AE99" t="str">
            <v>TIDAK</v>
          </cell>
          <cell r="AF99">
            <v>11.5</v>
          </cell>
          <cell r="AG99">
            <v>2</v>
          </cell>
          <cell r="AH99" t="str">
            <v>SAPHIRE</v>
          </cell>
          <cell r="AI99">
            <v>0</v>
          </cell>
          <cell r="AJ99" t="str">
            <v>FALSE</v>
          </cell>
          <cell r="AK99">
            <v>0</v>
          </cell>
          <cell r="AL99">
            <v>45261</v>
          </cell>
          <cell r="AM99">
            <v>45701</v>
          </cell>
          <cell r="AN99">
            <v>1</v>
          </cell>
          <cell r="AO99">
            <v>11.5</v>
          </cell>
          <cell r="AP99" t="str">
            <v>-</v>
          </cell>
          <cell r="AQ99" t="str">
            <v>-</v>
          </cell>
          <cell r="AR99" t="str">
            <v>-</v>
          </cell>
          <cell r="AS99" t="str">
            <v>-</v>
          </cell>
          <cell r="AT99" t="str">
            <v>-</v>
          </cell>
          <cell r="AU99" t="str">
            <v>-</v>
          </cell>
          <cell r="AV99" t="str">
            <v/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 t="str">
            <v/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 t="str">
            <v/>
          </cell>
          <cell r="BN99">
            <v>0</v>
          </cell>
          <cell r="BO99" t="str">
            <v/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 t="str">
            <v/>
          </cell>
          <cell r="BV99">
            <v>0</v>
          </cell>
          <cell r="BW99">
            <v>7</v>
          </cell>
          <cell r="BX99" t="str">
            <v>DOWNGRADE</v>
          </cell>
          <cell r="BY99" t="str">
            <v>RESET</v>
          </cell>
        </row>
        <row r="100">
          <cell r="A100" t="str">
            <v>A1645</v>
          </cell>
          <cell r="B100" t="str">
            <v>Andika Saputra</v>
          </cell>
          <cell r="C100" t="str">
            <v>DELTA</v>
          </cell>
          <cell r="D100">
            <v>44988</v>
          </cell>
          <cell r="E100" t="str">
            <v>Mar-23</v>
          </cell>
          <cell r="F100" t="str">
            <v>REGULER</v>
          </cell>
          <cell r="G100" t="str">
            <v>REGULER</v>
          </cell>
          <cell r="H100" t="str">
            <v>-</v>
          </cell>
          <cell r="I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>
            <v>10</v>
          </cell>
          <cell r="N100">
            <v>28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 t="str">
            <v/>
          </cell>
          <cell r="T100">
            <v>38</v>
          </cell>
          <cell r="U100">
            <v>10</v>
          </cell>
          <cell r="V100">
            <v>28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 t="str">
            <v/>
          </cell>
          <cell r="AB100">
            <v>38</v>
          </cell>
          <cell r="AC100">
            <v>5</v>
          </cell>
          <cell r="AD100" t="str">
            <v>DOWNGRADE</v>
          </cell>
          <cell r="AE100" t="str">
            <v>RESET</v>
          </cell>
          <cell r="AF100">
            <v>0</v>
          </cell>
          <cell r="AG100">
            <v>2</v>
          </cell>
          <cell r="AH100" t="str">
            <v>SAPHIRE</v>
          </cell>
          <cell r="AI100">
            <v>0</v>
          </cell>
          <cell r="AJ100" t="str">
            <v>FALSE</v>
          </cell>
          <cell r="AK100">
            <v>0</v>
          </cell>
          <cell r="AL100">
            <v>45261</v>
          </cell>
          <cell r="AM100">
            <v>45701</v>
          </cell>
          <cell r="AN100">
            <v>1</v>
          </cell>
          <cell r="AO100">
            <v>0</v>
          </cell>
          <cell r="AP100" t="str">
            <v>-</v>
          </cell>
          <cell r="AQ100" t="str">
            <v>-</v>
          </cell>
          <cell r="AR100" t="str">
            <v>-</v>
          </cell>
          <cell r="AS100" t="str">
            <v>-</v>
          </cell>
          <cell r="AT100" t="str">
            <v>-</v>
          </cell>
          <cell r="AU100" t="str">
            <v>-</v>
          </cell>
          <cell r="AV100" t="str">
            <v/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 t="str">
            <v/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 t="str">
            <v/>
          </cell>
          <cell r="BN100">
            <v>0</v>
          </cell>
          <cell r="BO100" t="str">
            <v/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 t="str">
            <v/>
          </cell>
          <cell r="BV100">
            <v>0</v>
          </cell>
          <cell r="BW100">
            <v>7</v>
          </cell>
          <cell r="BX100" t="str">
            <v>DOWNGRADE</v>
          </cell>
          <cell r="BY100" t="str">
            <v>RESET</v>
          </cell>
        </row>
        <row r="101">
          <cell r="A101" t="str">
            <v>A3902</v>
          </cell>
          <cell r="B101" t="str">
            <v>Andreas Valliant</v>
          </cell>
          <cell r="C101" t="str">
            <v>DELTA</v>
          </cell>
          <cell r="D101">
            <v>45383</v>
          </cell>
          <cell r="E101" t="str">
            <v>Apr-24</v>
          </cell>
          <cell r="F101" t="str">
            <v>-</v>
          </cell>
          <cell r="G101" t="str">
            <v>-</v>
          </cell>
          <cell r="H101" t="str">
            <v>-</v>
          </cell>
          <cell r="I101" t="str">
            <v>-</v>
          </cell>
          <cell r="J101" t="str">
            <v>REGULER</v>
          </cell>
          <cell r="K101" t="str">
            <v>-</v>
          </cell>
          <cell r="L101" t="str">
            <v>-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34</v>
          </cell>
          <cell r="R101">
            <v>0</v>
          </cell>
          <cell r="S101" t="str">
            <v/>
          </cell>
          <cell r="T101">
            <v>34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34</v>
          </cell>
          <cell r="Z101">
            <v>0</v>
          </cell>
          <cell r="AA101" t="str">
            <v/>
          </cell>
          <cell r="AB101">
            <v>34</v>
          </cell>
          <cell r="AC101">
            <v>2</v>
          </cell>
          <cell r="AD101" t="str">
            <v>TIDAK</v>
          </cell>
          <cell r="AE101" t="str">
            <v>TIDAK</v>
          </cell>
          <cell r="AF101">
            <v>34</v>
          </cell>
          <cell r="AG101">
            <v>2</v>
          </cell>
          <cell r="AH101" t="str">
            <v>SAPHIRE</v>
          </cell>
          <cell r="AI101">
            <v>0</v>
          </cell>
          <cell r="AJ101" t="str">
            <v>FALSE</v>
          </cell>
          <cell r="AK101">
            <v>0</v>
          </cell>
          <cell r="AL101">
            <v>45261</v>
          </cell>
          <cell r="AM101">
            <v>45701</v>
          </cell>
          <cell r="AN101">
            <v>1</v>
          </cell>
          <cell r="AO101">
            <v>34</v>
          </cell>
          <cell r="AP101" t="str">
            <v>-</v>
          </cell>
          <cell r="AQ101" t="str">
            <v>-</v>
          </cell>
          <cell r="AR101" t="str">
            <v>-</v>
          </cell>
          <cell r="AS101" t="str">
            <v>-</v>
          </cell>
          <cell r="AT101" t="str">
            <v>-</v>
          </cell>
          <cell r="AU101" t="str">
            <v>-</v>
          </cell>
          <cell r="AV101" t="str">
            <v/>
          </cell>
          <cell r="AW101">
            <v>8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8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2</v>
          </cell>
          <cell r="BH101">
            <v>8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 t="str">
            <v/>
          </cell>
          <cell r="BN101">
            <v>10</v>
          </cell>
          <cell r="BO101">
            <v>2</v>
          </cell>
          <cell r="BP101">
            <v>8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 t="str">
            <v/>
          </cell>
          <cell r="BV101">
            <v>10</v>
          </cell>
          <cell r="BW101">
            <v>5</v>
          </cell>
          <cell r="BX101" t="str">
            <v>DOWNGRADE</v>
          </cell>
          <cell r="BY101" t="str">
            <v>RESET</v>
          </cell>
        </row>
        <row r="102">
          <cell r="A102" t="str">
            <v>A0745</v>
          </cell>
          <cell r="B102" t="str">
            <v>Ane Melisa Murni</v>
          </cell>
          <cell r="C102" t="str">
            <v>DELTA</v>
          </cell>
          <cell r="D102">
            <v>44911</v>
          </cell>
          <cell r="E102" t="str">
            <v>Dec-22</v>
          </cell>
          <cell r="F102" t="str">
            <v>EKSKLUSIF</v>
          </cell>
          <cell r="G102" t="str">
            <v>EKSKLUSIF</v>
          </cell>
          <cell r="H102" t="str">
            <v>EKSKLUSIF</v>
          </cell>
          <cell r="I102" t="str">
            <v>EKSKLUSIF</v>
          </cell>
          <cell r="J102" t="str">
            <v>EKSKLUSIF</v>
          </cell>
          <cell r="K102" t="str">
            <v>EKSKLUSIF</v>
          </cell>
          <cell r="L102" t="str">
            <v>EKSKLUSIF</v>
          </cell>
          <cell r="M102">
            <v>22</v>
          </cell>
          <cell r="N102">
            <v>46</v>
          </cell>
          <cell r="O102">
            <v>40</v>
          </cell>
          <cell r="P102">
            <v>42</v>
          </cell>
          <cell r="Q102">
            <v>39</v>
          </cell>
          <cell r="R102">
            <v>42</v>
          </cell>
          <cell r="S102">
            <v>22</v>
          </cell>
          <cell r="T102">
            <v>253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 t="str">
            <v>TIDAK</v>
          </cell>
          <cell r="AE102" t="str">
            <v>TIDAK</v>
          </cell>
          <cell r="AF102">
            <v>0</v>
          </cell>
          <cell r="AG102">
            <v>2</v>
          </cell>
          <cell r="AH102" t="str">
            <v>SAPHIRE</v>
          </cell>
          <cell r="AI102">
            <v>0</v>
          </cell>
          <cell r="AJ102" t="str">
            <v>FALSE</v>
          </cell>
          <cell r="AK102">
            <v>0</v>
          </cell>
          <cell r="AL102">
            <v>45261</v>
          </cell>
          <cell r="AM102">
            <v>45701</v>
          </cell>
          <cell r="AN102">
            <v>1</v>
          </cell>
          <cell r="AO102">
            <v>0</v>
          </cell>
          <cell r="AP102" t="str">
            <v>EKSKLUSIF</v>
          </cell>
          <cell r="AQ102" t="str">
            <v>-</v>
          </cell>
          <cell r="AR102" t="str">
            <v>EKSKLUSIF</v>
          </cell>
          <cell r="AS102" t="str">
            <v>EKSKLUSIF</v>
          </cell>
          <cell r="AT102" t="str">
            <v>EKSKLUSIF</v>
          </cell>
          <cell r="AU102" t="str">
            <v>EKSKLUSIF</v>
          </cell>
          <cell r="AV102" t="str">
            <v/>
          </cell>
          <cell r="AW102">
            <v>47</v>
          </cell>
          <cell r="AX102">
            <v>47</v>
          </cell>
          <cell r="AY102">
            <v>43</v>
          </cell>
          <cell r="AZ102">
            <v>45</v>
          </cell>
          <cell r="BA102">
            <v>43</v>
          </cell>
          <cell r="BB102">
            <v>47</v>
          </cell>
          <cell r="BC102">
            <v>47</v>
          </cell>
          <cell r="BD102">
            <v>43</v>
          </cell>
          <cell r="BE102">
            <v>45</v>
          </cell>
          <cell r="BF102">
            <v>43</v>
          </cell>
          <cell r="BG102">
            <v>18</v>
          </cell>
          <cell r="BH102">
            <v>47</v>
          </cell>
          <cell r="BI102">
            <v>47</v>
          </cell>
          <cell r="BJ102">
            <v>43</v>
          </cell>
          <cell r="BK102">
            <v>45</v>
          </cell>
          <cell r="BL102">
            <v>43</v>
          </cell>
          <cell r="BM102">
            <v>20</v>
          </cell>
          <cell r="BN102">
            <v>263</v>
          </cell>
          <cell r="BO102">
            <v>0</v>
          </cell>
          <cell r="BP102">
            <v>47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20</v>
          </cell>
          <cell r="BV102">
            <v>67</v>
          </cell>
          <cell r="BW102">
            <v>0</v>
          </cell>
          <cell r="BX102" t="str">
            <v>TIDAK</v>
          </cell>
          <cell r="BY102" t="str">
            <v>TIDAK</v>
          </cell>
        </row>
        <row r="103">
          <cell r="A103" t="str">
            <v>A1213</v>
          </cell>
          <cell r="B103" t="str">
            <v>Angger Ayu Anggraeni</v>
          </cell>
          <cell r="C103" t="str">
            <v>DELTA</v>
          </cell>
          <cell r="D103">
            <v>44974</v>
          </cell>
          <cell r="E103" t="str">
            <v>Feb-23</v>
          </cell>
          <cell r="F103" t="str">
            <v>REGULER</v>
          </cell>
          <cell r="G103" t="str">
            <v>REGULER</v>
          </cell>
          <cell r="H103" t="str">
            <v>-</v>
          </cell>
          <cell r="I103" t="str">
            <v>-</v>
          </cell>
          <cell r="J103" t="str">
            <v>-</v>
          </cell>
          <cell r="K103" t="str">
            <v>-</v>
          </cell>
          <cell r="L103" t="str">
            <v>-</v>
          </cell>
          <cell r="M103">
            <v>8</v>
          </cell>
          <cell r="N103">
            <v>36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 t="str">
            <v/>
          </cell>
          <cell r="T103">
            <v>44</v>
          </cell>
          <cell r="U103">
            <v>8</v>
          </cell>
          <cell r="V103">
            <v>36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 t="str">
            <v/>
          </cell>
          <cell r="AB103">
            <v>44</v>
          </cell>
          <cell r="AC103">
            <v>5</v>
          </cell>
          <cell r="AD103" t="str">
            <v>DOWNGRADE</v>
          </cell>
          <cell r="AE103" t="str">
            <v>RESET</v>
          </cell>
          <cell r="AF103">
            <v>0</v>
          </cell>
          <cell r="AG103">
            <v>2</v>
          </cell>
          <cell r="AH103" t="str">
            <v>SAPHIRE</v>
          </cell>
          <cell r="AI103">
            <v>0</v>
          </cell>
          <cell r="AJ103" t="str">
            <v>FALSE</v>
          </cell>
          <cell r="AK103">
            <v>0</v>
          </cell>
          <cell r="AL103">
            <v>45261</v>
          </cell>
          <cell r="AM103">
            <v>45701</v>
          </cell>
          <cell r="AN103">
            <v>1</v>
          </cell>
          <cell r="AO103">
            <v>0</v>
          </cell>
          <cell r="AP103" t="str">
            <v>-</v>
          </cell>
          <cell r="AQ103" t="str">
            <v>-</v>
          </cell>
          <cell r="AR103" t="str">
            <v>-</v>
          </cell>
          <cell r="AS103" t="str">
            <v>-</v>
          </cell>
          <cell r="AT103" t="str">
            <v>-</v>
          </cell>
          <cell r="AU103" t="str">
            <v>-</v>
          </cell>
          <cell r="AV103" t="str">
            <v/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 t="str">
            <v/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 t="str">
            <v/>
          </cell>
          <cell r="BN103">
            <v>0</v>
          </cell>
          <cell r="BO103" t="str">
            <v/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 t="str">
            <v/>
          </cell>
          <cell r="BV103">
            <v>0</v>
          </cell>
          <cell r="BW103">
            <v>7</v>
          </cell>
          <cell r="BX103" t="str">
            <v>DOWNGRADE</v>
          </cell>
          <cell r="BY103" t="str">
            <v>RESET</v>
          </cell>
        </row>
        <row r="104">
          <cell r="A104" t="str">
            <v>A0969</v>
          </cell>
          <cell r="B104" t="str">
            <v>Anggi Dwi</v>
          </cell>
          <cell r="C104" t="str">
            <v>DELTA</v>
          </cell>
          <cell r="D104">
            <v>44928</v>
          </cell>
          <cell r="E104" t="str">
            <v>Jan-23</v>
          </cell>
          <cell r="F104" t="str">
            <v>EKSKLUSIF</v>
          </cell>
          <cell r="G104" t="str">
            <v>EKSKLUSIF</v>
          </cell>
          <cell r="H104" t="str">
            <v>EKSKLUSIF</v>
          </cell>
          <cell r="I104" t="str">
            <v>EKSKLUSIF</v>
          </cell>
          <cell r="J104" t="str">
            <v>EKSKLUSIF</v>
          </cell>
          <cell r="K104" t="str">
            <v>EKSKLUSIF</v>
          </cell>
          <cell r="L104" t="str">
            <v>EKSKLUSIF</v>
          </cell>
          <cell r="M104">
            <v>22</v>
          </cell>
          <cell r="N104">
            <v>47</v>
          </cell>
          <cell r="O104">
            <v>41</v>
          </cell>
          <cell r="P104">
            <v>42</v>
          </cell>
          <cell r="Q104">
            <v>37</v>
          </cell>
          <cell r="R104">
            <v>43</v>
          </cell>
          <cell r="S104">
            <v>21</v>
          </cell>
          <cell r="T104">
            <v>253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 t="str">
            <v>TIDAK</v>
          </cell>
          <cell r="AE104" t="str">
            <v>TIDAK</v>
          </cell>
          <cell r="AF104">
            <v>0</v>
          </cell>
          <cell r="AG104">
            <v>2</v>
          </cell>
          <cell r="AH104" t="str">
            <v>SAPHIRE</v>
          </cell>
          <cell r="AI104">
            <v>0</v>
          </cell>
          <cell r="AJ104" t="str">
            <v>FALSE</v>
          </cell>
          <cell r="AK104">
            <v>0</v>
          </cell>
          <cell r="AL104">
            <v>45261</v>
          </cell>
          <cell r="AM104">
            <v>45701</v>
          </cell>
          <cell r="AN104">
            <v>1</v>
          </cell>
          <cell r="AO104">
            <v>0</v>
          </cell>
          <cell r="AP104" t="str">
            <v>EKSKLUSIF</v>
          </cell>
          <cell r="AQ104" t="str">
            <v>-</v>
          </cell>
          <cell r="AR104" t="str">
            <v>EKSKLUSIF</v>
          </cell>
          <cell r="AS104" t="str">
            <v>EKSKLUSIF</v>
          </cell>
          <cell r="AT104" t="str">
            <v>EKSKLUSIF</v>
          </cell>
          <cell r="AU104" t="str">
            <v>EKSKLUSIF</v>
          </cell>
          <cell r="AV104" t="str">
            <v/>
          </cell>
          <cell r="AW104">
            <v>50</v>
          </cell>
          <cell r="AX104">
            <v>46</v>
          </cell>
          <cell r="AY104">
            <v>43</v>
          </cell>
          <cell r="AZ104">
            <v>49</v>
          </cell>
          <cell r="BA104">
            <v>43</v>
          </cell>
          <cell r="BB104">
            <v>50</v>
          </cell>
          <cell r="BC104">
            <v>46</v>
          </cell>
          <cell r="BD104">
            <v>43</v>
          </cell>
          <cell r="BE104">
            <v>49</v>
          </cell>
          <cell r="BF104">
            <v>43</v>
          </cell>
          <cell r="BG104">
            <v>18</v>
          </cell>
          <cell r="BH104">
            <v>50</v>
          </cell>
          <cell r="BI104">
            <v>46</v>
          </cell>
          <cell r="BJ104">
            <v>43</v>
          </cell>
          <cell r="BK104">
            <v>49</v>
          </cell>
          <cell r="BL104">
            <v>43</v>
          </cell>
          <cell r="BM104">
            <v>21</v>
          </cell>
          <cell r="BN104">
            <v>270</v>
          </cell>
          <cell r="BO104">
            <v>0</v>
          </cell>
          <cell r="BP104">
            <v>50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21</v>
          </cell>
          <cell r="BV104">
            <v>71</v>
          </cell>
          <cell r="BW104">
            <v>0</v>
          </cell>
          <cell r="BX104" t="str">
            <v>TIDAK</v>
          </cell>
          <cell r="BY104" t="str">
            <v>TIDAK</v>
          </cell>
        </row>
        <row r="105">
          <cell r="A105" t="str">
            <v>A1911</v>
          </cell>
          <cell r="B105" t="str">
            <v>Anggraeni Sekar Pawestri</v>
          </cell>
          <cell r="C105" t="str">
            <v>DELTA</v>
          </cell>
          <cell r="D105">
            <v>45049</v>
          </cell>
          <cell r="E105" t="str">
            <v>May-23</v>
          </cell>
          <cell r="F105" t="str">
            <v>EKSKLUSIF</v>
          </cell>
          <cell r="G105" t="str">
            <v>EKSKLUSIF</v>
          </cell>
          <cell r="H105" t="str">
            <v>EKSKLUSIF</v>
          </cell>
          <cell r="I105" t="str">
            <v>EKSKLUSIF</v>
          </cell>
          <cell r="J105" t="str">
            <v>EKSKLUSIF</v>
          </cell>
          <cell r="K105" t="str">
            <v>-</v>
          </cell>
          <cell r="L105" t="str">
            <v>-</v>
          </cell>
          <cell r="M105">
            <v>23</v>
          </cell>
          <cell r="N105">
            <v>46</v>
          </cell>
          <cell r="O105">
            <v>41</v>
          </cell>
          <cell r="P105">
            <v>40</v>
          </cell>
          <cell r="Q105">
            <v>38</v>
          </cell>
          <cell r="R105">
            <v>0</v>
          </cell>
          <cell r="S105" t="str">
            <v/>
          </cell>
          <cell r="T105">
            <v>188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 t="str">
            <v/>
          </cell>
          <cell r="AB105">
            <v>0</v>
          </cell>
          <cell r="AC105">
            <v>2</v>
          </cell>
          <cell r="AD105" t="str">
            <v>TIDAK</v>
          </cell>
          <cell r="AE105" t="str">
            <v>TIDAK</v>
          </cell>
          <cell r="AF105">
            <v>0</v>
          </cell>
          <cell r="AG105">
            <v>2</v>
          </cell>
          <cell r="AH105" t="str">
            <v>SAPHIRE</v>
          </cell>
          <cell r="AI105">
            <v>0</v>
          </cell>
          <cell r="AJ105" t="str">
            <v>FALSE</v>
          </cell>
          <cell r="AK105">
            <v>0</v>
          </cell>
          <cell r="AL105">
            <v>45261</v>
          </cell>
          <cell r="AM105">
            <v>45701</v>
          </cell>
          <cell r="AN105">
            <v>1</v>
          </cell>
          <cell r="AO105">
            <v>0</v>
          </cell>
          <cell r="AP105" t="str">
            <v>-</v>
          </cell>
          <cell r="AQ105" t="str">
            <v>-</v>
          </cell>
          <cell r="AR105" t="str">
            <v>-</v>
          </cell>
          <cell r="AS105" t="str">
            <v>-</v>
          </cell>
          <cell r="AT105" t="str">
            <v>-</v>
          </cell>
          <cell r="AU105" t="str">
            <v>-</v>
          </cell>
          <cell r="AV105" t="str">
            <v/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 t="str">
            <v/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 t="str">
            <v/>
          </cell>
          <cell r="BN105">
            <v>0</v>
          </cell>
          <cell r="BO105" t="str">
            <v/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 t="str">
            <v/>
          </cell>
          <cell r="BV105">
            <v>0</v>
          </cell>
          <cell r="BW105">
            <v>7</v>
          </cell>
          <cell r="BX105" t="str">
            <v>DOWNGRADE</v>
          </cell>
          <cell r="BY105" t="str">
            <v>RESET</v>
          </cell>
        </row>
        <row r="106">
          <cell r="A106">
            <v>90645</v>
          </cell>
          <cell r="B106" t="str">
            <v>Anindya Diah Mentari</v>
          </cell>
          <cell r="C106" t="str">
            <v>DELTA</v>
          </cell>
          <cell r="D106">
            <v>44399</v>
          </cell>
          <cell r="E106" t="str">
            <v>Jul-21</v>
          </cell>
          <cell r="F106" t="str">
            <v>-</v>
          </cell>
          <cell r="G106" t="str">
            <v>-</v>
          </cell>
          <cell r="H106" t="str">
            <v>REGULER</v>
          </cell>
          <cell r="I106" t="str">
            <v>-</v>
          </cell>
          <cell r="J106" t="str">
            <v>REGULER</v>
          </cell>
          <cell r="K106" t="str">
            <v>-</v>
          </cell>
          <cell r="L106" t="str">
            <v>REGULER</v>
          </cell>
          <cell r="M106">
            <v>0</v>
          </cell>
          <cell r="N106">
            <v>0</v>
          </cell>
          <cell r="O106">
            <v>1</v>
          </cell>
          <cell r="P106">
            <v>0</v>
          </cell>
          <cell r="Q106">
            <v>3</v>
          </cell>
          <cell r="R106">
            <v>0</v>
          </cell>
          <cell r="S106">
            <v>1</v>
          </cell>
          <cell r="T106">
            <v>5</v>
          </cell>
          <cell r="U106">
            <v>0</v>
          </cell>
          <cell r="V106">
            <v>0</v>
          </cell>
          <cell r="W106">
            <v>1</v>
          </cell>
          <cell r="X106">
            <v>0</v>
          </cell>
          <cell r="Y106">
            <v>3</v>
          </cell>
          <cell r="Z106">
            <v>0</v>
          </cell>
          <cell r="AA106">
            <v>1</v>
          </cell>
          <cell r="AB106">
            <v>5</v>
          </cell>
          <cell r="AC106">
            <v>4</v>
          </cell>
          <cell r="AD106" t="str">
            <v>DOWNGRADE</v>
          </cell>
          <cell r="AE106" t="str">
            <v>TIDAK</v>
          </cell>
          <cell r="AF106">
            <v>2.5</v>
          </cell>
          <cell r="AG106">
            <v>3</v>
          </cell>
          <cell r="AH106" t="str">
            <v>SAPHIRE</v>
          </cell>
          <cell r="AI106">
            <v>0</v>
          </cell>
          <cell r="AJ106" t="str">
            <v>FALSE</v>
          </cell>
          <cell r="AK106">
            <v>0</v>
          </cell>
          <cell r="AL106">
            <v>45261</v>
          </cell>
          <cell r="AM106">
            <v>45701</v>
          </cell>
          <cell r="AN106">
            <v>1</v>
          </cell>
          <cell r="AO106">
            <v>2.5</v>
          </cell>
          <cell r="AP106" t="str">
            <v>-</v>
          </cell>
          <cell r="AQ106" t="str">
            <v>-</v>
          </cell>
          <cell r="AR106" t="str">
            <v>-</v>
          </cell>
          <cell r="AS106" t="str">
            <v>-</v>
          </cell>
          <cell r="AT106" t="str">
            <v>-</v>
          </cell>
          <cell r="AU106" t="str">
            <v>-</v>
          </cell>
          <cell r="AV106" t="str">
            <v/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 t="str">
            <v/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 t="str">
            <v/>
          </cell>
          <cell r="BV106">
            <v>0</v>
          </cell>
          <cell r="BW106">
            <v>7</v>
          </cell>
          <cell r="BX106" t="str">
            <v>DOWNGRADE</v>
          </cell>
          <cell r="BY106" t="str">
            <v>RESET</v>
          </cell>
        </row>
        <row r="107">
          <cell r="A107" t="str">
            <v>A0964</v>
          </cell>
          <cell r="B107" t="str">
            <v>Anisa Desianti Ramadhani</v>
          </cell>
          <cell r="C107" t="str">
            <v>DELTA</v>
          </cell>
          <cell r="D107">
            <v>44958</v>
          </cell>
          <cell r="E107" t="str">
            <v>Feb-23</v>
          </cell>
          <cell r="F107" t="str">
            <v>EKSKLUSIF</v>
          </cell>
          <cell r="G107" t="str">
            <v>EKSKLUSIF</v>
          </cell>
          <cell r="H107" t="str">
            <v>EKSKLUSIF</v>
          </cell>
          <cell r="I107" t="str">
            <v>EKSKLUSIF</v>
          </cell>
          <cell r="J107" t="str">
            <v>REGULER</v>
          </cell>
          <cell r="K107" t="str">
            <v>REGULER</v>
          </cell>
          <cell r="L107" t="str">
            <v>-</v>
          </cell>
          <cell r="M107">
            <v>20</v>
          </cell>
          <cell r="N107">
            <v>46</v>
          </cell>
          <cell r="O107">
            <v>41</v>
          </cell>
          <cell r="P107">
            <v>41</v>
          </cell>
          <cell r="Q107">
            <v>27</v>
          </cell>
          <cell r="R107">
            <v>38</v>
          </cell>
          <cell r="S107" t="str">
            <v/>
          </cell>
          <cell r="T107">
            <v>213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27</v>
          </cell>
          <cell r="Z107">
            <v>38</v>
          </cell>
          <cell r="AA107" t="str">
            <v/>
          </cell>
          <cell r="AB107">
            <v>65</v>
          </cell>
          <cell r="AC107">
            <v>1</v>
          </cell>
          <cell r="AD107" t="str">
            <v>TIDAK</v>
          </cell>
          <cell r="AE107" t="str">
            <v>TIDAK</v>
          </cell>
          <cell r="AF107">
            <v>65</v>
          </cell>
          <cell r="AG107">
            <v>2</v>
          </cell>
          <cell r="AH107" t="str">
            <v>SAPHIRE</v>
          </cell>
          <cell r="AI107">
            <v>0</v>
          </cell>
          <cell r="AJ107" t="str">
            <v>Y</v>
          </cell>
          <cell r="AK107">
            <v>0</v>
          </cell>
          <cell r="AL107">
            <v>45261</v>
          </cell>
          <cell r="AM107">
            <v>45701</v>
          </cell>
          <cell r="AN107">
            <v>1</v>
          </cell>
          <cell r="AO107">
            <v>65</v>
          </cell>
          <cell r="AP107" t="str">
            <v>-</v>
          </cell>
          <cell r="AQ107" t="str">
            <v>-</v>
          </cell>
          <cell r="AR107" t="str">
            <v>REGULER</v>
          </cell>
          <cell r="AS107" t="str">
            <v>REGULER</v>
          </cell>
          <cell r="AT107" t="str">
            <v>REGULER</v>
          </cell>
          <cell r="AU107" t="str">
            <v>REGULER</v>
          </cell>
          <cell r="AV107" t="str">
            <v/>
          </cell>
          <cell r="AW107">
            <v>32</v>
          </cell>
          <cell r="AX107">
            <v>45</v>
          </cell>
          <cell r="AY107">
            <v>16</v>
          </cell>
          <cell r="AZ107">
            <v>28</v>
          </cell>
          <cell r="BA107">
            <v>36</v>
          </cell>
          <cell r="BB107">
            <v>32</v>
          </cell>
          <cell r="BC107">
            <v>45</v>
          </cell>
          <cell r="BD107">
            <v>16</v>
          </cell>
          <cell r="BE107">
            <v>28</v>
          </cell>
          <cell r="BF107">
            <v>36</v>
          </cell>
          <cell r="BG107">
            <v>15</v>
          </cell>
          <cell r="BH107">
            <v>32</v>
          </cell>
          <cell r="BI107">
            <v>45</v>
          </cell>
          <cell r="BJ107">
            <v>16</v>
          </cell>
          <cell r="BK107">
            <v>28</v>
          </cell>
          <cell r="BL107">
            <v>36</v>
          </cell>
          <cell r="BM107">
            <v>22</v>
          </cell>
          <cell r="BN107">
            <v>194</v>
          </cell>
          <cell r="BO107">
            <v>15</v>
          </cell>
          <cell r="BP107">
            <v>32</v>
          </cell>
          <cell r="BQ107">
            <v>45</v>
          </cell>
          <cell r="BR107">
            <v>16</v>
          </cell>
          <cell r="BS107">
            <v>28</v>
          </cell>
          <cell r="BT107">
            <v>36</v>
          </cell>
          <cell r="BU107">
            <v>22</v>
          </cell>
          <cell r="BV107">
            <v>194</v>
          </cell>
          <cell r="BW107">
            <v>0</v>
          </cell>
          <cell r="BX107" t="str">
            <v>TIDAK</v>
          </cell>
          <cell r="BY107" t="str">
            <v>TIDAK</v>
          </cell>
        </row>
        <row r="108">
          <cell r="A108" t="str">
            <v>A1105</v>
          </cell>
          <cell r="B108" t="str">
            <v>Anisa Nur Aini</v>
          </cell>
          <cell r="C108" t="str">
            <v>DELTA</v>
          </cell>
          <cell r="D108">
            <v>44994</v>
          </cell>
          <cell r="E108" t="str">
            <v>Mar-23</v>
          </cell>
          <cell r="F108" t="str">
            <v>REGULER</v>
          </cell>
          <cell r="G108" t="str">
            <v>REGULER</v>
          </cell>
          <cell r="H108" t="str">
            <v>EKSKLUSIF</v>
          </cell>
          <cell r="I108" t="str">
            <v>EKSKLUSIF</v>
          </cell>
          <cell r="J108" t="str">
            <v>EKSKLUSIF</v>
          </cell>
          <cell r="K108" t="str">
            <v>EKSKLUSIF</v>
          </cell>
          <cell r="L108" t="str">
            <v>EKSKLUSIF</v>
          </cell>
          <cell r="M108">
            <v>17</v>
          </cell>
          <cell r="N108">
            <v>39</v>
          </cell>
          <cell r="O108">
            <v>41</v>
          </cell>
          <cell r="P108">
            <v>43</v>
          </cell>
          <cell r="Q108">
            <v>38</v>
          </cell>
          <cell r="R108">
            <v>42</v>
          </cell>
          <cell r="S108">
            <v>22</v>
          </cell>
          <cell r="T108">
            <v>242</v>
          </cell>
          <cell r="U108">
            <v>17</v>
          </cell>
          <cell r="V108">
            <v>39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56</v>
          </cell>
          <cell r="AC108">
            <v>0</v>
          </cell>
          <cell r="AD108" t="str">
            <v>TIDAK</v>
          </cell>
          <cell r="AE108" t="str">
            <v>TIDAK</v>
          </cell>
          <cell r="AF108">
            <v>56</v>
          </cell>
          <cell r="AG108">
            <v>2</v>
          </cell>
          <cell r="AH108" t="str">
            <v>SAPHIRE</v>
          </cell>
          <cell r="AI108">
            <v>0</v>
          </cell>
          <cell r="AJ108" t="str">
            <v>FALSE</v>
          </cell>
          <cell r="AK108">
            <v>0</v>
          </cell>
          <cell r="AL108">
            <v>45261</v>
          </cell>
          <cell r="AM108">
            <v>45701</v>
          </cell>
          <cell r="AN108">
            <v>1</v>
          </cell>
          <cell r="AO108">
            <v>56</v>
          </cell>
          <cell r="AP108" t="str">
            <v>EKSKLUSIF</v>
          </cell>
          <cell r="AQ108" t="str">
            <v>-</v>
          </cell>
          <cell r="AR108" t="str">
            <v>EKSKLUSIF</v>
          </cell>
          <cell r="AS108" t="str">
            <v>EKSKLUSIF</v>
          </cell>
          <cell r="AT108" t="str">
            <v>EKSKLUSIF</v>
          </cell>
          <cell r="AU108" t="str">
            <v>REGULER</v>
          </cell>
          <cell r="AV108" t="str">
            <v/>
          </cell>
          <cell r="AW108">
            <v>48</v>
          </cell>
          <cell r="AX108">
            <v>48</v>
          </cell>
          <cell r="AY108">
            <v>43</v>
          </cell>
          <cell r="AZ108">
            <v>47</v>
          </cell>
          <cell r="BA108">
            <v>39</v>
          </cell>
          <cell r="BB108">
            <v>48</v>
          </cell>
          <cell r="BC108">
            <v>48</v>
          </cell>
          <cell r="BD108">
            <v>43</v>
          </cell>
          <cell r="BE108">
            <v>47</v>
          </cell>
          <cell r="BF108">
            <v>39</v>
          </cell>
          <cell r="BG108">
            <v>19</v>
          </cell>
          <cell r="BH108">
            <v>48</v>
          </cell>
          <cell r="BI108">
            <v>48</v>
          </cell>
          <cell r="BJ108">
            <v>43</v>
          </cell>
          <cell r="BK108">
            <v>47</v>
          </cell>
          <cell r="BL108">
            <v>39</v>
          </cell>
          <cell r="BM108">
            <v>19</v>
          </cell>
          <cell r="BN108">
            <v>263</v>
          </cell>
          <cell r="BO108">
            <v>0</v>
          </cell>
          <cell r="BP108">
            <v>48</v>
          </cell>
          <cell r="BQ108">
            <v>0</v>
          </cell>
          <cell r="BR108">
            <v>0</v>
          </cell>
          <cell r="BS108">
            <v>0</v>
          </cell>
          <cell r="BT108">
            <v>39</v>
          </cell>
          <cell r="BU108">
            <v>19</v>
          </cell>
          <cell r="BV108">
            <v>106</v>
          </cell>
          <cell r="BW108">
            <v>0</v>
          </cell>
          <cell r="BX108" t="str">
            <v>TIDAK</v>
          </cell>
          <cell r="BY108" t="str">
            <v>TIDAK</v>
          </cell>
        </row>
        <row r="109">
          <cell r="A109" t="str">
            <v>A0453</v>
          </cell>
          <cell r="B109" t="str">
            <v>Anisa Shela Novita</v>
          </cell>
          <cell r="C109" t="str">
            <v>DELTA</v>
          </cell>
          <cell r="D109">
            <v>44835</v>
          </cell>
          <cell r="E109" t="str">
            <v>Oct-22</v>
          </cell>
          <cell r="F109" t="str">
            <v>EKSKLUSIF</v>
          </cell>
          <cell r="G109" t="str">
            <v>EKSKLUSIF</v>
          </cell>
          <cell r="H109" t="str">
            <v>EKSKLUSIF</v>
          </cell>
          <cell r="I109" t="str">
            <v>EKSKLUSIF</v>
          </cell>
          <cell r="J109" t="str">
            <v>EKSKLUSIF</v>
          </cell>
          <cell r="K109" t="str">
            <v>EKSKLUSIF</v>
          </cell>
          <cell r="L109" t="str">
            <v>EKSKLUSIF</v>
          </cell>
          <cell r="M109">
            <v>21</v>
          </cell>
          <cell r="N109">
            <v>46</v>
          </cell>
          <cell r="O109">
            <v>40</v>
          </cell>
          <cell r="P109">
            <v>44</v>
          </cell>
          <cell r="Q109">
            <v>37</v>
          </cell>
          <cell r="R109">
            <v>43</v>
          </cell>
          <cell r="S109">
            <v>22</v>
          </cell>
          <cell r="T109">
            <v>253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 t="str">
            <v>TIDAK</v>
          </cell>
          <cell r="AE109" t="str">
            <v>TIDAK</v>
          </cell>
          <cell r="AF109">
            <v>0</v>
          </cell>
          <cell r="AG109">
            <v>2</v>
          </cell>
          <cell r="AH109" t="str">
            <v>SAPHIRE</v>
          </cell>
          <cell r="AI109">
            <v>0</v>
          </cell>
          <cell r="AJ109" t="str">
            <v>FALSE</v>
          </cell>
          <cell r="AK109">
            <v>0</v>
          </cell>
          <cell r="AL109">
            <v>45261</v>
          </cell>
          <cell r="AM109">
            <v>45701</v>
          </cell>
          <cell r="AN109">
            <v>1</v>
          </cell>
          <cell r="AO109">
            <v>0</v>
          </cell>
          <cell r="AP109" t="str">
            <v>EKSKLUSIF</v>
          </cell>
          <cell r="AQ109" t="str">
            <v>-</v>
          </cell>
          <cell r="AR109" t="str">
            <v>EKSKLUSIF</v>
          </cell>
          <cell r="AS109" t="str">
            <v>EKSKLUSIF</v>
          </cell>
          <cell r="AT109" t="str">
            <v>EKSKLUSIF</v>
          </cell>
          <cell r="AU109" t="str">
            <v>EKSKLUSIF</v>
          </cell>
          <cell r="AV109" t="str">
            <v/>
          </cell>
          <cell r="AW109">
            <v>47</v>
          </cell>
          <cell r="AX109">
            <v>46</v>
          </cell>
          <cell r="AY109">
            <v>42</v>
          </cell>
          <cell r="AZ109">
            <v>48</v>
          </cell>
          <cell r="BA109">
            <v>43</v>
          </cell>
          <cell r="BB109">
            <v>47</v>
          </cell>
          <cell r="BC109">
            <v>46</v>
          </cell>
          <cell r="BD109">
            <v>42</v>
          </cell>
          <cell r="BE109">
            <v>48</v>
          </cell>
          <cell r="BF109">
            <v>43</v>
          </cell>
          <cell r="BG109">
            <v>18</v>
          </cell>
          <cell r="BH109">
            <v>47</v>
          </cell>
          <cell r="BI109">
            <v>46</v>
          </cell>
          <cell r="BJ109">
            <v>42</v>
          </cell>
          <cell r="BK109">
            <v>48</v>
          </cell>
          <cell r="BL109">
            <v>43</v>
          </cell>
          <cell r="BM109">
            <v>21</v>
          </cell>
          <cell r="BN109">
            <v>265</v>
          </cell>
          <cell r="BO109">
            <v>0</v>
          </cell>
          <cell r="BP109">
            <v>47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21</v>
          </cell>
          <cell r="BV109">
            <v>68</v>
          </cell>
          <cell r="BW109">
            <v>0</v>
          </cell>
          <cell r="BX109" t="str">
            <v>TIDAK</v>
          </cell>
          <cell r="BY109" t="str">
            <v>TIDAK</v>
          </cell>
        </row>
        <row r="110">
          <cell r="A110" t="str">
            <v>A0837</v>
          </cell>
          <cell r="B110" t="str">
            <v>Annisa Galuh Triutami</v>
          </cell>
          <cell r="C110" t="str">
            <v>DELTA</v>
          </cell>
          <cell r="D110">
            <v>44923</v>
          </cell>
          <cell r="E110" t="str">
            <v>Dec-22</v>
          </cell>
          <cell r="F110" t="str">
            <v>EKSKLUSIF</v>
          </cell>
          <cell r="G110" t="str">
            <v>EKSKLUSIF</v>
          </cell>
          <cell r="H110" t="str">
            <v>EKSKLUSIF</v>
          </cell>
          <cell r="I110" t="str">
            <v>EKSKLUSIF</v>
          </cell>
          <cell r="J110" t="str">
            <v>REGULER</v>
          </cell>
          <cell r="K110" t="str">
            <v>REGULER</v>
          </cell>
          <cell r="L110" t="str">
            <v>EKSKLUSIF</v>
          </cell>
          <cell r="M110">
            <v>20</v>
          </cell>
          <cell r="N110">
            <v>44</v>
          </cell>
          <cell r="O110">
            <v>40</v>
          </cell>
          <cell r="P110">
            <v>40</v>
          </cell>
          <cell r="Q110">
            <v>20</v>
          </cell>
          <cell r="R110">
            <v>41</v>
          </cell>
          <cell r="S110">
            <v>22</v>
          </cell>
          <cell r="T110">
            <v>227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20</v>
          </cell>
          <cell r="Z110">
            <v>41</v>
          </cell>
          <cell r="AA110">
            <v>0</v>
          </cell>
          <cell r="AB110">
            <v>61</v>
          </cell>
          <cell r="AC110">
            <v>0</v>
          </cell>
          <cell r="AD110" t="str">
            <v>TIDAK</v>
          </cell>
          <cell r="AE110" t="str">
            <v>TIDAK</v>
          </cell>
          <cell r="AF110">
            <v>61</v>
          </cell>
          <cell r="AG110">
            <v>2</v>
          </cell>
          <cell r="AH110" t="str">
            <v>SAPHIRE</v>
          </cell>
          <cell r="AI110">
            <v>0</v>
          </cell>
          <cell r="AJ110" t="str">
            <v>FALSE</v>
          </cell>
          <cell r="AK110">
            <v>0</v>
          </cell>
          <cell r="AL110">
            <v>45261</v>
          </cell>
          <cell r="AM110">
            <v>45701</v>
          </cell>
          <cell r="AN110">
            <v>1</v>
          </cell>
          <cell r="AO110">
            <v>61</v>
          </cell>
          <cell r="AP110" t="str">
            <v>EKSKLUSIF</v>
          </cell>
          <cell r="AQ110" t="str">
            <v>-</v>
          </cell>
          <cell r="AR110" t="str">
            <v>-</v>
          </cell>
          <cell r="AS110" t="str">
            <v>-</v>
          </cell>
          <cell r="AT110" t="str">
            <v>-</v>
          </cell>
          <cell r="AU110" t="str">
            <v>-</v>
          </cell>
          <cell r="AV110" t="str">
            <v/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11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 t="str">
            <v/>
          </cell>
          <cell r="BN110">
            <v>11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 t="str">
            <v/>
          </cell>
          <cell r="BV110">
            <v>0</v>
          </cell>
          <cell r="BW110">
            <v>6</v>
          </cell>
          <cell r="BX110" t="str">
            <v>DOWNGRADE</v>
          </cell>
          <cell r="BY110" t="str">
            <v>RESET</v>
          </cell>
        </row>
        <row r="111">
          <cell r="A111" t="str">
            <v>A2179</v>
          </cell>
          <cell r="B111" t="str">
            <v>Annisa Larasati</v>
          </cell>
          <cell r="C111" t="str">
            <v>DELTA</v>
          </cell>
          <cell r="D111">
            <v>45049</v>
          </cell>
          <cell r="E111" t="str">
            <v>May-23</v>
          </cell>
          <cell r="F111" t="str">
            <v>EKSKLUSIF</v>
          </cell>
          <cell r="G111" t="str">
            <v>EKSKLUSIF</v>
          </cell>
          <cell r="H111" t="str">
            <v>EKSKLUSIF</v>
          </cell>
          <cell r="I111" t="str">
            <v>EKSKLUSIF</v>
          </cell>
          <cell r="J111" t="str">
            <v>EKSKLUSIF</v>
          </cell>
          <cell r="K111" t="str">
            <v>EKSKLUSIF</v>
          </cell>
          <cell r="L111" t="str">
            <v>EKSKLUSIF</v>
          </cell>
          <cell r="M111">
            <v>21</v>
          </cell>
          <cell r="N111">
            <v>45</v>
          </cell>
          <cell r="O111">
            <v>40</v>
          </cell>
          <cell r="P111">
            <v>40</v>
          </cell>
          <cell r="Q111">
            <v>36</v>
          </cell>
          <cell r="R111">
            <v>41</v>
          </cell>
          <cell r="S111">
            <v>21</v>
          </cell>
          <cell r="T111">
            <v>244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 t="str">
            <v>TIDAK</v>
          </cell>
          <cell r="AE111" t="str">
            <v>TIDAK</v>
          </cell>
          <cell r="AF111">
            <v>0</v>
          </cell>
          <cell r="AG111">
            <v>3</v>
          </cell>
          <cell r="AH111" t="str">
            <v>SAPHIRE</v>
          </cell>
          <cell r="AI111">
            <v>0</v>
          </cell>
          <cell r="AJ111" t="str">
            <v>FALSE</v>
          </cell>
          <cell r="AK111">
            <v>0</v>
          </cell>
          <cell r="AL111">
            <v>45261</v>
          </cell>
          <cell r="AM111">
            <v>45701</v>
          </cell>
          <cell r="AN111">
            <v>1</v>
          </cell>
          <cell r="AO111">
            <v>0</v>
          </cell>
          <cell r="AP111" t="str">
            <v>EKSKLUSIF</v>
          </cell>
          <cell r="AQ111" t="str">
            <v>-</v>
          </cell>
          <cell r="AR111" t="str">
            <v>EKSKLUSIF</v>
          </cell>
          <cell r="AS111" t="str">
            <v>EKSKLUSIF</v>
          </cell>
          <cell r="AT111" t="str">
            <v>EKSKLUSIF</v>
          </cell>
          <cell r="AU111" t="str">
            <v>EKSKLUSIF</v>
          </cell>
          <cell r="AV111" t="str">
            <v/>
          </cell>
          <cell r="AW111">
            <v>47</v>
          </cell>
          <cell r="AX111">
            <v>46</v>
          </cell>
          <cell r="AY111">
            <v>40</v>
          </cell>
          <cell r="AZ111">
            <v>46</v>
          </cell>
          <cell r="BA111">
            <v>42</v>
          </cell>
          <cell r="BB111">
            <v>47</v>
          </cell>
          <cell r="BC111">
            <v>46</v>
          </cell>
          <cell r="BD111">
            <v>40</v>
          </cell>
          <cell r="BE111">
            <v>46</v>
          </cell>
          <cell r="BF111">
            <v>42</v>
          </cell>
          <cell r="BG111">
            <v>18</v>
          </cell>
          <cell r="BH111">
            <v>47</v>
          </cell>
          <cell r="BI111">
            <v>46</v>
          </cell>
          <cell r="BJ111">
            <v>40</v>
          </cell>
          <cell r="BK111">
            <v>46</v>
          </cell>
          <cell r="BL111">
            <v>42</v>
          </cell>
          <cell r="BM111">
            <v>20</v>
          </cell>
          <cell r="BN111">
            <v>259</v>
          </cell>
          <cell r="BO111">
            <v>0</v>
          </cell>
          <cell r="BP111">
            <v>47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20</v>
          </cell>
          <cell r="BV111">
            <v>67</v>
          </cell>
          <cell r="BW111">
            <v>0</v>
          </cell>
          <cell r="BX111" t="str">
            <v>TIDAK</v>
          </cell>
          <cell r="BY111" t="str">
            <v>TIDAK</v>
          </cell>
        </row>
        <row r="112">
          <cell r="A112" t="str">
            <v>A1776</v>
          </cell>
          <cell r="B112" t="str">
            <v>Annisa Septiana</v>
          </cell>
          <cell r="C112" t="str">
            <v>DELTA</v>
          </cell>
          <cell r="D112">
            <v>45036</v>
          </cell>
          <cell r="E112" t="str">
            <v>Apr-23</v>
          </cell>
          <cell r="F112" t="str">
            <v>EKSKLUSIF</v>
          </cell>
          <cell r="G112" t="str">
            <v>EKSKLUSIF</v>
          </cell>
          <cell r="H112" t="str">
            <v>REGULER</v>
          </cell>
          <cell r="I112" t="str">
            <v>REGULER</v>
          </cell>
          <cell r="J112" t="str">
            <v>REGULER</v>
          </cell>
          <cell r="K112" t="str">
            <v>REGULER</v>
          </cell>
          <cell r="L112" t="str">
            <v>EKSKLUSIF</v>
          </cell>
          <cell r="M112">
            <v>21</v>
          </cell>
          <cell r="N112">
            <v>46</v>
          </cell>
          <cell r="O112">
            <v>21</v>
          </cell>
          <cell r="P112">
            <v>36</v>
          </cell>
          <cell r="Q112">
            <v>32</v>
          </cell>
          <cell r="R112">
            <v>40</v>
          </cell>
          <cell r="S112">
            <v>20</v>
          </cell>
          <cell r="T112">
            <v>216</v>
          </cell>
          <cell r="U112">
            <v>0</v>
          </cell>
          <cell r="V112">
            <v>0</v>
          </cell>
          <cell r="W112">
            <v>21</v>
          </cell>
          <cell r="X112">
            <v>36</v>
          </cell>
          <cell r="Y112">
            <v>32</v>
          </cell>
          <cell r="Z112">
            <v>40</v>
          </cell>
          <cell r="AA112">
            <v>0</v>
          </cell>
          <cell r="AB112">
            <v>129</v>
          </cell>
          <cell r="AC112">
            <v>0</v>
          </cell>
          <cell r="AD112" t="str">
            <v>TIDAK</v>
          </cell>
          <cell r="AE112" t="str">
            <v>TIDAK</v>
          </cell>
          <cell r="AF112">
            <v>129</v>
          </cell>
          <cell r="AG112">
            <v>2</v>
          </cell>
          <cell r="AH112" t="str">
            <v>SAPHIRE</v>
          </cell>
          <cell r="AI112">
            <v>0</v>
          </cell>
          <cell r="AJ112" t="str">
            <v>Y</v>
          </cell>
          <cell r="AK112">
            <v>0</v>
          </cell>
          <cell r="AL112">
            <v>45261</v>
          </cell>
          <cell r="AM112">
            <v>45701</v>
          </cell>
          <cell r="AN112">
            <v>1</v>
          </cell>
          <cell r="AO112">
            <v>129</v>
          </cell>
          <cell r="AP112" t="str">
            <v>EKSKLUSIF</v>
          </cell>
          <cell r="AQ112" t="str">
            <v>-</v>
          </cell>
          <cell r="AR112" t="str">
            <v>EKSKLUSIF</v>
          </cell>
          <cell r="AS112" t="str">
            <v>EKSKLUSIF</v>
          </cell>
          <cell r="AT112" t="str">
            <v>EKSKLUSIF</v>
          </cell>
          <cell r="AU112" t="str">
            <v>EKSKLUSIF</v>
          </cell>
          <cell r="AV112" t="str">
            <v/>
          </cell>
          <cell r="AW112">
            <v>48</v>
          </cell>
          <cell r="AX112">
            <v>47</v>
          </cell>
          <cell r="AY112">
            <v>44</v>
          </cell>
          <cell r="AZ112">
            <v>50</v>
          </cell>
          <cell r="BA112">
            <v>44</v>
          </cell>
          <cell r="BB112">
            <v>48</v>
          </cell>
          <cell r="BC112">
            <v>47</v>
          </cell>
          <cell r="BD112">
            <v>44</v>
          </cell>
          <cell r="BE112">
            <v>50</v>
          </cell>
          <cell r="BF112">
            <v>44</v>
          </cell>
          <cell r="BG112">
            <v>20</v>
          </cell>
          <cell r="BH112">
            <v>48</v>
          </cell>
          <cell r="BI112">
            <v>47</v>
          </cell>
          <cell r="BJ112">
            <v>44</v>
          </cell>
          <cell r="BK112">
            <v>50</v>
          </cell>
          <cell r="BL112">
            <v>44</v>
          </cell>
          <cell r="BM112" t="str">
            <v/>
          </cell>
          <cell r="BN112">
            <v>253</v>
          </cell>
          <cell r="BO112">
            <v>0</v>
          </cell>
          <cell r="BP112">
            <v>48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 t="str">
            <v/>
          </cell>
          <cell r="BV112">
            <v>48</v>
          </cell>
          <cell r="BW112">
            <v>1</v>
          </cell>
          <cell r="BX112" t="str">
            <v>TIDAK</v>
          </cell>
          <cell r="BY112" t="str">
            <v>TIDAK</v>
          </cell>
        </row>
        <row r="113">
          <cell r="A113" t="str">
            <v>A1949</v>
          </cell>
          <cell r="B113" t="str">
            <v>Antonius Krisdianto</v>
          </cell>
          <cell r="C113" t="str">
            <v>DELTA</v>
          </cell>
          <cell r="D113">
            <v>45033</v>
          </cell>
          <cell r="E113" t="str">
            <v>Apr-23</v>
          </cell>
          <cell r="F113" t="str">
            <v>REGULER</v>
          </cell>
          <cell r="G113" t="str">
            <v>-</v>
          </cell>
          <cell r="H113" t="str">
            <v>-</v>
          </cell>
          <cell r="I113" t="str">
            <v>-</v>
          </cell>
          <cell r="J113" t="str">
            <v>-</v>
          </cell>
          <cell r="K113" t="str">
            <v>-</v>
          </cell>
          <cell r="L113" t="str">
            <v>-</v>
          </cell>
          <cell r="M113">
            <v>1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1</v>
          </cell>
          <cell r="U113">
            <v>1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1</v>
          </cell>
          <cell r="AC113">
            <v>6</v>
          </cell>
          <cell r="AD113" t="str">
            <v>DOWNGRADE</v>
          </cell>
          <cell r="AE113" t="str">
            <v>RESET</v>
          </cell>
          <cell r="AF113">
            <v>0</v>
          </cell>
          <cell r="AG113">
            <v>3</v>
          </cell>
          <cell r="AH113" t="str">
            <v>SAPHIRE</v>
          </cell>
          <cell r="AI113">
            <v>0</v>
          </cell>
          <cell r="AJ113" t="str">
            <v>FALSE</v>
          </cell>
          <cell r="AK113">
            <v>0</v>
          </cell>
          <cell r="AL113">
            <v>45261</v>
          </cell>
          <cell r="AM113">
            <v>45701</v>
          </cell>
          <cell r="AN113">
            <v>1</v>
          </cell>
          <cell r="AO113">
            <v>0</v>
          </cell>
          <cell r="AP113" t="str">
            <v>-</v>
          </cell>
          <cell r="AQ113" t="str">
            <v>-</v>
          </cell>
          <cell r="AR113" t="str">
            <v>-</v>
          </cell>
          <cell r="AS113" t="str">
            <v>-</v>
          </cell>
          <cell r="AT113" t="str">
            <v>-</v>
          </cell>
          <cell r="AU113" t="str">
            <v>-</v>
          </cell>
          <cell r="AV113" t="str">
            <v/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 t="str">
            <v/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 t="str">
            <v/>
          </cell>
          <cell r="BN113">
            <v>0</v>
          </cell>
          <cell r="BO113" t="str">
            <v/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 t="str">
            <v/>
          </cell>
          <cell r="BV113">
            <v>0</v>
          </cell>
          <cell r="BW113">
            <v>7</v>
          </cell>
          <cell r="BX113" t="str">
            <v>DOWNGRADE</v>
          </cell>
          <cell r="BY113" t="str">
            <v>RESET</v>
          </cell>
        </row>
        <row r="114">
          <cell r="A114">
            <v>92669</v>
          </cell>
          <cell r="B114" t="str">
            <v>Apik Kusuma Ayu</v>
          </cell>
          <cell r="C114" t="str">
            <v>DELTA</v>
          </cell>
          <cell r="D114">
            <v>44853</v>
          </cell>
          <cell r="E114" t="str">
            <v>Oct-22</v>
          </cell>
          <cell r="F114" t="str">
            <v>EKSKLUSIF</v>
          </cell>
          <cell r="G114" t="str">
            <v>EKSKLUSIF</v>
          </cell>
          <cell r="H114" t="str">
            <v>-</v>
          </cell>
          <cell r="I114" t="str">
            <v>EKSKLUSIF</v>
          </cell>
          <cell r="J114" t="str">
            <v>EKSKLUSIF</v>
          </cell>
          <cell r="K114" t="str">
            <v>EKSKLUSIF</v>
          </cell>
          <cell r="L114" t="str">
            <v>EKSKLUSIF</v>
          </cell>
          <cell r="M114">
            <v>21</v>
          </cell>
          <cell r="N114">
            <v>45</v>
          </cell>
          <cell r="O114">
            <v>0</v>
          </cell>
          <cell r="P114">
            <v>43</v>
          </cell>
          <cell r="Q114">
            <v>36</v>
          </cell>
          <cell r="R114">
            <v>43</v>
          </cell>
          <cell r="S114">
            <v>22</v>
          </cell>
          <cell r="T114">
            <v>210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1</v>
          </cell>
          <cell r="AD114" t="str">
            <v>TIDAK</v>
          </cell>
          <cell r="AE114" t="str">
            <v>TIDAK</v>
          </cell>
          <cell r="AF114">
            <v>0</v>
          </cell>
          <cell r="AG114">
            <v>2</v>
          </cell>
          <cell r="AH114" t="str">
            <v>SAPHIRE</v>
          </cell>
          <cell r="AI114">
            <v>0</v>
          </cell>
          <cell r="AJ114" t="str">
            <v>FALSE</v>
          </cell>
          <cell r="AK114">
            <v>0</v>
          </cell>
          <cell r="AL114">
            <v>45261</v>
          </cell>
          <cell r="AM114">
            <v>45701</v>
          </cell>
          <cell r="AN114">
            <v>1</v>
          </cell>
          <cell r="AO114">
            <v>0</v>
          </cell>
          <cell r="AP114" t="str">
            <v>EKSKLUSIF</v>
          </cell>
          <cell r="AQ114" t="str">
            <v>-</v>
          </cell>
          <cell r="AR114" t="str">
            <v>EKSKLUSIF</v>
          </cell>
          <cell r="AS114" t="str">
            <v>REGULER</v>
          </cell>
          <cell r="AT114" t="str">
            <v>REGULER</v>
          </cell>
          <cell r="AU114" t="str">
            <v>EKSKLUSIF</v>
          </cell>
          <cell r="AV114" t="str">
            <v/>
          </cell>
          <cell r="AW114">
            <v>49</v>
          </cell>
          <cell r="AX114">
            <v>48</v>
          </cell>
          <cell r="AY114">
            <v>17</v>
          </cell>
          <cell r="AZ114">
            <v>40</v>
          </cell>
          <cell r="BA114">
            <v>44</v>
          </cell>
          <cell r="BB114">
            <v>49</v>
          </cell>
          <cell r="BC114">
            <v>48</v>
          </cell>
          <cell r="BD114">
            <v>17</v>
          </cell>
          <cell r="BE114">
            <v>40</v>
          </cell>
          <cell r="BF114">
            <v>44</v>
          </cell>
          <cell r="BG114">
            <v>19</v>
          </cell>
          <cell r="BH114">
            <v>49</v>
          </cell>
          <cell r="BI114">
            <v>48</v>
          </cell>
          <cell r="BJ114">
            <v>17</v>
          </cell>
          <cell r="BK114">
            <v>40</v>
          </cell>
          <cell r="BL114">
            <v>44</v>
          </cell>
          <cell r="BM114">
            <v>22</v>
          </cell>
          <cell r="BN114">
            <v>239</v>
          </cell>
          <cell r="BO114">
            <v>0</v>
          </cell>
          <cell r="BP114">
            <v>49</v>
          </cell>
          <cell r="BQ114">
            <v>0</v>
          </cell>
          <cell r="BR114">
            <v>17</v>
          </cell>
          <cell r="BS114">
            <v>40</v>
          </cell>
          <cell r="BT114">
            <v>0</v>
          </cell>
          <cell r="BU114">
            <v>22</v>
          </cell>
          <cell r="BV114">
            <v>128</v>
          </cell>
          <cell r="BW114">
            <v>0</v>
          </cell>
          <cell r="BX114" t="str">
            <v>TIDAK</v>
          </cell>
          <cell r="BY114" t="str">
            <v>TIDAK</v>
          </cell>
        </row>
        <row r="115">
          <cell r="A115" t="str">
            <v>A3618</v>
          </cell>
          <cell r="B115" t="str">
            <v>Aprilina Matilda Liko</v>
          </cell>
          <cell r="C115" t="str">
            <v>DELTA</v>
          </cell>
          <cell r="D115">
            <v>45323</v>
          </cell>
          <cell r="E115" t="str">
            <v>Feb-24</v>
          </cell>
          <cell r="F115" t="str">
            <v>-</v>
          </cell>
          <cell r="G115" t="str">
            <v>-</v>
          </cell>
          <cell r="H115" t="str">
            <v>REGULER</v>
          </cell>
          <cell r="I115" t="str">
            <v>REGULER</v>
          </cell>
          <cell r="J115" t="str">
            <v>REGULER</v>
          </cell>
          <cell r="K115" t="str">
            <v>REGULER</v>
          </cell>
          <cell r="L115" t="str">
            <v>REGULER</v>
          </cell>
          <cell r="M115">
            <v>0</v>
          </cell>
          <cell r="N115">
            <v>0</v>
          </cell>
          <cell r="O115">
            <v>19</v>
          </cell>
          <cell r="P115">
            <v>16</v>
          </cell>
          <cell r="Q115">
            <v>21</v>
          </cell>
          <cell r="R115">
            <v>15</v>
          </cell>
          <cell r="S115">
            <v>22</v>
          </cell>
          <cell r="T115">
            <v>93</v>
          </cell>
          <cell r="U115">
            <v>0</v>
          </cell>
          <cell r="V115">
            <v>0</v>
          </cell>
          <cell r="W115">
            <v>19</v>
          </cell>
          <cell r="X115">
            <v>16</v>
          </cell>
          <cell r="Y115">
            <v>21</v>
          </cell>
          <cell r="Z115">
            <v>15</v>
          </cell>
          <cell r="AA115">
            <v>22</v>
          </cell>
          <cell r="AB115">
            <v>93</v>
          </cell>
          <cell r="AC115">
            <v>0</v>
          </cell>
          <cell r="AD115" t="str">
            <v>TIDAK</v>
          </cell>
          <cell r="AE115" t="str">
            <v>TIDAK</v>
          </cell>
          <cell r="AF115">
            <v>93</v>
          </cell>
          <cell r="AG115">
            <v>2</v>
          </cell>
          <cell r="AH115" t="str">
            <v>SAPHIRE</v>
          </cell>
          <cell r="AI115">
            <v>0</v>
          </cell>
          <cell r="AJ115" t="str">
            <v>Y</v>
          </cell>
          <cell r="AK115">
            <v>0</v>
          </cell>
          <cell r="AL115">
            <v>45261</v>
          </cell>
          <cell r="AM115">
            <v>45701</v>
          </cell>
          <cell r="AN115">
            <v>1</v>
          </cell>
          <cell r="AO115">
            <v>93</v>
          </cell>
          <cell r="AP115" t="str">
            <v>-</v>
          </cell>
          <cell r="AQ115" t="str">
            <v>-</v>
          </cell>
          <cell r="AR115" t="str">
            <v>-</v>
          </cell>
          <cell r="AS115" t="str">
            <v>-</v>
          </cell>
          <cell r="AT115" t="str">
            <v>-</v>
          </cell>
          <cell r="AU115" t="str">
            <v>-</v>
          </cell>
          <cell r="AV115" t="str">
            <v/>
          </cell>
          <cell r="AW115">
            <v>21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21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20</v>
          </cell>
          <cell r="BH115">
            <v>21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 t="str">
            <v/>
          </cell>
          <cell r="BN115">
            <v>41</v>
          </cell>
          <cell r="BO115">
            <v>20</v>
          </cell>
          <cell r="BP115">
            <v>21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 t="str">
            <v/>
          </cell>
          <cell r="BV115">
            <v>41</v>
          </cell>
          <cell r="BW115">
            <v>5</v>
          </cell>
          <cell r="BX115" t="str">
            <v>DOWNGRADE</v>
          </cell>
          <cell r="BY115" t="str">
            <v>RESET</v>
          </cell>
        </row>
        <row r="116">
          <cell r="A116" t="str">
            <v>A1703</v>
          </cell>
          <cell r="B116" t="str">
            <v>Arando Pastiyandra</v>
          </cell>
          <cell r="C116" t="str">
            <v>DELTA</v>
          </cell>
          <cell r="D116">
            <v>44989</v>
          </cell>
          <cell r="E116" t="str">
            <v>Mar-23</v>
          </cell>
          <cell r="F116" t="str">
            <v>EKSKLUSIF</v>
          </cell>
          <cell r="G116" t="str">
            <v>EKSKLUSIF</v>
          </cell>
          <cell r="H116" t="str">
            <v>EKSKLUSIF</v>
          </cell>
          <cell r="I116" t="str">
            <v>EKSKLUSIF</v>
          </cell>
          <cell r="J116" t="str">
            <v>EKSKLUSIF</v>
          </cell>
          <cell r="K116" t="str">
            <v>EKSKLUSIF</v>
          </cell>
          <cell r="L116" t="str">
            <v>EKSKLUSIF</v>
          </cell>
          <cell r="M116">
            <v>22</v>
          </cell>
          <cell r="N116">
            <v>45</v>
          </cell>
          <cell r="O116">
            <v>41</v>
          </cell>
          <cell r="P116">
            <v>43</v>
          </cell>
          <cell r="Q116">
            <v>39</v>
          </cell>
          <cell r="R116">
            <v>41</v>
          </cell>
          <cell r="S116">
            <v>20</v>
          </cell>
          <cell r="T116">
            <v>251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 t="str">
            <v>TIDAK</v>
          </cell>
          <cell r="AE116" t="str">
            <v>TIDAK</v>
          </cell>
          <cell r="AF116">
            <v>0</v>
          </cell>
          <cell r="AG116">
            <v>2</v>
          </cell>
          <cell r="AH116" t="str">
            <v>SAPHIRE</v>
          </cell>
          <cell r="AI116">
            <v>0</v>
          </cell>
          <cell r="AJ116" t="str">
            <v>FALSE</v>
          </cell>
          <cell r="AK116">
            <v>0</v>
          </cell>
          <cell r="AL116">
            <v>45261</v>
          </cell>
          <cell r="AM116">
            <v>45701</v>
          </cell>
          <cell r="AN116">
            <v>1</v>
          </cell>
          <cell r="AO116">
            <v>0</v>
          </cell>
          <cell r="AP116" t="str">
            <v>EKSKLUSIF</v>
          </cell>
          <cell r="AQ116" t="str">
            <v>-</v>
          </cell>
          <cell r="AR116" t="str">
            <v>-</v>
          </cell>
          <cell r="AS116" t="str">
            <v>-</v>
          </cell>
          <cell r="AT116" t="str">
            <v>-</v>
          </cell>
          <cell r="AU116" t="str">
            <v>-</v>
          </cell>
          <cell r="AV116" t="str">
            <v/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18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 t="str">
            <v/>
          </cell>
          <cell r="BN116">
            <v>18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 t="str">
            <v/>
          </cell>
          <cell r="BV116">
            <v>0</v>
          </cell>
          <cell r="BW116">
            <v>6</v>
          </cell>
          <cell r="BX116" t="str">
            <v>DOWNGRADE</v>
          </cell>
          <cell r="BY116" t="str">
            <v>RESET</v>
          </cell>
        </row>
        <row r="117">
          <cell r="A117" t="str">
            <v>A1277</v>
          </cell>
          <cell r="B117" t="str">
            <v>Ardiana Zahra Yulita</v>
          </cell>
          <cell r="C117" t="str">
            <v>DELTA</v>
          </cell>
          <cell r="D117">
            <v>44961</v>
          </cell>
          <cell r="E117" t="str">
            <v>Feb-23</v>
          </cell>
          <cell r="F117" t="str">
            <v>REGULER</v>
          </cell>
          <cell r="G117" t="str">
            <v>REGULER</v>
          </cell>
          <cell r="H117" t="str">
            <v>REGULER</v>
          </cell>
          <cell r="I117" t="str">
            <v>REGULER</v>
          </cell>
          <cell r="J117" t="str">
            <v>REGULER</v>
          </cell>
          <cell r="K117" t="str">
            <v>REGULER</v>
          </cell>
          <cell r="L117" t="str">
            <v>REGULER</v>
          </cell>
          <cell r="M117">
            <v>17</v>
          </cell>
          <cell r="N117">
            <v>23</v>
          </cell>
          <cell r="O117">
            <v>21</v>
          </cell>
          <cell r="P117">
            <v>10</v>
          </cell>
          <cell r="Q117">
            <v>9</v>
          </cell>
          <cell r="R117">
            <v>13</v>
          </cell>
          <cell r="S117">
            <v>3</v>
          </cell>
          <cell r="T117">
            <v>96</v>
          </cell>
          <cell r="U117">
            <v>17</v>
          </cell>
          <cell r="V117">
            <v>23</v>
          </cell>
          <cell r="W117">
            <v>21</v>
          </cell>
          <cell r="X117">
            <v>10</v>
          </cell>
          <cell r="Y117">
            <v>9</v>
          </cell>
          <cell r="Z117">
            <v>13</v>
          </cell>
          <cell r="AA117">
            <v>3</v>
          </cell>
          <cell r="AB117">
            <v>96</v>
          </cell>
          <cell r="AC117">
            <v>0</v>
          </cell>
          <cell r="AD117" t="str">
            <v>TIDAK</v>
          </cell>
          <cell r="AE117" t="str">
            <v>TIDAK</v>
          </cell>
          <cell r="AF117">
            <v>96</v>
          </cell>
          <cell r="AG117">
            <v>2</v>
          </cell>
          <cell r="AH117" t="str">
            <v>SAPHIRE</v>
          </cell>
          <cell r="AI117">
            <v>0</v>
          </cell>
          <cell r="AJ117" t="str">
            <v>Y</v>
          </cell>
          <cell r="AK117">
            <v>0</v>
          </cell>
          <cell r="AL117">
            <v>45261</v>
          </cell>
          <cell r="AM117">
            <v>45701</v>
          </cell>
          <cell r="AN117">
            <v>1</v>
          </cell>
          <cell r="AO117">
            <v>96</v>
          </cell>
          <cell r="AP117" t="str">
            <v>-</v>
          </cell>
          <cell r="AQ117" t="str">
            <v>-</v>
          </cell>
          <cell r="AR117" t="str">
            <v>-</v>
          </cell>
          <cell r="AS117" t="str">
            <v>REGULER</v>
          </cell>
          <cell r="AT117" t="str">
            <v>REGULER</v>
          </cell>
          <cell r="AU117" t="str">
            <v>REGULER</v>
          </cell>
          <cell r="AV117" t="str">
            <v/>
          </cell>
          <cell r="AW117">
            <v>17</v>
          </cell>
          <cell r="AX117">
            <v>0</v>
          </cell>
          <cell r="AY117">
            <v>3</v>
          </cell>
          <cell r="AZ117">
            <v>6</v>
          </cell>
          <cell r="BA117">
            <v>7</v>
          </cell>
          <cell r="BB117">
            <v>17</v>
          </cell>
          <cell r="BC117">
            <v>0</v>
          </cell>
          <cell r="BD117">
            <v>3</v>
          </cell>
          <cell r="BE117">
            <v>6</v>
          </cell>
          <cell r="BF117">
            <v>7</v>
          </cell>
          <cell r="BG117">
            <v>1</v>
          </cell>
          <cell r="BH117">
            <v>17</v>
          </cell>
          <cell r="BI117">
            <v>0</v>
          </cell>
          <cell r="BJ117">
            <v>3</v>
          </cell>
          <cell r="BK117">
            <v>6</v>
          </cell>
          <cell r="BL117">
            <v>7</v>
          </cell>
          <cell r="BM117">
            <v>5</v>
          </cell>
          <cell r="BN117">
            <v>39</v>
          </cell>
          <cell r="BO117">
            <v>1</v>
          </cell>
          <cell r="BP117">
            <v>17</v>
          </cell>
          <cell r="BQ117">
            <v>0</v>
          </cell>
          <cell r="BR117">
            <v>3</v>
          </cell>
          <cell r="BS117">
            <v>6</v>
          </cell>
          <cell r="BT117">
            <v>7</v>
          </cell>
          <cell r="BU117">
            <v>5</v>
          </cell>
          <cell r="BV117">
            <v>39</v>
          </cell>
          <cell r="BW117">
            <v>1</v>
          </cell>
          <cell r="BX117" t="str">
            <v>TIDAK</v>
          </cell>
          <cell r="BY117" t="str">
            <v>TIDAK</v>
          </cell>
        </row>
        <row r="118">
          <cell r="A118" t="str">
            <v>A2507</v>
          </cell>
          <cell r="B118" t="str">
            <v>Arjuna Tanjung</v>
          </cell>
          <cell r="C118" t="str">
            <v>DELTA</v>
          </cell>
          <cell r="D118">
            <v>45082</v>
          </cell>
          <cell r="E118" t="str">
            <v>Jun-23</v>
          </cell>
          <cell r="F118" t="str">
            <v>EKSKLUSIF</v>
          </cell>
          <cell r="G118" t="str">
            <v>EKSKLUSIF</v>
          </cell>
          <cell r="H118" t="str">
            <v>EKSKLUSIF</v>
          </cell>
          <cell r="I118" t="str">
            <v>EKSKLUSIF</v>
          </cell>
          <cell r="J118" t="str">
            <v>REGULER</v>
          </cell>
          <cell r="K118" t="str">
            <v>EKSKLUSIF</v>
          </cell>
          <cell r="L118" t="str">
            <v>EKSKLUSIF</v>
          </cell>
          <cell r="M118">
            <v>22</v>
          </cell>
          <cell r="N118">
            <v>47</v>
          </cell>
          <cell r="O118">
            <v>41</v>
          </cell>
          <cell r="P118">
            <v>43</v>
          </cell>
          <cell r="Q118">
            <v>1</v>
          </cell>
          <cell r="R118">
            <v>43</v>
          </cell>
          <cell r="S118">
            <v>22</v>
          </cell>
          <cell r="T118">
            <v>219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</v>
          </cell>
          <cell r="Z118">
            <v>0</v>
          </cell>
          <cell r="AA118">
            <v>0</v>
          </cell>
          <cell r="AB118">
            <v>1</v>
          </cell>
          <cell r="AC118">
            <v>0</v>
          </cell>
          <cell r="AD118" t="str">
            <v>TIDAK</v>
          </cell>
          <cell r="AE118" t="str">
            <v>TIDAK</v>
          </cell>
          <cell r="AF118">
            <v>1</v>
          </cell>
          <cell r="AG118">
            <v>3</v>
          </cell>
          <cell r="AH118" t="str">
            <v>SAPHIRE</v>
          </cell>
          <cell r="AI118">
            <v>0</v>
          </cell>
          <cell r="AJ118" t="str">
            <v>FALSE</v>
          </cell>
          <cell r="AK118">
            <v>0</v>
          </cell>
          <cell r="AL118">
            <v>45261</v>
          </cell>
          <cell r="AM118">
            <v>45701</v>
          </cell>
          <cell r="AN118">
            <v>1</v>
          </cell>
          <cell r="AO118">
            <v>1</v>
          </cell>
          <cell r="AP118" t="str">
            <v>EKSKLUSIF</v>
          </cell>
          <cell r="AQ118" t="str">
            <v>-</v>
          </cell>
          <cell r="AR118" t="str">
            <v>EKSKLUSIF</v>
          </cell>
          <cell r="AS118" t="str">
            <v>EKSKLUSIF</v>
          </cell>
          <cell r="AT118" t="str">
            <v>EKSKLUSIF</v>
          </cell>
          <cell r="AU118" t="str">
            <v>EKSKLUSIF</v>
          </cell>
          <cell r="AV118" t="str">
            <v/>
          </cell>
          <cell r="AW118">
            <v>50</v>
          </cell>
          <cell r="AX118">
            <v>48</v>
          </cell>
          <cell r="AY118">
            <v>43</v>
          </cell>
          <cell r="AZ118">
            <v>49</v>
          </cell>
          <cell r="BA118">
            <v>42</v>
          </cell>
          <cell r="BB118">
            <v>50</v>
          </cell>
          <cell r="BC118">
            <v>48</v>
          </cell>
          <cell r="BD118">
            <v>43</v>
          </cell>
          <cell r="BE118">
            <v>49</v>
          </cell>
          <cell r="BF118">
            <v>42</v>
          </cell>
          <cell r="BG118">
            <v>19</v>
          </cell>
          <cell r="BH118">
            <v>50</v>
          </cell>
          <cell r="BI118">
            <v>48</v>
          </cell>
          <cell r="BJ118">
            <v>43</v>
          </cell>
          <cell r="BK118">
            <v>49</v>
          </cell>
          <cell r="BL118">
            <v>42</v>
          </cell>
          <cell r="BM118">
            <v>22</v>
          </cell>
          <cell r="BN118">
            <v>273</v>
          </cell>
          <cell r="BO118">
            <v>0</v>
          </cell>
          <cell r="BP118">
            <v>50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22</v>
          </cell>
          <cell r="BV118">
            <v>72</v>
          </cell>
          <cell r="BW118">
            <v>0</v>
          </cell>
          <cell r="BX118" t="str">
            <v>TIDAK</v>
          </cell>
          <cell r="BY118" t="str">
            <v>TIDAK</v>
          </cell>
        </row>
        <row r="119">
          <cell r="A119" t="str">
            <v>A2272</v>
          </cell>
          <cell r="B119" t="str">
            <v>Arka Deftiasari</v>
          </cell>
          <cell r="C119" t="str">
            <v>DELTA</v>
          </cell>
          <cell r="D119">
            <v>45065</v>
          </cell>
          <cell r="E119" t="str">
            <v>May-23</v>
          </cell>
          <cell r="F119" t="str">
            <v>REGULER</v>
          </cell>
          <cell r="G119" t="str">
            <v>REGULER</v>
          </cell>
          <cell r="H119" t="str">
            <v>REGULER</v>
          </cell>
          <cell r="I119" t="str">
            <v>REGULER</v>
          </cell>
          <cell r="J119" t="str">
            <v>REGULER</v>
          </cell>
          <cell r="K119" t="str">
            <v>REGULER</v>
          </cell>
          <cell r="L119" t="str">
            <v>REGULER</v>
          </cell>
          <cell r="M119">
            <v>18</v>
          </cell>
          <cell r="N119">
            <v>37</v>
          </cell>
          <cell r="O119">
            <v>12</v>
          </cell>
          <cell r="P119">
            <v>8</v>
          </cell>
          <cell r="Q119">
            <v>21</v>
          </cell>
          <cell r="R119">
            <v>31</v>
          </cell>
          <cell r="S119">
            <v>10</v>
          </cell>
          <cell r="T119">
            <v>137</v>
          </cell>
          <cell r="U119">
            <v>18</v>
          </cell>
          <cell r="V119">
            <v>37</v>
          </cell>
          <cell r="W119">
            <v>12</v>
          </cell>
          <cell r="X119">
            <v>8</v>
          </cell>
          <cell r="Y119">
            <v>21</v>
          </cell>
          <cell r="Z119">
            <v>31</v>
          </cell>
          <cell r="AA119">
            <v>10</v>
          </cell>
          <cell r="AB119">
            <v>137</v>
          </cell>
          <cell r="AC119">
            <v>0</v>
          </cell>
          <cell r="AD119" t="str">
            <v>TIDAK</v>
          </cell>
          <cell r="AE119" t="str">
            <v>TIDAK</v>
          </cell>
          <cell r="AF119">
            <v>137</v>
          </cell>
          <cell r="AG119">
            <v>2</v>
          </cell>
          <cell r="AH119" t="str">
            <v>SAPHIRE</v>
          </cell>
          <cell r="AI119">
            <v>0</v>
          </cell>
          <cell r="AJ119" t="str">
            <v>Y</v>
          </cell>
          <cell r="AK119">
            <v>0</v>
          </cell>
          <cell r="AL119">
            <v>45261</v>
          </cell>
          <cell r="AM119">
            <v>45701</v>
          </cell>
          <cell r="AN119">
            <v>1</v>
          </cell>
          <cell r="AO119">
            <v>137</v>
          </cell>
          <cell r="AP119" t="str">
            <v>-</v>
          </cell>
          <cell r="AQ119" t="str">
            <v>-</v>
          </cell>
          <cell r="AR119" t="str">
            <v>-</v>
          </cell>
          <cell r="AS119" t="str">
            <v>-</v>
          </cell>
          <cell r="AT119" t="str">
            <v>-</v>
          </cell>
          <cell r="AU119" t="str">
            <v>-</v>
          </cell>
          <cell r="AV119" t="str">
            <v/>
          </cell>
          <cell r="AW119">
            <v>5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5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1</v>
          </cell>
          <cell r="BH119">
            <v>5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 t="str">
            <v/>
          </cell>
          <cell r="BN119">
            <v>6</v>
          </cell>
          <cell r="BO119">
            <v>1</v>
          </cell>
          <cell r="BP119">
            <v>5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 t="str">
            <v/>
          </cell>
          <cell r="BV119">
            <v>6</v>
          </cell>
          <cell r="BW119">
            <v>5</v>
          </cell>
          <cell r="BX119" t="str">
            <v>DOWNGRADE</v>
          </cell>
          <cell r="BY119" t="str">
            <v>RESET</v>
          </cell>
        </row>
        <row r="120">
          <cell r="A120">
            <v>92504</v>
          </cell>
          <cell r="B120" t="str">
            <v>Artika Yunita Ardi</v>
          </cell>
          <cell r="C120" t="str">
            <v>DELTA</v>
          </cell>
          <cell r="D120">
            <v>44735</v>
          </cell>
          <cell r="E120" t="str">
            <v>Jun-22</v>
          </cell>
          <cell r="F120" t="str">
            <v>EKSKLUSIF</v>
          </cell>
          <cell r="G120" t="str">
            <v>EKSKLUSIF</v>
          </cell>
          <cell r="H120" t="str">
            <v>EKSKLUSIF</v>
          </cell>
          <cell r="I120" t="str">
            <v>REGULER</v>
          </cell>
          <cell r="J120" t="str">
            <v>REGULER</v>
          </cell>
          <cell r="K120" t="str">
            <v>EKSKLUSIF</v>
          </cell>
          <cell r="L120" t="str">
            <v>EKSKLUSIF</v>
          </cell>
          <cell r="M120">
            <v>20</v>
          </cell>
          <cell r="N120">
            <v>46</v>
          </cell>
          <cell r="O120">
            <v>40</v>
          </cell>
          <cell r="P120">
            <v>35</v>
          </cell>
          <cell r="Q120">
            <v>35</v>
          </cell>
          <cell r="R120">
            <v>41</v>
          </cell>
          <cell r="S120">
            <v>21</v>
          </cell>
          <cell r="T120">
            <v>238</v>
          </cell>
          <cell r="U120">
            <v>0</v>
          </cell>
          <cell r="V120">
            <v>0</v>
          </cell>
          <cell r="W120">
            <v>0</v>
          </cell>
          <cell r="X120">
            <v>35</v>
          </cell>
          <cell r="Y120">
            <v>35</v>
          </cell>
          <cell r="Z120">
            <v>0</v>
          </cell>
          <cell r="AA120">
            <v>0</v>
          </cell>
          <cell r="AB120">
            <v>70</v>
          </cell>
          <cell r="AC120">
            <v>0</v>
          </cell>
          <cell r="AD120" t="str">
            <v>TIDAK</v>
          </cell>
          <cell r="AE120" t="str">
            <v>TIDAK</v>
          </cell>
          <cell r="AF120">
            <v>70</v>
          </cell>
          <cell r="AG120">
            <v>2</v>
          </cell>
          <cell r="AH120" t="str">
            <v>SAPHIRE</v>
          </cell>
          <cell r="AI120">
            <v>0</v>
          </cell>
          <cell r="AJ120" t="str">
            <v>Y</v>
          </cell>
          <cell r="AK120">
            <v>0</v>
          </cell>
          <cell r="AL120">
            <v>45261</v>
          </cell>
          <cell r="AM120">
            <v>45701</v>
          </cell>
          <cell r="AN120">
            <v>1</v>
          </cell>
          <cell r="AO120">
            <v>70</v>
          </cell>
          <cell r="AP120" t="str">
            <v>EKSKLUSIF</v>
          </cell>
          <cell r="AQ120" t="str">
            <v>-</v>
          </cell>
          <cell r="AR120" t="str">
            <v>REGULER</v>
          </cell>
          <cell r="AS120" t="str">
            <v>REGULER</v>
          </cell>
          <cell r="AT120" t="str">
            <v>REGULER</v>
          </cell>
          <cell r="AU120" t="str">
            <v>EKSKLUSIF</v>
          </cell>
          <cell r="AV120" t="str">
            <v/>
          </cell>
          <cell r="AW120">
            <v>47</v>
          </cell>
          <cell r="AX120">
            <v>34</v>
          </cell>
          <cell r="AY120">
            <v>40</v>
          </cell>
          <cell r="AZ120">
            <v>29</v>
          </cell>
          <cell r="BA120">
            <v>44</v>
          </cell>
          <cell r="BB120">
            <v>47</v>
          </cell>
          <cell r="BC120">
            <v>34</v>
          </cell>
          <cell r="BD120">
            <v>40</v>
          </cell>
          <cell r="BE120">
            <v>29</v>
          </cell>
          <cell r="BF120">
            <v>44</v>
          </cell>
          <cell r="BG120">
            <v>19</v>
          </cell>
          <cell r="BH120">
            <v>47</v>
          </cell>
          <cell r="BI120">
            <v>34</v>
          </cell>
          <cell r="BJ120">
            <v>40</v>
          </cell>
          <cell r="BK120">
            <v>29</v>
          </cell>
          <cell r="BL120">
            <v>44</v>
          </cell>
          <cell r="BM120">
            <v>20</v>
          </cell>
          <cell r="BN120">
            <v>233</v>
          </cell>
          <cell r="BO120">
            <v>0</v>
          </cell>
          <cell r="BP120">
            <v>47</v>
          </cell>
          <cell r="BQ120">
            <v>34</v>
          </cell>
          <cell r="BR120">
            <v>40</v>
          </cell>
          <cell r="BS120">
            <v>29</v>
          </cell>
          <cell r="BT120">
            <v>0</v>
          </cell>
          <cell r="BU120">
            <v>20</v>
          </cell>
          <cell r="BV120">
            <v>170</v>
          </cell>
          <cell r="BW120">
            <v>0</v>
          </cell>
          <cell r="BX120" t="str">
            <v>TIDAK</v>
          </cell>
          <cell r="BY120" t="str">
            <v>TIDAK</v>
          </cell>
        </row>
        <row r="121">
          <cell r="A121" t="str">
            <v>A0750</v>
          </cell>
          <cell r="B121" t="str">
            <v>Arvianti Jilly Vanesha Mulete</v>
          </cell>
          <cell r="C121" t="str">
            <v>DELTA</v>
          </cell>
          <cell r="D121">
            <v>44921</v>
          </cell>
          <cell r="E121" t="str">
            <v>Dec-22</v>
          </cell>
          <cell r="F121" t="str">
            <v>EKSKLUSIF</v>
          </cell>
          <cell r="G121" t="str">
            <v>REGULER</v>
          </cell>
          <cell r="H121" t="str">
            <v>REGULER</v>
          </cell>
          <cell r="I121" t="str">
            <v>EKSKLUSIF</v>
          </cell>
          <cell r="J121" t="str">
            <v>EKSKLUSIF</v>
          </cell>
          <cell r="K121" t="str">
            <v>EKSKLUSIF</v>
          </cell>
          <cell r="L121" t="str">
            <v>EKSKLUSIF</v>
          </cell>
          <cell r="M121">
            <v>21</v>
          </cell>
          <cell r="N121">
            <v>42</v>
          </cell>
          <cell r="O121">
            <v>34</v>
          </cell>
          <cell r="P121">
            <v>41</v>
          </cell>
          <cell r="Q121">
            <v>39</v>
          </cell>
          <cell r="R121">
            <v>43</v>
          </cell>
          <cell r="S121">
            <v>21</v>
          </cell>
          <cell r="T121">
            <v>241</v>
          </cell>
          <cell r="U121">
            <v>0</v>
          </cell>
          <cell r="V121">
            <v>42</v>
          </cell>
          <cell r="W121">
            <v>34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76</v>
          </cell>
          <cell r="AC121">
            <v>0</v>
          </cell>
          <cell r="AD121" t="str">
            <v>TIDAK</v>
          </cell>
          <cell r="AE121" t="str">
            <v>TIDAK</v>
          </cell>
          <cell r="AF121">
            <v>76</v>
          </cell>
          <cell r="AG121">
            <v>2</v>
          </cell>
          <cell r="AH121" t="str">
            <v>SAPHIRE</v>
          </cell>
          <cell r="AI121">
            <v>0</v>
          </cell>
          <cell r="AJ121" t="str">
            <v>Y</v>
          </cell>
          <cell r="AK121">
            <v>0</v>
          </cell>
          <cell r="AL121">
            <v>45261</v>
          </cell>
          <cell r="AM121">
            <v>45701</v>
          </cell>
          <cell r="AN121">
            <v>1</v>
          </cell>
          <cell r="AO121">
            <v>76</v>
          </cell>
          <cell r="AP121" t="str">
            <v>EKSKLUSIF</v>
          </cell>
          <cell r="AQ121" t="str">
            <v>-</v>
          </cell>
          <cell r="AR121" t="str">
            <v>EKSKLUSIF</v>
          </cell>
          <cell r="AS121" t="str">
            <v>EKSKLUSIF</v>
          </cell>
          <cell r="AT121" t="str">
            <v>EKSKLUSIF</v>
          </cell>
          <cell r="AU121" t="str">
            <v>EKSKLUSIF</v>
          </cell>
          <cell r="AV121" t="str">
            <v/>
          </cell>
          <cell r="AW121">
            <v>49</v>
          </cell>
          <cell r="AX121">
            <v>48</v>
          </cell>
          <cell r="AY121">
            <v>42</v>
          </cell>
          <cell r="AZ121">
            <v>47</v>
          </cell>
          <cell r="BA121">
            <v>43</v>
          </cell>
          <cell r="BB121">
            <v>49</v>
          </cell>
          <cell r="BC121">
            <v>48</v>
          </cell>
          <cell r="BD121">
            <v>42</v>
          </cell>
          <cell r="BE121">
            <v>47</v>
          </cell>
          <cell r="BF121">
            <v>43</v>
          </cell>
          <cell r="BG121">
            <v>20</v>
          </cell>
          <cell r="BH121">
            <v>49</v>
          </cell>
          <cell r="BI121">
            <v>48</v>
          </cell>
          <cell r="BJ121">
            <v>42</v>
          </cell>
          <cell r="BK121">
            <v>47</v>
          </cell>
          <cell r="BL121">
            <v>43</v>
          </cell>
          <cell r="BM121">
            <v>21</v>
          </cell>
          <cell r="BN121">
            <v>270</v>
          </cell>
          <cell r="BO121">
            <v>0</v>
          </cell>
          <cell r="BP121">
            <v>49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21</v>
          </cell>
          <cell r="BV121">
            <v>70</v>
          </cell>
          <cell r="BW121">
            <v>0</v>
          </cell>
          <cell r="BX121" t="str">
            <v>TIDAK</v>
          </cell>
          <cell r="BY121" t="str">
            <v>TIDAK</v>
          </cell>
        </row>
        <row r="122">
          <cell r="A122" t="str">
            <v>A2321</v>
          </cell>
          <cell r="B122" t="str">
            <v>Arya Karuna</v>
          </cell>
          <cell r="C122" t="str">
            <v>DELTA</v>
          </cell>
          <cell r="D122">
            <v>45079</v>
          </cell>
          <cell r="E122" t="str">
            <v>Jun-23</v>
          </cell>
          <cell r="F122" t="str">
            <v>REGULER</v>
          </cell>
          <cell r="G122" t="str">
            <v>REGULER</v>
          </cell>
          <cell r="H122" t="str">
            <v>REGULER</v>
          </cell>
          <cell r="I122" t="str">
            <v>EKSKLUSIF</v>
          </cell>
          <cell r="J122" t="str">
            <v>EKSKLUSIF</v>
          </cell>
          <cell r="K122" t="str">
            <v>-</v>
          </cell>
          <cell r="L122" t="str">
            <v>-</v>
          </cell>
          <cell r="M122">
            <v>5</v>
          </cell>
          <cell r="N122">
            <v>43</v>
          </cell>
          <cell r="O122">
            <v>27</v>
          </cell>
          <cell r="P122">
            <v>44</v>
          </cell>
          <cell r="Q122">
            <v>38</v>
          </cell>
          <cell r="R122">
            <v>0</v>
          </cell>
          <cell r="S122" t="str">
            <v/>
          </cell>
          <cell r="T122">
            <v>157</v>
          </cell>
          <cell r="U122">
            <v>5</v>
          </cell>
          <cell r="V122">
            <v>43</v>
          </cell>
          <cell r="W122">
            <v>27</v>
          </cell>
          <cell r="X122">
            <v>0</v>
          </cell>
          <cell r="Y122">
            <v>0</v>
          </cell>
          <cell r="Z122">
            <v>0</v>
          </cell>
          <cell r="AA122" t="str">
            <v/>
          </cell>
          <cell r="AB122">
            <v>75</v>
          </cell>
          <cell r="AC122">
            <v>2</v>
          </cell>
          <cell r="AD122" t="str">
            <v>TIDAK</v>
          </cell>
          <cell r="AE122" t="str">
            <v>TIDAK</v>
          </cell>
          <cell r="AF122">
            <v>75</v>
          </cell>
          <cell r="AG122">
            <v>2</v>
          </cell>
          <cell r="AH122" t="str">
            <v>SAPHIRE</v>
          </cell>
          <cell r="AI122">
            <v>0</v>
          </cell>
          <cell r="AJ122" t="str">
            <v>Y</v>
          </cell>
          <cell r="AK122">
            <v>0</v>
          </cell>
          <cell r="AL122">
            <v>45261</v>
          </cell>
          <cell r="AM122">
            <v>45701</v>
          </cell>
          <cell r="AN122">
            <v>1</v>
          </cell>
          <cell r="AO122">
            <v>75</v>
          </cell>
          <cell r="AP122" t="str">
            <v>-</v>
          </cell>
          <cell r="AQ122" t="str">
            <v>-</v>
          </cell>
          <cell r="AR122" t="str">
            <v>-</v>
          </cell>
          <cell r="AS122" t="str">
            <v>-</v>
          </cell>
          <cell r="AT122" t="str">
            <v>-</v>
          </cell>
          <cell r="AU122" t="str">
            <v>-</v>
          </cell>
          <cell r="AV122" t="str">
            <v/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 t="str">
            <v/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 t="str">
            <v/>
          </cell>
          <cell r="BN122">
            <v>0</v>
          </cell>
          <cell r="BO122" t="str">
            <v/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 t="str">
            <v/>
          </cell>
          <cell r="BV122">
            <v>0</v>
          </cell>
          <cell r="BW122">
            <v>7</v>
          </cell>
          <cell r="BX122" t="str">
            <v>DOWNGRADE</v>
          </cell>
          <cell r="BY122" t="str">
            <v>RESET</v>
          </cell>
        </row>
        <row r="123">
          <cell r="A123" t="str">
            <v>A2886</v>
          </cell>
          <cell r="B123" t="str">
            <v>Asa Hirasna Septiani</v>
          </cell>
          <cell r="C123" t="str">
            <v>DELTA</v>
          </cell>
          <cell r="D123">
            <v>45204</v>
          </cell>
          <cell r="E123" t="str">
            <v>Oct-23</v>
          </cell>
          <cell r="F123" t="str">
            <v>REGULER</v>
          </cell>
          <cell r="G123" t="str">
            <v>REGULER</v>
          </cell>
          <cell r="H123" t="str">
            <v>REGULER</v>
          </cell>
          <cell r="I123" t="str">
            <v>REGULER</v>
          </cell>
          <cell r="J123" t="str">
            <v>REGULER</v>
          </cell>
          <cell r="K123" t="str">
            <v>EKSKLUSIF</v>
          </cell>
          <cell r="L123" t="str">
            <v>EKSKLUSIF</v>
          </cell>
          <cell r="M123">
            <v>18</v>
          </cell>
          <cell r="N123">
            <v>35</v>
          </cell>
          <cell r="O123">
            <v>17</v>
          </cell>
          <cell r="P123">
            <v>34</v>
          </cell>
          <cell r="Q123">
            <v>35</v>
          </cell>
          <cell r="R123">
            <v>42</v>
          </cell>
          <cell r="S123">
            <v>22</v>
          </cell>
          <cell r="T123">
            <v>203</v>
          </cell>
          <cell r="U123">
            <v>18</v>
          </cell>
          <cell r="V123">
            <v>35</v>
          </cell>
          <cell r="W123">
            <v>17</v>
          </cell>
          <cell r="X123">
            <v>34</v>
          </cell>
          <cell r="Y123">
            <v>35</v>
          </cell>
          <cell r="Z123">
            <v>0</v>
          </cell>
          <cell r="AA123">
            <v>0</v>
          </cell>
          <cell r="AB123">
            <v>139</v>
          </cell>
          <cell r="AC123">
            <v>0</v>
          </cell>
          <cell r="AD123" t="str">
            <v>TIDAK</v>
          </cell>
          <cell r="AE123" t="str">
            <v>TIDAK</v>
          </cell>
          <cell r="AF123">
            <v>139</v>
          </cell>
          <cell r="AG123">
            <v>2</v>
          </cell>
          <cell r="AH123" t="str">
            <v>SAPHIRE</v>
          </cell>
          <cell r="AI123">
            <v>0</v>
          </cell>
          <cell r="AJ123" t="str">
            <v>Y</v>
          </cell>
          <cell r="AK123">
            <v>0</v>
          </cell>
          <cell r="AL123">
            <v>45261</v>
          </cell>
          <cell r="AM123">
            <v>45701</v>
          </cell>
          <cell r="AN123">
            <v>1</v>
          </cell>
          <cell r="AO123">
            <v>139</v>
          </cell>
          <cell r="AP123" t="str">
            <v>EKSKLUSIF</v>
          </cell>
          <cell r="AQ123" t="str">
            <v>-</v>
          </cell>
          <cell r="AR123" t="str">
            <v>EKSKLUSIF</v>
          </cell>
          <cell r="AS123" t="str">
            <v>EKSKLUSIF</v>
          </cell>
          <cell r="AT123" t="str">
            <v>EKSKLUSIF</v>
          </cell>
          <cell r="AU123" t="str">
            <v>REGULER</v>
          </cell>
          <cell r="AV123" t="str">
            <v/>
          </cell>
          <cell r="AW123">
            <v>46</v>
          </cell>
          <cell r="AX123">
            <v>45</v>
          </cell>
          <cell r="AY123">
            <v>42</v>
          </cell>
          <cell r="AZ123">
            <v>47</v>
          </cell>
          <cell r="BA123">
            <v>35</v>
          </cell>
          <cell r="BB123">
            <v>46</v>
          </cell>
          <cell r="BC123">
            <v>45</v>
          </cell>
          <cell r="BD123">
            <v>42</v>
          </cell>
          <cell r="BE123">
            <v>47</v>
          </cell>
          <cell r="BF123">
            <v>35</v>
          </cell>
          <cell r="BG123">
            <v>18</v>
          </cell>
          <cell r="BH123">
            <v>46</v>
          </cell>
          <cell r="BI123">
            <v>45</v>
          </cell>
          <cell r="BJ123">
            <v>42</v>
          </cell>
          <cell r="BK123">
            <v>47</v>
          </cell>
          <cell r="BL123">
            <v>35</v>
          </cell>
          <cell r="BM123">
            <v>19</v>
          </cell>
          <cell r="BN123">
            <v>252</v>
          </cell>
          <cell r="BO123">
            <v>0</v>
          </cell>
          <cell r="BP123">
            <v>46</v>
          </cell>
          <cell r="BQ123">
            <v>0</v>
          </cell>
          <cell r="BR123">
            <v>0</v>
          </cell>
          <cell r="BS123">
            <v>0</v>
          </cell>
          <cell r="BT123">
            <v>35</v>
          </cell>
          <cell r="BU123">
            <v>19</v>
          </cell>
          <cell r="BV123">
            <v>100</v>
          </cell>
          <cell r="BW123">
            <v>0</v>
          </cell>
          <cell r="BX123" t="str">
            <v>TIDAK</v>
          </cell>
          <cell r="BY123" t="str">
            <v>TIDAK</v>
          </cell>
        </row>
        <row r="124">
          <cell r="A124" t="str">
            <v>A0886</v>
          </cell>
          <cell r="B124" t="str">
            <v>Astutri Puji Rahayu</v>
          </cell>
          <cell r="C124" t="str">
            <v>DELTA</v>
          </cell>
          <cell r="D124">
            <v>44928</v>
          </cell>
          <cell r="E124" t="str">
            <v>Jan-23</v>
          </cell>
          <cell r="F124" t="str">
            <v>REGULER</v>
          </cell>
          <cell r="G124" t="str">
            <v>REGULER</v>
          </cell>
          <cell r="H124" t="str">
            <v>REGULER</v>
          </cell>
          <cell r="I124" t="str">
            <v>REGULER</v>
          </cell>
          <cell r="J124" t="str">
            <v>-</v>
          </cell>
          <cell r="K124" t="str">
            <v>REGULER</v>
          </cell>
          <cell r="L124" t="str">
            <v>REGULER</v>
          </cell>
          <cell r="M124">
            <v>17</v>
          </cell>
          <cell r="N124">
            <v>38</v>
          </cell>
          <cell r="O124">
            <v>25</v>
          </cell>
          <cell r="P124">
            <v>36</v>
          </cell>
          <cell r="Q124">
            <v>0</v>
          </cell>
          <cell r="R124">
            <v>27</v>
          </cell>
          <cell r="S124">
            <v>17</v>
          </cell>
          <cell r="T124">
            <v>160</v>
          </cell>
          <cell r="U124">
            <v>17</v>
          </cell>
          <cell r="V124">
            <v>38</v>
          </cell>
          <cell r="W124">
            <v>25</v>
          </cell>
          <cell r="X124">
            <v>36</v>
          </cell>
          <cell r="Y124">
            <v>0</v>
          </cell>
          <cell r="Z124">
            <v>27</v>
          </cell>
          <cell r="AA124">
            <v>17</v>
          </cell>
          <cell r="AB124">
            <v>160</v>
          </cell>
          <cell r="AC124">
            <v>1</v>
          </cell>
          <cell r="AD124" t="str">
            <v>TIDAK</v>
          </cell>
          <cell r="AE124" t="str">
            <v>TIDAK</v>
          </cell>
          <cell r="AF124">
            <v>160</v>
          </cell>
          <cell r="AG124">
            <v>2</v>
          </cell>
          <cell r="AH124" t="str">
            <v>SAPHIRE</v>
          </cell>
          <cell r="AI124">
            <v>0</v>
          </cell>
          <cell r="AJ124" t="str">
            <v>Y</v>
          </cell>
          <cell r="AK124">
            <v>0</v>
          </cell>
          <cell r="AL124">
            <v>45261</v>
          </cell>
          <cell r="AM124">
            <v>45701</v>
          </cell>
          <cell r="AN124">
            <v>1</v>
          </cell>
          <cell r="AO124">
            <v>160</v>
          </cell>
          <cell r="AP124" t="str">
            <v>-</v>
          </cell>
          <cell r="AQ124" t="str">
            <v>-</v>
          </cell>
          <cell r="AR124" t="str">
            <v>REGULER</v>
          </cell>
          <cell r="AS124" t="str">
            <v>REGULER</v>
          </cell>
          <cell r="AT124" t="str">
            <v>REGULER</v>
          </cell>
          <cell r="AU124" t="str">
            <v>-</v>
          </cell>
          <cell r="AV124" t="str">
            <v/>
          </cell>
          <cell r="AW124">
            <v>37</v>
          </cell>
          <cell r="AX124">
            <v>37</v>
          </cell>
          <cell r="AY124">
            <v>33</v>
          </cell>
          <cell r="AZ124">
            <v>37</v>
          </cell>
          <cell r="BA124">
            <v>0</v>
          </cell>
          <cell r="BB124">
            <v>37</v>
          </cell>
          <cell r="BC124">
            <v>37</v>
          </cell>
          <cell r="BD124">
            <v>33</v>
          </cell>
          <cell r="BE124">
            <v>37</v>
          </cell>
          <cell r="BF124">
            <v>0</v>
          </cell>
          <cell r="BG124">
            <v>15</v>
          </cell>
          <cell r="BH124">
            <v>37</v>
          </cell>
          <cell r="BI124">
            <v>37</v>
          </cell>
          <cell r="BJ124">
            <v>33</v>
          </cell>
          <cell r="BK124">
            <v>37</v>
          </cell>
          <cell r="BL124">
            <v>0</v>
          </cell>
          <cell r="BM124" t="str">
            <v/>
          </cell>
          <cell r="BN124">
            <v>159</v>
          </cell>
          <cell r="BO124">
            <v>15</v>
          </cell>
          <cell r="BP124">
            <v>37</v>
          </cell>
          <cell r="BQ124">
            <v>37</v>
          </cell>
          <cell r="BR124">
            <v>33</v>
          </cell>
          <cell r="BS124">
            <v>37</v>
          </cell>
          <cell r="BT124">
            <v>0</v>
          </cell>
          <cell r="BU124" t="str">
            <v/>
          </cell>
          <cell r="BV124">
            <v>159</v>
          </cell>
          <cell r="BW124">
            <v>2</v>
          </cell>
          <cell r="BX124" t="str">
            <v>TIDAK</v>
          </cell>
          <cell r="BY124" t="str">
            <v>TIDAK</v>
          </cell>
        </row>
        <row r="125">
          <cell r="A125" t="str">
            <v>A3227</v>
          </cell>
          <cell r="B125" t="str">
            <v>Aulia Tasya Azzahra</v>
          </cell>
          <cell r="C125" t="str">
            <v>DELTA</v>
          </cell>
          <cell r="D125">
            <v>45232</v>
          </cell>
          <cell r="E125" t="str">
            <v>Nov-23</v>
          </cell>
          <cell r="F125" t="str">
            <v>REGULER</v>
          </cell>
          <cell r="G125" t="str">
            <v>REGULER</v>
          </cell>
          <cell r="H125" t="str">
            <v>REGULER</v>
          </cell>
          <cell r="I125" t="str">
            <v>REGULER</v>
          </cell>
          <cell r="J125" t="str">
            <v>REGULER</v>
          </cell>
          <cell r="K125" t="str">
            <v>REGULER</v>
          </cell>
          <cell r="L125" t="str">
            <v>REGULER</v>
          </cell>
          <cell r="M125">
            <v>8</v>
          </cell>
          <cell r="N125">
            <v>25</v>
          </cell>
          <cell r="O125">
            <v>40</v>
          </cell>
          <cell r="P125">
            <v>41</v>
          </cell>
          <cell r="Q125">
            <v>34</v>
          </cell>
          <cell r="R125">
            <v>35</v>
          </cell>
          <cell r="S125">
            <v>17</v>
          </cell>
          <cell r="T125">
            <v>200</v>
          </cell>
          <cell r="U125">
            <v>8</v>
          </cell>
          <cell r="V125">
            <v>25</v>
          </cell>
          <cell r="W125">
            <v>40</v>
          </cell>
          <cell r="X125">
            <v>41</v>
          </cell>
          <cell r="Y125">
            <v>34</v>
          </cell>
          <cell r="Z125">
            <v>35</v>
          </cell>
          <cell r="AA125">
            <v>17</v>
          </cell>
          <cell r="AB125">
            <v>200</v>
          </cell>
          <cell r="AC125">
            <v>0</v>
          </cell>
          <cell r="AD125" t="str">
            <v>TIDAK</v>
          </cell>
          <cell r="AE125" t="str">
            <v>TIDAK</v>
          </cell>
          <cell r="AF125">
            <v>200</v>
          </cell>
          <cell r="AG125">
            <v>2</v>
          </cell>
          <cell r="AH125" t="str">
            <v>SAPHIRE</v>
          </cell>
          <cell r="AI125">
            <v>0</v>
          </cell>
          <cell r="AJ125" t="str">
            <v>Y</v>
          </cell>
          <cell r="AK125">
            <v>0</v>
          </cell>
          <cell r="AL125">
            <v>45261</v>
          </cell>
          <cell r="AM125">
            <v>45701</v>
          </cell>
          <cell r="AN125">
            <v>1</v>
          </cell>
          <cell r="AO125">
            <v>200</v>
          </cell>
          <cell r="AP125" t="str">
            <v>-</v>
          </cell>
          <cell r="AQ125" t="str">
            <v>-</v>
          </cell>
          <cell r="AR125" t="str">
            <v>REGULER</v>
          </cell>
          <cell r="AS125" t="str">
            <v>REGULER</v>
          </cell>
          <cell r="AT125" t="str">
            <v>REGULER</v>
          </cell>
          <cell r="AU125" t="str">
            <v>REGULER</v>
          </cell>
          <cell r="AV125" t="str">
            <v/>
          </cell>
          <cell r="AW125">
            <v>43</v>
          </cell>
          <cell r="AX125">
            <v>41</v>
          </cell>
          <cell r="AY125">
            <v>36</v>
          </cell>
          <cell r="AZ125">
            <v>42</v>
          </cell>
          <cell r="BA125">
            <v>32</v>
          </cell>
          <cell r="BB125">
            <v>43</v>
          </cell>
          <cell r="BC125">
            <v>41</v>
          </cell>
          <cell r="BD125">
            <v>36</v>
          </cell>
          <cell r="BE125">
            <v>42</v>
          </cell>
          <cell r="BF125">
            <v>32</v>
          </cell>
          <cell r="BG125">
            <v>17</v>
          </cell>
          <cell r="BH125">
            <v>43</v>
          </cell>
          <cell r="BI125">
            <v>41</v>
          </cell>
          <cell r="BJ125">
            <v>36</v>
          </cell>
          <cell r="BK125">
            <v>42</v>
          </cell>
          <cell r="BL125">
            <v>32</v>
          </cell>
          <cell r="BM125">
            <v>17</v>
          </cell>
          <cell r="BN125">
            <v>228</v>
          </cell>
          <cell r="BO125">
            <v>17</v>
          </cell>
          <cell r="BP125">
            <v>43</v>
          </cell>
          <cell r="BQ125">
            <v>41</v>
          </cell>
          <cell r="BR125">
            <v>36</v>
          </cell>
          <cell r="BS125">
            <v>42</v>
          </cell>
          <cell r="BT125">
            <v>32</v>
          </cell>
          <cell r="BU125">
            <v>17</v>
          </cell>
          <cell r="BV125">
            <v>228</v>
          </cell>
          <cell r="BW125">
            <v>0</v>
          </cell>
          <cell r="BX125" t="str">
            <v>TIDAK</v>
          </cell>
          <cell r="BY125" t="str">
            <v>TIDAK</v>
          </cell>
        </row>
        <row r="126">
          <cell r="A126" t="str">
            <v>A3823</v>
          </cell>
          <cell r="B126" t="str">
            <v>Ayu Enjelina Sitompul</v>
          </cell>
          <cell r="C126" t="str">
            <v>DELTA</v>
          </cell>
          <cell r="D126">
            <v>45345</v>
          </cell>
          <cell r="E126" t="str">
            <v>Feb-24</v>
          </cell>
          <cell r="F126" t="str">
            <v>-</v>
          </cell>
          <cell r="G126" t="str">
            <v>-</v>
          </cell>
          <cell r="H126" t="str">
            <v>REGULER</v>
          </cell>
          <cell r="I126" t="str">
            <v>REGULER</v>
          </cell>
          <cell r="J126" t="str">
            <v>REGULER</v>
          </cell>
          <cell r="K126" t="str">
            <v>REGULER</v>
          </cell>
          <cell r="L126" t="str">
            <v>REGULER</v>
          </cell>
          <cell r="M126">
            <v>0</v>
          </cell>
          <cell r="N126">
            <v>0</v>
          </cell>
          <cell r="O126">
            <v>1</v>
          </cell>
          <cell r="P126">
            <v>26</v>
          </cell>
          <cell r="Q126">
            <v>40</v>
          </cell>
          <cell r="R126">
            <v>46</v>
          </cell>
          <cell r="S126">
            <v>20</v>
          </cell>
          <cell r="T126">
            <v>133</v>
          </cell>
          <cell r="U126">
            <v>0</v>
          </cell>
          <cell r="V126">
            <v>0</v>
          </cell>
          <cell r="W126">
            <v>1</v>
          </cell>
          <cell r="X126">
            <v>26</v>
          </cell>
          <cell r="Y126">
            <v>40</v>
          </cell>
          <cell r="Z126">
            <v>46</v>
          </cell>
          <cell r="AA126">
            <v>20</v>
          </cell>
          <cell r="AB126">
            <v>133</v>
          </cell>
          <cell r="AC126">
            <v>0</v>
          </cell>
          <cell r="AD126" t="str">
            <v>TIDAK</v>
          </cell>
          <cell r="AE126" t="str">
            <v>TIDAK</v>
          </cell>
          <cell r="AF126">
            <v>133</v>
          </cell>
          <cell r="AG126">
            <v>2</v>
          </cell>
          <cell r="AH126" t="str">
            <v>SAPHIRE</v>
          </cell>
          <cell r="AI126">
            <v>0</v>
          </cell>
          <cell r="AJ126" t="str">
            <v>Y</v>
          </cell>
          <cell r="AK126">
            <v>0</v>
          </cell>
          <cell r="AL126">
            <v>45261</v>
          </cell>
          <cell r="AM126">
            <v>45701</v>
          </cell>
          <cell r="AN126">
            <v>1</v>
          </cell>
          <cell r="AO126">
            <v>133</v>
          </cell>
          <cell r="AP126" t="str">
            <v>-</v>
          </cell>
          <cell r="AQ126" t="str">
            <v>-</v>
          </cell>
          <cell r="AR126" t="str">
            <v>EKSKLUSIF</v>
          </cell>
          <cell r="AS126" t="str">
            <v>EKSKLUSIF</v>
          </cell>
          <cell r="AT126" t="str">
            <v>EKSKLUSIF</v>
          </cell>
          <cell r="AU126" t="str">
            <v>REGULER</v>
          </cell>
          <cell r="AV126" t="str">
            <v/>
          </cell>
          <cell r="AW126">
            <v>48</v>
          </cell>
          <cell r="AX126">
            <v>47</v>
          </cell>
          <cell r="AY126">
            <v>44</v>
          </cell>
          <cell r="AZ126">
            <v>50</v>
          </cell>
          <cell r="BA126">
            <v>15</v>
          </cell>
          <cell r="BB126">
            <v>48</v>
          </cell>
          <cell r="BC126">
            <v>47</v>
          </cell>
          <cell r="BD126">
            <v>44</v>
          </cell>
          <cell r="BE126">
            <v>50</v>
          </cell>
          <cell r="BF126">
            <v>15</v>
          </cell>
          <cell r="BG126">
            <v>21</v>
          </cell>
          <cell r="BH126">
            <v>48</v>
          </cell>
          <cell r="BI126">
            <v>47</v>
          </cell>
          <cell r="BJ126">
            <v>44</v>
          </cell>
          <cell r="BK126">
            <v>50</v>
          </cell>
          <cell r="BL126">
            <v>15</v>
          </cell>
          <cell r="BM126" t="str">
            <v/>
          </cell>
          <cell r="BN126">
            <v>225</v>
          </cell>
          <cell r="BO126">
            <v>21</v>
          </cell>
          <cell r="BP126">
            <v>48</v>
          </cell>
          <cell r="BQ126">
            <v>0</v>
          </cell>
          <cell r="BR126">
            <v>0</v>
          </cell>
          <cell r="BS126">
            <v>0</v>
          </cell>
          <cell r="BT126">
            <v>15</v>
          </cell>
          <cell r="BU126" t="str">
            <v/>
          </cell>
          <cell r="BV126">
            <v>84</v>
          </cell>
          <cell r="BW126">
            <v>1</v>
          </cell>
          <cell r="BX126" t="str">
            <v>TIDAK</v>
          </cell>
          <cell r="BY126" t="str">
            <v>TIDAK</v>
          </cell>
        </row>
        <row r="127">
          <cell r="A127">
            <v>92622</v>
          </cell>
          <cell r="B127" t="str">
            <v>Ayu Suci Nugroyanti</v>
          </cell>
          <cell r="C127" t="str">
            <v>DELTA</v>
          </cell>
          <cell r="D127">
            <v>44769</v>
          </cell>
          <cell r="E127" t="str">
            <v>Jul-22</v>
          </cell>
          <cell r="F127" t="str">
            <v>EKSKLUSIF</v>
          </cell>
          <cell r="G127" t="str">
            <v>REGULER</v>
          </cell>
          <cell r="H127" t="str">
            <v>EKSKLUSIF</v>
          </cell>
          <cell r="I127" t="str">
            <v>EKSKLUSIF</v>
          </cell>
          <cell r="J127" t="str">
            <v>EKSKLUSIF</v>
          </cell>
          <cell r="K127" t="str">
            <v>EKSKLUSIF</v>
          </cell>
          <cell r="L127" t="str">
            <v>EKSKLUSIF</v>
          </cell>
          <cell r="M127">
            <v>21</v>
          </cell>
          <cell r="N127">
            <v>6</v>
          </cell>
          <cell r="O127">
            <v>41</v>
          </cell>
          <cell r="P127">
            <v>40</v>
          </cell>
          <cell r="Q127">
            <v>37</v>
          </cell>
          <cell r="R127">
            <v>44</v>
          </cell>
          <cell r="S127">
            <v>22</v>
          </cell>
          <cell r="T127">
            <v>211</v>
          </cell>
          <cell r="U127">
            <v>0</v>
          </cell>
          <cell r="V127">
            <v>6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6</v>
          </cell>
          <cell r="AC127">
            <v>0</v>
          </cell>
          <cell r="AD127" t="str">
            <v>TIDAK</v>
          </cell>
          <cell r="AE127" t="str">
            <v>TIDAK</v>
          </cell>
          <cell r="AF127">
            <v>6</v>
          </cell>
          <cell r="AG127">
            <v>2</v>
          </cell>
          <cell r="AH127" t="str">
            <v>SAPHIRE</v>
          </cell>
          <cell r="AI127">
            <v>0</v>
          </cell>
          <cell r="AJ127" t="str">
            <v>FALSE</v>
          </cell>
          <cell r="AK127">
            <v>0</v>
          </cell>
          <cell r="AL127">
            <v>45261</v>
          </cell>
          <cell r="AM127">
            <v>45701</v>
          </cell>
          <cell r="AN127">
            <v>1</v>
          </cell>
          <cell r="AO127">
            <v>6</v>
          </cell>
          <cell r="AP127" t="str">
            <v>EKSKLUSIF</v>
          </cell>
          <cell r="AQ127" t="str">
            <v>-</v>
          </cell>
          <cell r="AR127" t="str">
            <v>EKSKLUSIF</v>
          </cell>
          <cell r="AS127" t="str">
            <v>EKSKLUSIF</v>
          </cell>
          <cell r="AT127" t="str">
            <v>EKSKLUSIF</v>
          </cell>
          <cell r="AU127" t="str">
            <v>EKSKLUSIF</v>
          </cell>
          <cell r="AV127" t="str">
            <v/>
          </cell>
          <cell r="AW127">
            <v>47</v>
          </cell>
          <cell r="AX127">
            <v>46</v>
          </cell>
          <cell r="AY127">
            <v>41</v>
          </cell>
          <cell r="AZ127">
            <v>48</v>
          </cell>
          <cell r="BA127">
            <v>43</v>
          </cell>
          <cell r="BB127">
            <v>47</v>
          </cell>
          <cell r="BC127">
            <v>46</v>
          </cell>
          <cell r="BD127">
            <v>41</v>
          </cell>
          <cell r="BE127">
            <v>48</v>
          </cell>
          <cell r="BF127">
            <v>43</v>
          </cell>
          <cell r="BG127">
            <v>20</v>
          </cell>
          <cell r="BH127">
            <v>47</v>
          </cell>
          <cell r="BI127">
            <v>46</v>
          </cell>
          <cell r="BJ127">
            <v>41</v>
          </cell>
          <cell r="BK127">
            <v>48</v>
          </cell>
          <cell r="BL127">
            <v>43</v>
          </cell>
          <cell r="BM127">
            <v>22</v>
          </cell>
          <cell r="BN127">
            <v>267</v>
          </cell>
          <cell r="BO127">
            <v>0</v>
          </cell>
          <cell r="BP127">
            <v>47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22</v>
          </cell>
          <cell r="BV127">
            <v>69</v>
          </cell>
          <cell r="BW127">
            <v>0</v>
          </cell>
          <cell r="BX127" t="str">
            <v>TIDAK</v>
          </cell>
          <cell r="BY127" t="str">
            <v>TIDAK</v>
          </cell>
        </row>
        <row r="128">
          <cell r="A128" t="str">
            <v>A3404</v>
          </cell>
          <cell r="B128" t="str">
            <v>Ayu Sukmawati</v>
          </cell>
          <cell r="C128" t="str">
            <v>DELTA</v>
          </cell>
          <cell r="D128">
            <v>45240</v>
          </cell>
          <cell r="E128" t="str">
            <v>Nov-23</v>
          </cell>
          <cell r="F128" t="str">
            <v>REGULER</v>
          </cell>
          <cell r="G128" t="str">
            <v>REGULER</v>
          </cell>
          <cell r="H128" t="str">
            <v>REGULER</v>
          </cell>
          <cell r="I128" t="str">
            <v>REGULER</v>
          </cell>
          <cell r="J128" t="str">
            <v>EKSKLUSIF</v>
          </cell>
          <cell r="K128" t="str">
            <v>EKSKLUSIF</v>
          </cell>
          <cell r="L128" t="str">
            <v>EKSKLUSIF</v>
          </cell>
          <cell r="M128">
            <v>21</v>
          </cell>
          <cell r="N128">
            <v>35</v>
          </cell>
          <cell r="O128">
            <v>35</v>
          </cell>
          <cell r="P128">
            <v>39</v>
          </cell>
          <cell r="Q128">
            <v>39</v>
          </cell>
          <cell r="R128">
            <v>43</v>
          </cell>
          <cell r="S128">
            <v>21</v>
          </cell>
          <cell r="T128">
            <v>233</v>
          </cell>
          <cell r="U128">
            <v>21</v>
          </cell>
          <cell r="V128">
            <v>35</v>
          </cell>
          <cell r="W128">
            <v>35</v>
          </cell>
          <cell r="X128">
            <v>39</v>
          </cell>
          <cell r="Y128">
            <v>0</v>
          </cell>
          <cell r="Z128">
            <v>0</v>
          </cell>
          <cell r="AA128">
            <v>0</v>
          </cell>
          <cell r="AB128">
            <v>130</v>
          </cell>
          <cell r="AC128">
            <v>0</v>
          </cell>
          <cell r="AD128" t="str">
            <v>TIDAK</v>
          </cell>
          <cell r="AE128" t="str">
            <v>TIDAK</v>
          </cell>
          <cell r="AF128">
            <v>130</v>
          </cell>
          <cell r="AG128">
            <v>3</v>
          </cell>
          <cell r="AH128" t="str">
            <v>SAPHIRE</v>
          </cell>
          <cell r="AI128">
            <v>0</v>
          </cell>
          <cell r="AJ128" t="str">
            <v>Y</v>
          </cell>
          <cell r="AK128">
            <v>0</v>
          </cell>
          <cell r="AL128">
            <v>45261</v>
          </cell>
          <cell r="AM128">
            <v>45701</v>
          </cell>
          <cell r="AN128">
            <v>1</v>
          </cell>
          <cell r="AO128">
            <v>130</v>
          </cell>
          <cell r="AP128" t="str">
            <v>EKSKLUSIF</v>
          </cell>
          <cell r="AQ128" t="str">
            <v>-</v>
          </cell>
          <cell r="AR128" t="str">
            <v>EKSKLUSIF</v>
          </cell>
          <cell r="AS128" t="str">
            <v>EKSKLUSIF</v>
          </cell>
          <cell r="AT128" t="str">
            <v>EKSKLUSIF</v>
          </cell>
          <cell r="AU128" t="str">
            <v>EKSKLUSIF</v>
          </cell>
          <cell r="AV128" t="str">
            <v/>
          </cell>
          <cell r="AW128">
            <v>48</v>
          </cell>
          <cell r="AX128">
            <v>49</v>
          </cell>
          <cell r="AY128">
            <v>44</v>
          </cell>
          <cell r="AZ128">
            <v>49</v>
          </cell>
          <cell r="BA128">
            <v>45</v>
          </cell>
          <cell r="BB128">
            <v>48</v>
          </cell>
          <cell r="BC128">
            <v>49</v>
          </cell>
          <cell r="BD128">
            <v>44</v>
          </cell>
          <cell r="BE128">
            <v>49</v>
          </cell>
          <cell r="BF128">
            <v>45</v>
          </cell>
          <cell r="BG128">
            <v>18</v>
          </cell>
          <cell r="BH128">
            <v>48</v>
          </cell>
          <cell r="BI128">
            <v>49</v>
          </cell>
          <cell r="BJ128">
            <v>44</v>
          </cell>
          <cell r="BK128">
            <v>49</v>
          </cell>
          <cell r="BL128">
            <v>45</v>
          </cell>
          <cell r="BM128">
            <v>22</v>
          </cell>
          <cell r="BN128">
            <v>275</v>
          </cell>
          <cell r="BO128">
            <v>0</v>
          </cell>
          <cell r="BP128">
            <v>48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22</v>
          </cell>
          <cell r="BV128">
            <v>70</v>
          </cell>
          <cell r="BW128">
            <v>0</v>
          </cell>
          <cell r="BX128" t="str">
            <v>TIDAK</v>
          </cell>
          <cell r="BY128" t="str">
            <v>TIDAK</v>
          </cell>
        </row>
        <row r="129">
          <cell r="A129" t="str">
            <v>A1728</v>
          </cell>
          <cell r="B129" t="str">
            <v>Ayu Tri Lestari</v>
          </cell>
          <cell r="C129" t="str">
            <v>DELTA</v>
          </cell>
          <cell r="D129">
            <v>45009</v>
          </cell>
          <cell r="E129" t="str">
            <v>Mar-23</v>
          </cell>
          <cell r="F129" t="str">
            <v>EKSKLUSIF</v>
          </cell>
          <cell r="G129" t="str">
            <v>EKSKLUSIF</v>
          </cell>
          <cell r="H129" t="str">
            <v>EKSKLUSIF</v>
          </cell>
          <cell r="I129" t="str">
            <v>EKSKLUSIF</v>
          </cell>
          <cell r="J129" t="str">
            <v>EKSKLUSIF</v>
          </cell>
          <cell r="K129" t="str">
            <v>EKSKLUSIF</v>
          </cell>
          <cell r="L129" t="str">
            <v>EKSKLUSIF</v>
          </cell>
          <cell r="M129">
            <v>22</v>
          </cell>
          <cell r="N129">
            <v>46</v>
          </cell>
          <cell r="O129">
            <v>41</v>
          </cell>
          <cell r="P129">
            <v>42</v>
          </cell>
          <cell r="Q129">
            <v>39</v>
          </cell>
          <cell r="R129">
            <v>42</v>
          </cell>
          <cell r="S129">
            <v>22</v>
          </cell>
          <cell r="T129">
            <v>254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 t="str">
            <v>TIDAK</v>
          </cell>
          <cell r="AE129" t="str">
            <v>TIDAK</v>
          </cell>
          <cell r="AF129">
            <v>0</v>
          </cell>
          <cell r="AG129">
            <v>2</v>
          </cell>
          <cell r="AH129" t="str">
            <v>SAPHIRE</v>
          </cell>
          <cell r="AI129">
            <v>0</v>
          </cell>
          <cell r="AJ129" t="str">
            <v>FALSE</v>
          </cell>
          <cell r="AK129">
            <v>0</v>
          </cell>
          <cell r="AL129">
            <v>45261</v>
          </cell>
          <cell r="AM129">
            <v>45701</v>
          </cell>
          <cell r="AN129">
            <v>1</v>
          </cell>
          <cell r="AO129">
            <v>0</v>
          </cell>
          <cell r="AP129" t="str">
            <v>EKSKLUSIF</v>
          </cell>
          <cell r="AQ129" t="str">
            <v>-</v>
          </cell>
          <cell r="AR129" t="str">
            <v>EKSKLUSIF</v>
          </cell>
          <cell r="AS129" t="str">
            <v>REGULER</v>
          </cell>
          <cell r="AT129" t="str">
            <v>REGULER</v>
          </cell>
          <cell r="AU129" t="str">
            <v>REGULER</v>
          </cell>
          <cell r="AV129" t="str">
            <v/>
          </cell>
          <cell r="AW129">
            <v>49</v>
          </cell>
          <cell r="AX129">
            <v>45</v>
          </cell>
          <cell r="AY129">
            <v>33</v>
          </cell>
          <cell r="AZ129">
            <v>41</v>
          </cell>
          <cell r="BA129">
            <v>35</v>
          </cell>
          <cell r="BB129">
            <v>49</v>
          </cell>
          <cell r="BC129">
            <v>45</v>
          </cell>
          <cell r="BD129">
            <v>33</v>
          </cell>
          <cell r="BE129">
            <v>41</v>
          </cell>
          <cell r="BF129">
            <v>35</v>
          </cell>
          <cell r="BG129">
            <v>19</v>
          </cell>
          <cell r="BH129">
            <v>49</v>
          </cell>
          <cell r="BI129">
            <v>45</v>
          </cell>
          <cell r="BJ129">
            <v>33</v>
          </cell>
          <cell r="BK129">
            <v>41</v>
          </cell>
          <cell r="BL129">
            <v>35</v>
          </cell>
          <cell r="BM129">
            <v>19</v>
          </cell>
          <cell r="BN129">
            <v>241</v>
          </cell>
          <cell r="BO129">
            <v>0</v>
          </cell>
          <cell r="BP129">
            <v>49</v>
          </cell>
          <cell r="BQ129">
            <v>0</v>
          </cell>
          <cell r="BR129">
            <v>33</v>
          </cell>
          <cell r="BS129">
            <v>41</v>
          </cell>
          <cell r="BT129">
            <v>35</v>
          </cell>
          <cell r="BU129">
            <v>19</v>
          </cell>
          <cell r="BV129">
            <v>177</v>
          </cell>
          <cell r="BW129">
            <v>0</v>
          </cell>
          <cell r="BX129" t="str">
            <v>TIDAK</v>
          </cell>
          <cell r="BY129" t="str">
            <v>TIDAK</v>
          </cell>
        </row>
        <row r="130">
          <cell r="A130" t="str">
            <v>A1219</v>
          </cell>
          <cell r="B130" t="str">
            <v>Aziz Alfisyahri</v>
          </cell>
          <cell r="C130" t="str">
            <v>DELTA</v>
          </cell>
          <cell r="D130">
            <v>44959</v>
          </cell>
          <cell r="E130" t="str">
            <v>Feb-23</v>
          </cell>
          <cell r="F130" t="str">
            <v>EKSKLUSIF</v>
          </cell>
          <cell r="G130" t="str">
            <v>EKSKLUSIF</v>
          </cell>
          <cell r="H130" t="str">
            <v>EKSKLUSIF</v>
          </cell>
          <cell r="I130" t="str">
            <v>REGULER</v>
          </cell>
          <cell r="J130" t="str">
            <v>EKSKLUSIF</v>
          </cell>
          <cell r="K130" t="str">
            <v>EKSKLUSIF</v>
          </cell>
          <cell r="L130" t="str">
            <v>EKSKLUSIF</v>
          </cell>
          <cell r="M130">
            <v>20</v>
          </cell>
          <cell r="N130">
            <v>40</v>
          </cell>
          <cell r="O130">
            <v>40</v>
          </cell>
          <cell r="P130">
            <v>12</v>
          </cell>
          <cell r="Q130">
            <v>39</v>
          </cell>
          <cell r="R130">
            <v>44</v>
          </cell>
          <cell r="S130">
            <v>22</v>
          </cell>
          <cell r="T130">
            <v>217</v>
          </cell>
          <cell r="U130">
            <v>0</v>
          </cell>
          <cell r="V130">
            <v>0</v>
          </cell>
          <cell r="W130">
            <v>0</v>
          </cell>
          <cell r="X130">
            <v>12</v>
          </cell>
          <cell r="Y130">
            <v>0</v>
          </cell>
          <cell r="Z130">
            <v>0</v>
          </cell>
          <cell r="AA130">
            <v>0</v>
          </cell>
          <cell r="AB130">
            <v>12</v>
          </cell>
          <cell r="AC130">
            <v>0</v>
          </cell>
          <cell r="AD130" t="str">
            <v>TIDAK</v>
          </cell>
          <cell r="AE130" t="str">
            <v>TIDAK</v>
          </cell>
          <cell r="AF130">
            <v>12</v>
          </cell>
          <cell r="AG130">
            <v>2</v>
          </cell>
          <cell r="AH130" t="str">
            <v>SAPHIRE</v>
          </cell>
          <cell r="AI130">
            <v>0</v>
          </cell>
          <cell r="AJ130" t="str">
            <v>FALSE</v>
          </cell>
          <cell r="AK130">
            <v>0</v>
          </cell>
          <cell r="AL130">
            <v>45261</v>
          </cell>
          <cell r="AM130">
            <v>45701</v>
          </cell>
          <cell r="AN130">
            <v>1</v>
          </cell>
          <cell r="AO130">
            <v>12</v>
          </cell>
          <cell r="AP130" t="str">
            <v>EKSKLUSIF</v>
          </cell>
          <cell r="AQ130" t="str">
            <v>-</v>
          </cell>
          <cell r="AR130" t="str">
            <v>EKSKLUSIF</v>
          </cell>
          <cell r="AS130" t="str">
            <v>EKSKLUSIF</v>
          </cell>
          <cell r="AT130" t="str">
            <v>EKSKLUSIF</v>
          </cell>
          <cell r="AU130" t="str">
            <v>EKSKLUSIF</v>
          </cell>
          <cell r="AV130" t="str">
            <v/>
          </cell>
          <cell r="AW130">
            <v>48</v>
          </cell>
          <cell r="AX130">
            <v>48</v>
          </cell>
          <cell r="AY130">
            <v>44</v>
          </cell>
          <cell r="AZ130">
            <v>50</v>
          </cell>
          <cell r="BA130">
            <v>46</v>
          </cell>
          <cell r="BB130">
            <v>48</v>
          </cell>
          <cell r="BC130">
            <v>48</v>
          </cell>
          <cell r="BD130">
            <v>44</v>
          </cell>
          <cell r="BE130">
            <v>50</v>
          </cell>
          <cell r="BF130">
            <v>46</v>
          </cell>
          <cell r="BG130">
            <v>20</v>
          </cell>
          <cell r="BH130">
            <v>48</v>
          </cell>
          <cell r="BI130">
            <v>48</v>
          </cell>
          <cell r="BJ130">
            <v>44</v>
          </cell>
          <cell r="BK130">
            <v>50</v>
          </cell>
          <cell r="BL130">
            <v>46</v>
          </cell>
          <cell r="BM130">
            <v>21</v>
          </cell>
          <cell r="BN130">
            <v>277</v>
          </cell>
          <cell r="BO130">
            <v>0</v>
          </cell>
          <cell r="BP130">
            <v>48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21</v>
          </cell>
          <cell r="BV130">
            <v>69</v>
          </cell>
          <cell r="BW130">
            <v>0</v>
          </cell>
          <cell r="BX130" t="str">
            <v>TIDAK</v>
          </cell>
          <cell r="BY130" t="str">
            <v>TIDAK</v>
          </cell>
        </row>
        <row r="131">
          <cell r="A131" t="str">
            <v>A1427</v>
          </cell>
          <cell r="B131" t="str">
            <v>Bella Eka Putri</v>
          </cell>
          <cell r="C131" t="str">
            <v>DELTA</v>
          </cell>
          <cell r="D131">
            <v>44973</v>
          </cell>
          <cell r="E131" t="str">
            <v>Feb-23</v>
          </cell>
          <cell r="F131" t="str">
            <v>REGULER</v>
          </cell>
          <cell r="G131" t="str">
            <v>REGULER</v>
          </cell>
          <cell r="H131" t="str">
            <v>REGULER</v>
          </cell>
          <cell r="I131" t="str">
            <v>REGULER</v>
          </cell>
          <cell r="J131" t="str">
            <v>REGULER</v>
          </cell>
          <cell r="K131" t="str">
            <v>REGULER</v>
          </cell>
          <cell r="L131" t="str">
            <v>-</v>
          </cell>
          <cell r="M131">
            <v>0</v>
          </cell>
          <cell r="N131">
            <v>30</v>
          </cell>
          <cell r="O131">
            <v>18</v>
          </cell>
          <cell r="P131">
            <v>15</v>
          </cell>
          <cell r="Q131">
            <v>32</v>
          </cell>
          <cell r="R131">
            <v>16</v>
          </cell>
          <cell r="S131" t="str">
            <v/>
          </cell>
          <cell r="T131">
            <v>111</v>
          </cell>
          <cell r="U131">
            <v>0</v>
          </cell>
          <cell r="V131">
            <v>30</v>
          </cell>
          <cell r="W131">
            <v>18</v>
          </cell>
          <cell r="X131">
            <v>15</v>
          </cell>
          <cell r="Y131">
            <v>32</v>
          </cell>
          <cell r="Z131">
            <v>16</v>
          </cell>
          <cell r="AA131" t="str">
            <v/>
          </cell>
          <cell r="AB131">
            <v>111</v>
          </cell>
          <cell r="AC131">
            <v>2</v>
          </cell>
          <cell r="AD131" t="str">
            <v>TIDAK</v>
          </cell>
          <cell r="AE131" t="str">
            <v>TIDAK</v>
          </cell>
          <cell r="AF131">
            <v>111</v>
          </cell>
          <cell r="AG131">
            <v>2</v>
          </cell>
          <cell r="AH131" t="str">
            <v>SAPHIRE</v>
          </cell>
          <cell r="AI131">
            <v>0</v>
          </cell>
          <cell r="AJ131" t="str">
            <v>Y</v>
          </cell>
          <cell r="AK131">
            <v>0</v>
          </cell>
          <cell r="AL131">
            <v>45261</v>
          </cell>
          <cell r="AM131">
            <v>45701</v>
          </cell>
          <cell r="AN131">
            <v>1</v>
          </cell>
          <cell r="AO131">
            <v>111</v>
          </cell>
          <cell r="AP131" t="str">
            <v>-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 t="str">
            <v>-</v>
          </cell>
          <cell r="AV131" t="str">
            <v/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 t="str">
            <v/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 t="str">
            <v/>
          </cell>
          <cell r="BN131">
            <v>0</v>
          </cell>
          <cell r="BO131" t="str">
            <v/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 t="str">
            <v/>
          </cell>
          <cell r="BV131">
            <v>0</v>
          </cell>
          <cell r="BW131">
            <v>7</v>
          </cell>
          <cell r="BX131" t="str">
            <v>DOWNGRADE</v>
          </cell>
          <cell r="BY131" t="str">
            <v>RESET</v>
          </cell>
        </row>
        <row r="132">
          <cell r="A132" t="str">
            <v>A1281</v>
          </cell>
          <cell r="B132" t="str">
            <v>Benedicta Marisa</v>
          </cell>
          <cell r="C132" t="str">
            <v>DELTA</v>
          </cell>
          <cell r="D132">
            <v>44971</v>
          </cell>
          <cell r="E132" t="str">
            <v>Feb-23</v>
          </cell>
          <cell r="F132" t="str">
            <v>REGULER</v>
          </cell>
          <cell r="G132" t="str">
            <v>REGULER</v>
          </cell>
          <cell r="H132" t="str">
            <v>REGULER</v>
          </cell>
          <cell r="I132" t="str">
            <v>REGULER</v>
          </cell>
          <cell r="J132" t="str">
            <v>REGULER</v>
          </cell>
          <cell r="K132" t="str">
            <v>REGULER</v>
          </cell>
          <cell r="L132" t="str">
            <v>REGULER</v>
          </cell>
          <cell r="M132">
            <v>17</v>
          </cell>
          <cell r="N132">
            <v>14</v>
          </cell>
          <cell r="O132">
            <v>16</v>
          </cell>
          <cell r="P132">
            <v>25</v>
          </cell>
          <cell r="Q132">
            <v>8</v>
          </cell>
          <cell r="R132">
            <v>33</v>
          </cell>
          <cell r="S132">
            <v>15</v>
          </cell>
          <cell r="T132">
            <v>128</v>
          </cell>
          <cell r="U132">
            <v>17</v>
          </cell>
          <cell r="V132">
            <v>14</v>
          </cell>
          <cell r="W132">
            <v>16</v>
          </cell>
          <cell r="X132">
            <v>25</v>
          </cell>
          <cell r="Y132">
            <v>8</v>
          </cell>
          <cell r="Z132">
            <v>33</v>
          </cell>
          <cell r="AA132">
            <v>15</v>
          </cell>
          <cell r="AB132">
            <v>128</v>
          </cell>
          <cell r="AC132">
            <v>0</v>
          </cell>
          <cell r="AD132" t="str">
            <v>TIDAK</v>
          </cell>
          <cell r="AE132" t="str">
            <v>TIDAK</v>
          </cell>
          <cell r="AF132">
            <v>128</v>
          </cell>
          <cell r="AG132">
            <v>2</v>
          </cell>
          <cell r="AH132" t="str">
            <v>SAPHIRE</v>
          </cell>
          <cell r="AI132">
            <v>0</v>
          </cell>
          <cell r="AJ132" t="str">
            <v>Y</v>
          </cell>
          <cell r="AK132">
            <v>0</v>
          </cell>
          <cell r="AL132">
            <v>45261</v>
          </cell>
          <cell r="AM132">
            <v>45701</v>
          </cell>
          <cell r="AN132">
            <v>1</v>
          </cell>
          <cell r="AO132">
            <v>128</v>
          </cell>
          <cell r="AP132" t="str">
            <v>-</v>
          </cell>
          <cell r="AQ132" t="str">
            <v>-</v>
          </cell>
          <cell r="AR132" t="str">
            <v>REGULER</v>
          </cell>
          <cell r="AS132" t="str">
            <v>-</v>
          </cell>
          <cell r="AT132" t="str">
            <v>-</v>
          </cell>
          <cell r="AU132" t="str">
            <v>REGULER</v>
          </cell>
          <cell r="AV132" t="str">
            <v/>
          </cell>
          <cell r="AW132">
            <v>16</v>
          </cell>
          <cell r="AX132">
            <v>2</v>
          </cell>
          <cell r="AY132">
            <v>0</v>
          </cell>
          <cell r="AZ132">
            <v>0</v>
          </cell>
          <cell r="BA132">
            <v>17</v>
          </cell>
          <cell r="BB132">
            <v>16</v>
          </cell>
          <cell r="BC132">
            <v>2</v>
          </cell>
          <cell r="BD132">
            <v>0</v>
          </cell>
          <cell r="BE132">
            <v>0</v>
          </cell>
          <cell r="BF132">
            <v>17</v>
          </cell>
          <cell r="BG132">
            <v>0</v>
          </cell>
          <cell r="BH132">
            <v>16</v>
          </cell>
          <cell r="BI132">
            <v>2</v>
          </cell>
          <cell r="BJ132">
            <v>0</v>
          </cell>
          <cell r="BK132">
            <v>0</v>
          </cell>
          <cell r="BL132">
            <v>17</v>
          </cell>
          <cell r="BM132">
            <v>16</v>
          </cell>
          <cell r="BN132">
            <v>51</v>
          </cell>
          <cell r="BO132">
            <v>0</v>
          </cell>
          <cell r="BP132">
            <v>16</v>
          </cell>
          <cell r="BQ132">
            <v>2</v>
          </cell>
          <cell r="BR132">
            <v>0</v>
          </cell>
          <cell r="BS132">
            <v>0</v>
          </cell>
          <cell r="BT132">
            <v>17</v>
          </cell>
          <cell r="BU132">
            <v>16</v>
          </cell>
          <cell r="BV132">
            <v>51</v>
          </cell>
          <cell r="BW132">
            <v>3</v>
          </cell>
          <cell r="BX132" t="str">
            <v>DOWNGRADE</v>
          </cell>
          <cell r="BY132" t="str">
            <v>TIDAK</v>
          </cell>
        </row>
        <row r="133">
          <cell r="A133" t="str">
            <v>A3273</v>
          </cell>
          <cell r="B133" t="str">
            <v>Bintang Mutiarajati</v>
          </cell>
          <cell r="C133" t="str">
            <v>DELTA</v>
          </cell>
          <cell r="D133">
            <v>45246</v>
          </cell>
          <cell r="E133" t="str">
            <v>Nov-23</v>
          </cell>
          <cell r="F133" t="str">
            <v>REGULER</v>
          </cell>
          <cell r="G133" t="str">
            <v>REGULER</v>
          </cell>
          <cell r="H133" t="str">
            <v>REGULER</v>
          </cell>
          <cell r="I133" t="str">
            <v>REGULER</v>
          </cell>
          <cell r="J133" t="str">
            <v>REGULER</v>
          </cell>
          <cell r="K133" t="str">
            <v>REGULER</v>
          </cell>
          <cell r="L133" t="str">
            <v>REGULER</v>
          </cell>
          <cell r="M133">
            <v>10</v>
          </cell>
          <cell r="N133">
            <v>36</v>
          </cell>
          <cell r="O133">
            <v>35</v>
          </cell>
          <cell r="P133">
            <v>36</v>
          </cell>
          <cell r="Q133">
            <v>34</v>
          </cell>
          <cell r="R133">
            <v>37</v>
          </cell>
          <cell r="S133">
            <v>15</v>
          </cell>
          <cell r="T133">
            <v>203</v>
          </cell>
          <cell r="U133">
            <v>10</v>
          </cell>
          <cell r="V133">
            <v>36</v>
          </cell>
          <cell r="W133">
            <v>35</v>
          </cell>
          <cell r="X133">
            <v>36</v>
          </cell>
          <cell r="Y133">
            <v>34</v>
          </cell>
          <cell r="Z133">
            <v>37</v>
          </cell>
          <cell r="AA133">
            <v>15</v>
          </cell>
          <cell r="AB133">
            <v>203</v>
          </cell>
          <cell r="AC133">
            <v>0</v>
          </cell>
          <cell r="AD133" t="str">
            <v>TIDAK</v>
          </cell>
          <cell r="AE133" t="str">
            <v>TIDAK</v>
          </cell>
          <cell r="AF133">
            <v>203</v>
          </cell>
          <cell r="AG133">
            <v>2</v>
          </cell>
          <cell r="AH133" t="str">
            <v>SAPHIRE</v>
          </cell>
          <cell r="AI133">
            <v>0</v>
          </cell>
          <cell r="AJ133" t="str">
            <v>Y</v>
          </cell>
          <cell r="AK133">
            <v>0</v>
          </cell>
          <cell r="AL133">
            <v>45261</v>
          </cell>
          <cell r="AM133">
            <v>45701</v>
          </cell>
          <cell r="AN133">
            <v>1</v>
          </cell>
          <cell r="AO133">
            <v>203</v>
          </cell>
          <cell r="AP133" t="str">
            <v>-</v>
          </cell>
          <cell r="AQ133" t="str">
            <v>-</v>
          </cell>
          <cell r="AR133" t="str">
            <v>REGULER</v>
          </cell>
          <cell r="AS133" t="str">
            <v>REGULER</v>
          </cell>
          <cell r="AT133" t="str">
            <v>REGULER</v>
          </cell>
          <cell r="AU133" t="str">
            <v>REGULER</v>
          </cell>
          <cell r="AV133" t="str">
            <v/>
          </cell>
          <cell r="AW133">
            <v>39</v>
          </cell>
          <cell r="AX133">
            <v>42</v>
          </cell>
          <cell r="AY133">
            <v>41</v>
          </cell>
          <cell r="AZ133">
            <v>35</v>
          </cell>
          <cell r="BA133">
            <v>38</v>
          </cell>
          <cell r="BB133">
            <v>39</v>
          </cell>
          <cell r="BC133">
            <v>42</v>
          </cell>
          <cell r="BD133">
            <v>41</v>
          </cell>
          <cell r="BE133">
            <v>35</v>
          </cell>
          <cell r="BF133">
            <v>38</v>
          </cell>
          <cell r="BG133">
            <v>17</v>
          </cell>
          <cell r="BH133">
            <v>39</v>
          </cell>
          <cell r="BI133">
            <v>42</v>
          </cell>
          <cell r="BJ133">
            <v>41</v>
          </cell>
          <cell r="BK133">
            <v>35</v>
          </cell>
          <cell r="BL133">
            <v>38</v>
          </cell>
          <cell r="BM133">
            <v>19</v>
          </cell>
          <cell r="BN133">
            <v>231</v>
          </cell>
          <cell r="BO133">
            <v>17</v>
          </cell>
          <cell r="BP133">
            <v>39</v>
          </cell>
          <cell r="BQ133">
            <v>42</v>
          </cell>
          <cell r="BR133">
            <v>41</v>
          </cell>
          <cell r="BS133">
            <v>35</v>
          </cell>
          <cell r="BT133">
            <v>38</v>
          </cell>
          <cell r="BU133">
            <v>19</v>
          </cell>
          <cell r="BV133">
            <v>231</v>
          </cell>
          <cell r="BW133">
            <v>0</v>
          </cell>
          <cell r="BX133" t="str">
            <v>TIDAK</v>
          </cell>
          <cell r="BY133" t="str">
            <v>TIDAK</v>
          </cell>
        </row>
        <row r="134">
          <cell r="A134" t="str">
            <v>A3745</v>
          </cell>
          <cell r="B134" t="str">
            <v>Bionia Puteri Yasmin</v>
          </cell>
          <cell r="C134" t="str">
            <v>DELTA</v>
          </cell>
          <cell r="D134">
            <v>45358</v>
          </cell>
          <cell r="E134" t="str">
            <v>Mar-24</v>
          </cell>
          <cell r="F134" t="str">
            <v>-</v>
          </cell>
          <cell r="G134" t="str">
            <v>-</v>
          </cell>
          <cell r="H134" t="str">
            <v>-</v>
          </cell>
          <cell r="I134" t="str">
            <v>REGULER</v>
          </cell>
          <cell r="J134" t="str">
            <v>-</v>
          </cell>
          <cell r="K134" t="str">
            <v>REGULER</v>
          </cell>
          <cell r="L134" t="str">
            <v>REGULER</v>
          </cell>
          <cell r="M134">
            <v>0</v>
          </cell>
          <cell r="N134">
            <v>0</v>
          </cell>
          <cell r="O134">
            <v>0</v>
          </cell>
          <cell r="P134">
            <v>6</v>
          </cell>
          <cell r="Q134">
            <v>0</v>
          </cell>
          <cell r="R134">
            <v>4</v>
          </cell>
          <cell r="S134">
            <v>2</v>
          </cell>
          <cell r="T134">
            <v>12</v>
          </cell>
          <cell r="U134">
            <v>0</v>
          </cell>
          <cell r="V134">
            <v>0</v>
          </cell>
          <cell r="W134">
            <v>0</v>
          </cell>
          <cell r="X134">
            <v>6</v>
          </cell>
          <cell r="Y134">
            <v>0</v>
          </cell>
          <cell r="Z134">
            <v>4</v>
          </cell>
          <cell r="AA134">
            <v>2</v>
          </cell>
          <cell r="AB134">
            <v>12</v>
          </cell>
          <cell r="AC134">
            <v>1</v>
          </cell>
          <cell r="AD134" t="str">
            <v>TIDAK</v>
          </cell>
          <cell r="AE134" t="str">
            <v>TIDAK</v>
          </cell>
          <cell r="AF134">
            <v>12</v>
          </cell>
          <cell r="AG134">
            <v>0</v>
          </cell>
          <cell r="AH134" t="str">
            <v>SAPHIRE</v>
          </cell>
          <cell r="AI134">
            <v>0</v>
          </cell>
          <cell r="AJ134" t="str">
            <v>FALSE</v>
          </cell>
          <cell r="AK134">
            <v>0</v>
          </cell>
          <cell r="AL134">
            <v>45261</v>
          </cell>
          <cell r="AM134">
            <v>45701</v>
          </cell>
          <cell r="AN134">
            <v>1</v>
          </cell>
          <cell r="AO134">
            <v>12</v>
          </cell>
          <cell r="AP134" t="str">
            <v>-</v>
          </cell>
          <cell r="AQ134" t="str">
            <v>-</v>
          </cell>
          <cell r="AR134" t="str">
            <v>-</v>
          </cell>
          <cell r="AS134" t="str">
            <v>-</v>
          </cell>
          <cell r="AT134" t="str">
            <v>-</v>
          </cell>
          <cell r="AU134" t="str">
            <v>-</v>
          </cell>
          <cell r="AV134" t="str">
            <v/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 t="str">
            <v/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 t="str">
            <v/>
          </cell>
          <cell r="BN134">
            <v>0</v>
          </cell>
          <cell r="BO134" t="str">
            <v/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 t="str">
            <v/>
          </cell>
          <cell r="BV134">
            <v>0</v>
          </cell>
          <cell r="BW134">
            <v>7</v>
          </cell>
          <cell r="BX134" t="str">
            <v>DOWNGRADE</v>
          </cell>
          <cell r="BY134" t="str">
            <v>RESET</v>
          </cell>
        </row>
        <row r="135">
          <cell r="A135" t="str">
            <v>A0682</v>
          </cell>
          <cell r="B135" t="str">
            <v>Caroline Desi</v>
          </cell>
          <cell r="C135" t="str">
            <v>DELTA</v>
          </cell>
          <cell r="D135">
            <v>44859</v>
          </cell>
          <cell r="E135" t="str">
            <v>Oct-22</v>
          </cell>
          <cell r="F135" t="str">
            <v>EKSKLUSIF</v>
          </cell>
          <cell r="G135" t="str">
            <v>EKSKLUSIF</v>
          </cell>
          <cell r="H135" t="str">
            <v>EKSKLUSIF</v>
          </cell>
          <cell r="I135" t="str">
            <v>EKSKLUSIF</v>
          </cell>
          <cell r="J135" t="str">
            <v>EKSKLUSIF</v>
          </cell>
          <cell r="K135" t="str">
            <v>EKSKLUSIF</v>
          </cell>
          <cell r="L135" t="str">
            <v>REGULER</v>
          </cell>
          <cell r="M135">
            <v>20</v>
          </cell>
          <cell r="N135">
            <v>47</v>
          </cell>
          <cell r="O135">
            <v>41</v>
          </cell>
          <cell r="P135">
            <v>42</v>
          </cell>
          <cell r="Q135">
            <v>37</v>
          </cell>
          <cell r="R135">
            <v>42</v>
          </cell>
          <cell r="S135">
            <v>17</v>
          </cell>
          <cell r="T135">
            <v>246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17</v>
          </cell>
          <cell r="AB135">
            <v>17</v>
          </cell>
          <cell r="AC135">
            <v>0</v>
          </cell>
          <cell r="AD135" t="str">
            <v>TIDAK</v>
          </cell>
          <cell r="AE135" t="str">
            <v>TIDAK</v>
          </cell>
          <cell r="AF135">
            <v>17</v>
          </cell>
          <cell r="AG135">
            <v>2</v>
          </cell>
          <cell r="AH135" t="str">
            <v>SAPHIRE</v>
          </cell>
          <cell r="AI135">
            <v>0</v>
          </cell>
          <cell r="AJ135" t="str">
            <v>FALSE</v>
          </cell>
          <cell r="AK135">
            <v>0</v>
          </cell>
          <cell r="AL135">
            <v>45261</v>
          </cell>
          <cell r="AM135">
            <v>45701</v>
          </cell>
          <cell r="AN135">
            <v>1</v>
          </cell>
          <cell r="AO135">
            <v>17</v>
          </cell>
          <cell r="AP135" t="str">
            <v>-</v>
          </cell>
          <cell r="AQ135" t="str">
            <v>-</v>
          </cell>
          <cell r="AR135" t="str">
            <v>REGULER</v>
          </cell>
          <cell r="AS135" t="str">
            <v>REGULER</v>
          </cell>
          <cell r="AT135" t="str">
            <v>REGULER</v>
          </cell>
          <cell r="AU135" t="str">
            <v>REGULER</v>
          </cell>
          <cell r="AV135" t="str">
            <v/>
          </cell>
          <cell r="AW135">
            <v>39</v>
          </cell>
          <cell r="AX135">
            <v>26</v>
          </cell>
          <cell r="AY135">
            <v>10</v>
          </cell>
          <cell r="AZ135">
            <v>4</v>
          </cell>
          <cell r="BA135">
            <v>25</v>
          </cell>
          <cell r="BB135">
            <v>39</v>
          </cell>
          <cell r="BC135">
            <v>26</v>
          </cell>
          <cell r="BD135">
            <v>10</v>
          </cell>
          <cell r="BE135">
            <v>4</v>
          </cell>
          <cell r="BF135">
            <v>25</v>
          </cell>
          <cell r="BG135" t="str">
            <v/>
          </cell>
          <cell r="BH135">
            <v>39</v>
          </cell>
          <cell r="BI135">
            <v>26</v>
          </cell>
          <cell r="BJ135">
            <v>10</v>
          </cell>
          <cell r="BK135">
            <v>4</v>
          </cell>
          <cell r="BL135">
            <v>25</v>
          </cell>
          <cell r="BM135">
            <v>17</v>
          </cell>
          <cell r="BN135">
            <v>121</v>
          </cell>
          <cell r="BO135" t="str">
            <v/>
          </cell>
          <cell r="BP135">
            <v>39</v>
          </cell>
          <cell r="BQ135">
            <v>26</v>
          </cell>
          <cell r="BR135">
            <v>10</v>
          </cell>
          <cell r="BS135">
            <v>4</v>
          </cell>
          <cell r="BT135">
            <v>25</v>
          </cell>
          <cell r="BU135">
            <v>17</v>
          </cell>
          <cell r="BV135">
            <v>121</v>
          </cell>
          <cell r="BW135">
            <v>1</v>
          </cell>
          <cell r="BX135" t="str">
            <v>TIDAK</v>
          </cell>
          <cell r="BY135" t="str">
            <v>TIDAK</v>
          </cell>
        </row>
        <row r="136">
          <cell r="A136" t="str">
            <v>A0517</v>
          </cell>
          <cell r="B136" t="str">
            <v>Chatarina Septryaningsi</v>
          </cell>
          <cell r="C136" t="str">
            <v>DELTA</v>
          </cell>
          <cell r="D136">
            <v>44861</v>
          </cell>
          <cell r="E136" t="str">
            <v>Oct-22</v>
          </cell>
          <cell r="F136" t="str">
            <v>REGULER</v>
          </cell>
          <cell r="G136" t="str">
            <v>REGULER</v>
          </cell>
          <cell r="H136" t="str">
            <v>EKSKLUSIF</v>
          </cell>
          <cell r="I136" t="str">
            <v>EKSKLUSIF</v>
          </cell>
          <cell r="J136" t="str">
            <v>EKSKLUSIF</v>
          </cell>
          <cell r="K136" t="str">
            <v>REGULER</v>
          </cell>
          <cell r="L136" t="str">
            <v>REGULER</v>
          </cell>
          <cell r="M136">
            <v>19</v>
          </cell>
          <cell r="N136">
            <v>45</v>
          </cell>
          <cell r="O136">
            <v>42</v>
          </cell>
          <cell r="P136">
            <v>43</v>
          </cell>
          <cell r="Q136">
            <v>39</v>
          </cell>
          <cell r="R136">
            <v>30</v>
          </cell>
          <cell r="S136">
            <v>22</v>
          </cell>
          <cell r="T136">
            <v>240</v>
          </cell>
          <cell r="U136">
            <v>19</v>
          </cell>
          <cell r="V136">
            <v>45</v>
          </cell>
          <cell r="W136">
            <v>0</v>
          </cell>
          <cell r="X136">
            <v>0</v>
          </cell>
          <cell r="Y136">
            <v>0</v>
          </cell>
          <cell r="Z136">
            <v>30</v>
          </cell>
          <cell r="AA136">
            <v>22</v>
          </cell>
          <cell r="AB136">
            <v>116</v>
          </cell>
          <cell r="AC136">
            <v>0</v>
          </cell>
          <cell r="AD136" t="str">
            <v>TIDAK</v>
          </cell>
          <cell r="AE136" t="str">
            <v>TIDAK</v>
          </cell>
          <cell r="AF136">
            <v>116</v>
          </cell>
          <cell r="AG136">
            <v>2</v>
          </cell>
          <cell r="AH136" t="str">
            <v>SAPHIRE</v>
          </cell>
          <cell r="AI136">
            <v>0</v>
          </cell>
          <cell r="AJ136" t="str">
            <v>Y</v>
          </cell>
          <cell r="AK136">
            <v>0</v>
          </cell>
          <cell r="AL136">
            <v>45261</v>
          </cell>
          <cell r="AM136">
            <v>45701</v>
          </cell>
          <cell r="AN136">
            <v>1</v>
          </cell>
          <cell r="AO136">
            <v>116</v>
          </cell>
          <cell r="AP136" t="str">
            <v>-</v>
          </cell>
          <cell r="AQ136" t="str">
            <v>-</v>
          </cell>
          <cell r="AR136" t="str">
            <v>EKSKLUSIF</v>
          </cell>
          <cell r="AS136" t="str">
            <v>EKSKLUSIF</v>
          </cell>
          <cell r="AT136" t="str">
            <v>REGULER</v>
          </cell>
          <cell r="AU136" t="str">
            <v>REGULER</v>
          </cell>
          <cell r="AV136" t="str">
            <v/>
          </cell>
          <cell r="AW136">
            <v>50</v>
          </cell>
          <cell r="AX136">
            <v>47</v>
          </cell>
          <cell r="AY136">
            <v>41</v>
          </cell>
          <cell r="AZ136">
            <v>45</v>
          </cell>
          <cell r="BA136">
            <v>44</v>
          </cell>
          <cell r="BB136">
            <v>50</v>
          </cell>
          <cell r="BC136">
            <v>47</v>
          </cell>
          <cell r="BD136">
            <v>41</v>
          </cell>
          <cell r="BE136">
            <v>45</v>
          </cell>
          <cell r="BF136">
            <v>44</v>
          </cell>
          <cell r="BG136">
            <v>19</v>
          </cell>
          <cell r="BH136">
            <v>50</v>
          </cell>
          <cell r="BI136">
            <v>47</v>
          </cell>
          <cell r="BJ136">
            <v>41</v>
          </cell>
          <cell r="BK136">
            <v>45</v>
          </cell>
          <cell r="BL136">
            <v>44</v>
          </cell>
          <cell r="BM136">
            <v>22</v>
          </cell>
          <cell r="BN136">
            <v>268</v>
          </cell>
          <cell r="BO136">
            <v>19</v>
          </cell>
          <cell r="BP136">
            <v>50</v>
          </cell>
          <cell r="BQ136">
            <v>0</v>
          </cell>
          <cell r="BR136">
            <v>0</v>
          </cell>
          <cell r="BS136">
            <v>45</v>
          </cell>
          <cell r="BT136">
            <v>44</v>
          </cell>
          <cell r="BU136">
            <v>22</v>
          </cell>
          <cell r="BV136">
            <v>180</v>
          </cell>
          <cell r="BW136">
            <v>0</v>
          </cell>
          <cell r="BX136" t="str">
            <v>TIDAK</v>
          </cell>
          <cell r="BY136" t="str">
            <v>TIDAK</v>
          </cell>
        </row>
        <row r="137">
          <cell r="A137" t="str">
            <v>A0261</v>
          </cell>
          <cell r="B137" t="str">
            <v>Chelsi Putri Ananda</v>
          </cell>
          <cell r="C137" t="str">
            <v>DELTA</v>
          </cell>
          <cell r="D137">
            <v>44811</v>
          </cell>
          <cell r="E137" t="str">
            <v>Sep-22</v>
          </cell>
          <cell r="F137" t="str">
            <v>EKSKLUSIF</v>
          </cell>
          <cell r="G137" t="str">
            <v>EKSKLUSIF</v>
          </cell>
          <cell r="H137" t="str">
            <v>EKSKLUSIF</v>
          </cell>
          <cell r="I137" t="str">
            <v>EKSKLUSIF</v>
          </cell>
          <cell r="J137" t="str">
            <v>EKSKLUSIF</v>
          </cell>
          <cell r="K137" t="str">
            <v>EKSKLUSIF</v>
          </cell>
          <cell r="L137" t="str">
            <v>EKSKLUSIF</v>
          </cell>
          <cell r="M137">
            <v>22</v>
          </cell>
          <cell r="N137">
            <v>47</v>
          </cell>
          <cell r="O137">
            <v>41</v>
          </cell>
          <cell r="P137">
            <v>43</v>
          </cell>
          <cell r="Q137">
            <v>39</v>
          </cell>
          <cell r="R137">
            <v>42</v>
          </cell>
          <cell r="S137">
            <v>21</v>
          </cell>
          <cell r="T137">
            <v>255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 t="str">
            <v>TIDAK</v>
          </cell>
          <cell r="AE137" t="str">
            <v>TIDAK</v>
          </cell>
          <cell r="AF137">
            <v>0</v>
          </cell>
          <cell r="AG137">
            <v>2</v>
          </cell>
          <cell r="AH137" t="str">
            <v>SAPHIRE</v>
          </cell>
          <cell r="AI137">
            <v>0</v>
          </cell>
          <cell r="AJ137" t="str">
            <v>FALSE</v>
          </cell>
          <cell r="AK137">
            <v>0</v>
          </cell>
          <cell r="AL137">
            <v>45261</v>
          </cell>
          <cell r="AM137">
            <v>45701</v>
          </cell>
          <cell r="AN137">
            <v>1</v>
          </cell>
          <cell r="AO137">
            <v>0</v>
          </cell>
          <cell r="AP137" t="str">
            <v>EKSKLUSIF</v>
          </cell>
          <cell r="AQ137" t="str">
            <v>-</v>
          </cell>
          <cell r="AR137" t="str">
            <v>EKSKLUSIF</v>
          </cell>
          <cell r="AS137" t="str">
            <v>EKSKLUSIF</v>
          </cell>
          <cell r="AT137" t="str">
            <v>EKSKLUSIF</v>
          </cell>
          <cell r="AU137" t="str">
            <v>EKSKLUSIF</v>
          </cell>
          <cell r="AV137" t="str">
            <v/>
          </cell>
          <cell r="AW137">
            <v>50</v>
          </cell>
          <cell r="AX137">
            <v>48</v>
          </cell>
          <cell r="AY137">
            <v>43</v>
          </cell>
          <cell r="AZ137">
            <v>47</v>
          </cell>
          <cell r="BA137">
            <v>44</v>
          </cell>
          <cell r="BB137">
            <v>50</v>
          </cell>
          <cell r="BC137">
            <v>48</v>
          </cell>
          <cell r="BD137">
            <v>43</v>
          </cell>
          <cell r="BE137">
            <v>47</v>
          </cell>
          <cell r="BF137">
            <v>44</v>
          </cell>
          <cell r="BG137">
            <v>20</v>
          </cell>
          <cell r="BH137">
            <v>50</v>
          </cell>
          <cell r="BI137">
            <v>48</v>
          </cell>
          <cell r="BJ137">
            <v>43</v>
          </cell>
          <cell r="BK137">
            <v>47</v>
          </cell>
          <cell r="BL137">
            <v>44</v>
          </cell>
          <cell r="BM137">
            <v>19</v>
          </cell>
          <cell r="BN137">
            <v>271</v>
          </cell>
          <cell r="BO137">
            <v>0</v>
          </cell>
          <cell r="BP137">
            <v>50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19</v>
          </cell>
          <cell r="BV137">
            <v>69</v>
          </cell>
          <cell r="BW137">
            <v>0</v>
          </cell>
          <cell r="BX137" t="str">
            <v>TIDAK</v>
          </cell>
          <cell r="BY137" t="str">
            <v>TIDAK</v>
          </cell>
        </row>
        <row r="138">
          <cell r="A138" t="str">
            <v>A2935</v>
          </cell>
          <cell r="B138" t="str">
            <v>Cindy Olivia</v>
          </cell>
          <cell r="C138" t="str">
            <v>DELTA</v>
          </cell>
          <cell r="D138">
            <v>45182</v>
          </cell>
          <cell r="E138" t="str">
            <v>Sep-23</v>
          </cell>
          <cell r="F138" t="str">
            <v>REGULER</v>
          </cell>
          <cell r="G138" t="str">
            <v>REGULER</v>
          </cell>
          <cell r="H138" t="str">
            <v>REGULER</v>
          </cell>
          <cell r="I138" t="str">
            <v>-</v>
          </cell>
          <cell r="J138" t="str">
            <v>-</v>
          </cell>
          <cell r="K138" t="str">
            <v>-</v>
          </cell>
          <cell r="L138" t="str">
            <v>-</v>
          </cell>
          <cell r="M138">
            <v>0</v>
          </cell>
          <cell r="N138">
            <v>22</v>
          </cell>
          <cell r="O138">
            <v>17</v>
          </cell>
          <cell r="P138">
            <v>0</v>
          </cell>
          <cell r="Q138">
            <v>0</v>
          </cell>
          <cell r="R138">
            <v>0</v>
          </cell>
          <cell r="S138" t="str">
            <v/>
          </cell>
          <cell r="T138">
            <v>39</v>
          </cell>
          <cell r="U138">
            <v>0</v>
          </cell>
          <cell r="V138">
            <v>22</v>
          </cell>
          <cell r="W138">
            <v>17</v>
          </cell>
          <cell r="X138">
            <v>0</v>
          </cell>
          <cell r="Y138">
            <v>0</v>
          </cell>
          <cell r="Z138">
            <v>0</v>
          </cell>
          <cell r="AA138" t="str">
            <v/>
          </cell>
          <cell r="AB138">
            <v>39</v>
          </cell>
          <cell r="AC138">
            <v>5</v>
          </cell>
          <cell r="AD138" t="str">
            <v>DOWNGRADE</v>
          </cell>
          <cell r="AE138" t="str">
            <v>RESET</v>
          </cell>
          <cell r="AF138">
            <v>0</v>
          </cell>
          <cell r="AG138">
            <v>2</v>
          </cell>
          <cell r="AH138" t="str">
            <v>SAPHIRE</v>
          </cell>
          <cell r="AI138">
            <v>0</v>
          </cell>
          <cell r="AJ138" t="str">
            <v>FALSE</v>
          </cell>
          <cell r="AK138">
            <v>0</v>
          </cell>
          <cell r="AL138">
            <v>45261</v>
          </cell>
          <cell r="AM138">
            <v>45701</v>
          </cell>
          <cell r="AN138">
            <v>1</v>
          </cell>
          <cell r="AO138">
            <v>0</v>
          </cell>
          <cell r="AP138" t="str">
            <v>-</v>
          </cell>
          <cell r="AQ138" t="str">
            <v>-</v>
          </cell>
          <cell r="AR138" t="str">
            <v>-</v>
          </cell>
          <cell r="AS138" t="str">
            <v>-</v>
          </cell>
          <cell r="AT138" t="str">
            <v>-</v>
          </cell>
          <cell r="AU138" t="str">
            <v>-</v>
          </cell>
          <cell r="AV138" t="str">
            <v/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 t="str">
            <v/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 t="str">
            <v/>
          </cell>
          <cell r="BN138">
            <v>0</v>
          </cell>
          <cell r="BO138" t="str">
            <v/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 t="str">
            <v/>
          </cell>
          <cell r="BV138">
            <v>0</v>
          </cell>
          <cell r="BW138">
            <v>7</v>
          </cell>
          <cell r="BX138" t="str">
            <v>DOWNGRADE</v>
          </cell>
          <cell r="BY138" t="str">
            <v>RESET</v>
          </cell>
        </row>
        <row r="139">
          <cell r="A139" t="str">
            <v>A0836</v>
          </cell>
          <cell r="B139" t="str">
            <v>Cindy Tambunan</v>
          </cell>
          <cell r="C139" t="str">
            <v>DELTA</v>
          </cell>
          <cell r="D139">
            <v>44929</v>
          </cell>
          <cell r="E139" t="str">
            <v>Jan-23</v>
          </cell>
          <cell r="F139" t="str">
            <v>REGULER</v>
          </cell>
          <cell r="G139" t="str">
            <v>REGULER</v>
          </cell>
          <cell r="H139" t="str">
            <v>REGULER</v>
          </cell>
          <cell r="I139" t="str">
            <v>EKSKLUSIF</v>
          </cell>
          <cell r="J139" t="str">
            <v>EKSKLUSIF</v>
          </cell>
          <cell r="K139" t="str">
            <v>EKSKLUSIF</v>
          </cell>
          <cell r="L139" t="str">
            <v>REGULER</v>
          </cell>
          <cell r="M139">
            <v>16</v>
          </cell>
          <cell r="N139">
            <v>39</v>
          </cell>
          <cell r="O139">
            <v>11</v>
          </cell>
          <cell r="P139">
            <v>40</v>
          </cell>
          <cell r="Q139">
            <v>38</v>
          </cell>
          <cell r="R139">
            <v>41</v>
          </cell>
          <cell r="S139">
            <v>15</v>
          </cell>
          <cell r="T139">
            <v>200</v>
          </cell>
          <cell r="U139">
            <v>16</v>
          </cell>
          <cell r="V139">
            <v>39</v>
          </cell>
          <cell r="W139">
            <v>11</v>
          </cell>
          <cell r="X139">
            <v>0</v>
          </cell>
          <cell r="Y139">
            <v>0</v>
          </cell>
          <cell r="Z139">
            <v>0</v>
          </cell>
          <cell r="AA139">
            <v>15</v>
          </cell>
          <cell r="AB139">
            <v>81</v>
          </cell>
          <cell r="AC139">
            <v>0</v>
          </cell>
          <cell r="AD139" t="str">
            <v>TIDAK</v>
          </cell>
          <cell r="AE139" t="str">
            <v>TIDAK</v>
          </cell>
          <cell r="AF139">
            <v>81</v>
          </cell>
          <cell r="AG139">
            <v>2</v>
          </cell>
          <cell r="AH139" t="str">
            <v>SAPHIRE</v>
          </cell>
          <cell r="AI139">
            <v>0</v>
          </cell>
          <cell r="AJ139" t="str">
            <v>Y</v>
          </cell>
          <cell r="AK139">
            <v>0</v>
          </cell>
          <cell r="AL139">
            <v>45261</v>
          </cell>
          <cell r="AM139">
            <v>45701</v>
          </cell>
          <cell r="AN139">
            <v>1</v>
          </cell>
          <cell r="AO139">
            <v>81</v>
          </cell>
          <cell r="AP139" t="str">
            <v>-</v>
          </cell>
          <cell r="AQ139" t="str">
            <v>-</v>
          </cell>
          <cell r="AR139" t="str">
            <v>-</v>
          </cell>
          <cell r="AS139" t="str">
            <v>-</v>
          </cell>
          <cell r="AT139" t="str">
            <v>-</v>
          </cell>
          <cell r="AU139" t="str">
            <v>-</v>
          </cell>
          <cell r="AV139" t="str">
            <v/>
          </cell>
          <cell r="AW139">
            <v>1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1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15</v>
          </cell>
          <cell r="BH139">
            <v>1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 t="str">
            <v/>
          </cell>
          <cell r="BN139">
            <v>16</v>
          </cell>
          <cell r="BO139">
            <v>15</v>
          </cell>
          <cell r="BP139">
            <v>1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 t="str">
            <v/>
          </cell>
          <cell r="BV139">
            <v>16</v>
          </cell>
          <cell r="BW139">
            <v>5</v>
          </cell>
          <cell r="BX139" t="str">
            <v>DOWNGRADE</v>
          </cell>
          <cell r="BY139" t="str">
            <v>RESET</v>
          </cell>
        </row>
        <row r="140">
          <cell r="A140" t="str">
            <v>A1669</v>
          </cell>
          <cell r="B140" t="str">
            <v>Cintia Aninda Heka Shafira</v>
          </cell>
          <cell r="C140" t="str">
            <v>DELTA</v>
          </cell>
          <cell r="D140">
            <v>45001</v>
          </cell>
          <cell r="E140" t="str">
            <v>Mar-23</v>
          </cell>
          <cell r="F140" t="str">
            <v>REGULER</v>
          </cell>
          <cell r="G140" t="str">
            <v>REGULER</v>
          </cell>
          <cell r="H140" t="str">
            <v>REGULER</v>
          </cell>
          <cell r="I140" t="str">
            <v>REGULER</v>
          </cell>
          <cell r="J140" t="str">
            <v>REGULER</v>
          </cell>
          <cell r="K140" t="str">
            <v>REGULER</v>
          </cell>
          <cell r="L140" t="str">
            <v>REGULER</v>
          </cell>
          <cell r="M140">
            <v>20</v>
          </cell>
          <cell r="N140">
            <v>37</v>
          </cell>
          <cell r="O140">
            <v>21</v>
          </cell>
          <cell r="P140">
            <v>19</v>
          </cell>
          <cell r="Q140">
            <v>36</v>
          </cell>
          <cell r="R140">
            <v>39</v>
          </cell>
          <cell r="S140">
            <v>20</v>
          </cell>
          <cell r="T140">
            <v>192</v>
          </cell>
          <cell r="U140">
            <v>20</v>
          </cell>
          <cell r="V140">
            <v>37</v>
          </cell>
          <cell r="W140">
            <v>21</v>
          </cell>
          <cell r="X140">
            <v>19</v>
          </cell>
          <cell r="Y140">
            <v>36</v>
          </cell>
          <cell r="Z140">
            <v>39</v>
          </cell>
          <cell r="AA140">
            <v>20</v>
          </cell>
          <cell r="AB140">
            <v>192</v>
          </cell>
          <cell r="AC140">
            <v>0</v>
          </cell>
          <cell r="AD140" t="str">
            <v>TIDAK</v>
          </cell>
          <cell r="AE140" t="str">
            <v>TIDAK</v>
          </cell>
          <cell r="AF140">
            <v>192</v>
          </cell>
          <cell r="AG140">
            <v>2</v>
          </cell>
          <cell r="AH140" t="str">
            <v>SAPHIRE</v>
          </cell>
          <cell r="AI140">
            <v>0</v>
          </cell>
          <cell r="AJ140" t="str">
            <v>Y</v>
          </cell>
          <cell r="AK140">
            <v>0</v>
          </cell>
          <cell r="AL140">
            <v>45261</v>
          </cell>
          <cell r="AM140">
            <v>45701</v>
          </cell>
          <cell r="AN140">
            <v>1</v>
          </cell>
          <cell r="AO140">
            <v>192</v>
          </cell>
          <cell r="AP140" t="str">
            <v>-</v>
          </cell>
          <cell r="AQ140" t="str">
            <v>-</v>
          </cell>
          <cell r="AR140" t="str">
            <v>REGULER</v>
          </cell>
          <cell r="AS140" t="str">
            <v>REGULER</v>
          </cell>
          <cell r="AT140" t="str">
            <v>REGULER</v>
          </cell>
          <cell r="AU140" t="str">
            <v>REGULER</v>
          </cell>
          <cell r="AV140" t="str">
            <v/>
          </cell>
          <cell r="AW140">
            <v>43</v>
          </cell>
          <cell r="AX140">
            <v>38</v>
          </cell>
          <cell r="AY140">
            <v>36</v>
          </cell>
          <cell r="AZ140">
            <v>36</v>
          </cell>
          <cell r="BA140">
            <v>38</v>
          </cell>
          <cell r="BB140">
            <v>43</v>
          </cell>
          <cell r="BC140">
            <v>38</v>
          </cell>
          <cell r="BD140">
            <v>36</v>
          </cell>
          <cell r="BE140">
            <v>36</v>
          </cell>
          <cell r="BF140">
            <v>38</v>
          </cell>
          <cell r="BG140">
            <v>19</v>
          </cell>
          <cell r="BH140">
            <v>43</v>
          </cell>
          <cell r="BI140">
            <v>38</v>
          </cell>
          <cell r="BJ140">
            <v>36</v>
          </cell>
          <cell r="BK140">
            <v>36</v>
          </cell>
          <cell r="BL140">
            <v>38</v>
          </cell>
          <cell r="BM140">
            <v>18</v>
          </cell>
          <cell r="BN140">
            <v>228</v>
          </cell>
          <cell r="BO140">
            <v>19</v>
          </cell>
          <cell r="BP140">
            <v>43</v>
          </cell>
          <cell r="BQ140">
            <v>38</v>
          </cell>
          <cell r="BR140">
            <v>36</v>
          </cell>
          <cell r="BS140">
            <v>36</v>
          </cell>
          <cell r="BT140">
            <v>38</v>
          </cell>
          <cell r="BU140">
            <v>18</v>
          </cell>
          <cell r="BV140">
            <v>228</v>
          </cell>
          <cell r="BW140">
            <v>0</v>
          </cell>
          <cell r="BX140" t="str">
            <v>TIDAK</v>
          </cell>
          <cell r="BY140" t="str">
            <v>TIDAK</v>
          </cell>
        </row>
        <row r="141">
          <cell r="A141" t="str">
            <v>A3258</v>
          </cell>
          <cell r="B141" t="str">
            <v>Clara Devi Maharani</v>
          </cell>
          <cell r="C141" t="str">
            <v>DELTA</v>
          </cell>
          <cell r="D141">
            <v>45237</v>
          </cell>
          <cell r="E141" t="str">
            <v>Nov-23</v>
          </cell>
          <cell r="F141" t="str">
            <v>REGULER</v>
          </cell>
          <cell r="G141" t="str">
            <v>REGULER</v>
          </cell>
          <cell r="H141" t="str">
            <v>EKSKLUSIF</v>
          </cell>
          <cell r="I141" t="str">
            <v>EKSKLUSIF</v>
          </cell>
          <cell r="J141" t="str">
            <v>EKSKLUSIF</v>
          </cell>
          <cell r="K141" t="str">
            <v>REGULER</v>
          </cell>
          <cell r="L141" t="str">
            <v>REGULER</v>
          </cell>
          <cell r="M141">
            <v>22</v>
          </cell>
          <cell r="N141">
            <v>45</v>
          </cell>
          <cell r="O141">
            <v>42</v>
          </cell>
          <cell r="P141">
            <v>40</v>
          </cell>
          <cell r="Q141">
            <v>38</v>
          </cell>
          <cell r="R141">
            <v>38</v>
          </cell>
          <cell r="S141">
            <v>22</v>
          </cell>
          <cell r="T141">
            <v>247</v>
          </cell>
          <cell r="U141">
            <v>22</v>
          </cell>
          <cell r="V141">
            <v>45</v>
          </cell>
          <cell r="W141">
            <v>0</v>
          </cell>
          <cell r="X141">
            <v>0</v>
          </cell>
          <cell r="Y141">
            <v>0</v>
          </cell>
          <cell r="Z141">
            <v>38</v>
          </cell>
          <cell r="AA141">
            <v>22</v>
          </cell>
          <cell r="AB141">
            <v>127</v>
          </cell>
          <cell r="AC141">
            <v>0</v>
          </cell>
          <cell r="AD141" t="str">
            <v>TIDAK</v>
          </cell>
          <cell r="AE141" t="str">
            <v>TIDAK</v>
          </cell>
          <cell r="AF141">
            <v>127</v>
          </cell>
          <cell r="AG141">
            <v>2</v>
          </cell>
          <cell r="AH141" t="str">
            <v>SAPHIRE</v>
          </cell>
          <cell r="AI141">
            <v>0</v>
          </cell>
          <cell r="AJ141" t="str">
            <v>Y</v>
          </cell>
          <cell r="AK141">
            <v>0</v>
          </cell>
          <cell r="AL141">
            <v>45261</v>
          </cell>
          <cell r="AM141">
            <v>45701</v>
          </cell>
          <cell r="AN141">
            <v>1</v>
          </cell>
          <cell r="AO141">
            <v>127</v>
          </cell>
          <cell r="AP141" t="str">
            <v>-</v>
          </cell>
          <cell r="AQ141" t="str">
            <v>-</v>
          </cell>
          <cell r="AR141" t="str">
            <v>REGULER</v>
          </cell>
          <cell r="AS141" t="str">
            <v>REGULER</v>
          </cell>
          <cell r="AT141" t="str">
            <v>REGULER</v>
          </cell>
          <cell r="AU141" t="str">
            <v>REGULER</v>
          </cell>
          <cell r="AV141" t="str">
            <v/>
          </cell>
          <cell r="AW141">
            <v>48</v>
          </cell>
          <cell r="AX141">
            <v>44</v>
          </cell>
          <cell r="AY141">
            <v>42</v>
          </cell>
          <cell r="AZ141">
            <v>47</v>
          </cell>
          <cell r="BA141">
            <v>38</v>
          </cell>
          <cell r="BB141">
            <v>48</v>
          </cell>
          <cell r="BC141">
            <v>44</v>
          </cell>
          <cell r="BD141">
            <v>42</v>
          </cell>
          <cell r="BE141">
            <v>47</v>
          </cell>
          <cell r="BF141">
            <v>38</v>
          </cell>
          <cell r="BG141">
            <v>19</v>
          </cell>
          <cell r="BH141">
            <v>48</v>
          </cell>
          <cell r="BI141">
            <v>44</v>
          </cell>
          <cell r="BJ141">
            <v>42</v>
          </cell>
          <cell r="BK141">
            <v>47</v>
          </cell>
          <cell r="BL141">
            <v>38</v>
          </cell>
          <cell r="BM141">
            <v>20</v>
          </cell>
          <cell r="BN141">
            <v>258</v>
          </cell>
          <cell r="BO141">
            <v>19</v>
          </cell>
          <cell r="BP141">
            <v>48</v>
          </cell>
          <cell r="BQ141">
            <v>44</v>
          </cell>
          <cell r="BR141">
            <v>42</v>
          </cell>
          <cell r="BS141">
            <v>47</v>
          </cell>
          <cell r="BT141">
            <v>38</v>
          </cell>
          <cell r="BU141">
            <v>20</v>
          </cell>
          <cell r="BV141">
            <v>258</v>
          </cell>
          <cell r="BW141">
            <v>0</v>
          </cell>
          <cell r="BX141" t="str">
            <v>TIDAK</v>
          </cell>
          <cell r="BY141" t="str">
            <v>TIDAK</v>
          </cell>
        </row>
        <row r="142">
          <cell r="A142" t="str">
            <v>A2962</v>
          </cell>
          <cell r="B142" t="str">
            <v>Daffadya Dhamar</v>
          </cell>
          <cell r="C142" t="str">
            <v>DELTA</v>
          </cell>
          <cell r="D142">
            <v>45205</v>
          </cell>
          <cell r="E142" t="str">
            <v>Oct-23</v>
          </cell>
          <cell r="F142" t="str">
            <v>REGULER</v>
          </cell>
          <cell r="G142" t="str">
            <v>REGULER</v>
          </cell>
          <cell r="H142" t="str">
            <v>REGULER</v>
          </cell>
          <cell r="I142" t="str">
            <v>-</v>
          </cell>
          <cell r="J142" t="str">
            <v>REGULER</v>
          </cell>
          <cell r="K142" t="str">
            <v>-</v>
          </cell>
          <cell r="L142" t="str">
            <v>-</v>
          </cell>
          <cell r="M142">
            <v>0</v>
          </cell>
          <cell r="N142">
            <v>36</v>
          </cell>
          <cell r="O142">
            <v>4</v>
          </cell>
          <cell r="P142">
            <v>0</v>
          </cell>
          <cell r="Q142">
            <v>3</v>
          </cell>
          <cell r="R142">
            <v>0</v>
          </cell>
          <cell r="S142" t="str">
            <v/>
          </cell>
          <cell r="T142">
            <v>43</v>
          </cell>
          <cell r="U142">
            <v>0</v>
          </cell>
          <cell r="V142">
            <v>36</v>
          </cell>
          <cell r="W142">
            <v>4</v>
          </cell>
          <cell r="X142">
            <v>0</v>
          </cell>
          <cell r="Y142">
            <v>3</v>
          </cell>
          <cell r="Z142">
            <v>0</v>
          </cell>
          <cell r="AA142" t="str">
            <v/>
          </cell>
          <cell r="AB142">
            <v>43</v>
          </cell>
          <cell r="AC142">
            <v>4</v>
          </cell>
          <cell r="AD142" t="str">
            <v>DOWNGRADE</v>
          </cell>
          <cell r="AE142" t="str">
            <v>TIDAK</v>
          </cell>
          <cell r="AF142">
            <v>21.5</v>
          </cell>
          <cell r="AG142">
            <v>2</v>
          </cell>
          <cell r="AH142" t="str">
            <v>SAPHIRE</v>
          </cell>
          <cell r="AI142">
            <v>0</v>
          </cell>
          <cell r="AJ142" t="str">
            <v>FALSE</v>
          </cell>
          <cell r="AK142">
            <v>0</v>
          </cell>
          <cell r="AL142">
            <v>45261</v>
          </cell>
          <cell r="AM142">
            <v>45701</v>
          </cell>
          <cell r="AN142">
            <v>1</v>
          </cell>
          <cell r="AO142">
            <v>21.5</v>
          </cell>
          <cell r="AP142" t="str">
            <v>-</v>
          </cell>
          <cell r="AQ142" t="str">
            <v>-</v>
          </cell>
          <cell r="AR142" t="str">
            <v>-</v>
          </cell>
          <cell r="AS142" t="str">
            <v>-</v>
          </cell>
          <cell r="AT142" t="str">
            <v>-</v>
          </cell>
          <cell r="AU142" t="str">
            <v>-</v>
          </cell>
          <cell r="AV142" t="str">
            <v/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 t="str">
            <v/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 t="str">
            <v/>
          </cell>
          <cell r="BN142">
            <v>0</v>
          </cell>
          <cell r="BO142" t="str">
            <v/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 t="str">
            <v/>
          </cell>
          <cell r="BV142">
            <v>0</v>
          </cell>
          <cell r="BW142">
            <v>7</v>
          </cell>
          <cell r="BX142" t="str">
            <v>DOWNGRADE</v>
          </cell>
          <cell r="BY142" t="str">
            <v>RESET</v>
          </cell>
        </row>
        <row r="143">
          <cell r="A143">
            <v>90694</v>
          </cell>
          <cell r="B143" t="str">
            <v>Daus Devyana</v>
          </cell>
          <cell r="C143" t="str">
            <v>DELTA</v>
          </cell>
          <cell r="D143">
            <v>44455</v>
          </cell>
          <cell r="E143" t="str">
            <v>Sep-21</v>
          </cell>
          <cell r="F143" t="str">
            <v>EKSKLUSIF</v>
          </cell>
          <cell r="G143" t="str">
            <v>EKSKLUSIF</v>
          </cell>
          <cell r="H143" t="str">
            <v>EKSKLUSIF</v>
          </cell>
          <cell r="I143" t="str">
            <v>REGULER</v>
          </cell>
          <cell r="J143" t="str">
            <v>-</v>
          </cell>
          <cell r="K143" t="str">
            <v>REGULER</v>
          </cell>
          <cell r="L143" t="str">
            <v>EKSKLUSIF</v>
          </cell>
          <cell r="M143">
            <v>20</v>
          </cell>
          <cell r="N143">
            <v>48</v>
          </cell>
          <cell r="O143">
            <v>42</v>
          </cell>
          <cell r="P143">
            <v>29</v>
          </cell>
          <cell r="Q143">
            <v>0</v>
          </cell>
          <cell r="R143">
            <v>7</v>
          </cell>
          <cell r="S143">
            <v>22</v>
          </cell>
          <cell r="T143">
            <v>168</v>
          </cell>
          <cell r="U143">
            <v>0</v>
          </cell>
          <cell r="V143">
            <v>0</v>
          </cell>
          <cell r="W143">
            <v>0</v>
          </cell>
          <cell r="X143">
            <v>29</v>
          </cell>
          <cell r="Y143">
            <v>0</v>
          </cell>
          <cell r="Z143">
            <v>7</v>
          </cell>
          <cell r="AA143">
            <v>0</v>
          </cell>
          <cell r="AB143">
            <v>36</v>
          </cell>
          <cell r="AC143">
            <v>1</v>
          </cell>
          <cell r="AD143" t="str">
            <v>TIDAK</v>
          </cell>
          <cell r="AE143" t="str">
            <v>TIDAK</v>
          </cell>
          <cell r="AF143">
            <v>36</v>
          </cell>
          <cell r="AG143">
            <v>2</v>
          </cell>
          <cell r="AH143" t="str">
            <v>SAPHIRE</v>
          </cell>
          <cell r="AI143">
            <v>0</v>
          </cell>
          <cell r="AJ143" t="str">
            <v>FALSE</v>
          </cell>
          <cell r="AK143">
            <v>0</v>
          </cell>
          <cell r="AL143">
            <v>45261</v>
          </cell>
          <cell r="AM143">
            <v>45701</v>
          </cell>
          <cell r="AN143">
            <v>1</v>
          </cell>
          <cell r="AO143">
            <v>36</v>
          </cell>
          <cell r="AP143" t="str">
            <v>EKSKLUSIF</v>
          </cell>
          <cell r="AQ143" t="str">
            <v>-</v>
          </cell>
          <cell r="AR143" t="str">
            <v>EKSKLUSIF</v>
          </cell>
          <cell r="AS143" t="str">
            <v>EKSKLUSIF</v>
          </cell>
          <cell r="AT143" t="str">
            <v>EKSKLUSIF</v>
          </cell>
          <cell r="AU143" t="str">
            <v>EKSKLUSIF</v>
          </cell>
          <cell r="AV143" t="str">
            <v/>
          </cell>
          <cell r="AW143">
            <v>49</v>
          </cell>
          <cell r="AX143">
            <v>48</v>
          </cell>
          <cell r="AY143">
            <v>44</v>
          </cell>
          <cell r="AZ143">
            <v>50</v>
          </cell>
          <cell r="BA143">
            <v>46</v>
          </cell>
          <cell r="BB143">
            <v>49</v>
          </cell>
          <cell r="BC143">
            <v>48</v>
          </cell>
          <cell r="BD143">
            <v>44</v>
          </cell>
          <cell r="BE143">
            <v>50</v>
          </cell>
          <cell r="BF143">
            <v>46</v>
          </cell>
          <cell r="BG143">
            <v>20</v>
          </cell>
          <cell r="BH143">
            <v>49</v>
          </cell>
          <cell r="BI143">
            <v>48</v>
          </cell>
          <cell r="BJ143">
            <v>44</v>
          </cell>
          <cell r="BK143">
            <v>50</v>
          </cell>
          <cell r="BL143">
            <v>46</v>
          </cell>
          <cell r="BM143">
            <v>23</v>
          </cell>
          <cell r="BN143">
            <v>280</v>
          </cell>
          <cell r="BO143">
            <v>0</v>
          </cell>
          <cell r="BP143">
            <v>49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23</v>
          </cell>
          <cell r="BV143">
            <v>72</v>
          </cell>
          <cell r="BW143">
            <v>0</v>
          </cell>
          <cell r="BX143" t="str">
            <v>TIDAK</v>
          </cell>
          <cell r="BY143" t="str">
            <v>TIDAK</v>
          </cell>
        </row>
        <row r="144">
          <cell r="A144" t="str">
            <v>A0320</v>
          </cell>
          <cell r="B144" t="str">
            <v>Deafni Dinda R Utami</v>
          </cell>
          <cell r="C144" t="str">
            <v>DELTA</v>
          </cell>
          <cell r="D144">
            <v>44854</v>
          </cell>
          <cell r="E144" t="str">
            <v>Oct-22</v>
          </cell>
          <cell r="F144" t="str">
            <v>EKSKLUSIF</v>
          </cell>
          <cell r="G144" t="str">
            <v>EKSKLUSIF</v>
          </cell>
          <cell r="H144" t="str">
            <v>EKSKLUSIF</v>
          </cell>
          <cell r="I144" t="str">
            <v>EKSKLUSIF</v>
          </cell>
          <cell r="J144" t="str">
            <v>EKSKLUSIF</v>
          </cell>
          <cell r="K144" t="str">
            <v>REGULER</v>
          </cell>
          <cell r="L144" t="str">
            <v>EKSKLUSIF</v>
          </cell>
          <cell r="M144">
            <v>22</v>
          </cell>
          <cell r="N144">
            <v>47</v>
          </cell>
          <cell r="O144">
            <v>42</v>
          </cell>
          <cell r="P144">
            <v>43</v>
          </cell>
          <cell r="Q144">
            <v>38</v>
          </cell>
          <cell r="R144">
            <v>8</v>
          </cell>
          <cell r="S144">
            <v>22</v>
          </cell>
          <cell r="T144">
            <v>222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8</v>
          </cell>
          <cell r="AA144">
            <v>0</v>
          </cell>
          <cell r="AB144">
            <v>8</v>
          </cell>
          <cell r="AC144">
            <v>0</v>
          </cell>
          <cell r="AD144" t="str">
            <v>TIDAK</v>
          </cell>
          <cell r="AE144" t="str">
            <v>TIDAK</v>
          </cell>
          <cell r="AF144">
            <v>8</v>
          </cell>
          <cell r="AG144">
            <v>2</v>
          </cell>
          <cell r="AH144" t="str">
            <v>SAPHIRE</v>
          </cell>
          <cell r="AI144">
            <v>0</v>
          </cell>
          <cell r="AJ144" t="str">
            <v>FALSE</v>
          </cell>
          <cell r="AK144">
            <v>0</v>
          </cell>
          <cell r="AL144">
            <v>45261</v>
          </cell>
          <cell r="AM144">
            <v>45701</v>
          </cell>
          <cell r="AN144">
            <v>1</v>
          </cell>
          <cell r="AO144">
            <v>8</v>
          </cell>
          <cell r="AP144" t="str">
            <v>EKSKLUSIF</v>
          </cell>
          <cell r="AQ144" t="str">
            <v>-</v>
          </cell>
          <cell r="AR144" t="str">
            <v>EKSKLUSIF</v>
          </cell>
          <cell r="AS144" t="str">
            <v>EKSKLUSIF</v>
          </cell>
          <cell r="AT144" t="str">
            <v>EKSKLUSIF</v>
          </cell>
          <cell r="AU144" t="str">
            <v>EKSKLUSIF</v>
          </cell>
          <cell r="AV144" t="str">
            <v/>
          </cell>
          <cell r="AW144">
            <v>49</v>
          </cell>
          <cell r="AX144">
            <v>47</v>
          </cell>
          <cell r="AY144">
            <v>44</v>
          </cell>
          <cell r="AZ144">
            <v>47</v>
          </cell>
          <cell r="BA144">
            <v>45</v>
          </cell>
          <cell r="BB144">
            <v>49</v>
          </cell>
          <cell r="BC144">
            <v>47</v>
          </cell>
          <cell r="BD144">
            <v>44</v>
          </cell>
          <cell r="BE144">
            <v>47</v>
          </cell>
          <cell r="BF144">
            <v>45</v>
          </cell>
          <cell r="BG144">
            <v>19</v>
          </cell>
          <cell r="BH144">
            <v>49</v>
          </cell>
          <cell r="BI144">
            <v>47</v>
          </cell>
          <cell r="BJ144">
            <v>44</v>
          </cell>
          <cell r="BK144">
            <v>47</v>
          </cell>
          <cell r="BL144">
            <v>45</v>
          </cell>
          <cell r="BM144">
            <v>21</v>
          </cell>
          <cell r="BN144">
            <v>272</v>
          </cell>
          <cell r="BO144">
            <v>0</v>
          </cell>
          <cell r="BP144">
            <v>49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21</v>
          </cell>
          <cell r="BV144">
            <v>70</v>
          </cell>
          <cell r="BW144">
            <v>0</v>
          </cell>
          <cell r="BX144" t="str">
            <v>TIDAK</v>
          </cell>
          <cell r="BY144" t="str">
            <v>TIDAK</v>
          </cell>
        </row>
        <row r="145">
          <cell r="A145" t="str">
            <v>A3598</v>
          </cell>
          <cell r="B145" t="str">
            <v>Deprilana Ego Prakasa</v>
          </cell>
          <cell r="C145" t="str">
            <v>DELTA</v>
          </cell>
          <cell r="D145">
            <v>45383</v>
          </cell>
          <cell r="E145" t="str">
            <v>Apr-24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REGULER</v>
          </cell>
          <cell r="J145" t="str">
            <v>REGULER</v>
          </cell>
          <cell r="K145" t="str">
            <v>REGULER</v>
          </cell>
          <cell r="L145" t="str">
            <v>-</v>
          </cell>
          <cell r="M145">
            <v>0</v>
          </cell>
          <cell r="N145">
            <v>0</v>
          </cell>
          <cell r="O145">
            <v>0</v>
          </cell>
          <cell r="P145">
            <v>9</v>
          </cell>
          <cell r="Q145">
            <v>9</v>
          </cell>
          <cell r="R145">
            <v>9</v>
          </cell>
          <cell r="S145" t="str">
            <v/>
          </cell>
          <cell r="T145">
            <v>27</v>
          </cell>
          <cell r="U145">
            <v>0</v>
          </cell>
          <cell r="V145">
            <v>0</v>
          </cell>
          <cell r="W145">
            <v>0</v>
          </cell>
          <cell r="X145">
            <v>9</v>
          </cell>
          <cell r="Y145">
            <v>9</v>
          </cell>
          <cell r="Z145">
            <v>9</v>
          </cell>
          <cell r="AA145" t="str">
            <v/>
          </cell>
          <cell r="AB145">
            <v>27</v>
          </cell>
          <cell r="AC145">
            <v>1</v>
          </cell>
          <cell r="AD145" t="str">
            <v>TIDAK</v>
          </cell>
          <cell r="AE145" t="str">
            <v>TIDAK</v>
          </cell>
          <cell r="AF145">
            <v>27</v>
          </cell>
          <cell r="AG145">
            <v>2</v>
          </cell>
          <cell r="AH145" t="str">
            <v>SAPHIRE</v>
          </cell>
          <cell r="AI145">
            <v>0</v>
          </cell>
          <cell r="AJ145" t="str">
            <v>FALSE</v>
          </cell>
          <cell r="AK145">
            <v>0</v>
          </cell>
          <cell r="AL145">
            <v>45261</v>
          </cell>
          <cell r="AM145">
            <v>45701</v>
          </cell>
          <cell r="AN145">
            <v>1</v>
          </cell>
          <cell r="AO145">
            <v>27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/>
          </cell>
          <cell r="AW145">
            <v>22</v>
          </cell>
          <cell r="AX145">
            <v>0</v>
          </cell>
          <cell r="AY145">
            <v>24</v>
          </cell>
          <cell r="AZ145">
            <v>23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 t="str">
            <v/>
          </cell>
          <cell r="BH145">
            <v>22</v>
          </cell>
          <cell r="BI145">
            <v>0</v>
          </cell>
          <cell r="BJ145">
            <v>24</v>
          </cell>
          <cell r="BK145">
            <v>23</v>
          </cell>
          <cell r="BL145">
            <v>0</v>
          </cell>
          <cell r="BM145">
            <v>16</v>
          </cell>
          <cell r="BN145">
            <v>85</v>
          </cell>
          <cell r="BO145" t="str">
            <v/>
          </cell>
          <cell r="BP145">
            <v>22</v>
          </cell>
          <cell r="BQ145">
            <v>0</v>
          </cell>
          <cell r="BR145">
            <v>24</v>
          </cell>
          <cell r="BS145">
            <v>23</v>
          </cell>
          <cell r="BT145">
            <v>0</v>
          </cell>
          <cell r="BU145">
            <v>16</v>
          </cell>
          <cell r="BV145">
            <v>85</v>
          </cell>
          <cell r="BW145">
            <v>3</v>
          </cell>
          <cell r="BX145" t="str">
            <v>DOWNGRADE</v>
          </cell>
          <cell r="BY145" t="str">
            <v>TIDAK</v>
          </cell>
        </row>
        <row r="146">
          <cell r="A146" t="str">
            <v>A0733</v>
          </cell>
          <cell r="B146" t="str">
            <v>Deri Hidayat</v>
          </cell>
          <cell r="C146" t="str">
            <v>DELTA</v>
          </cell>
          <cell r="D146">
            <v>44897</v>
          </cell>
          <cell r="E146" t="str">
            <v>Dec-22</v>
          </cell>
          <cell r="F146" t="str">
            <v>EKSKLUSIF</v>
          </cell>
          <cell r="G146" t="str">
            <v>EKSKLUSIF</v>
          </cell>
          <cell r="H146" t="str">
            <v>EKSKLUSIF</v>
          </cell>
          <cell r="I146" t="str">
            <v>EKSKLUSIF</v>
          </cell>
          <cell r="J146" t="str">
            <v>EKSKLUSIF</v>
          </cell>
          <cell r="K146" t="str">
            <v>EKSKLUSIF</v>
          </cell>
          <cell r="L146" t="str">
            <v>EKSKLUSIF</v>
          </cell>
          <cell r="M146">
            <v>20</v>
          </cell>
          <cell r="N146">
            <v>46</v>
          </cell>
          <cell r="O146">
            <v>42</v>
          </cell>
          <cell r="P146">
            <v>42</v>
          </cell>
          <cell r="Q146">
            <v>39</v>
          </cell>
          <cell r="R146">
            <v>43</v>
          </cell>
          <cell r="S146">
            <v>22</v>
          </cell>
          <cell r="T146">
            <v>254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 t="str">
            <v>TIDAK</v>
          </cell>
          <cell r="AE146" t="str">
            <v>TIDAK</v>
          </cell>
          <cell r="AF146">
            <v>0</v>
          </cell>
          <cell r="AG146">
            <v>2</v>
          </cell>
          <cell r="AH146" t="str">
            <v>SAPHIRE</v>
          </cell>
          <cell r="AI146">
            <v>0</v>
          </cell>
          <cell r="AJ146" t="str">
            <v>FALSE</v>
          </cell>
          <cell r="AK146">
            <v>0</v>
          </cell>
          <cell r="AL146">
            <v>45261</v>
          </cell>
          <cell r="AM146">
            <v>45701</v>
          </cell>
          <cell r="AN146">
            <v>1</v>
          </cell>
          <cell r="AO146">
            <v>0</v>
          </cell>
          <cell r="AP146" t="str">
            <v>EKSKLUSIF</v>
          </cell>
          <cell r="AQ146" t="str">
            <v>-</v>
          </cell>
          <cell r="AR146" t="str">
            <v>REGULER</v>
          </cell>
          <cell r="AS146" t="str">
            <v>-</v>
          </cell>
          <cell r="AT146" t="str">
            <v>-</v>
          </cell>
          <cell r="AU146" t="str">
            <v>-</v>
          </cell>
          <cell r="AV146" t="str">
            <v/>
          </cell>
          <cell r="AW146">
            <v>48</v>
          </cell>
          <cell r="AX146">
            <v>3</v>
          </cell>
          <cell r="AY146">
            <v>0</v>
          </cell>
          <cell r="AZ146">
            <v>0</v>
          </cell>
          <cell r="BA146">
            <v>0</v>
          </cell>
          <cell r="BB146">
            <v>48</v>
          </cell>
          <cell r="BC146">
            <v>3</v>
          </cell>
          <cell r="BD146">
            <v>0</v>
          </cell>
          <cell r="BE146">
            <v>0</v>
          </cell>
          <cell r="BF146">
            <v>0</v>
          </cell>
          <cell r="BG146">
            <v>18</v>
          </cell>
          <cell r="BH146">
            <v>48</v>
          </cell>
          <cell r="BI146">
            <v>3</v>
          </cell>
          <cell r="BJ146">
            <v>0</v>
          </cell>
          <cell r="BK146">
            <v>0</v>
          </cell>
          <cell r="BL146">
            <v>0</v>
          </cell>
          <cell r="BM146" t="str">
            <v/>
          </cell>
          <cell r="BN146">
            <v>69</v>
          </cell>
          <cell r="BO146">
            <v>0</v>
          </cell>
          <cell r="BP146">
            <v>48</v>
          </cell>
          <cell r="BQ146">
            <v>3</v>
          </cell>
          <cell r="BR146">
            <v>0</v>
          </cell>
          <cell r="BS146">
            <v>0</v>
          </cell>
          <cell r="BT146">
            <v>0</v>
          </cell>
          <cell r="BU146" t="str">
            <v/>
          </cell>
          <cell r="BV146">
            <v>51</v>
          </cell>
          <cell r="BW146">
            <v>4</v>
          </cell>
          <cell r="BX146" t="str">
            <v>DOWNGRADE</v>
          </cell>
          <cell r="BY146" t="str">
            <v>RESET</v>
          </cell>
        </row>
        <row r="147">
          <cell r="A147" t="str">
            <v>A1334</v>
          </cell>
          <cell r="B147" t="str">
            <v>Deslita Sitohang</v>
          </cell>
          <cell r="C147" t="str">
            <v>DELTA</v>
          </cell>
          <cell r="D147">
            <v>44959</v>
          </cell>
          <cell r="E147" t="str">
            <v>Feb-23</v>
          </cell>
          <cell r="F147" t="str">
            <v>EKSKLUSIF</v>
          </cell>
          <cell r="G147" t="str">
            <v>EKSKLUSIF</v>
          </cell>
          <cell r="H147" t="str">
            <v>REGULER</v>
          </cell>
          <cell r="I147" t="str">
            <v>REGULER</v>
          </cell>
          <cell r="J147" t="str">
            <v>REGULER</v>
          </cell>
          <cell r="K147" t="str">
            <v>REGULER</v>
          </cell>
          <cell r="L147" t="str">
            <v>-</v>
          </cell>
          <cell r="M147">
            <v>20</v>
          </cell>
          <cell r="N147">
            <v>43</v>
          </cell>
          <cell r="O147">
            <v>10</v>
          </cell>
          <cell r="P147">
            <v>34</v>
          </cell>
          <cell r="Q147">
            <v>2</v>
          </cell>
          <cell r="R147">
            <v>28</v>
          </cell>
          <cell r="S147" t="str">
            <v/>
          </cell>
          <cell r="T147">
            <v>137</v>
          </cell>
          <cell r="U147">
            <v>0</v>
          </cell>
          <cell r="V147">
            <v>0</v>
          </cell>
          <cell r="W147">
            <v>10</v>
          </cell>
          <cell r="X147">
            <v>34</v>
          </cell>
          <cell r="Y147">
            <v>2</v>
          </cell>
          <cell r="Z147">
            <v>28</v>
          </cell>
          <cell r="AA147" t="str">
            <v/>
          </cell>
          <cell r="AB147">
            <v>74</v>
          </cell>
          <cell r="AC147">
            <v>1</v>
          </cell>
          <cell r="AD147" t="str">
            <v>TIDAK</v>
          </cell>
          <cell r="AE147" t="str">
            <v>TIDAK</v>
          </cell>
          <cell r="AF147">
            <v>74</v>
          </cell>
          <cell r="AG147">
            <v>2</v>
          </cell>
          <cell r="AH147" t="str">
            <v>SAPHIRE</v>
          </cell>
          <cell r="AI147">
            <v>65</v>
          </cell>
          <cell r="AJ147" t="str">
            <v>Y</v>
          </cell>
          <cell r="AK147">
            <v>0</v>
          </cell>
          <cell r="AL147">
            <v>45261</v>
          </cell>
          <cell r="AM147">
            <v>45701</v>
          </cell>
          <cell r="AN147">
            <v>1</v>
          </cell>
          <cell r="AO147">
            <v>9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REGULER</v>
          </cell>
          <cell r="AT147" t="str">
            <v>REGULER</v>
          </cell>
          <cell r="AU147" t="str">
            <v>REGULER</v>
          </cell>
          <cell r="AV147" t="str">
            <v/>
          </cell>
          <cell r="AW147">
            <v>3</v>
          </cell>
          <cell r="AX147">
            <v>0</v>
          </cell>
          <cell r="AY147">
            <v>2</v>
          </cell>
          <cell r="AZ147">
            <v>1</v>
          </cell>
          <cell r="BA147">
            <v>2</v>
          </cell>
          <cell r="BB147">
            <v>3</v>
          </cell>
          <cell r="BC147">
            <v>0</v>
          </cell>
          <cell r="BD147">
            <v>2</v>
          </cell>
          <cell r="BE147">
            <v>1</v>
          </cell>
          <cell r="BF147">
            <v>2</v>
          </cell>
          <cell r="BG147" t="str">
            <v/>
          </cell>
          <cell r="BH147">
            <v>3</v>
          </cell>
          <cell r="BI147">
            <v>0</v>
          </cell>
          <cell r="BJ147">
            <v>2</v>
          </cell>
          <cell r="BK147">
            <v>1</v>
          </cell>
          <cell r="BL147">
            <v>2</v>
          </cell>
          <cell r="BM147" t="str">
            <v/>
          </cell>
          <cell r="BN147">
            <v>8</v>
          </cell>
          <cell r="BO147" t="str">
            <v/>
          </cell>
          <cell r="BP147">
            <v>3</v>
          </cell>
          <cell r="BQ147">
            <v>0</v>
          </cell>
          <cell r="BR147">
            <v>2</v>
          </cell>
          <cell r="BS147">
            <v>1</v>
          </cell>
          <cell r="BT147">
            <v>2</v>
          </cell>
          <cell r="BU147" t="str">
            <v/>
          </cell>
          <cell r="BV147">
            <v>8</v>
          </cell>
          <cell r="BW147">
            <v>3</v>
          </cell>
          <cell r="BX147" t="str">
            <v>DOWNGRADE</v>
          </cell>
          <cell r="BY147" t="str">
            <v>TIDAK</v>
          </cell>
        </row>
        <row r="148">
          <cell r="A148" t="str">
            <v>A3321</v>
          </cell>
          <cell r="B148" t="str">
            <v>Desti Rahmawati</v>
          </cell>
          <cell r="C148" t="str">
            <v>DELTA</v>
          </cell>
          <cell r="D148">
            <v>45258</v>
          </cell>
          <cell r="E148" t="str">
            <v>Nov-23</v>
          </cell>
          <cell r="F148" t="str">
            <v>REGULER</v>
          </cell>
          <cell r="G148" t="str">
            <v>REGULER</v>
          </cell>
          <cell r="H148" t="str">
            <v>EKSKLUSIF</v>
          </cell>
          <cell r="I148" t="str">
            <v>EKSKLUSIF</v>
          </cell>
          <cell r="J148" t="str">
            <v>EKSKLUSIF</v>
          </cell>
          <cell r="K148" t="str">
            <v>EKSKLUSIF</v>
          </cell>
          <cell r="L148" t="str">
            <v>EKSKLUSIF</v>
          </cell>
          <cell r="M148">
            <v>20</v>
          </cell>
          <cell r="N148">
            <v>33</v>
          </cell>
          <cell r="O148">
            <v>37</v>
          </cell>
          <cell r="P148">
            <v>42</v>
          </cell>
          <cell r="Q148">
            <v>37</v>
          </cell>
          <cell r="R148">
            <v>39</v>
          </cell>
          <cell r="S148">
            <v>22</v>
          </cell>
          <cell r="T148">
            <v>230</v>
          </cell>
          <cell r="U148">
            <v>20</v>
          </cell>
          <cell r="V148">
            <v>33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53</v>
          </cell>
          <cell r="AC148">
            <v>0</v>
          </cell>
          <cell r="AD148" t="str">
            <v>TIDAK</v>
          </cell>
          <cell r="AE148" t="str">
            <v>TIDAK</v>
          </cell>
          <cell r="AF148">
            <v>53</v>
          </cell>
          <cell r="AG148">
            <v>2</v>
          </cell>
          <cell r="AH148" t="str">
            <v>SAPHIRE</v>
          </cell>
          <cell r="AI148">
            <v>0</v>
          </cell>
          <cell r="AJ148" t="str">
            <v>FALSE</v>
          </cell>
          <cell r="AK148">
            <v>0</v>
          </cell>
          <cell r="AL148">
            <v>45261</v>
          </cell>
          <cell r="AM148">
            <v>45701</v>
          </cell>
          <cell r="AN148">
            <v>1</v>
          </cell>
          <cell r="AO148">
            <v>53</v>
          </cell>
          <cell r="AP148" t="str">
            <v>EKSKLUSIF</v>
          </cell>
          <cell r="AQ148" t="str">
            <v>-</v>
          </cell>
          <cell r="AR148" t="str">
            <v>REGULER</v>
          </cell>
          <cell r="AS148" t="str">
            <v>EKSKLUSIF</v>
          </cell>
          <cell r="AT148" t="str">
            <v>EKSKLUSIF</v>
          </cell>
          <cell r="AU148" t="str">
            <v>EKSKLUSIF</v>
          </cell>
          <cell r="AV148" t="str">
            <v/>
          </cell>
          <cell r="AW148">
            <v>48</v>
          </cell>
          <cell r="AX148">
            <v>30</v>
          </cell>
          <cell r="AY148">
            <v>41</v>
          </cell>
          <cell r="AZ148">
            <v>47</v>
          </cell>
          <cell r="BA148">
            <v>41</v>
          </cell>
          <cell r="BB148">
            <v>48</v>
          </cell>
          <cell r="BC148">
            <v>30</v>
          </cell>
          <cell r="BD148">
            <v>41</v>
          </cell>
          <cell r="BE148">
            <v>47</v>
          </cell>
          <cell r="BF148">
            <v>41</v>
          </cell>
          <cell r="BG148">
            <v>20</v>
          </cell>
          <cell r="BH148">
            <v>48</v>
          </cell>
          <cell r="BI148">
            <v>30</v>
          </cell>
          <cell r="BJ148">
            <v>41</v>
          </cell>
          <cell r="BK148">
            <v>47</v>
          </cell>
          <cell r="BL148">
            <v>41</v>
          </cell>
          <cell r="BM148">
            <v>15</v>
          </cell>
          <cell r="BN148">
            <v>242</v>
          </cell>
          <cell r="BO148">
            <v>0</v>
          </cell>
          <cell r="BP148">
            <v>48</v>
          </cell>
          <cell r="BQ148">
            <v>30</v>
          </cell>
          <cell r="BR148">
            <v>0</v>
          </cell>
          <cell r="BS148">
            <v>0</v>
          </cell>
          <cell r="BT148">
            <v>0</v>
          </cell>
          <cell r="BU148">
            <v>15</v>
          </cell>
          <cell r="BV148">
            <v>93</v>
          </cell>
          <cell r="BW148">
            <v>0</v>
          </cell>
          <cell r="BX148" t="str">
            <v>TIDAK</v>
          </cell>
          <cell r="BY148" t="str">
            <v>TIDAK</v>
          </cell>
        </row>
        <row r="149">
          <cell r="A149" t="str">
            <v>A2954</v>
          </cell>
          <cell r="B149" t="str">
            <v>Dewi Sofiana Ratnawati</v>
          </cell>
          <cell r="C149" t="str">
            <v>DELTA</v>
          </cell>
          <cell r="D149">
            <v>45201</v>
          </cell>
          <cell r="E149" t="str">
            <v>Oct-23</v>
          </cell>
          <cell r="F149" t="str">
            <v>REGULER</v>
          </cell>
          <cell r="G149" t="str">
            <v>REGULER</v>
          </cell>
          <cell r="H149" t="str">
            <v>-</v>
          </cell>
          <cell r="I149" t="str">
            <v>-</v>
          </cell>
          <cell r="J149" t="str">
            <v>-</v>
          </cell>
          <cell r="K149" t="str">
            <v>-</v>
          </cell>
          <cell r="L149" t="str">
            <v>-</v>
          </cell>
          <cell r="M149">
            <v>10</v>
          </cell>
          <cell r="N149">
            <v>22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 t="str">
            <v/>
          </cell>
          <cell r="T149">
            <v>32</v>
          </cell>
          <cell r="U149">
            <v>10</v>
          </cell>
          <cell r="V149">
            <v>22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 t="str">
            <v/>
          </cell>
          <cell r="AB149">
            <v>32</v>
          </cell>
          <cell r="AC149">
            <v>5</v>
          </cell>
          <cell r="AD149" t="str">
            <v>DOWNGRADE</v>
          </cell>
          <cell r="AE149" t="str">
            <v>RESET</v>
          </cell>
          <cell r="AF149">
            <v>0</v>
          </cell>
          <cell r="AG149">
            <v>2</v>
          </cell>
          <cell r="AH149" t="str">
            <v>SAPHIRE</v>
          </cell>
          <cell r="AI149">
            <v>0</v>
          </cell>
          <cell r="AJ149" t="str">
            <v>FALSE</v>
          </cell>
          <cell r="AK149">
            <v>0</v>
          </cell>
          <cell r="AL149">
            <v>45261</v>
          </cell>
          <cell r="AM149">
            <v>45701</v>
          </cell>
          <cell r="AN149">
            <v>1</v>
          </cell>
          <cell r="AO149">
            <v>0</v>
          </cell>
          <cell r="AP149" t="str">
            <v>-</v>
          </cell>
          <cell r="AQ149" t="str">
            <v>-</v>
          </cell>
          <cell r="AR149" t="str">
            <v>-</v>
          </cell>
          <cell r="AS149" t="str">
            <v>-</v>
          </cell>
          <cell r="AT149" t="str">
            <v>-</v>
          </cell>
          <cell r="AU149" t="str">
            <v>-</v>
          </cell>
          <cell r="AV149" t="str">
            <v/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 t="str">
            <v/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 t="str">
            <v/>
          </cell>
          <cell r="BN149">
            <v>0</v>
          </cell>
          <cell r="BO149" t="str">
            <v/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 t="str">
            <v/>
          </cell>
          <cell r="BV149">
            <v>0</v>
          </cell>
          <cell r="BW149">
            <v>7</v>
          </cell>
          <cell r="BX149" t="str">
            <v>DOWNGRADE</v>
          </cell>
          <cell r="BY149" t="str">
            <v>RESET</v>
          </cell>
        </row>
        <row r="150">
          <cell r="A150" t="str">
            <v>A1098</v>
          </cell>
          <cell r="B150" t="str">
            <v>Dexa Cahya</v>
          </cell>
          <cell r="C150" t="str">
            <v>DELTA</v>
          </cell>
          <cell r="D150">
            <v>44954</v>
          </cell>
          <cell r="E150" t="str">
            <v>Jan-23</v>
          </cell>
          <cell r="F150" t="str">
            <v>EKSKLUSIF</v>
          </cell>
          <cell r="G150" t="str">
            <v>EKSKLUSIF</v>
          </cell>
          <cell r="H150" t="str">
            <v>REGULER</v>
          </cell>
          <cell r="I150" t="str">
            <v>REGULER</v>
          </cell>
          <cell r="J150" t="str">
            <v>-</v>
          </cell>
          <cell r="K150" t="str">
            <v>REGULER</v>
          </cell>
          <cell r="L150" t="str">
            <v>-</v>
          </cell>
          <cell r="M150">
            <v>21</v>
          </cell>
          <cell r="N150">
            <v>46</v>
          </cell>
          <cell r="O150">
            <v>7</v>
          </cell>
          <cell r="P150">
            <v>23</v>
          </cell>
          <cell r="Q150">
            <v>0</v>
          </cell>
          <cell r="R150">
            <v>1</v>
          </cell>
          <cell r="S150" t="str">
            <v/>
          </cell>
          <cell r="T150">
            <v>98</v>
          </cell>
          <cell r="U150">
            <v>0</v>
          </cell>
          <cell r="V150">
            <v>0</v>
          </cell>
          <cell r="W150">
            <v>7</v>
          </cell>
          <cell r="X150">
            <v>23</v>
          </cell>
          <cell r="Y150">
            <v>0</v>
          </cell>
          <cell r="Z150">
            <v>1</v>
          </cell>
          <cell r="AA150" t="str">
            <v/>
          </cell>
          <cell r="AB150">
            <v>31</v>
          </cell>
          <cell r="AC150">
            <v>2</v>
          </cell>
          <cell r="AD150" t="str">
            <v>TIDAK</v>
          </cell>
          <cell r="AE150" t="str">
            <v>TIDAK</v>
          </cell>
          <cell r="AF150">
            <v>31</v>
          </cell>
          <cell r="AG150">
            <v>2</v>
          </cell>
          <cell r="AH150" t="str">
            <v>SAPHIRE</v>
          </cell>
          <cell r="AI150">
            <v>0</v>
          </cell>
          <cell r="AJ150" t="str">
            <v>FALSE</v>
          </cell>
          <cell r="AK150">
            <v>0</v>
          </cell>
          <cell r="AL150">
            <v>45261</v>
          </cell>
          <cell r="AM150">
            <v>45701</v>
          </cell>
          <cell r="AN150">
            <v>1</v>
          </cell>
          <cell r="AO150">
            <v>31</v>
          </cell>
          <cell r="AP150" t="str">
            <v>-</v>
          </cell>
          <cell r="AQ150" t="str">
            <v>-</v>
          </cell>
          <cell r="AR150" t="str">
            <v>REGULER</v>
          </cell>
          <cell r="AS150" t="str">
            <v>REGULER</v>
          </cell>
          <cell r="AT150" t="str">
            <v>REGULER</v>
          </cell>
          <cell r="AU150" t="str">
            <v>REGULER</v>
          </cell>
          <cell r="AV150" t="str">
            <v/>
          </cell>
          <cell r="AW150">
            <v>0</v>
          </cell>
          <cell r="AX150">
            <v>4</v>
          </cell>
          <cell r="AY150">
            <v>14</v>
          </cell>
          <cell r="AZ150">
            <v>22</v>
          </cell>
          <cell r="BA150">
            <v>31</v>
          </cell>
          <cell r="BB150">
            <v>0</v>
          </cell>
          <cell r="BC150">
            <v>4</v>
          </cell>
          <cell r="BD150">
            <v>14</v>
          </cell>
          <cell r="BE150">
            <v>22</v>
          </cell>
          <cell r="BF150">
            <v>31</v>
          </cell>
          <cell r="BG150" t="str">
            <v/>
          </cell>
          <cell r="BH150">
            <v>0</v>
          </cell>
          <cell r="BI150">
            <v>4</v>
          </cell>
          <cell r="BJ150">
            <v>14</v>
          </cell>
          <cell r="BK150">
            <v>22</v>
          </cell>
          <cell r="BL150">
            <v>31</v>
          </cell>
          <cell r="BM150">
            <v>20</v>
          </cell>
          <cell r="BN150">
            <v>91</v>
          </cell>
          <cell r="BO150" t="str">
            <v/>
          </cell>
          <cell r="BP150">
            <v>0</v>
          </cell>
          <cell r="BQ150">
            <v>4</v>
          </cell>
          <cell r="BR150">
            <v>14</v>
          </cell>
          <cell r="BS150">
            <v>22</v>
          </cell>
          <cell r="BT150">
            <v>31</v>
          </cell>
          <cell r="BU150">
            <v>20</v>
          </cell>
          <cell r="BV150">
            <v>91</v>
          </cell>
          <cell r="BW150">
            <v>2</v>
          </cell>
          <cell r="BX150" t="str">
            <v>TIDAK</v>
          </cell>
          <cell r="BY150" t="str">
            <v>TIDAK</v>
          </cell>
        </row>
        <row r="151">
          <cell r="A151" t="str">
            <v>A2443</v>
          </cell>
          <cell r="B151" t="str">
            <v xml:space="preserve">Dian Manita Bella </v>
          </cell>
          <cell r="C151" t="str">
            <v>DELTA</v>
          </cell>
          <cell r="D151">
            <v>45121</v>
          </cell>
          <cell r="E151" t="str">
            <v>Jul-23</v>
          </cell>
          <cell r="F151" t="str">
            <v>REGULER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  <cell r="K151" t="str">
            <v>-</v>
          </cell>
          <cell r="L151" t="str">
            <v>-</v>
          </cell>
          <cell r="M151">
            <v>2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2</v>
          </cell>
          <cell r="U151">
            <v>2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2</v>
          </cell>
          <cell r="AC151">
            <v>6</v>
          </cell>
          <cell r="AD151" t="str">
            <v>DOWNGRADE</v>
          </cell>
          <cell r="AE151" t="str">
            <v>RESET</v>
          </cell>
          <cell r="AF151">
            <v>0</v>
          </cell>
          <cell r="AG151">
            <v>2</v>
          </cell>
          <cell r="AH151" t="str">
            <v>SAPHIRE</v>
          </cell>
          <cell r="AI151">
            <v>0</v>
          </cell>
          <cell r="AJ151" t="str">
            <v>FALSE</v>
          </cell>
          <cell r="AK151">
            <v>0</v>
          </cell>
          <cell r="AL151">
            <v>45261</v>
          </cell>
          <cell r="AM151">
            <v>45701</v>
          </cell>
          <cell r="AN151">
            <v>1</v>
          </cell>
          <cell r="AO151">
            <v>0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/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 t="str">
            <v/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 t="str">
            <v/>
          </cell>
          <cell r="BN151">
            <v>0</v>
          </cell>
          <cell r="BO151" t="str">
            <v/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 t="str">
            <v/>
          </cell>
          <cell r="BV151">
            <v>0</v>
          </cell>
          <cell r="BW151">
            <v>7</v>
          </cell>
          <cell r="BX151" t="str">
            <v>DOWNGRADE</v>
          </cell>
          <cell r="BY151" t="str">
            <v>RESET</v>
          </cell>
        </row>
        <row r="152">
          <cell r="A152" t="str">
            <v>A0986</v>
          </cell>
          <cell r="B152" t="str">
            <v>Dimas Adam Jordan</v>
          </cell>
          <cell r="C152" t="str">
            <v>DELTA</v>
          </cell>
          <cell r="D152">
            <v>44947</v>
          </cell>
          <cell r="E152" t="str">
            <v>Jan-23</v>
          </cell>
          <cell r="F152" t="str">
            <v>EKSKLUSIF</v>
          </cell>
          <cell r="G152" t="str">
            <v>REGULER</v>
          </cell>
          <cell r="H152" t="str">
            <v>REGULER</v>
          </cell>
          <cell r="I152" t="str">
            <v>REGULER</v>
          </cell>
          <cell r="J152" t="str">
            <v>REGULER</v>
          </cell>
          <cell r="K152" t="str">
            <v>REGULER</v>
          </cell>
          <cell r="L152" t="str">
            <v>REGULER</v>
          </cell>
          <cell r="M152">
            <v>22</v>
          </cell>
          <cell r="N152">
            <v>18</v>
          </cell>
          <cell r="O152">
            <v>32</v>
          </cell>
          <cell r="P152">
            <v>2</v>
          </cell>
          <cell r="Q152">
            <v>17</v>
          </cell>
          <cell r="R152">
            <v>37</v>
          </cell>
          <cell r="S152">
            <v>5</v>
          </cell>
          <cell r="T152">
            <v>133</v>
          </cell>
          <cell r="U152">
            <v>0</v>
          </cell>
          <cell r="V152">
            <v>18</v>
          </cell>
          <cell r="W152">
            <v>32</v>
          </cell>
          <cell r="X152">
            <v>2</v>
          </cell>
          <cell r="Y152">
            <v>17</v>
          </cell>
          <cell r="Z152">
            <v>37</v>
          </cell>
          <cell r="AA152">
            <v>5</v>
          </cell>
          <cell r="AB152">
            <v>111</v>
          </cell>
          <cell r="AC152">
            <v>0</v>
          </cell>
          <cell r="AD152" t="str">
            <v>TIDAK</v>
          </cell>
          <cell r="AE152" t="str">
            <v>TIDAK</v>
          </cell>
          <cell r="AF152">
            <v>111</v>
          </cell>
          <cell r="AG152">
            <v>2</v>
          </cell>
          <cell r="AH152" t="str">
            <v>SAPHIRE</v>
          </cell>
          <cell r="AI152">
            <v>0</v>
          </cell>
          <cell r="AJ152" t="str">
            <v>Y</v>
          </cell>
          <cell r="AK152">
            <v>0</v>
          </cell>
          <cell r="AL152">
            <v>45261</v>
          </cell>
          <cell r="AM152">
            <v>45701</v>
          </cell>
          <cell r="AN152">
            <v>1</v>
          </cell>
          <cell r="AO152">
            <v>111</v>
          </cell>
          <cell r="AP152" t="str">
            <v>-</v>
          </cell>
          <cell r="AQ152" t="str">
            <v>-</v>
          </cell>
          <cell r="AR152" t="str">
            <v>REGULER</v>
          </cell>
          <cell r="AS152" t="str">
            <v>REGULER</v>
          </cell>
          <cell r="AT152" t="str">
            <v>REGULER</v>
          </cell>
          <cell r="AU152" t="str">
            <v>REGULER</v>
          </cell>
          <cell r="AV152" t="str">
            <v/>
          </cell>
          <cell r="AW152">
            <v>47</v>
          </cell>
          <cell r="AX152">
            <v>40</v>
          </cell>
          <cell r="AY152">
            <v>20</v>
          </cell>
          <cell r="AZ152">
            <v>40</v>
          </cell>
          <cell r="BA152">
            <v>32</v>
          </cell>
          <cell r="BB152">
            <v>47</v>
          </cell>
          <cell r="BC152">
            <v>40</v>
          </cell>
          <cell r="BD152">
            <v>20</v>
          </cell>
          <cell r="BE152">
            <v>40</v>
          </cell>
          <cell r="BF152">
            <v>32</v>
          </cell>
          <cell r="BG152">
            <v>18</v>
          </cell>
          <cell r="BH152">
            <v>47</v>
          </cell>
          <cell r="BI152">
            <v>40</v>
          </cell>
          <cell r="BJ152">
            <v>20</v>
          </cell>
          <cell r="BK152">
            <v>40</v>
          </cell>
          <cell r="BL152">
            <v>32</v>
          </cell>
          <cell r="BM152" t="str">
            <v/>
          </cell>
          <cell r="BN152">
            <v>197</v>
          </cell>
          <cell r="BO152">
            <v>18</v>
          </cell>
          <cell r="BP152">
            <v>47</v>
          </cell>
          <cell r="BQ152">
            <v>40</v>
          </cell>
          <cell r="BR152">
            <v>20</v>
          </cell>
          <cell r="BS152">
            <v>40</v>
          </cell>
          <cell r="BT152">
            <v>32</v>
          </cell>
          <cell r="BU152" t="str">
            <v/>
          </cell>
          <cell r="BV152">
            <v>197</v>
          </cell>
          <cell r="BW152">
            <v>1</v>
          </cell>
          <cell r="BX152" t="str">
            <v>TIDAK</v>
          </cell>
          <cell r="BY152" t="str">
            <v>TIDAK</v>
          </cell>
        </row>
        <row r="153">
          <cell r="A153" t="str">
            <v>A2936</v>
          </cell>
          <cell r="B153" t="str">
            <v>Dimas Agung Nugroho</v>
          </cell>
          <cell r="C153" t="str">
            <v>DELTA</v>
          </cell>
          <cell r="D153">
            <v>45132</v>
          </cell>
          <cell r="E153" t="str">
            <v>Jul-23</v>
          </cell>
          <cell r="F153" t="str">
            <v>REGULER</v>
          </cell>
          <cell r="G153" t="str">
            <v>REGULER</v>
          </cell>
          <cell r="H153" t="str">
            <v>REGULER</v>
          </cell>
          <cell r="I153" t="str">
            <v>REGULER</v>
          </cell>
          <cell r="J153" t="str">
            <v>REGULER</v>
          </cell>
          <cell r="K153" t="str">
            <v>REGULER</v>
          </cell>
          <cell r="L153" t="str">
            <v>REGULER</v>
          </cell>
          <cell r="M153">
            <v>15</v>
          </cell>
          <cell r="N153">
            <v>28</v>
          </cell>
          <cell r="O153">
            <v>33</v>
          </cell>
          <cell r="P153">
            <v>17</v>
          </cell>
          <cell r="Q153">
            <v>19</v>
          </cell>
          <cell r="R153">
            <v>19</v>
          </cell>
          <cell r="S153">
            <v>16</v>
          </cell>
          <cell r="T153">
            <v>147</v>
          </cell>
          <cell r="U153">
            <v>15</v>
          </cell>
          <cell r="V153">
            <v>28</v>
          </cell>
          <cell r="W153">
            <v>33</v>
          </cell>
          <cell r="X153">
            <v>17</v>
          </cell>
          <cell r="Y153">
            <v>19</v>
          </cell>
          <cell r="Z153">
            <v>19</v>
          </cell>
          <cell r="AA153">
            <v>16</v>
          </cell>
          <cell r="AB153">
            <v>147</v>
          </cell>
          <cell r="AC153">
            <v>0</v>
          </cell>
          <cell r="AD153" t="str">
            <v>TIDAK</v>
          </cell>
          <cell r="AE153" t="str">
            <v>TIDAK</v>
          </cell>
          <cell r="AF153">
            <v>147</v>
          </cell>
          <cell r="AG153">
            <v>2</v>
          </cell>
          <cell r="AH153" t="str">
            <v>SAPHIRE</v>
          </cell>
          <cell r="AI153">
            <v>0</v>
          </cell>
          <cell r="AJ153" t="str">
            <v>Y</v>
          </cell>
          <cell r="AK153">
            <v>0</v>
          </cell>
          <cell r="AL153">
            <v>45261</v>
          </cell>
          <cell r="AM153">
            <v>45701</v>
          </cell>
          <cell r="AN153">
            <v>1</v>
          </cell>
          <cell r="AO153">
            <v>147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REGULER</v>
          </cell>
          <cell r="AT153" t="str">
            <v>REGULER</v>
          </cell>
          <cell r="AU153" t="str">
            <v>REGULER</v>
          </cell>
          <cell r="AV153" t="str">
            <v/>
          </cell>
          <cell r="AW153">
            <v>15</v>
          </cell>
          <cell r="AX153">
            <v>0</v>
          </cell>
          <cell r="AY153">
            <v>18</v>
          </cell>
          <cell r="AZ153">
            <v>35</v>
          </cell>
          <cell r="BA153">
            <v>33</v>
          </cell>
          <cell r="BB153">
            <v>15</v>
          </cell>
          <cell r="BC153">
            <v>0</v>
          </cell>
          <cell r="BD153">
            <v>18</v>
          </cell>
          <cell r="BE153">
            <v>35</v>
          </cell>
          <cell r="BF153">
            <v>33</v>
          </cell>
          <cell r="BG153">
            <v>8</v>
          </cell>
          <cell r="BH153">
            <v>15</v>
          </cell>
          <cell r="BI153">
            <v>0</v>
          </cell>
          <cell r="BJ153">
            <v>18</v>
          </cell>
          <cell r="BK153">
            <v>35</v>
          </cell>
          <cell r="BL153">
            <v>33</v>
          </cell>
          <cell r="BM153">
            <v>17</v>
          </cell>
          <cell r="BN153">
            <v>126</v>
          </cell>
          <cell r="BO153">
            <v>8</v>
          </cell>
          <cell r="BP153">
            <v>15</v>
          </cell>
          <cell r="BQ153">
            <v>0</v>
          </cell>
          <cell r="BR153">
            <v>18</v>
          </cell>
          <cell r="BS153">
            <v>35</v>
          </cell>
          <cell r="BT153">
            <v>33</v>
          </cell>
          <cell r="BU153">
            <v>17</v>
          </cell>
          <cell r="BV153">
            <v>126</v>
          </cell>
          <cell r="BW153">
            <v>1</v>
          </cell>
          <cell r="BX153" t="str">
            <v>TIDAK</v>
          </cell>
          <cell r="BY153" t="str">
            <v>TIDAK</v>
          </cell>
        </row>
        <row r="154">
          <cell r="A154" t="str">
            <v>A2931</v>
          </cell>
          <cell r="B154" t="str">
            <v>Dimas Fahri Husaini</v>
          </cell>
          <cell r="C154" t="str">
            <v>DELTA</v>
          </cell>
          <cell r="D154">
            <v>45156</v>
          </cell>
          <cell r="E154" t="str">
            <v>Aug-23</v>
          </cell>
          <cell r="F154" t="str">
            <v>REGULER</v>
          </cell>
          <cell r="G154" t="str">
            <v>REGULER</v>
          </cell>
          <cell r="H154" t="str">
            <v>REGULER</v>
          </cell>
          <cell r="I154" t="str">
            <v>REGULER</v>
          </cell>
          <cell r="J154" t="str">
            <v>REGULER</v>
          </cell>
          <cell r="K154" t="str">
            <v>REGULER</v>
          </cell>
          <cell r="L154" t="str">
            <v>REGULER</v>
          </cell>
          <cell r="M154">
            <v>13</v>
          </cell>
          <cell r="N154">
            <v>26</v>
          </cell>
          <cell r="O154">
            <v>12</v>
          </cell>
          <cell r="P154">
            <v>39</v>
          </cell>
          <cell r="Q154">
            <v>39</v>
          </cell>
          <cell r="R154">
            <v>31</v>
          </cell>
          <cell r="S154">
            <v>1</v>
          </cell>
          <cell r="T154">
            <v>161</v>
          </cell>
          <cell r="U154">
            <v>13</v>
          </cell>
          <cell r="V154">
            <v>26</v>
          </cell>
          <cell r="W154">
            <v>12</v>
          </cell>
          <cell r="X154">
            <v>39</v>
          </cell>
          <cell r="Y154">
            <v>39</v>
          </cell>
          <cell r="Z154">
            <v>31</v>
          </cell>
          <cell r="AA154">
            <v>1</v>
          </cell>
          <cell r="AB154">
            <v>161</v>
          </cell>
          <cell r="AC154">
            <v>0</v>
          </cell>
          <cell r="AD154" t="str">
            <v>TIDAK</v>
          </cell>
          <cell r="AE154" t="str">
            <v>TIDAK</v>
          </cell>
          <cell r="AF154">
            <v>161</v>
          </cell>
          <cell r="AG154">
            <v>2</v>
          </cell>
          <cell r="AH154" t="str">
            <v>SAPHIRE</v>
          </cell>
          <cell r="AI154">
            <v>0</v>
          </cell>
          <cell r="AJ154" t="str">
            <v>Y</v>
          </cell>
          <cell r="AK154">
            <v>0</v>
          </cell>
          <cell r="AL154">
            <v>45261</v>
          </cell>
          <cell r="AM154">
            <v>45701</v>
          </cell>
          <cell r="AN154">
            <v>1</v>
          </cell>
          <cell r="AO154">
            <v>161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/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 t="str">
            <v/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 t="str">
            <v/>
          </cell>
          <cell r="BN154">
            <v>0</v>
          </cell>
          <cell r="BO154" t="str">
            <v/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 t="str">
            <v/>
          </cell>
          <cell r="BV154">
            <v>0</v>
          </cell>
          <cell r="BW154">
            <v>7</v>
          </cell>
          <cell r="BX154" t="str">
            <v>DOWNGRADE</v>
          </cell>
          <cell r="BY154" t="str">
            <v>RESET</v>
          </cell>
        </row>
        <row r="155">
          <cell r="A155" t="str">
            <v>A0415</v>
          </cell>
          <cell r="B155" t="str">
            <v>Dina Nakita</v>
          </cell>
          <cell r="C155" t="str">
            <v>DELTA</v>
          </cell>
          <cell r="D155">
            <v>45125</v>
          </cell>
          <cell r="E155" t="str">
            <v>Jul-23</v>
          </cell>
          <cell r="F155" t="str">
            <v>REGULER</v>
          </cell>
          <cell r="G155" t="str">
            <v>REGULER</v>
          </cell>
          <cell r="H155" t="str">
            <v>REGULER</v>
          </cell>
          <cell r="I155" t="str">
            <v>REGULER</v>
          </cell>
          <cell r="J155" t="str">
            <v>REGULER</v>
          </cell>
          <cell r="K155" t="str">
            <v>REGULER</v>
          </cell>
          <cell r="L155" t="str">
            <v>REGULER</v>
          </cell>
          <cell r="M155">
            <v>13</v>
          </cell>
          <cell r="N155">
            <v>17</v>
          </cell>
          <cell r="O155">
            <v>31</v>
          </cell>
          <cell r="P155">
            <v>34</v>
          </cell>
          <cell r="Q155">
            <v>38</v>
          </cell>
          <cell r="R155">
            <v>33</v>
          </cell>
          <cell r="S155">
            <v>18</v>
          </cell>
          <cell r="T155">
            <v>184</v>
          </cell>
          <cell r="U155">
            <v>13</v>
          </cell>
          <cell r="V155">
            <v>17</v>
          </cell>
          <cell r="W155">
            <v>31</v>
          </cell>
          <cell r="X155">
            <v>34</v>
          </cell>
          <cell r="Y155">
            <v>38</v>
          </cell>
          <cell r="Z155">
            <v>33</v>
          </cell>
          <cell r="AA155">
            <v>18</v>
          </cell>
          <cell r="AB155">
            <v>184</v>
          </cell>
          <cell r="AC155">
            <v>0</v>
          </cell>
          <cell r="AD155" t="str">
            <v>TIDAK</v>
          </cell>
          <cell r="AE155" t="str">
            <v>TIDAK</v>
          </cell>
          <cell r="AF155">
            <v>184</v>
          </cell>
          <cell r="AG155">
            <v>2</v>
          </cell>
          <cell r="AH155" t="str">
            <v>SAPHIRE</v>
          </cell>
          <cell r="AI155">
            <v>0</v>
          </cell>
          <cell r="AJ155" t="str">
            <v>Y</v>
          </cell>
          <cell r="AK155">
            <v>0</v>
          </cell>
          <cell r="AL155">
            <v>45261</v>
          </cell>
          <cell r="AM155">
            <v>45701</v>
          </cell>
          <cell r="AN155">
            <v>1</v>
          </cell>
          <cell r="AO155">
            <v>184</v>
          </cell>
          <cell r="AP155" t="str">
            <v>-</v>
          </cell>
          <cell r="AQ155" t="str">
            <v>-</v>
          </cell>
          <cell r="AR155" t="str">
            <v>REGULER</v>
          </cell>
          <cell r="AS155" t="str">
            <v>REGULER</v>
          </cell>
          <cell r="AT155" t="str">
            <v>REGULER</v>
          </cell>
          <cell r="AU155" t="str">
            <v>REGULER</v>
          </cell>
          <cell r="AV155" t="str">
            <v/>
          </cell>
          <cell r="AW155">
            <v>43</v>
          </cell>
          <cell r="AX155">
            <v>38</v>
          </cell>
          <cell r="AY155">
            <v>35</v>
          </cell>
          <cell r="AZ155">
            <v>36</v>
          </cell>
          <cell r="BA155">
            <v>39</v>
          </cell>
          <cell r="BB155">
            <v>43</v>
          </cell>
          <cell r="BC155">
            <v>38</v>
          </cell>
          <cell r="BD155">
            <v>35</v>
          </cell>
          <cell r="BE155">
            <v>36</v>
          </cell>
          <cell r="BF155">
            <v>39</v>
          </cell>
          <cell r="BG155">
            <v>16</v>
          </cell>
          <cell r="BH155">
            <v>43</v>
          </cell>
          <cell r="BI155">
            <v>38</v>
          </cell>
          <cell r="BJ155">
            <v>35</v>
          </cell>
          <cell r="BK155">
            <v>36</v>
          </cell>
          <cell r="BL155">
            <v>39</v>
          </cell>
          <cell r="BM155">
            <v>3</v>
          </cell>
          <cell r="BN155">
            <v>210</v>
          </cell>
          <cell r="BO155">
            <v>16</v>
          </cell>
          <cell r="BP155">
            <v>43</v>
          </cell>
          <cell r="BQ155">
            <v>38</v>
          </cell>
          <cell r="BR155">
            <v>35</v>
          </cell>
          <cell r="BS155">
            <v>36</v>
          </cell>
          <cell r="BT155">
            <v>39</v>
          </cell>
          <cell r="BU155">
            <v>3</v>
          </cell>
          <cell r="BV155">
            <v>210</v>
          </cell>
          <cell r="BW155">
            <v>0</v>
          </cell>
          <cell r="BX155" t="str">
            <v>TIDAK</v>
          </cell>
          <cell r="BY155" t="str">
            <v>TIDAK</v>
          </cell>
        </row>
        <row r="156">
          <cell r="A156" t="str">
            <v>A2175</v>
          </cell>
          <cell r="B156" t="str">
            <v>Dinda Nor Amalia</v>
          </cell>
          <cell r="C156" t="str">
            <v>DELTA</v>
          </cell>
          <cell r="D156">
            <v>45049</v>
          </cell>
          <cell r="E156" t="str">
            <v>May-23</v>
          </cell>
          <cell r="F156" t="str">
            <v>REGULER</v>
          </cell>
          <cell r="G156" t="str">
            <v>REGULER</v>
          </cell>
          <cell r="H156" t="str">
            <v>REGULER</v>
          </cell>
          <cell r="I156" t="str">
            <v>REGULER</v>
          </cell>
          <cell r="J156" t="str">
            <v>-</v>
          </cell>
          <cell r="K156" t="str">
            <v>REGULER</v>
          </cell>
          <cell r="L156" t="str">
            <v>REGULER</v>
          </cell>
          <cell r="M156">
            <v>15</v>
          </cell>
          <cell r="N156">
            <v>31</v>
          </cell>
          <cell r="O156">
            <v>22</v>
          </cell>
          <cell r="P156">
            <v>32</v>
          </cell>
          <cell r="Q156">
            <v>0</v>
          </cell>
          <cell r="R156">
            <v>11</v>
          </cell>
          <cell r="S156">
            <v>9</v>
          </cell>
          <cell r="T156">
            <v>120</v>
          </cell>
          <cell r="U156">
            <v>15</v>
          </cell>
          <cell r="V156">
            <v>31</v>
          </cell>
          <cell r="W156">
            <v>22</v>
          </cell>
          <cell r="X156">
            <v>32</v>
          </cell>
          <cell r="Y156">
            <v>0</v>
          </cell>
          <cell r="Z156">
            <v>11</v>
          </cell>
          <cell r="AA156">
            <v>9</v>
          </cell>
          <cell r="AB156">
            <v>120</v>
          </cell>
          <cell r="AC156">
            <v>1</v>
          </cell>
          <cell r="AD156" t="str">
            <v>TIDAK</v>
          </cell>
          <cell r="AE156" t="str">
            <v>TIDAK</v>
          </cell>
          <cell r="AF156">
            <v>120</v>
          </cell>
          <cell r="AG156">
            <v>2</v>
          </cell>
          <cell r="AH156" t="str">
            <v>SAPHIRE</v>
          </cell>
          <cell r="AI156">
            <v>0</v>
          </cell>
          <cell r="AJ156" t="str">
            <v>Y</v>
          </cell>
          <cell r="AK156">
            <v>0</v>
          </cell>
          <cell r="AL156">
            <v>45261</v>
          </cell>
          <cell r="AM156">
            <v>45701</v>
          </cell>
          <cell r="AN156">
            <v>1</v>
          </cell>
          <cell r="AO156">
            <v>120</v>
          </cell>
          <cell r="AP156" t="str">
            <v>-</v>
          </cell>
          <cell r="AQ156" t="str">
            <v>-</v>
          </cell>
          <cell r="AR156" t="str">
            <v>-</v>
          </cell>
          <cell r="AS156" t="str">
            <v>-</v>
          </cell>
          <cell r="AT156" t="str">
            <v>-</v>
          </cell>
          <cell r="AU156" t="str">
            <v>-</v>
          </cell>
          <cell r="AV156" t="str">
            <v/>
          </cell>
          <cell r="AW156">
            <v>1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1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16</v>
          </cell>
          <cell r="BH156">
            <v>1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 t="str">
            <v/>
          </cell>
          <cell r="BN156">
            <v>17</v>
          </cell>
          <cell r="BO156">
            <v>16</v>
          </cell>
          <cell r="BP156">
            <v>1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 t="str">
            <v/>
          </cell>
          <cell r="BV156">
            <v>17</v>
          </cell>
          <cell r="BW156">
            <v>5</v>
          </cell>
          <cell r="BX156" t="str">
            <v>DOWNGRADE</v>
          </cell>
          <cell r="BY156" t="str">
            <v>RESET</v>
          </cell>
        </row>
        <row r="157">
          <cell r="A157">
            <v>90592</v>
          </cell>
          <cell r="B157" t="str">
            <v>Dini Shintia Putri</v>
          </cell>
          <cell r="C157" t="str">
            <v>DELTA</v>
          </cell>
          <cell r="D157">
            <v>44744</v>
          </cell>
          <cell r="E157" t="str">
            <v>Jul-22</v>
          </cell>
          <cell r="F157" t="str">
            <v>EKSKLUSIF</v>
          </cell>
          <cell r="G157" t="str">
            <v>EKSKLUSIF</v>
          </cell>
          <cell r="H157" t="str">
            <v>EKSKLUSIF</v>
          </cell>
          <cell r="I157" t="str">
            <v>EKSKLUSIF</v>
          </cell>
          <cell r="J157" t="str">
            <v>EKSKLUSIF</v>
          </cell>
          <cell r="K157" t="str">
            <v>EKSKLUSIF</v>
          </cell>
          <cell r="L157" t="str">
            <v>EKSKLUSIF</v>
          </cell>
          <cell r="M157">
            <v>21</v>
          </cell>
          <cell r="N157">
            <v>44</v>
          </cell>
          <cell r="O157">
            <v>39</v>
          </cell>
          <cell r="P157">
            <v>41</v>
          </cell>
          <cell r="Q157">
            <v>38</v>
          </cell>
          <cell r="R157">
            <v>43</v>
          </cell>
          <cell r="S157">
            <v>21</v>
          </cell>
          <cell r="T157">
            <v>247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 t="str">
            <v>TIDAK</v>
          </cell>
          <cell r="AE157" t="str">
            <v>TIDAK</v>
          </cell>
          <cell r="AF157">
            <v>0</v>
          </cell>
          <cell r="AG157">
            <v>2</v>
          </cell>
          <cell r="AH157" t="str">
            <v>SAPHIRE</v>
          </cell>
          <cell r="AI157">
            <v>0</v>
          </cell>
          <cell r="AJ157" t="str">
            <v>FALSE</v>
          </cell>
          <cell r="AK157">
            <v>0</v>
          </cell>
          <cell r="AL157">
            <v>45261</v>
          </cell>
          <cell r="AM157">
            <v>45701</v>
          </cell>
          <cell r="AN157">
            <v>1</v>
          </cell>
          <cell r="AO157">
            <v>0</v>
          </cell>
          <cell r="AP157" t="str">
            <v>EKSKLUSIF</v>
          </cell>
          <cell r="AQ157" t="str">
            <v>-</v>
          </cell>
          <cell r="AR157" t="str">
            <v>EKSKLUSIF</v>
          </cell>
          <cell r="AS157" t="str">
            <v>EKSKLUSIF</v>
          </cell>
          <cell r="AT157" t="str">
            <v>EKSKLUSIF</v>
          </cell>
          <cell r="AU157" t="str">
            <v>EKSKLUSIF</v>
          </cell>
          <cell r="AV157" t="str">
            <v/>
          </cell>
          <cell r="AW157">
            <v>49</v>
          </cell>
          <cell r="AX157">
            <v>48</v>
          </cell>
          <cell r="AY157">
            <v>42</v>
          </cell>
          <cell r="AZ157">
            <v>46</v>
          </cell>
          <cell r="BA157">
            <v>43</v>
          </cell>
          <cell r="BB157">
            <v>49</v>
          </cell>
          <cell r="BC157">
            <v>48</v>
          </cell>
          <cell r="BD157">
            <v>42</v>
          </cell>
          <cell r="BE157">
            <v>46</v>
          </cell>
          <cell r="BF157">
            <v>43</v>
          </cell>
          <cell r="BG157">
            <v>18</v>
          </cell>
          <cell r="BH157">
            <v>49</v>
          </cell>
          <cell r="BI157">
            <v>48</v>
          </cell>
          <cell r="BJ157">
            <v>42</v>
          </cell>
          <cell r="BK157">
            <v>46</v>
          </cell>
          <cell r="BL157">
            <v>43</v>
          </cell>
          <cell r="BM157">
            <v>20</v>
          </cell>
          <cell r="BN157">
            <v>266</v>
          </cell>
          <cell r="BO157">
            <v>0</v>
          </cell>
          <cell r="BP157">
            <v>49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20</v>
          </cell>
          <cell r="BV157">
            <v>69</v>
          </cell>
          <cell r="BW157">
            <v>0</v>
          </cell>
          <cell r="BX157" t="str">
            <v>TIDAK</v>
          </cell>
          <cell r="BY157" t="str">
            <v>TIDAK</v>
          </cell>
        </row>
        <row r="158">
          <cell r="A158" t="str">
            <v>A1104</v>
          </cell>
          <cell r="B158" t="str">
            <v>Dwi Lia Cahyani</v>
          </cell>
          <cell r="C158" t="str">
            <v>DELTA</v>
          </cell>
          <cell r="D158">
            <v>44994</v>
          </cell>
          <cell r="E158" t="str">
            <v>Mar-23</v>
          </cell>
          <cell r="F158" t="str">
            <v>REGULER</v>
          </cell>
          <cell r="G158" t="str">
            <v>REGULER</v>
          </cell>
          <cell r="H158" t="str">
            <v>EKSKLUSIF</v>
          </cell>
          <cell r="I158" t="str">
            <v>EKSKLUSIF</v>
          </cell>
          <cell r="J158" t="str">
            <v>REGULER</v>
          </cell>
          <cell r="K158" t="str">
            <v>REGULER</v>
          </cell>
          <cell r="L158" t="str">
            <v>REGULER</v>
          </cell>
          <cell r="M158">
            <v>15</v>
          </cell>
          <cell r="N158">
            <v>45</v>
          </cell>
          <cell r="O158">
            <v>40</v>
          </cell>
          <cell r="P158">
            <v>38</v>
          </cell>
          <cell r="Q158">
            <v>23</v>
          </cell>
          <cell r="R158">
            <v>16</v>
          </cell>
          <cell r="S158">
            <v>2</v>
          </cell>
          <cell r="T158">
            <v>179</v>
          </cell>
          <cell r="U158">
            <v>15</v>
          </cell>
          <cell r="V158">
            <v>45</v>
          </cell>
          <cell r="W158">
            <v>0</v>
          </cell>
          <cell r="X158">
            <v>0</v>
          </cell>
          <cell r="Y158">
            <v>23</v>
          </cell>
          <cell r="Z158">
            <v>16</v>
          </cell>
          <cell r="AA158">
            <v>2</v>
          </cell>
          <cell r="AB158">
            <v>101</v>
          </cell>
          <cell r="AC158">
            <v>0</v>
          </cell>
          <cell r="AD158" t="str">
            <v>TIDAK</v>
          </cell>
          <cell r="AE158" t="str">
            <v>TIDAK</v>
          </cell>
          <cell r="AF158">
            <v>101</v>
          </cell>
          <cell r="AG158">
            <v>2</v>
          </cell>
          <cell r="AH158" t="str">
            <v>SAPHIRE</v>
          </cell>
          <cell r="AI158">
            <v>0</v>
          </cell>
          <cell r="AJ158" t="str">
            <v>Y</v>
          </cell>
          <cell r="AK158">
            <v>0</v>
          </cell>
          <cell r="AL158">
            <v>45261</v>
          </cell>
          <cell r="AM158">
            <v>45701</v>
          </cell>
          <cell r="AN158">
            <v>1</v>
          </cell>
          <cell r="AO158">
            <v>101</v>
          </cell>
          <cell r="AP158" t="str">
            <v>-</v>
          </cell>
          <cell r="AQ158" t="str">
            <v>-</v>
          </cell>
          <cell r="AR158" t="str">
            <v>-</v>
          </cell>
          <cell r="AS158" t="str">
            <v>-</v>
          </cell>
          <cell r="AT158" t="str">
            <v>-</v>
          </cell>
          <cell r="AU158" t="str">
            <v>-</v>
          </cell>
          <cell r="AV158" t="str">
            <v/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15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 t="str">
            <v/>
          </cell>
          <cell r="BN158">
            <v>15</v>
          </cell>
          <cell r="BO158">
            <v>15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 t="str">
            <v/>
          </cell>
          <cell r="BV158">
            <v>15</v>
          </cell>
          <cell r="BW158">
            <v>6</v>
          </cell>
          <cell r="BX158" t="str">
            <v>DOWNGRADE</v>
          </cell>
          <cell r="BY158" t="str">
            <v>RESET</v>
          </cell>
        </row>
        <row r="159">
          <cell r="A159" t="str">
            <v>A0685</v>
          </cell>
          <cell r="B159" t="str">
            <v>Dzaky Damartungga</v>
          </cell>
          <cell r="C159" t="str">
            <v>DELTA</v>
          </cell>
          <cell r="D159">
            <v>44918</v>
          </cell>
          <cell r="E159" t="str">
            <v>Dec-22</v>
          </cell>
          <cell r="F159" t="str">
            <v>-</v>
          </cell>
          <cell r="G159" t="str">
            <v>REGULER</v>
          </cell>
          <cell r="H159" t="str">
            <v>REGULER</v>
          </cell>
          <cell r="I159" t="str">
            <v>-</v>
          </cell>
          <cell r="J159" t="str">
            <v>REGULER</v>
          </cell>
          <cell r="K159" t="str">
            <v>-</v>
          </cell>
          <cell r="L159" t="str">
            <v>-</v>
          </cell>
          <cell r="M159">
            <v>0</v>
          </cell>
          <cell r="N159">
            <v>16</v>
          </cell>
          <cell r="O159">
            <v>16</v>
          </cell>
          <cell r="P159">
            <v>0</v>
          </cell>
          <cell r="Q159">
            <v>1</v>
          </cell>
          <cell r="R159">
            <v>0</v>
          </cell>
          <cell r="S159" t="str">
            <v/>
          </cell>
          <cell r="T159">
            <v>33</v>
          </cell>
          <cell r="U159">
            <v>0</v>
          </cell>
          <cell r="V159">
            <v>16</v>
          </cell>
          <cell r="W159">
            <v>16</v>
          </cell>
          <cell r="X159">
            <v>0</v>
          </cell>
          <cell r="Y159">
            <v>1</v>
          </cell>
          <cell r="Z159">
            <v>0</v>
          </cell>
          <cell r="AA159" t="str">
            <v/>
          </cell>
          <cell r="AB159">
            <v>33</v>
          </cell>
          <cell r="AC159">
            <v>4</v>
          </cell>
          <cell r="AD159" t="str">
            <v>DOWNGRADE</v>
          </cell>
          <cell r="AE159" t="str">
            <v>TIDAK</v>
          </cell>
          <cell r="AF159">
            <v>16.5</v>
          </cell>
          <cell r="AG159">
            <v>2</v>
          </cell>
          <cell r="AH159" t="str">
            <v>SAPHIRE</v>
          </cell>
          <cell r="AI159">
            <v>0</v>
          </cell>
          <cell r="AJ159" t="str">
            <v>FALSE</v>
          </cell>
          <cell r="AK159">
            <v>0</v>
          </cell>
          <cell r="AL159">
            <v>45261</v>
          </cell>
          <cell r="AM159">
            <v>45701</v>
          </cell>
          <cell r="AN159">
            <v>1</v>
          </cell>
          <cell r="AO159">
            <v>16.5</v>
          </cell>
          <cell r="AP159" t="str">
            <v>-</v>
          </cell>
          <cell r="AQ159" t="str">
            <v>-</v>
          </cell>
          <cell r="AR159" t="str">
            <v>-</v>
          </cell>
          <cell r="AS159" t="str">
            <v>REGULER</v>
          </cell>
          <cell r="AT159" t="str">
            <v>-</v>
          </cell>
          <cell r="AU159" t="str">
            <v>-</v>
          </cell>
          <cell r="AV159" t="str">
            <v/>
          </cell>
          <cell r="AW159">
            <v>1</v>
          </cell>
          <cell r="AX159">
            <v>0</v>
          </cell>
          <cell r="AY159">
            <v>1</v>
          </cell>
          <cell r="AZ159">
            <v>0</v>
          </cell>
          <cell r="BA159">
            <v>0</v>
          </cell>
          <cell r="BB159">
            <v>1</v>
          </cell>
          <cell r="BC159">
            <v>0</v>
          </cell>
          <cell r="BD159">
            <v>1</v>
          </cell>
          <cell r="BE159">
            <v>0</v>
          </cell>
          <cell r="BF159">
            <v>0</v>
          </cell>
          <cell r="BG159" t="str">
            <v/>
          </cell>
          <cell r="BH159">
            <v>1</v>
          </cell>
          <cell r="BI159">
            <v>0</v>
          </cell>
          <cell r="BJ159">
            <v>1</v>
          </cell>
          <cell r="BK159">
            <v>0</v>
          </cell>
          <cell r="BL159">
            <v>0</v>
          </cell>
          <cell r="BM159">
            <v>1</v>
          </cell>
          <cell r="BN159">
            <v>3</v>
          </cell>
          <cell r="BO159" t="str">
            <v/>
          </cell>
          <cell r="BP159">
            <v>1</v>
          </cell>
          <cell r="BQ159">
            <v>0</v>
          </cell>
          <cell r="BR159">
            <v>1</v>
          </cell>
          <cell r="BS159">
            <v>0</v>
          </cell>
          <cell r="BT159">
            <v>0</v>
          </cell>
          <cell r="BU159">
            <v>1</v>
          </cell>
          <cell r="BV159">
            <v>3</v>
          </cell>
          <cell r="BW159">
            <v>4</v>
          </cell>
          <cell r="BX159" t="str">
            <v>DOWNGRADE</v>
          </cell>
          <cell r="BY159" t="str">
            <v>TIDAK</v>
          </cell>
        </row>
        <row r="160">
          <cell r="A160" t="str">
            <v>A3550</v>
          </cell>
          <cell r="B160" t="str">
            <v>Efrialdi Al Aziz</v>
          </cell>
          <cell r="C160" t="str">
            <v>DELTA</v>
          </cell>
          <cell r="D160">
            <v>45323</v>
          </cell>
          <cell r="E160" t="str">
            <v>Feb-24</v>
          </cell>
          <cell r="F160" t="str">
            <v>-</v>
          </cell>
          <cell r="G160" t="str">
            <v>-</v>
          </cell>
          <cell r="H160" t="str">
            <v>REGULER</v>
          </cell>
          <cell r="I160" t="str">
            <v>REGULER</v>
          </cell>
          <cell r="J160" t="str">
            <v>REGULER</v>
          </cell>
          <cell r="K160" t="str">
            <v>REGULER</v>
          </cell>
          <cell r="L160" t="str">
            <v>REGULER</v>
          </cell>
          <cell r="M160">
            <v>0</v>
          </cell>
          <cell r="N160">
            <v>0</v>
          </cell>
          <cell r="O160">
            <v>21</v>
          </cell>
          <cell r="P160">
            <v>31</v>
          </cell>
          <cell r="Q160">
            <v>36</v>
          </cell>
          <cell r="R160">
            <v>42</v>
          </cell>
          <cell r="S160">
            <v>16</v>
          </cell>
          <cell r="T160">
            <v>146</v>
          </cell>
          <cell r="U160">
            <v>0</v>
          </cell>
          <cell r="V160">
            <v>0</v>
          </cell>
          <cell r="W160">
            <v>21</v>
          </cell>
          <cell r="X160">
            <v>31</v>
          </cell>
          <cell r="Y160">
            <v>36</v>
          </cell>
          <cell r="Z160">
            <v>42</v>
          </cell>
          <cell r="AA160">
            <v>16</v>
          </cell>
          <cell r="AB160">
            <v>146</v>
          </cell>
          <cell r="AC160">
            <v>0</v>
          </cell>
          <cell r="AD160" t="str">
            <v>TIDAK</v>
          </cell>
          <cell r="AE160" t="str">
            <v>TIDAK</v>
          </cell>
          <cell r="AF160">
            <v>146</v>
          </cell>
          <cell r="AG160">
            <v>2</v>
          </cell>
          <cell r="AH160" t="str">
            <v>SAPHIRE</v>
          </cell>
          <cell r="AI160">
            <v>0</v>
          </cell>
          <cell r="AJ160" t="str">
            <v>Y</v>
          </cell>
          <cell r="AK160">
            <v>0</v>
          </cell>
          <cell r="AL160">
            <v>45261</v>
          </cell>
          <cell r="AM160">
            <v>45701</v>
          </cell>
          <cell r="AN160">
            <v>1</v>
          </cell>
          <cell r="AO160">
            <v>146</v>
          </cell>
          <cell r="AP160" t="str">
            <v>-</v>
          </cell>
          <cell r="AQ160" t="str">
            <v>-</v>
          </cell>
          <cell r="AR160" t="str">
            <v>REGULER</v>
          </cell>
          <cell r="AS160" t="str">
            <v>REGULER</v>
          </cell>
          <cell r="AT160" t="str">
            <v>REGULER</v>
          </cell>
          <cell r="AU160" t="str">
            <v>REGULER</v>
          </cell>
          <cell r="AV160" t="str">
            <v/>
          </cell>
          <cell r="AW160">
            <v>47</v>
          </cell>
          <cell r="AX160">
            <v>40</v>
          </cell>
          <cell r="AY160">
            <v>33</v>
          </cell>
          <cell r="AZ160">
            <v>32</v>
          </cell>
          <cell r="BA160">
            <v>1</v>
          </cell>
          <cell r="BB160">
            <v>47</v>
          </cell>
          <cell r="BC160">
            <v>40</v>
          </cell>
          <cell r="BD160">
            <v>33</v>
          </cell>
          <cell r="BE160">
            <v>32</v>
          </cell>
          <cell r="BF160">
            <v>1</v>
          </cell>
          <cell r="BG160">
            <v>19</v>
          </cell>
          <cell r="BH160">
            <v>47</v>
          </cell>
          <cell r="BI160">
            <v>40</v>
          </cell>
          <cell r="BJ160">
            <v>33</v>
          </cell>
          <cell r="BK160">
            <v>32</v>
          </cell>
          <cell r="BL160">
            <v>1</v>
          </cell>
          <cell r="BM160" t="str">
            <v/>
          </cell>
          <cell r="BN160">
            <v>172</v>
          </cell>
          <cell r="BO160">
            <v>19</v>
          </cell>
          <cell r="BP160">
            <v>47</v>
          </cell>
          <cell r="BQ160">
            <v>40</v>
          </cell>
          <cell r="BR160">
            <v>33</v>
          </cell>
          <cell r="BS160">
            <v>32</v>
          </cell>
          <cell r="BT160">
            <v>1</v>
          </cell>
          <cell r="BU160" t="str">
            <v/>
          </cell>
          <cell r="BV160">
            <v>172</v>
          </cell>
          <cell r="BW160">
            <v>1</v>
          </cell>
          <cell r="BX160" t="str">
            <v>TIDAK</v>
          </cell>
          <cell r="BY160" t="str">
            <v>TIDAK</v>
          </cell>
        </row>
        <row r="161">
          <cell r="A161" t="str">
            <v>A3617</v>
          </cell>
          <cell r="B161" t="str">
            <v>Eka Retno Sari</v>
          </cell>
          <cell r="C161" t="str">
            <v>DELTA</v>
          </cell>
          <cell r="D161">
            <v>45327</v>
          </cell>
          <cell r="E161" t="str">
            <v>Feb-24</v>
          </cell>
          <cell r="F161" t="str">
            <v>-</v>
          </cell>
          <cell r="G161" t="str">
            <v>-</v>
          </cell>
          <cell r="H161" t="str">
            <v>REGULER</v>
          </cell>
          <cell r="I161" t="str">
            <v>REGULER</v>
          </cell>
          <cell r="J161" t="str">
            <v>REGULER</v>
          </cell>
          <cell r="K161" t="str">
            <v>-</v>
          </cell>
          <cell r="L161" t="str">
            <v>-</v>
          </cell>
          <cell r="M161">
            <v>0</v>
          </cell>
          <cell r="N161">
            <v>0</v>
          </cell>
          <cell r="O161">
            <v>17</v>
          </cell>
          <cell r="P161">
            <v>6</v>
          </cell>
          <cell r="Q161">
            <v>4</v>
          </cell>
          <cell r="R161">
            <v>0</v>
          </cell>
          <cell r="S161" t="str">
            <v/>
          </cell>
          <cell r="T161">
            <v>27</v>
          </cell>
          <cell r="U161">
            <v>0</v>
          </cell>
          <cell r="V161">
            <v>0</v>
          </cell>
          <cell r="W161">
            <v>17</v>
          </cell>
          <cell r="X161">
            <v>6</v>
          </cell>
          <cell r="Y161">
            <v>4</v>
          </cell>
          <cell r="Z161">
            <v>0</v>
          </cell>
          <cell r="AA161" t="str">
            <v/>
          </cell>
          <cell r="AB161">
            <v>27</v>
          </cell>
          <cell r="AC161">
            <v>2</v>
          </cell>
          <cell r="AD161" t="str">
            <v>TIDAK</v>
          </cell>
          <cell r="AE161" t="str">
            <v>TIDAK</v>
          </cell>
          <cell r="AF161">
            <v>27</v>
          </cell>
          <cell r="AG161">
            <v>2</v>
          </cell>
          <cell r="AH161" t="str">
            <v>SAPHIRE</v>
          </cell>
          <cell r="AI161">
            <v>0</v>
          </cell>
          <cell r="AJ161" t="str">
            <v>FALSE</v>
          </cell>
          <cell r="AK161">
            <v>0</v>
          </cell>
          <cell r="AL161">
            <v>45261</v>
          </cell>
          <cell r="AM161">
            <v>45701</v>
          </cell>
          <cell r="AN161">
            <v>1</v>
          </cell>
          <cell r="AO161">
            <v>27</v>
          </cell>
          <cell r="AP161" t="str">
            <v>-</v>
          </cell>
          <cell r="AQ161" t="str">
            <v>-</v>
          </cell>
          <cell r="AR161" t="str">
            <v>-</v>
          </cell>
          <cell r="AS161" t="str">
            <v>-</v>
          </cell>
          <cell r="AT161" t="str">
            <v>-</v>
          </cell>
          <cell r="AU161" t="str">
            <v>-</v>
          </cell>
          <cell r="AV161" t="str">
            <v/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 t="str">
            <v/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 t="str">
            <v/>
          </cell>
          <cell r="BN161">
            <v>0</v>
          </cell>
          <cell r="BO161" t="str">
            <v/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 t="str">
            <v/>
          </cell>
          <cell r="BV161">
            <v>0</v>
          </cell>
          <cell r="BW161">
            <v>7</v>
          </cell>
          <cell r="BX161" t="str">
            <v>DOWNGRADE</v>
          </cell>
          <cell r="BY161" t="str">
            <v>RESET</v>
          </cell>
        </row>
        <row r="162">
          <cell r="A162" t="str">
            <v>A0064</v>
          </cell>
          <cell r="B162" t="str">
            <v>Eko Septiardi</v>
          </cell>
          <cell r="C162" t="str">
            <v>DELTA</v>
          </cell>
          <cell r="D162">
            <v>44777</v>
          </cell>
          <cell r="E162" t="str">
            <v>Aug-22</v>
          </cell>
          <cell r="F162" t="str">
            <v>EKSKLUSIF</v>
          </cell>
          <cell r="G162" t="str">
            <v>EKSKLUSIF</v>
          </cell>
          <cell r="H162" t="str">
            <v>-</v>
          </cell>
          <cell r="I162" t="str">
            <v>REGULER</v>
          </cell>
          <cell r="J162" t="str">
            <v>REGULER</v>
          </cell>
          <cell r="K162" t="str">
            <v>-</v>
          </cell>
          <cell r="L162" t="str">
            <v>-</v>
          </cell>
          <cell r="M162">
            <v>22</v>
          </cell>
          <cell r="N162">
            <v>46</v>
          </cell>
          <cell r="O162">
            <v>0</v>
          </cell>
          <cell r="P162">
            <v>1</v>
          </cell>
          <cell r="Q162">
            <v>3</v>
          </cell>
          <cell r="R162">
            <v>0</v>
          </cell>
          <cell r="S162" t="str">
            <v/>
          </cell>
          <cell r="T162">
            <v>72</v>
          </cell>
          <cell r="U162">
            <v>0</v>
          </cell>
          <cell r="V162">
            <v>0</v>
          </cell>
          <cell r="W162">
            <v>0</v>
          </cell>
          <cell r="X162">
            <v>1</v>
          </cell>
          <cell r="Y162">
            <v>3</v>
          </cell>
          <cell r="Z162">
            <v>0</v>
          </cell>
          <cell r="AA162" t="str">
            <v/>
          </cell>
          <cell r="AB162">
            <v>4</v>
          </cell>
          <cell r="AC162">
            <v>3</v>
          </cell>
          <cell r="AD162" t="str">
            <v>DOWNGRADE</v>
          </cell>
          <cell r="AE162" t="str">
            <v>TIDAK</v>
          </cell>
          <cell r="AF162">
            <v>2</v>
          </cell>
          <cell r="AG162">
            <v>2</v>
          </cell>
          <cell r="AH162" t="str">
            <v>SAPHIRE</v>
          </cell>
          <cell r="AI162">
            <v>0</v>
          </cell>
          <cell r="AJ162" t="str">
            <v>FALSE</v>
          </cell>
          <cell r="AK162">
            <v>0</v>
          </cell>
          <cell r="AL162">
            <v>45261</v>
          </cell>
          <cell r="AM162">
            <v>45701</v>
          </cell>
          <cell r="AN162">
            <v>1</v>
          </cell>
          <cell r="AO162">
            <v>2</v>
          </cell>
          <cell r="AP162" t="str">
            <v>-</v>
          </cell>
          <cell r="AQ162" t="str">
            <v>-</v>
          </cell>
          <cell r="AR162" t="str">
            <v>REGULER</v>
          </cell>
          <cell r="AS162" t="str">
            <v>REGULER</v>
          </cell>
          <cell r="AT162" t="str">
            <v>REGULER</v>
          </cell>
          <cell r="AU162" t="str">
            <v>REGULER</v>
          </cell>
          <cell r="AV162" t="str">
            <v/>
          </cell>
          <cell r="AW162">
            <v>21</v>
          </cell>
          <cell r="AX162">
            <v>31</v>
          </cell>
          <cell r="AY162">
            <v>29</v>
          </cell>
          <cell r="AZ162">
            <v>31</v>
          </cell>
          <cell r="BA162">
            <v>17</v>
          </cell>
          <cell r="BB162">
            <v>21</v>
          </cell>
          <cell r="BC162">
            <v>31</v>
          </cell>
          <cell r="BD162">
            <v>29</v>
          </cell>
          <cell r="BE162">
            <v>31</v>
          </cell>
          <cell r="BF162">
            <v>17</v>
          </cell>
          <cell r="BG162">
            <v>1</v>
          </cell>
          <cell r="BH162">
            <v>21</v>
          </cell>
          <cell r="BI162">
            <v>31</v>
          </cell>
          <cell r="BJ162">
            <v>29</v>
          </cell>
          <cell r="BK162">
            <v>31</v>
          </cell>
          <cell r="BL162">
            <v>17</v>
          </cell>
          <cell r="BM162">
            <v>14</v>
          </cell>
          <cell r="BN162">
            <v>144</v>
          </cell>
          <cell r="BO162">
            <v>1</v>
          </cell>
          <cell r="BP162">
            <v>21</v>
          </cell>
          <cell r="BQ162">
            <v>31</v>
          </cell>
          <cell r="BR162">
            <v>29</v>
          </cell>
          <cell r="BS162">
            <v>31</v>
          </cell>
          <cell r="BT162">
            <v>17</v>
          </cell>
          <cell r="BU162">
            <v>14</v>
          </cell>
          <cell r="BV162">
            <v>144</v>
          </cell>
          <cell r="BW162">
            <v>0</v>
          </cell>
          <cell r="BX162" t="str">
            <v>TIDAK</v>
          </cell>
          <cell r="BY162" t="str">
            <v>TIDAK</v>
          </cell>
        </row>
        <row r="163">
          <cell r="A163" t="str">
            <v>A2255</v>
          </cell>
          <cell r="B163" t="str">
            <v>Eli Sitohang</v>
          </cell>
          <cell r="C163" t="str">
            <v>DELTA</v>
          </cell>
          <cell r="D163">
            <v>45062</v>
          </cell>
          <cell r="E163" t="str">
            <v>May-23</v>
          </cell>
          <cell r="F163" t="str">
            <v>EKSKLUSIF</v>
          </cell>
          <cell r="G163" t="str">
            <v>EKSKLUSIF</v>
          </cell>
          <cell r="H163" t="str">
            <v>-</v>
          </cell>
          <cell r="I163" t="str">
            <v>-</v>
          </cell>
          <cell r="J163" t="str">
            <v>REGULER</v>
          </cell>
          <cell r="K163" t="str">
            <v>EKSKLUSIF</v>
          </cell>
          <cell r="L163" t="str">
            <v>EKSKLUSIF</v>
          </cell>
          <cell r="M163">
            <v>22</v>
          </cell>
          <cell r="N163">
            <v>45</v>
          </cell>
          <cell r="O163">
            <v>0</v>
          </cell>
          <cell r="P163">
            <v>0</v>
          </cell>
          <cell r="Q163">
            <v>23</v>
          </cell>
          <cell r="R163">
            <v>44</v>
          </cell>
          <cell r="S163">
            <v>21</v>
          </cell>
          <cell r="T163">
            <v>155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23</v>
          </cell>
          <cell r="Z163">
            <v>0</v>
          </cell>
          <cell r="AA163">
            <v>0</v>
          </cell>
          <cell r="AB163">
            <v>23</v>
          </cell>
          <cell r="AC163">
            <v>2</v>
          </cell>
          <cell r="AD163" t="str">
            <v>TIDAK</v>
          </cell>
          <cell r="AE163" t="str">
            <v>TIDAK</v>
          </cell>
          <cell r="AF163">
            <v>23</v>
          </cell>
          <cell r="AG163">
            <v>2</v>
          </cell>
          <cell r="AH163" t="str">
            <v>SAPHIRE</v>
          </cell>
          <cell r="AI163">
            <v>0</v>
          </cell>
          <cell r="AJ163" t="str">
            <v>FALSE</v>
          </cell>
          <cell r="AK163">
            <v>0</v>
          </cell>
          <cell r="AL163">
            <v>45261</v>
          </cell>
          <cell r="AM163">
            <v>45701</v>
          </cell>
          <cell r="AN163">
            <v>1</v>
          </cell>
          <cell r="AO163">
            <v>23</v>
          </cell>
          <cell r="AP163" t="str">
            <v>EKSKLUSIF</v>
          </cell>
          <cell r="AQ163" t="str">
            <v>-</v>
          </cell>
          <cell r="AR163" t="str">
            <v>EKSKLUSIF</v>
          </cell>
          <cell r="AS163" t="str">
            <v>EKSKLUSIF</v>
          </cell>
          <cell r="AT163" t="str">
            <v>EKSKLUSIF</v>
          </cell>
          <cell r="AU163" t="str">
            <v>REGULER</v>
          </cell>
          <cell r="AV163" t="str">
            <v/>
          </cell>
          <cell r="AW163">
            <v>47</v>
          </cell>
          <cell r="AX163">
            <v>48</v>
          </cell>
          <cell r="AY163">
            <v>43</v>
          </cell>
          <cell r="AZ163">
            <v>47</v>
          </cell>
          <cell r="BA163">
            <v>32</v>
          </cell>
          <cell r="BB163">
            <v>47</v>
          </cell>
          <cell r="BC163">
            <v>48</v>
          </cell>
          <cell r="BD163">
            <v>43</v>
          </cell>
          <cell r="BE163">
            <v>47</v>
          </cell>
          <cell r="BF163">
            <v>32</v>
          </cell>
          <cell r="BG163">
            <v>20</v>
          </cell>
          <cell r="BH163">
            <v>47</v>
          </cell>
          <cell r="BI163">
            <v>48</v>
          </cell>
          <cell r="BJ163">
            <v>43</v>
          </cell>
          <cell r="BK163">
            <v>47</v>
          </cell>
          <cell r="BL163">
            <v>32</v>
          </cell>
          <cell r="BM163">
            <v>17</v>
          </cell>
          <cell r="BN163">
            <v>254</v>
          </cell>
          <cell r="BO163">
            <v>0</v>
          </cell>
          <cell r="BP163">
            <v>47</v>
          </cell>
          <cell r="BQ163">
            <v>0</v>
          </cell>
          <cell r="BR163">
            <v>0</v>
          </cell>
          <cell r="BS163">
            <v>0</v>
          </cell>
          <cell r="BT163">
            <v>32</v>
          </cell>
          <cell r="BU163">
            <v>17</v>
          </cell>
          <cell r="BV163">
            <v>96</v>
          </cell>
          <cell r="BW163">
            <v>0</v>
          </cell>
          <cell r="BX163" t="str">
            <v>TIDAK</v>
          </cell>
          <cell r="BY163" t="str">
            <v>TIDAK</v>
          </cell>
        </row>
        <row r="164">
          <cell r="A164" t="str">
            <v>A1766</v>
          </cell>
          <cell r="B164" t="str">
            <v>Elizabeth Paramita</v>
          </cell>
          <cell r="C164" t="str">
            <v>DELTA</v>
          </cell>
          <cell r="D164">
            <v>45033</v>
          </cell>
          <cell r="E164" t="str">
            <v>Apr-23</v>
          </cell>
          <cell r="F164" t="str">
            <v>EKSKLUSIF</v>
          </cell>
          <cell r="G164" t="str">
            <v>EKSKLUSIF</v>
          </cell>
          <cell r="H164" t="str">
            <v>EKSKLUSIF</v>
          </cell>
          <cell r="I164" t="str">
            <v>REGULER</v>
          </cell>
          <cell r="J164" t="str">
            <v>REGULER</v>
          </cell>
          <cell r="K164" t="str">
            <v>EKSKLUSIF</v>
          </cell>
          <cell r="L164" t="str">
            <v>EKSKLUSIF</v>
          </cell>
          <cell r="M164">
            <v>22</v>
          </cell>
          <cell r="N164">
            <v>45</v>
          </cell>
          <cell r="O164">
            <v>37</v>
          </cell>
          <cell r="P164">
            <v>35</v>
          </cell>
          <cell r="Q164">
            <v>38</v>
          </cell>
          <cell r="R164">
            <v>42</v>
          </cell>
          <cell r="S164">
            <v>20</v>
          </cell>
          <cell r="T164">
            <v>239</v>
          </cell>
          <cell r="U164">
            <v>0</v>
          </cell>
          <cell r="V164">
            <v>0</v>
          </cell>
          <cell r="W164">
            <v>0</v>
          </cell>
          <cell r="X164">
            <v>35</v>
          </cell>
          <cell r="Y164">
            <v>38</v>
          </cell>
          <cell r="Z164">
            <v>0</v>
          </cell>
          <cell r="AA164">
            <v>0</v>
          </cell>
          <cell r="AB164">
            <v>73</v>
          </cell>
          <cell r="AC164">
            <v>0</v>
          </cell>
          <cell r="AD164" t="str">
            <v>TIDAK</v>
          </cell>
          <cell r="AE164" t="str">
            <v>TIDAK</v>
          </cell>
          <cell r="AF164">
            <v>73</v>
          </cell>
          <cell r="AG164">
            <v>2</v>
          </cell>
          <cell r="AH164" t="str">
            <v>SAPHIRE</v>
          </cell>
          <cell r="AI164">
            <v>0</v>
          </cell>
          <cell r="AJ164" t="str">
            <v>Y</v>
          </cell>
          <cell r="AK164">
            <v>0</v>
          </cell>
          <cell r="AL164">
            <v>45261</v>
          </cell>
          <cell r="AM164">
            <v>45701</v>
          </cell>
          <cell r="AN164">
            <v>1</v>
          </cell>
          <cell r="AO164">
            <v>73</v>
          </cell>
          <cell r="AP164" t="str">
            <v>EKSKLUSIF</v>
          </cell>
          <cell r="AQ164" t="str">
            <v>-</v>
          </cell>
          <cell r="AR164" t="str">
            <v>REGULER</v>
          </cell>
          <cell r="AS164" t="str">
            <v>REGULER</v>
          </cell>
          <cell r="AT164" t="str">
            <v>EKSKLUSIF</v>
          </cell>
          <cell r="AU164" t="str">
            <v>EKSKLUSIF</v>
          </cell>
          <cell r="AV164" t="str">
            <v/>
          </cell>
          <cell r="AW164">
            <v>0</v>
          </cell>
          <cell r="AX164">
            <v>1</v>
          </cell>
          <cell r="AY164">
            <v>35</v>
          </cell>
          <cell r="AZ164">
            <v>46</v>
          </cell>
          <cell r="BA164">
            <v>43</v>
          </cell>
          <cell r="BB164">
            <v>0</v>
          </cell>
          <cell r="BC164">
            <v>1</v>
          </cell>
          <cell r="BD164">
            <v>35</v>
          </cell>
          <cell r="BE164">
            <v>46</v>
          </cell>
          <cell r="BF164">
            <v>43</v>
          </cell>
          <cell r="BG164">
            <v>7</v>
          </cell>
          <cell r="BH164">
            <v>0</v>
          </cell>
          <cell r="BI164">
            <v>1</v>
          </cell>
          <cell r="BJ164">
            <v>35</v>
          </cell>
          <cell r="BK164">
            <v>46</v>
          </cell>
          <cell r="BL164">
            <v>43</v>
          </cell>
          <cell r="BM164">
            <v>21</v>
          </cell>
          <cell r="BN164">
            <v>153</v>
          </cell>
          <cell r="BO164">
            <v>0</v>
          </cell>
          <cell r="BP164">
            <v>0</v>
          </cell>
          <cell r="BQ164">
            <v>1</v>
          </cell>
          <cell r="BR164">
            <v>35</v>
          </cell>
          <cell r="BS164">
            <v>0</v>
          </cell>
          <cell r="BT164">
            <v>0</v>
          </cell>
          <cell r="BU164">
            <v>21</v>
          </cell>
          <cell r="BV164">
            <v>57</v>
          </cell>
          <cell r="BW164">
            <v>1</v>
          </cell>
          <cell r="BX164" t="str">
            <v>TIDAK</v>
          </cell>
          <cell r="BY164" t="str">
            <v>TIDAK</v>
          </cell>
        </row>
        <row r="165">
          <cell r="A165" t="str">
            <v>A0770</v>
          </cell>
          <cell r="B165" t="str">
            <v>Elze Zulfanny</v>
          </cell>
          <cell r="C165" t="str">
            <v>DELTA</v>
          </cell>
          <cell r="D165">
            <v>44903</v>
          </cell>
          <cell r="E165" t="str">
            <v>Dec-22</v>
          </cell>
          <cell r="F165" t="str">
            <v>REGULER</v>
          </cell>
          <cell r="G165" t="str">
            <v>EKSKLUSIF</v>
          </cell>
          <cell r="H165" t="str">
            <v>EKSKLUSIF</v>
          </cell>
          <cell r="I165" t="str">
            <v>EKSKLUSIF</v>
          </cell>
          <cell r="J165" t="str">
            <v>EKSKLUSIF</v>
          </cell>
          <cell r="K165" t="str">
            <v>EKSKLUSIF</v>
          </cell>
          <cell r="L165" t="str">
            <v>EKSKLUSIF</v>
          </cell>
          <cell r="M165">
            <v>18</v>
          </cell>
          <cell r="N165">
            <v>45</v>
          </cell>
          <cell r="O165">
            <v>40</v>
          </cell>
          <cell r="P165">
            <v>42</v>
          </cell>
          <cell r="Q165">
            <v>38</v>
          </cell>
          <cell r="R165">
            <v>43</v>
          </cell>
          <cell r="S165">
            <v>21</v>
          </cell>
          <cell r="T165">
            <v>247</v>
          </cell>
          <cell r="U165">
            <v>18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18</v>
          </cell>
          <cell r="AC165">
            <v>0</v>
          </cell>
          <cell r="AD165" t="str">
            <v>TIDAK</v>
          </cell>
          <cell r="AE165" t="str">
            <v>TIDAK</v>
          </cell>
          <cell r="AF165">
            <v>18</v>
          </cell>
          <cell r="AG165">
            <v>2</v>
          </cell>
          <cell r="AH165" t="str">
            <v>SAPHIRE</v>
          </cell>
          <cell r="AI165">
            <v>0</v>
          </cell>
          <cell r="AJ165" t="str">
            <v>FALSE</v>
          </cell>
          <cell r="AK165">
            <v>0</v>
          </cell>
          <cell r="AL165">
            <v>45261</v>
          </cell>
          <cell r="AM165">
            <v>45701</v>
          </cell>
          <cell r="AN165">
            <v>1</v>
          </cell>
          <cell r="AO165">
            <v>18</v>
          </cell>
          <cell r="AP165" t="str">
            <v>EKSKLUSIF</v>
          </cell>
          <cell r="AQ165" t="str">
            <v>-</v>
          </cell>
          <cell r="AR165" t="str">
            <v>EKSKLUSIF</v>
          </cell>
          <cell r="AS165" t="str">
            <v>EKSKLUSIF</v>
          </cell>
          <cell r="AT165" t="str">
            <v>EKSKLUSIF</v>
          </cell>
          <cell r="AU165" t="str">
            <v>EKSKLUSIF</v>
          </cell>
          <cell r="AV165" t="str">
            <v/>
          </cell>
          <cell r="AW165">
            <v>47</v>
          </cell>
          <cell r="AX165">
            <v>46</v>
          </cell>
          <cell r="AY165">
            <v>43</v>
          </cell>
          <cell r="AZ165">
            <v>49</v>
          </cell>
          <cell r="BA165">
            <v>44</v>
          </cell>
          <cell r="BB165">
            <v>47</v>
          </cell>
          <cell r="BC165">
            <v>46</v>
          </cell>
          <cell r="BD165">
            <v>43</v>
          </cell>
          <cell r="BE165">
            <v>49</v>
          </cell>
          <cell r="BF165">
            <v>44</v>
          </cell>
          <cell r="BG165">
            <v>19</v>
          </cell>
          <cell r="BH165">
            <v>47</v>
          </cell>
          <cell r="BI165">
            <v>46</v>
          </cell>
          <cell r="BJ165">
            <v>43</v>
          </cell>
          <cell r="BK165">
            <v>49</v>
          </cell>
          <cell r="BL165">
            <v>44</v>
          </cell>
          <cell r="BM165">
            <v>21</v>
          </cell>
          <cell r="BN165">
            <v>269</v>
          </cell>
          <cell r="BO165">
            <v>0</v>
          </cell>
          <cell r="BP165">
            <v>47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21</v>
          </cell>
          <cell r="BV165">
            <v>68</v>
          </cell>
          <cell r="BW165">
            <v>0</v>
          </cell>
          <cell r="BX165" t="str">
            <v>TIDAK</v>
          </cell>
          <cell r="BY165" t="str">
            <v>TIDAK</v>
          </cell>
        </row>
        <row r="166">
          <cell r="A166" t="str">
            <v>A3029</v>
          </cell>
          <cell r="B166" t="str">
            <v>Emmia Clarita Br Tarigan</v>
          </cell>
          <cell r="C166" t="str">
            <v>DELTA</v>
          </cell>
          <cell r="D166">
            <v>45211</v>
          </cell>
          <cell r="E166" t="str">
            <v>Oct-23</v>
          </cell>
          <cell r="F166" t="str">
            <v>REGULER</v>
          </cell>
          <cell r="G166" t="str">
            <v>REGULER</v>
          </cell>
          <cell r="H166" t="str">
            <v>REGULER</v>
          </cell>
          <cell r="I166" t="str">
            <v>REGULER</v>
          </cell>
          <cell r="J166" t="str">
            <v>EKSKLUSIF</v>
          </cell>
          <cell r="K166" t="str">
            <v>EKSKLUSIF</v>
          </cell>
          <cell r="L166" t="str">
            <v>EKSKLUSIF</v>
          </cell>
          <cell r="M166">
            <v>12</v>
          </cell>
          <cell r="N166">
            <v>16</v>
          </cell>
          <cell r="O166">
            <v>23</v>
          </cell>
          <cell r="P166">
            <v>37</v>
          </cell>
          <cell r="Q166">
            <v>38</v>
          </cell>
          <cell r="R166">
            <v>44</v>
          </cell>
          <cell r="S166">
            <v>21</v>
          </cell>
          <cell r="T166">
            <v>191</v>
          </cell>
          <cell r="U166">
            <v>12</v>
          </cell>
          <cell r="V166">
            <v>16</v>
          </cell>
          <cell r="W166">
            <v>23</v>
          </cell>
          <cell r="X166">
            <v>37</v>
          </cell>
          <cell r="Y166">
            <v>0</v>
          </cell>
          <cell r="Z166">
            <v>0</v>
          </cell>
          <cell r="AA166">
            <v>0</v>
          </cell>
          <cell r="AB166">
            <v>88</v>
          </cell>
          <cell r="AC166">
            <v>0</v>
          </cell>
          <cell r="AD166" t="str">
            <v>TIDAK</v>
          </cell>
          <cell r="AE166" t="str">
            <v>TIDAK</v>
          </cell>
          <cell r="AF166">
            <v>88</v>
          </cell>
          <cell r="AG166">
            <v>2</v>
          </cell>
          <cell r="AH166" t="str">
            <v>SAPHIRE</v>
          </cell>
          <cell r="AI166">
            <v>0</v>
          </cell>
          <cell r="AJ166" t="str">
            <v>Y</v>
          </cell>
          <cell r="AK166">
            <v>0</v>
          </cell>
          <cell r="AL166">
            <v>45261</v>
          </cell>
          <cell r="AM166">
            <v>45701</v>
          </cell>
          <cell r="AN166">
            <v>1</v>
          </cell>
          <cell r="AO166">
            <v>88</v>
          </cell>
          <cell r="AP166" t="str">
            <v>EKSKLUSIF</v>
          </cell>
          <cell r="AQ166" t="str">
            <v>-</v>
          </cell>
          <cell r="AR166" t="str">
            <v>EKSKLUSIF</v>
          </cell>
          <cell r="AS166" t="str">
            <v>EKSKLUSIF</v>
          </cell>
          <cell r="AT166" t="str">
            <v>EKSKLUSIF</v>
          </cell>
          <cell r="AU166" t="str">
            <v>EKSKLUSIF</v>
          </cell>
          <cell r="AV166" t="str">
            <v/>
          </cell>
          <cell r="AW166">
            <v>48</v>
          </cell>
          <cell r="AX166">
            <v>49</v>
          </cell>
          <cell r="AY166">
            <v>44</v>
          </cell>
          <cell r="AZ166">
            <v>50</v>
          </cell>
          <cell r="BA166">
            <v>46</v>
          </cell>
          <cell r="BB166">
            <v>48</v>
          </cell>
          <cell r="BC166">
            <v>49</v>
          </cell>
          <cell r="BD166">
            <v>44</v>
          </cell>
          <cell r="BE166">
            <v>50</v>
          </cell>
          <cell r="BF166">
            <v>46</v>
          </cell>
          <cell r="BG166">
            <v>20</v>
          </cell>
          <cell r="BH166">
            <v>48</v>
          </cell>
          <cell r="BI166">
            <v>49</v>
          </cell>
          <cell r="BJ166">
            <v>44</v>
          </cell>
          <cell r="BK166">
            <v>50</v>
          </cell>
          <cell r="BL166">
            <v>46</v>
          </cell>
          <cell r="BM166">
            <v>20</v>
          </cell>
          <cell r="BN166">
            <v>277</v>
          </cell>
          <cell r="BO166">
            <v>0</v>
          </cell>
          <cell r="BP166">
            <v>48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20</v>
          </cell>
          <cell r="BV166">
            <v>68</v>
          </cell>
          <cell r="BW166">
            <v>0</v>
          </cell>
          <cell r="BX166" t="str">
            <v>TIDAK</v>
          </cell>
          <cell r="BY166" t="str">
            <v>TIDAK</v>
          </cell>
        </row>
        <row r="167">
          <cell r="A167" t="str">
            <v>A3993</v>
          </cell>
          <cell r="B167" t="str">
            <v>ENDANG WIDURI</v>
          </cell>
          <cell r="C167" t="str">
            <v>DELTA</v>
          </cell>
          <cell r="D167">
            <v>45415</v>
          </cell>
          <cell r="E167" t="str">
            <v>May-24</v>
          </cell>
          <cell r="F167" t="str">
            <v>-</v>
          </cell>
          <cell r="G167" t="str">
            <v>-</v>
          </cell>
          <cell r="H167" t="str">
            <v>-</v>
          </cell>
          <cell r="I167" t="str">
            <v>-</v>
          </cell>
          <cell r="J167" t="str">
            <v>-</v>
          </cell>
          <cell r="K167" t="str">
            <v>REGULER</v>
          </cell>
          <cell r="L167" t="str">
            <v>-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5</v>
          </cell>
          <cell r="S167" t="str">
            <v/>
          </cell>
          <cell r="T167">
            <v>5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5</v>
          </cell>
          <cell r="AA167" t="str">
            <v/>
          </cell>
          <cell r="AB167">
            <v>5</v>
          </cell>
          <cell r="AC167">
            <v>1</v>
          </cell>
          <cell r="AD167" t="str">
            <v>TIDAK</v>
          </cell>
          <cell r="AE167" t="str">
            <v>TIDAK</v>
          </cell>
          <cell r="AF167">
            <v>5</v>
          </cell>
          <cell r="AG167">
            <v>1</v>
          </cell>
          <cell r="AH167" t="str">
            <v>SAPHIRE</v>
          </cell>
          <cell r="AI167">
            <v>0</v>
          </cell>
          <cell r="AJ167" t="str">
            <v>FALSE</v>
          </cell>
          <cell r="AK167">
            <v>0</v>
          </cell>
          <cell r="AL167">
            <v>45261</v>
          </cell>
          <cell r="AM167">
            <v>45701</v>
          </cell>
          <cell r="AN167">
            <v>1</v>
          </cell>
          <cell r="AO167">
            <v>5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 t="str">
            <v>-</v>
          </cell>
          <cell r="AV167" t="str">
            <v/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 t="str">
            <v/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 t="str">
            <v/>
          </cell>
          <cell r="BN167">
            <v>0</v>
          </cell>
          <cell r="BO167" t="str">
            <v/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 t="str">
            <v/>
          </cell>
          <cell r="BV167">
            <v>0</v>
          </cell>
          <cell r="BW167">
            <v>7</v>
          </cell>
          <cell r="BX167" t="str">
            <v>DOWNGRADE</v>
          </cell>
          <cell r="BY167" t="str">
            <v>RESET</v>
          </cell>
        </row>
        <row r="168">
          <cell r="A168" t="str">
            <v>A3621</v>
          </cell>
          <cell r="B168" t="str">
            <v>Endang Yory Yanti Hutabalian</v>
          </cell>
          <cell r="C168" t="str">
            <v>DELTA</v>
          </cell>
          <cell r="D168">
            <v>45327</v>
          </cell>
          <cell r="E168" t="str">
            <v>Feb-24</v>
          </cell>
          <cell r="F168" t="str">
            <v>-</v>
          </cell>
          <cell r="G168" t="str">
            <v>-</v>
          </cell>
          <cell r="H168" t="str">
            <v>REGULER</v>
          </cell>
          <cell r="I168" t="str">
            <v>REGULER</v>
          </cell>
          <cell r="J168" t="str">
            <v>REGULER</v>
          </cell>
          <cell r="K168" t="str">
            <v>REGULER</v>
          </cell>
          <cell r="L168" t="str">
            <v>REGULER</v>
          </cell>
          <cell r="M168">
            <v>0</v>
          </cell>
          <cell r="N168">
            <v>0</v>
          </cell>
          <cell r="O168">
            <v>16</v>
          </cell>
          <cell r="P168">
            <v>15</v>
          </cell>
          <cell r="Q168">
            <v>32</v>
          </cell>
          <cell r="R168">
            <v>21</v>
          </cell>
          <cell r="S168">
            <v>1</v>
          </cell>
          <cell r="T168">
            <v>85</v>
          </cell>
          <cell r="U168">
            <v>0</v>
          </cell>
          <cell r="V168">
            <v>0</v>
          </cell>
          <cell r="W168">
            <v>16</v>
          </cell>
          <cell r="X168">
            <v>15</v>
          </cell>
          <cell r="Y168">
            <v>32</v>
          </cell>
          <cell r="Z168">
            <v>21</v>
          </cell>
          <cell r="AA168">
            <v>1</v>
          </cell>
          <cell r="AB168">
            <v>85</v>
          </cell>
          <cell r="AC168">
            <v>0</v>
          </cell>
          <cell r="AD168" t="str">
            <v>TIDAK</v>
          </cell>
          <cell r="AE168" t="str">
            <v>TIDAK</v>
          </cell>
          <cell r="AF168">
            <v>85</v>
          </cell>
          <cell r="AG168">
            <v>2</v>
          </cell>
          <cell r="AH168" t="str">
            <v>SAPHIRE</v>
          </cell>
          <cell r="AI168">
            <v>0</v>
          </cell>
          <cell r="AJ168" t="str">
            <v>Y</v>
          </cell>
          <cell r="AK168">
            <v>0</v>
          </cell>
          <cell r="AL168">
            <v>45261</v>
          </cell>
          <cell r="AM168">
            <v>45701</v>
          </cell>
          <cell r="AN168">
            <v>1</v>
          </cell>
          <cell r="AO168">
            <v>85</v>
          </cell>
          <cell r="AP168" t="str">
            <v>-</v>
          </cell>
          <cell r="AQ168" t="str">
            <v>-</v>
          </cell>
          <cell r="AR168" t="str">
            <v>REGULER</v>
          </cell>
          <cell r="AS168" t="str">
            <v>-</v>
          </cell>
          <cell r="AT168" t="str">
            <v>-</v>
          </cell>
          <cell r="AU168" t="str">
            <v>-</v>
          </cell>
          <cell r="AV168" t="str">
            <v/>
          </cell>
          <cell r="AW168">
            <v>24</v>
          </cell>
          <cell r="AX168">
            <v>30</v>
          </cell>
          <cell r="AY168">
            <v>0</v>
          </cell>
          <cell r="AZ168">
            <v>0</v>
          </cell>
          <cell r="BA168">
            <v>0</v>
          </cell>
          <cell r="BB168">
            <v>24</v>
          </cell>
          <cell r="BC168">
            <v>30</v>
          </cell>
          <cell r="BD168">
            <v>0</v>
          </cell>
          <cell r="BE168">
            <v>0</v>
          </cell>
          <cell r="BF168">
            <v>0</v>
          </cell>
          <cell r="BG168" t="str">
            <v/>
          </cell>
          <cell r="BH168">
            <v>24</v>
          </cell>
          <cell r="BI168">
            <v>30</v>
          </cell>
          <cell r="BJ168">
            <v>0</v>
          </cell>
          <cell r="BK168">
            <v>0</v>
          </cell>
          <cell r="BL168">
            <v>0</v>
          </cell>
          <cell r="BM168" t="str">
            <v/>
          </cell>
          <cell r="BN168">
            <v>54</v>
          </cell>
          <cell r="BO168" t="str">
            <v/>
          </cell>
          <cell r="BP168">
            <v>24</v>
          </cell>
          <cell r="BQ168">
            <v>30</v>
          </cell>
          <cell r="BR168">
            <v>0</v>
          </cell>
          <cell r="BS168">
            <v>0</v>
          </cell>
          <cell r="BT168">
            <v>0</v>
          </cell>
          <cell r="BU168" t="str">
            <v/>
          </cell>
          <cell r="BV168">
            <v>54</v>
          </cell>
          <cell r="BW168">
            <v>5</v>
          </cell>
          <cell r="BX168" t="str">
            <v>DOWNGRADE</v>
          </cell>
          <cell r="BY168" t="str">
            <v>RESET</v>
          </cell>
        </row>
        <row r="169">
          <cell r="A169" t="str">
            <v>A1030</v>
          </cell>
          <cell r="B169" t="str">
            <v>Eni Rachmi Murdaningrum</v>
          </cell>
          <cell r="C169" t="str">
            <v>DELTA</v>
          </cell>
          <cell r="D169">
            <v>44986</v>
          </cell>
          <cell r="E169" t="str">
            <v>Mar-23</v>
          </cell>
          <cell r="F169" t="str">
            <v>REGULER</v>
          </cell>
          <cell r="G169" t="str">
            <v>REGULER</v>
          </cell>
          <cell r="H169" t="str">
            <v>REGULER</v>
          </cell>
          <cell r="I169" t="str">
            <v>REGULER</v>
          </cell>
          <cell r="J169" t="str">
            <v>REGULER</v>
          </cell>
          <cell r="K169" t="str">
            <v>REGULER</v>
          </cell>
          <cell r="L169" t="str">
            <v>REGULER</v>
          </cell>
          <cell r="M169">
            <v>0</v>
          </cell>
          <cell r="N169">
            <v>18</v>
          </cell>
          <cell r="O169">
            <v>30</v>
          </cell>
          <cell r="P169">
            <v>34</v>
          </cell>
          <cell r="Q169">
            <v>15</v>
          </cell>
          <cell r="R169">
            <v>28</v>
          </cell>
          <cell r="S169">
            <v>15</v>
          </cell>
          <cell r="T169">
            <v>140</v>
          </cell>
          <cell r="U169">
            <v>0</v>
          </cell>
          <cell r="V169">
            <v>18</v>
          </cell>
          <cell r="W169">
            <v>30</v>
          </cell>
          <cell r="X169">
            <v>34</v>
          </cell>
          <cell r="Y169">
            <v>15</v>
          </cell>
          <cell r="Z169">
            <v>28</v>
          </cell>
          <cell r="AA169">
            <v>15</v>
          </cell>
          <cell r="AB169">
            <v>140</v>
          </cell>
          <cell r="AC169">
            <v>1</v>
          </cell>
          <cell r="AD169" t="str">
            <v>TIDAK</v>
          </cell>
          <cell r="AE169" t="str">
            <v>TIDAK</v>
          </cell>
          <cell r="AF169">
            <v>140</v>
          </cell>
          <cell r="AG169">
            <v>2</v>
          </cell>
          <cell r="AH169" t="str">
            <v>SAPHIRE</v>
          </cell>
          <cell r="AI169">
            <v>0</v>
          </cell>
          <cell r="AJ169" t="str">
            <v>Y</v>
          </cell>
          <cell r="AK169">
            <v>0</v>
          </cell>
          <cell r="AL169">
            <v>45261</v>
          </cell>
          <cell r="AM169">
            <v>45701</v>
          </cell>
          <cell r="AN169">
            <v>1</v>
          </cell>
          <cell r="AO169">
            <v>140</v>
          </cell>
          <cell r="AP169" t="str">
            <v>-</v>
          </cell>
          <cell r="AQ169" t="str">
            <v>-</v>
          </cell>
          <cell r="AR169" t="str">
            <v>REGULER</v>
          </cell>
          <cell r="AS169" t="str">
            <v>REGULER</v>
          </cell>
          <cell r="AT169" t="str">
            <v>REGULER</v>
          </cell>
          <cell r="AU169" t="str">
            <v>REGULER</v>
          </cell>
          <cell r="AV169" t="str">
            <v/>
          </cell>
          <cell r="AW169">
            <v>38</v>
          </cell>
          <cell r="AX169">
            <v>33</v>
          </cell>
          <cell r="AY169">
            <v>35</v>
          </cell>
          <cell r="AZ169">
            <v>26</v>
          </cell>
          <cell r="BA169">
            <v>38</v>
          </cell>
          <cell r="BB169">
            <v>38</v>
          </cell>
          <cell r="BC169">
            <v>33</v>
          </cell>
          <cell r="BD169">
            <v>35</v>
          </cell>
          <cell r="BE169">
            <v>26</v>
          </cell>
          <cell r="BF169">
            <v>38</v>
          </cell>
          <cell r="BG169">
            <v>15</v>
          </cell>
          <cell r="BH169">
            <v>38</v>
          </cell>
          <cell r="BI169">
            <v>33</v>
          </cell>
          <cell r="BJ169">
            <v>35</v>
          </cell>
          <cell r="BK169">
            <v>26</v>
          </cell>
          <cell r="BL169">
            <v>38</v>
          </cell>
          <cell r="BM169">
            <v>20</v>
          </cell>
          <cell r="BN169">
            <v>205</v>
          </cell>
          <cell r="BO169">
            <v>15</v>
          </cell>
          <cell r="BP169">
            <v>38</v>
          </cell>
          <cell r="BQ169">
            <v>33</v>
          </cell>
          <cell r="BR169">
            <v>35</v>
          </cell>
          <cell r="BS169">
            <v>26</v>
          </cell>
          <cell r="BT169">
            <v>38</v>
          </cell>
          <cell r="BU169">
            <v>20</v>
          </cell>
          <cell r="BV169">
            <v>205</v>
          </cell>
          <cell r="BW169">
            <v>0</v>
          </cell>
          <cell r="BX169" t="str">
            <v>TIDAK</v>
          </cell>
          <cell r="BY169" t="str">
            <v>TIDAK</v>
          </cell>
        </row>
        <row r="170">
          <cell r="A170" t="str">
            <v>A1342</v>
          </cell>
          <cell r="B170" t="str">
            <v>Enzellena</v>
          </cell>
          <cell r="C170" t="str">
            <v>DELTA</v>
          </cell>
          <cell r="D170">
            <v>45049</v>
          </cell>
          <cell r="E170" t="str">
            <v>May-23</v>
          </cell>
          <cell r="F170" t="str">
            <v>REGULER</v>
          </cell>
          <cell r="G170" t="str">
            <v>REGULER</v>
          </cell>
          <cell r="H170" t="str">
            <v>REGULER</v>
          </cell>
          <cell r="I170" t="str">
            <v>REGULER</v>
          </cell>
          <cell r="J170" t="str">
            <v>EKSKLUSIF</v>
          </cell>
          <cell r="K170" t="str">
            <v>EKSKLUSIF</v>
          </cell>
          <cell r="L170" t="str">
            <v>EKSKLUSIF</v>
          </cell>
          <cell r="M170">
            <v>1</v>
          </cell>
          <cell r="N170">
            <v>31</v>
          </cell>
          <cell r="O170">
            <v>32</v>
          </cell>
          <cell r="P170">
            <v>31</v>
          </cell>
          <cell r="Q170">
            <v>38</v>
          </cell>
          <cell r="R170">
            <v>40</v>
          </cell>
          <cell r="S170">
            <v>19</v>
          </cell>
          <cell r="T170">
            <v>192</v>
          </cell>
          <cell r="U170">
            <v>1</v>
          </cell>
          <cell r="V170">
            <v>31</v>
          </cell>
          <cell r="W170">
            <v>32</v>
          </cell>
          <cell r="X170">
            <v>31</v>
          </cell>
          <cell r="Y170">
            <v>0</v>
          </cell>
          <cell r="Z170">
            <v>0</v>
          </cell>
          <cell r="AA170">
            <v>0</v>
          </cell>
          <cell r="AB170">
            <v>95</v>
          </cell>
          <cell r="AC170">
            <v>0</v>
          </cell>
          <cell r="AD170" t="str">
            <v>TIDAK</v>
          </cell>
          <cell r="AE170" t="str">
            <v>TIDAK</v>
          </cell>
          <cell r="AF170">
            <v>95</v>
          </cell>
          <cell r="AG170">
            <v>2</v>
          </cell>
          <cell r="AH170" t="str">
            <v>SAPHIRE</v>
          </cell>
          <cell r="AI170">
            <v>0</v>
          </cell>
          <cell r="AJ170" t="str">
            <v>Y</v>
          </cell>
          <cell r="AK170">
            <v>0</v>
          </cell>
          <cell r="AL170">
            <v>45261</v>
          </cell>
          <cell r="AM170">
            <v>45701</v>
          </cell>
          <cell r="AN170">
            <v>1</v>
          </cell>
          <cell r="AO170">
            <v>95</v>
          </cell>
          <cell r="AP170" t="str">
            <v>EKSKLUSIF</v>
          </cell>
          <cell r="AQ170" t="str">
            <v>-</v>
          </cell>
          <cell r="AR170" t="str">
            <v>EKSKLUSIF</v>
          </cell>
          <cell r="AS170" t="str">
            <v>EKSKLUSIF</v>
          </cell>
          <cell r="AT170" t="str">
            <v>REGULER</v>
          </cell>
          <cell r="AU170" t="str">
            <v>REGULER</v>
          </cell>
          <cell r="AV170" t="str">
            <v/>
          </cell>
          <cell r="AW170">
            <v>46</v>
          </cell>
          <cell r="AX170">
            <v>45</v>
          </cell>
          <cell r="AY170">
            <v>39</v>
          </cell>
          <cell r="AZ170">
            <v>20</v>
          </cell>
          <cell r="BA170">
            <v>34</v>
          </cell>
          <cell r="BB170">
            <v>46</v>
          </cell>
          <cell r="BC170">
            <v>45</v>
          </cell>
          <cell r="BD170">
            <v>39</v>
          </cell>
          <cell r="BE170">
            <v>20</v>
          </cell>
          <cell r="BF170">
            <v>34</v>
          </cell>
          <cell r="BG170">
            <v>19</v>
          </cell>
          <cell r="BH170">
            <v>46</v>
          </cell>
          <cell r="BI170">
            <v>45</v>
          </cell>
          <cell r="BJ170">
            <v>39</v>
          </cell>
          <cell r="BK170">
            <v>20</v>
          </cell>
          <cell r="BL170">
            <v>34</v>
          </cell>
          <cell r="BM170">
            <v>13</v>
          </cell>
          <cell r="BN170">
            <v>216</v>
          </cell>
          <cell r="BO170">
            <v>0</v>
          </cell>
          <cell r="BP170">
            <v>46</v>
          </cell>
          <cell r="BQ170">
            <v>0</v>
          </cell>
          <cell r="BR170">
            <v>0</v>
          </cell>
          <cell r="BS170">
            <v>20</v>
          </cell>
          <cell r="BT170">
            <v>34</v>
          </cell>
          <cell r="BU170">
            <v>13</v>
          </cell>
          <cell r="BV170">
            <v>113</v>
          </cell>
          <cell r="BW170">
            <v>0</v>
          </cell>
          <cell r="BX170" t="str">
            <v>TIDAK</v>
          </cell>
          <cell r="BY170" t="str">
            <v>TIDAK</v>
          </cell>
        </row>
        <row r="171">
          <cell r="A171" t="str">
            <v>A1531</v>
          </cell>
          <cell r="B171" t="str">
            <v>Erin Alfinata</v>
          </cell>
          <cell r="C171" t="str">
            <v>DELTA</v>
          </cell>
          <cell r="D171">
            <v>44986</v>
          </cell>
          <cell r="E171" t="str">
            <v>Mar-23</v>
          </cell>
          <cell r="F171" t="str">
            <v>EKSKLUSIF</v>
          </cell>
          <cell r="G171" t="str">
            <v>EKSKLUSIF</v>
          </cell>
          <cell r="H171" t="str">
            <v>REGULER</v>
          </cell>
          <cell r="I171" t="str">
            <v>REGULER</v>
          </cell>
          <cell r="J171" t="str">
            <v>REGULER</v>
          </cell>
          <cell r="K171" t="str">
            <v>REGULER</v>
          </cell>
          <cell r="L171" t="str">
            <v>REGULER</v>
          </cell>
          <cell r="M171">
            <v>20</v>
          </cell>
          <cell r="N171">
            <v>48</v>
          </cell>
          <cell r="O171">
            <v>34</v>
          </cell>
          <cell r="P171">
            <v>42</v>
          </cell>
          <cell r="Q171">
            <v>13</v>
          </cell>
          <cell r="R171">
            <v>38</v>
          </cell>
          <cell r="S171">
            <v>15</v>
          </cell>
          <cell r="T171">
            <v>210</v>
          </cell>
          <cell r="U171">
            <v>0</v>
          </cell>
          <cell r="V171">
            <v>0</v>
          </cell>
          <cell r="W171">
            <v>34</v>
          </cell>
          <cell r="X171">
            <v>42</v>
          </cell>
          <cell r="Y171">
            <v>13</v>
          </cell>
          <cell r="Z171">
            <v>38</v>
          </cell>
          <cell r="AA171">
            <v>15</v>
          </cell>
          <cell r="AB171">
            <v>142</v>
          </cell>
          <cell r="AC171">
            <v>0</v>
          </cell>
          <cell r="AD171" t="str">
            <v>TIDAK</v>
          </cell>
          <cell r="AE171" t="str">
            <v>TIDAK</v>
          </cell>
          <cell r="AF171">
            <v>142</v>
          </cell>
          <cell r="AG171">
            <v>2</v>
          </cell>
          <cell r="AH171" t="str">
            <v>SAPHIRE</v>
          </cell>
          <cell r="AI171">
            <v>0</v>
          </cell>
          <cell r="AJ171" t="str">
            <v>Y</v>
          </cell>
          <cell r="AK171">
            <v>0</v>
          </cell>
          <cell r="AL171">
            <v>45261</v>
          </cell>
          <cell r="AM171">
            <v>45701</v>
          </cell>
          <cell r="AN171">
            <v>1</v>
          </cell>
          <cell r="AO171">
            <v>142</v>
          </cell>
          <cell r="AP171" t="str">
            <v>-</v>
          </cell>
          <cell r="AQ171" t="str">
            <v>-</v>
          </cell>
          <cell r="AR171" t="str">
            <v>REGULER</v>
          </cell>
          <cell r="AS171" t="str">
            <v>REGULER</v>
          </cell>
          <cell r="AT171" t="str">
            <v>EKSKLUSIF</v>
          </cell>
          <cell r="AU171" t="str">
            <v>EKSKLUSIF</v>
          </cell>
          <cell r="AV171" t="str">
            <v/>
          </cell>
          <cell r="AW171">
            <v>36</v>
          </cell>
          <cell r="AX171">
            <v>39</v>
          </cell>
          <cell r="AY171">
            <v>38</v>
          </cell>
          <cell r="AZ171">
            <v>47</v>
          </cell>
          <cell r="BA171">
            <v>45</v>
          </cell>
          <cell r="BB171">
            <v>36</v>
          </cell>
          <cell r="BC171">
            <v>39</v>
          </cell>
          <cell r="BD171">
            <v>38</v>
          </cell>
          <cell r="BE171">
            <v>47</v>
          </cell>
          <cell r="BF171">
            <v>45</v>
          </cell>
          <cell r="BG171">
            <v>16</v>
          </cell>
          <cell r="BH171">
            <v>36</v>
          </cell>
          <cell r="BI171">
            <v>39</v>
          </cell>
          <cell r="BJ171">
            <v>38</v>
          </cell>
          <cell r="BK171">
            <v>47</v>
          </cell>
          <cell r="BL171">
            <v>45</v>
          </cell>
          <cell r="BM171">
            <v>21</v>
          </cell>
          <cell r="BN171">
            <v>242</v>
          </cell>
          <cell r="BO171">
            <v>16</v>
          </cell>
          <cell r="BP171">
            <v>36</v>
          </cell>
          <cell r="BQ171">
            <v>39</v>
          </cell>
          <cell r="BR171">
            <v>38</v>
          </cell>
          <cell r="BS171">
            <v>0</v>
          </cell>
          <cell r="BT171">
            <v>0</v>
          </cell>
          <cell r="BU171">
            <v>21</v>
          </cell>
          <cell r="BV171">
            <v>150</v>
          </cell>
          <cell r="BW171">
            <v>0</v>
          </cell>
          <cell r="BX171" t="str">
            <v>TIDAK</v>
          </cell>
          <cell r="BY171" t="str">
            <v>TIDAK</v>
          </cell>
        </row>
        <row r="172">
          <cell r="A172" t="str">
            <v>A0881</v>
          </cell>
          <cell r="B172" t="str">
            <v>Erina Eka Wulandari</v>
          </cell>
          <cell r="C172" t="str">
            <v>DELTA</v>
          </cell>
          <cell r="D172">
            <v>44919</v>
          </cell>
          <cell r="E172" t="str">
            <v>Dec-22</v>
          </cell>
          <cell r="F172" t="str">
            <v>EKSKLUSIF</v>
          </cell>
          <cell r="G172" t="str">
            <v>EKSKLUSIF</v>
          </cell>
          <cell r="H172" t="str">
            <v>REGULER</v>
          </cell>
          <cell r="I172" t="str">
            <v>REGULER</v>
          </cell>
          <cell r="J172" t="str">
            <v>REGULER</v>
          </cell>
          <cell r="K172" t="str">
            <v>REGULER</v>
          </cell>
          <cell r="L172" t="str">
            <v>REGULER</v>
          </cell>
          <cell r="M172">
            <v>21</v>
          </cell>
          <cell r="N172">
            <v>46</v>
          </cell>
          <cell r="O172">
            <v>18</v>
          </cell>
          <cell r="P172">
            <v>36</v>
          </cell>
          <cell r="Q172">
            <v>22</v>
          </cell>
          <cell r="R172">
            <v>33</v>
          </cell>
          <cell r="S172">
            <v>19</v>
          </cell>
          <cell r="T172">
            <v>195</v>
          </cell>
          <cell r="U172">
            <v>0</v>
          </cell>
          <cell r="V172">
            <v>0</v>
          </cell>
          <cell r="W172">
            <v>18</v>
          </cell>
          <cell r="X172">
            <v>36</v>
          </cell>
          <cell r="Y172">
            <v>22</v>
          </cell>
          <cell r="Z172">
            <v>33</v>
          </cell>
          <cell r="AA172">
            <v>19</v>
          </cell>
          <cell r="AB172">
            <v>128</v>
          </cell>
          <cell r="AC172">
            <v>0</v>
          </cell>
          <cell r="AD172" t="str">
            <v>TIDAK</v>
          </cell>
          <cell r="AE172" t="str">
            <v>TIDAK</v>
          </cell>
          <cell r="AF172">
            <v>128</v>
          </cell>
          <cell r="AG172">
            <v>2</v>
          </cell>
          <cell r="AH172" t="str">
            <v>SAPHIRE</v>
          </cell>
          <cell r="AI172">
            <v>0</v>
          </cell>
          <cell r="AJ172" t="str">
            <v>Y</v>
          </cell>
          <cell r="AK172">
            <v>0</v>
          </cell>
          <cell r="AL172">
            <v>45261</v>
          </cell>
          <cell r="AM172">
            <v>45701</v>
          </cell>
          <cell r="AN172">
            <v>1</v>
          </cell>
          <cell r="AO172">
            <v>128</v>
          </cell>
          <cell r="AP172" t="str">
            <v>-</v>
          </cell>
          <cell r="AQ172" t="str">
            <v>-</v>
          </cell>
          <cell r="AR172" t="str">
            <v>EKSKLUSIF</v>
          </cell>
          <cell r="AS172" t="str">
            <v>EKSKLUSIF</v>
          </cell>
          <cell r="AT172" t="str">
            <v>EKSKLUSIF</v>
          </cell>
          <cell r="AU172" t="str">
            <v>REGULER</v>
          </cell>
          <cell r="AV172" t="str">
            <v/>
          </cell>
          <cell r="AW172">
            <v>40</v>
          </cell>
          <cell r="AX172">
            <v>48</v>
          </cell>
          <cell r="AY172">
            <v>43</v>
          </cell>
          <cell r="AZ172">
            <v>48</v>
          </cell>
          <cell r="BA172">
            <v>17</v>
          </cell>
          <cell r="BB172">
            <v>40</v>
          </cell>
          <cell r="BC172">
            <v>48</v>
          </cell>
          <cell r="BD172">
            <v>43</v>
          </cell>
          <cell r="BE172">
            <v>48</v>
          </cell>
          <cell r="BF172">
            <v>17</v>
          </cell>
          <cell r="BG172">
            <v>16</v>
          </cell>
          <cell r="BH172">
            <v>40</v>
          </cell>
          <cell r="BI172">
            <v>48</v>
          </cell>
          <cell r="BJ172">
            <v>43</v>
          </cell>
          <cell r="BK172">
            <v>48</v>
          </cell>
          <cell r="BL172">
            <v>17</v>
          </cell>
          <cell r="BM172">
            <v>16</v>
          </cell>
          <cell r="BN172">
            <v>228</v>
          </cell>
          <cell r="BO172">
            <v>16</v>
          </cell>
          <cell r="BP172">
            <v>40</v>
          </cell>
          <cell r="BQ172">
            <v>0</v>
          </cell>
          <cell r="BR172">
            <v>0</v>
          </cell>
          <cell r="BS172">
            <v>0</v>
          </cell>
          <cell r="BT172">
            <v>17</v>
          </cell>
          <cell r="BU172">
            <v>16</v>
          </cell>
          <cell r="BV172">
            <v>89</v>
          </cell>
          <cell r="BW172">
            <v>0</v>
          </cell>
          <cell r="BX172" t="str">
            <v>TIDAK</v>
          </cell>
          <cell r="BY172" t="str">
            <v>TIDAK</v>
          </cell>
        </row>
        <row r="173">
          <cell r="A173" t="str">
            <v>A1539</v>
          </cell>
          <cell r="B173" t="str">
            <v>Erlina Ambar Anggita Putri</v>
          </cell>
          <cell r="C173" t="str">
            <v>DELTA</v>
          </cell>
          <cell r="D173">
            <v>44987</v>
          </cell>
          <cell r="E173" t="str">
            <v>Mar-23</v>
          </cell>
          <cell r="F173" t="str">
            <v>REGULER</v>
          </cell>
          <cell r="G173" t="str">
            <v>REGULER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>
            <v>21</v>
          </cell>
          <cell r="N173">
            <v>9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 t="str">
            <v/>
          </cell>
          <cell r="T173">
            <v>30</v>
          </cell>
          <cell r="U173">
            <v>21</v>
          </cell>
          <cell r="V173">
            <v>9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 t="str">
            <v/>
          </cell>
          <cell r="AB173">
            <v>30</v>
          </cell>
          <cell r="AC173">
            <v>5</v>
          </cell>
          <cell r="AD173" t="str">
            <v>DOWNGRADE</v>
          </cell>
          <cell r="AE173" t="str">
            <v>RESET</v>
          </cell>
          <cell r="AF173">
            <v>0</v>
          </cell>
          <cell r="AG173">
            <v>2</v>
          </cell>
          <cell r="AH173" t="str">
            <v>SAPHIRE</v>
          </cell>
          <cell r="AI173">
            <v>0</v>
          </cell>
          <cell r="AJ173" t="str">
            <v>FALSE</v>
          </cell>
          <cell r="AK173">
            <v>0</v>
          </cell>
          <cell r="AL173">
            <v>45261</v>
          </cell>
          <cell r="AM173">
            <v>45701</v>
          </cell>
          <cell r="AN173">
            <v>1</v>
          </cell>
          <cell r="AO173">
            <v>0</v>
          </cell>
          <cell r="AP173" t="str">
            <v>-</v>
          </cell>
          <cell r="AQ173" t="str">
            <v>-</v>
          </cell>
          <cell r="AR173" t="str">
            <v>-</v>
          </cell>
          <cell r="AS173" t="str">
            <v>-</v>
          </cell>
          <cell r="AT173" t="str">
            <v>-</v>
          </cell>
          <cell r="AU173" t="str">
            <v>-</v>
          </cell>
          <cell r="AV173" t="str">
            <v/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 t="str">
            <v/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 t="str">
            <v/>
          </cell>
          <cell r="BN173">
            <v>0</v>
          </cell>
          <cell r="BO173" t="str">
            <v/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 t="str">
            <v/>
          </cell>
          <cell r="BV173">
            <v>0</v>
          </cell>
          <cell r="BW173">
            <v>7</v>
          </cell>
          <cell r="BX173" t="str">
            <v>DOWNGRADE</v>
          </cell>
          <cell r="BY173" t="str">
            <v>RESET</v>
          </cell>
        </row>
        <row r="174">
          <cell r="A174">
            <v>92135</v>
          </cell>
          <cell r="B174" t="str">
            <v>Ernawati Nofia Rindiani</v>
          </cell>
          <cell r="C174" t="str">
            <v>DELTA</v>
          </cell>
          <cell r="D174">
            <v>44575</v>
          </cell>
          <cell r="E174" t="str">
            <v>Jan-22</v>
          </cell>
          <cell r="F174" t="str">
            <v>REGULER</v>
          </cell>
          <cell r="G174" t="str">
            <v>REGULER</v>
          </cell>
          <cell r="H174" t="str">
            <v>REGULER</v>
          </cell>
          <cell r="I174" t="str">
            <v>REGULER</v>
          </cell>
          <cell r="J174" t="str">
            <v>REGULER</v>
          </cell>
          <cell r="K174" t="str">
            <v>REGULER</v>
          </cell>
          <cell r="L174" t="str">
            <v>REGULER</v>
          </cell>
          <cell r="M174">
            <v>2</v>
          </cell>
          <cell r="N174">
            <v>29</v>
          </cell>
          <cell r="O174">
            <v>33</v>
          </cell>
          <cell r="P174">
            <v>33</v>
          </cell>
          <cell r="Q174">
            <v>36</v>
          </cell>
          <cell r="R174">
            <v>5</v>
          </cell>
          <cell r="S174">
            <v>4</v>
          </cell>
          <cell r="T174">
            <v>142</v>
          </cell>
          <cell r="U174">
            <v>2</v>
          </cell>
          <cell r="V174">
            <v>29</v>
          </cell>
          <cell r="W174">
            <v>33</v>
          </cell>
          <cell r="X174">
            <v>33</v>
          </cell>
          <cell r="Y174">
            <v>36</v>
          </cell>
          <cell r="Z174">
            <v>5</v>
          </cell>
          <cell r="AA174">
            <v>4</v>
          </cell>
          <cell r="AB174">
            <v>142</v>
          </cell>
          <cell r="AC174">
            <v>0</v>
          </cell>
          <cell r="AD174" t="str">
            <v>TIDAK</v>
          </cell>
          <cell r="AE174" t="str">
            <v>TIDAK</v>
          </cell>
          <cell r="AF174">
            <v>142</v>
          </cell>
          <cell r="AG174">
            <v>2</v>
          </cell>
          <cell r="AH174" t="str">
            <v>SAPHIRE</v>
          </cell>
          <cell r="AI174">
            <v>0</v>
          </cell>
          <cell r="AJ174" t="str">
            <v>Y</v>
          </cell>
          <cell r="AK174">
            <v>0</v>
          </cell>
          <cell r="AL174">
            <v>45261</v>
          </cell>
          <cell r="AM174">
            <v>45701</v>
          </cell>
          <cell r="AN174">
            <v>1</v>
          </cell>
          <cell r="AO174">
            <v>142</v>
          </cell>
          <cell r="AP174" t="str">
            <v>-</v>
          </cell>
          <cell r="AQ174" t="str">
            <v>-</v>
          </cell>
          <cell r="AR174" t="str">
            <v>REGULER</v>
          </cell>
          <cell r="AS174" t="str">
            <v>REGULER</v>
          </cell>
          <cell r="AT174" t="str">
            <v>REGULER</v>
          </cell>
          <cell r="AU174" t="str">
            <v>REGULER</v>
          </cell>
          <cell r="AV174" t="str">
            <v/>
          </cell>
          <cell r="AW174">
            <v>38</v>
          </cell>
          <cell r="AX174">
            <v>39</v>
          </cell>
          <cell r="AY174">
            <v>38</v>
          </cell>
          <cell r="AZ174">
            <v>36</v>
          </cell>
          <cell r="BA174">
            <v>24</v>
          </cell>
          <cell r="BB174">
            <v>38</v>
          </cell>
          <cell r="BC174">
            <v>39</v>
          </cell>
          <cell r="BD174">
            <v>38</v>
          </cell>
          <cell r="BE174">
            <v>36</v>
          </cell>
          <cell r="BF174">
            <v>24</v>
          </cell>
          <cell r="BG174">
            <v>17</v>
          </cell>
          <cell r="BH174">
            <v>38</v>
          </cell>
          <cell r="BI174">
            <v>39</v>
          </cell>
          <cell r="BJ174">
            <v>38</v>
          </cell>
          <cell r="BK174">
            <v>36</v>
          </cell>
          <cell r="BL174">
            <v>24</v>
          </cell>
          <cell r="BM174">
            <v>16</v>
          </cell>
          <cell r="BN174">
            <v>208</v>
          </cell>
          <cell r="BO174">
            <v>17</v>
          </cell>
          <cell r="BP174">
            <v>38</v>
          </cell>
          <cell r="BQ174">
            <v>39</v>
          </cell>
          <cell r="BR174">
            <v>38</v>
          </cell>
          <cell r="BS174">
            <v>36</v>
          </cell>
          <cell r="BT174">
            <v>24</v>
          </cell>
          <cell r="BU174">
            <v>16</v>
          </cell>
          <cell r="BV174">
            <v>208</v>
          </cell>
          <cell r="BW174">
            <v>0</v>
          </cell>
          <cell r="BX174" t="str">
            <v>TIDAK</v>
          </cell>
          <cell r="BY174" t="str">
            <v>TIDAK</v>
          </cell>
        </row>
        <row r="175">
          <cell r="A175" t="str">
            <v>A3604</v>
          </cell>
          <cell r="B175" t="str">
            <v>Ester Gultom</v>
          </cell>
          <cell r="C175" t="str">
            <v>DELTA</v>
          </cell>
          <cell r="D175">
            <v>45323</v>
          </cell>
          <cell r="E175" t="str">
            <v>Feb-24</v>
          </cell>
          <cell r="F175" t="str">
            <v>-</v>
          </cell>
          <cell r="G175" t="str">
            <v>-</v>
          </cell>
          <cell r="H175" t="str">
            <v>REGULER</v>
          </cell>
          <cell r="I175" t="str">
            <v>-</v>
          </cell>
          <cell r="J175" t="str">
            <v>REGULER</v>
          </cell>
          <cell r="K175" t="str">
            <v>-</v>
          </cell>
          <cell r="L175" t="str">
            <v>-</v>
          </cell>
          <cell r="M175">
            <v>0</v>
          </cell>
          <cell r="N175">
            <v>0</v>
          </cell>
          <cell r="O175">
            <v>13</v>
          </cell>
          <cell r="P175">
            <v>0</v>
          </cell>
          <cell r="Q175">
            <v>3</v>
          </cell>
          <cell r="R175">
            <v>0</v>
          </cell>
          <cell r="S175" t="str">
            <v/>
          </cell>
          <cell r="T175">
            <v>16</v>
          </cell>
          <cell r="U175">
            <v>0</v>
          </cell>
          <cell r="V175">
            <v>0</v>
          </cell>
          <cell r="W175">
            <v>13</v>
          </cell>
          <cell r="X175">
            <v>0</v>
          </cell>
          <cell r="Y175">
            <v>3</v>
          </cell>
          <cell r="Z175">
            <v>0</v>
          </cell>
          <cell r="AA175" t="str">
            <v/>
          </cell>
          <cell r="AB175">
            <v>16</v>
          </cell>
          <cell r="AC175">
            <v>3</v>
          </cell>
          <cell r="AD175" t="str">
            <v>DOWNGRADE</v>
          </cell>
          <cell r="AE175" t="str">
            <v>TIDAK</v>
          </cell>
          <cell r="AF175">
            <v>8</v>
          </cell>
          <cell r="AG175">
            <v>2</v>
          </cell>
          <cell r="AH175" t="str">
            <v>SAPHIRE</v>
          </cell>
          <cell r="AI175">
            <v>0</v>
          </cell>
          <cell r="AJ175" t="str">
            <v>FALSE</v>
          </cell>
          <cell r="AK175">
            <v>0</v>
          </cell>
          <cell r="AL175">
            <v>45261</v>
          </cell>
          <cell r="AM175">
            <v>45701</v>
          </cell>
          <cell r="AN175">
            <v>1</v>
          </cell>
          <cell r="AO175">
            <v>8</v>
          </cell>
          <cell r="AP175" t="str">
            <v>-</v>
          </cell>
          <cell r="AQ175" t="str">
            <v>-</v>
          </cell>
          <cell r="AR175" t="str">
            <v>REGULER</v>
          </cell>
          <cell r="AS175" t="str">
            <v>-</v>
          </cell>
          <cell r="AT175" t="str">
            <v>-</v>
          </cell>
          <cell r="AU175" t="str">
            <v>-</v>
          </cell>
          <cell r="AV175" t="str">
            <v/>
          </cell>
          <cell r="AW175">
            <v>25</v>
          </cell>
          <cell r="AX175">
            <v>4</v>
          </cell>
          <cell r="AY175">
            <v>0</v>
          </cell>
          <cell r="AZ175">
            <v>0</v>
          </cell>
          <cell r="BA175">
            <v>0</v>
          </cell>
          <cell r="BB175">
            <v>25</v>
          </cell>
          <cell r="BC175">
            <v>4</v>
          </cell>
          <cell r="BD175">
            <v>0</v>
          </cell>
          <cell r="BE175">
            <v>0</v>
          </cell>
          <cell r="BF175">
            <v>0</v>
          </cell>
          <cell r="BG175" t="str">
            <v/>
          </cell>
          <cell r="BH175">
            <v>25</v>
          </cell>
          <cell r="BI175">
            <v>4</v>
          </cell>
          <cell r="BJ175">
            <v>0</v>
          </cell>
          <cell r="BK175">
            <v>0</v>
          </cell>
          <cell r="BL175">
            <v>0</v>
          </cell>
          <cell r="BM175" t="str">
            <v/>
          </cell>
          <cell r="BN175">
            <v>29</v>
          </cell>
          <cell r="BO175" t="str">
            <v/>
          </cell>
          <cell r="BP175">
            <v>25</v>
          </cell>
          <cell r="BQ175">
            <v>4</v>
          </cell>
          <cell r="BR175">
            <v>0</v>
          </cell>
          <cell r="BS175">
            <v>0</v>
          </cell>
          <cell r="BT175">
            <v>0</v>
          </cell>
          <cell r="BU175" t="str">
            <v/>
          </cell>
          <cell r="BV175">
            <v>29</v>
          </cell>
          <cell r="BW175">
            <v>5</v>
          </cell>
          <cell r="BX175" t="str">
            <v>DOWNGRADE</v>
          </cell>
          <cell r="BY175" t="str">
            <v>RESET</v>
          </cell>
        </row>
        <row r="176">
          <cell r="A176" t="str">
            <v>A1215</v>
          </cell>
          <cell r="B176" t="str">
            <v>Esterina Kusumawati</v>
          </cell>
          <cell r="C176" t="str">
            <v>DELTA</v>
          </cell>
          <cell r="D176">
            <v>44961</v>
          </cell>
          <cell r="E176" t="str">
            <v>Feb-23</v>
          </cell>
          <cell r="F176" t="str">
            <v>EKSKLUSIF</v>
          </cell>
          <cell r="G176" t="str">
            <v>EKSKLUSIF</v>
          </cell>
          <cell r="H176" t="str">
            <v>EKSKLUSIF</v>
          </cell>
          <cell r="I176" t="str">
            <v>EKSKLUSIF</v>
          </cell>
          <cell r="J176" t="str">
            <v>EKSKLUSIF</v>
          </cell>
          <cell r="K176" t="str">
            <v>EKSKLUSIF</v>
          </cell>
          <cell r="L176" t="str">
            <v>EKSKLUSIF</v>
          </cell>
          <cell r="M176">
            <v>20</v>
          </cell>
          <cell r="N176">
            <v>45</v>
          </cell>
          <cell r="O176">
            <v>39</v>
          </cell>
          <cell r="P176">
            <v>40</v>
          </cell>
          <cell r="Q176">
            <v>38</v>
          </cell>
          <cell r="R176">
            <v>44</v>
          </cell>
          <cell r="S176">
            <v>21</v>
          </cell>
          <cell r="T176">
            <v>247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 t="str">
            <v>TIDAK</v>
          </cell>
          <cell r="AE176" t="str">
            <v>TIDAK</v>
          </cell>
          <cell r="AF176">
            <v>0</v>
          </cell>
          <cell r="AG176">
            <v>2</v>
          </cell>
          <cell r="AH176" t="str">
            <v>SAPHIRE</v>
          </cell>
          <cell r="AI176">
            <v>0</v>
          </cell>
          <cell r="AJ176" t="str">
            <v>FALSE</v>
          </cell>
          <cell r="AK176">
            <v>0</v>
          </cell>
          <cell r="AL176">
            <v>45261</v>
          </cell>
          <cell r="AM176">
            <v>45701</v>
          </cell>
          <cell r="AN176">
            <v>1</v>
          </cell>
          <cell r="AO176">
            <v>0</v>
          </cell>
          <cell r="AP176" t="str">
            <v>EKSKLUSIF</v>
          </cell>
          <cell r="AQ176" t="str">
            <v>-</v>
          </cell>
          <cell r="AR176" t="str">
            <v>EKSKLUSIF</v>
          </cell>
          <cell r="AS176" t="str">
            <v>EKSKLUSIF</v>
          </cell>
          <cell r="AT176" t="str">
            <v>EKSKLUSIF</v>
          </cell>
          <cell r="AU176" t="str">
            <v>EKSKLUSIF</v>
          </cell>
          <cell r="AV176" t="str">
            <v/>
          </cell>
          <cell r="AW176">
            <v>46</v>
          </cell>
          <cell r="AX176">
            <v>45</v>
          </cell>
          <cell r="AY176">
            <v>41</v>
          </cell>
          <cell r="AZ176">
            <v>44</v>
          </cell>
          <cell r="BA176">
            <v>45</v>
          </cell>
          <cell r="BB176">
            <v>46</v>
          </cell>
          <cell r="BC176">
            <v>45</v>
          </cell>
          <cell r="BD176">
            <v>41</v>
          </cell>
          <cell r="BE176">
            <v>44</v>
          </cell>
          <cell r="BF176">
            <v>45</v>
          </cell>
          <cell r="BG176">
            <v>18</v>
          </cell>
          <cell r="BH176">
            <v>46</v>
          </cell>
          <cell r="BI176">
            <v>45</v>
          </cell>
          <cell r="BJ176">
            <v>41</v>
          </cell>
          <cell r="BK176">
            <v>44</v>
          </cell>
          <cell r="BL176">
            <v>45</v>
          </cell>
          <cell r="BM176">
            <v>21</v>
          </cell>
          <cell r="BN176">
            <v>260</v>
          </cell>
          <cell r="BO176">
            <v>0</v>
          </cell>
          <cell r="BP176">
            <v>46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21</v>
          </cell>
          <cell r="BV176">
            <v>67</v>
          </cell>
          <cell r="BW176">
            <v>0</v>
          </cell>
          <cell r="BX176" t="str">
            <v>TIDAK</v>
          </cell>
          <cell r="BY176" t="str">
            <v>TIDAK</v>
          </cell>
        </row>
        <row r="177">
          <cell r="A177" t="str">
            <v>A0680</v>
          </cell>
          <cell r="B177" t="str">
            <v>Euis Yunike Windyaningrum</v>
          </cell>
          <cell r="C177" t="str">
            <v>DELTA</v>
          </cell>
          <cell r="D177">
            <v>44875</v>
          </cell>
          <cell r="E177" t="str">
            <v>Nov-22</v>
          </cell>
          <cell r="F177" t="str">
            <v>REGULER</v>
          </cell>
          <cell r="G177" t="str">
            <v>REGULER</v>
          </cell>
          <cell r="H177" t="str">
            <v>REGULER</v>
          </cell>
          <cell r="I177" t="str">
            <v>REGULER</v>
          </cell>
          <cell r="J177" t="str">
            <v>REGULER</v>
          </cell>
          <cell r="K177" t="str">
            <v>REGULER</v>
          </cell>
          <cell r="L177" t="str">
            <v>REGULER</v>
          </cell>
          <cell r="M177">
            <v>19</v>
          </cell>
          <cell r="N177">
            <v>30</v>
          </cell>
          <cell r="O177">
            <v>14</v>
          </cell>
          <cell r="P177">
            <v>22</v>
          </cell>
          <cell r="Q177">
            <v>25</v>
          </cell>
          <cell r="R177">
            <v>31</v>
          </cell>
          <cell r="S177">
            <v>10</v>
          </cell>
          <cell r="T177">
            <v>151</v>
          </cell>
          <cell r="U177">
            <v>19</v>
          </cell>
          <cell r="V177">
            <v>30</v>
          </cell>
          <cell r="W177">
            <v>14</v>
          </cell>
          <cell r="X177">
            <v>22</v>
          </cell>
          <cell r="Y177">
            <v>25</v>
          </cell>
          <cell r="Z177">
            <v>31</v>
          </cell>
          <cell r="AA177">
            <v>10</v>
          </cell>
          <cell r="AB177">
            <v>151</v>
          </cell>
          <cell r="AC177">
            <v>0</v>
          </cell>
          <cell r="AD177" t="str">
            <v>TIDAK</v>
          </cell>
          <cell r="AE177" t="str">
            <v>TIDAK</v>
          </cell>
          <cell r="AF177">
            <v>151</v>
          </cell>
          <cell r="AG177">
            <v>2</v>
          </cell>
          <cell r="AH177" t="str">
            <v>SAPHIRE</v>
          </cell>
          <cell r="AI177">
            <v>0</v>
          </cell>
          <cell r="AJ177" t="str">
            <v>Y</v>
          </cell>
          <cell r="AK177">
            <v>0</v>
          </cell>
          <cell r="AL177">
            <v>45261</v>
          </cell>
          <cell r="AM177">
            <v>45701</v>
          </cell>
          <cell r="AN177">
            <v>1</v>
          </cell>
          <cell r="AO177">
            <v>151</v>
          </cell>
          <cell r="AP177" t="str">
            <v>-</v>
          </cell>
          <cell r="AQ177" t="str">
            <v>-</v>
          </cell>
          <cell r="AR177" t="str">
            <v>REGULER</v>
          </cell>
          <cell r="AS177" t="str">
            <v>REGULER</v>
          </cell>
          <cell r="AT177" t="str">
            <v>REGULER</v>
          </cell>
          <cell r="AU177" t="str">
            <v>REGULER</v>
          </cell>
          <cell r="AV177" t="str">
            <v/>
          </cell>
          <cell r="AW177">
            <v>36</v>
          </cell>
          <cell r="AX177">
            <v>37</v>
          </cell>
          <cell r="AY177">
            <v>36</v>
          </cell>
          <cell r="AZ177">
            <v>26</v>
          </cell>
          <cell r="BA177">
            <v>32</v>
          </cell>
          <cell r="BB177">
            <v>36</v>
          </cell>
          <cell r="BC177">
            <v>37</v>
          </cell>
          <cell r="BD177">
            <v>36</v>
          </cell>
          <cell r="BE177">
            <v>26</v>
          </cell>
          <cell r="BF177">
            <v>32</v>
          </cell>
          <cell r="BG177">
            <v>15</v>
          </cell>
          <cell r="BH177">
            <v>36</v>
          </cell>
          <cell r="BI177">
            <v>37</v>
          </cell>
          <cell r="BJ177">
            <v>36</v>
          </cell>
          <cell r="BK177">
            <v>26</v>
          </cell>
          <cell r="BL177">
            <v>32</v>
          </cell>
          <cell r="BM177">
            <v>16</v>
          </cell>
          <cell r="BN177">
            <v>198</v>
          </cell>
          <cell r="BO177">
            <v>15</v>
          </cell>
          <cell r="BP177">
            <v>36</v>
          </cell>
          <cell r="BQ177">
            <v>37</v>
          </cell>
          <cell r="BR177">
            <v>36</v>
          </cell>
          <cell r="BS177">
            <v>26</v>
          </cell>
          <cell r="BT177">
            <v>32</v>
          </cell>
          <cell r="BU177">
            <v>16</v>
          </cell>
          <cell r="BV177">
            <v>198</v>
          </cell>
          <cell r="BW177">
            <v>0</v>
          </cell>
          <cell r="BX177" t="str">
            <v>TIDAK</v>
          </cell>
          <cell r="BY177" t="str">
            <v>TIDAK</v>
          </cell>
        </row>
        <row r="178">
          <cell r="A178" t="str">
            <v>A1896</v>
          </cell>
          <cell r="B178" t="str">
            <v>Eva Ayu</v>
          </cell>
          <cell r="C178" t="str">
            <v>DELTA</v>
          </cell>
          <cell r="D178">
            <v>45079</v>
          </cell>
          <cell r="E178" t="str">
            <v>Jun-23</v>
          </cell>
          <cell r="F178" t="str">
            <v>REGULER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  <cell r="K178" t="str">
            <v>-</v>
          </cell>
          <cell r="L178" t="str">
            <v>-</v>
          </cell>
          <cell r="M178">
            <v>1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1</v>
          </cell>
          <cell r="U178">
            <v>1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1</v>
          </cell>
          <cell r="AC178">
            <v>6</v>
          </cell>
          <cell r="AD178" t="str">
            <v>DOWNGRADE</v>
          </cell>
          <cell r="AE178" t="str">
            <v>RESET</v>
          </cell>
          <cell r="AF178">
            <v>0</v>
          </cell>
          <cell r="AG178">
            <v>2</v>
          </cell>
          <cell r="AH178" t="str">
            <v>SAPHIRE</v>
          </cell>
          <cell r="AI178">
            <v>0</v>
          </cell>
          <cell r="AJ178" t="str">
            <v>FALSE</v>
          </cell>
          <cell r="AK178">
            <v>0</v>
          </cell>
          <cell r="AL178">
            <v>45261</v>
          </cell>
          <cell r="AM178">
            <v>45701</v>
          </cell>
          <cell r="AN178">
            <v>1</v>
          </cell>
          <cell r="AO178">
            <v>0</v>
          </cell>
          <cell r="AP178" t="str">
            <v>-</v>
          </cell>
          <cell r="AQ178" t="str">
            <v>-</v>
          </cell>
          <cell r="AR178" t="str">
            <v>-</v>
          </cell>
          <cell r="AS178" t="str">
            <v>-</v>
          </cell>
          <cell r="AT178" t="str">
            <v>-</v>
          </cell>
          <cell r="AU178" t="str">
            <v>-</v>
          </cell>
          <cell r="AV178" t="str">
            <v/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 t="str">
            <v/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 t="str">
            <v/>
          </cell>
          <cell r="BN178">
            <v>0</v>
          </cell>
          <cell r="BO178" t="str">
            <v/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 t="str">
            <v/>
          </cell>
          <cell r="BV178">
            <v>0</v>
          </cell>
          <cell r="BW178">
            <v>7</v>
          </cell>
          <cell r="BX178" t="str">
            <v>DOWNGRADE</v>
          </cell>
          <cell r="BY178" t="str">
            <v>RESET</v>
          </cell>
        </row>
        <row r="179">
          <cell r="A179" t="str">
            <v>A0758</v>
          </cell>
          <cell r="B179" t="str">
            <v>Faiza Shafa Prasta</v>
          </cell>
          <cell r="C179" t="str">
            <v>DELTA</v>
          </cell>
          <cell r="D179">
            <v>44903</v>
          </cell>
          <cell r="E179" t="str">
            <v>Dec-22</v>
          </cell>
          <cell r="F179" t="str">
            <v>REGULER</v>
          </cell>
          <cell r="G179" t="str">
            <v>REGULER</v>
          </cell>
          <cell r="H179" t="str">
            <v>-</v>
          </cell>
          <cell r="I179" t="str">
            <v>-</v>
          </cell>
          <cell r="J179" t="str">
            <v>-</v>
          </cell>
          <cell r="K179" t="str">
            <v>-</v>
          </cell>
          <cell r="L179" t="str">
            <v>-</v>
          </cell>
          <cell r="M179">
            <v>0</v>
          </cell>
          <cell r="N179">
            <v>6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 t="str">
            <v/>
          </cell>
          <cell r="T179">
            <v>6</v>
          </cell>
          <cell r="U179">
            <v>0</v>
          </cell>
          <cell r="V179">
            <v>6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 t="str">
            <v/>
          </cell>
          <cell r="AB179">
            <v>6</v>
          </cell>
          <cell r="AC179">
            <v>6</v>
          </cell>
          <cell r="AD179" t="str">
            <v>DOWNGRADE</v>
          </cell>
          <cell r="AE179" t="str">
            <v>RESET</v>
          </cell>
          <cell r="AF179">
            <v>0</v>
          </cell>
          <cell r="AG179">
            <v>2</v>
          </cell>
          <cell r="AH179" t="str">
            <v>SAPHIRE</v>
          </cell>
          <cell r="AI179">
            <v>0</v>
          </cell>
          <cell r="AJ179" t="str">
            <v>FALSE</v>
          </cell>
          <cell r="AK179">
            <v>0</v>
          </cell>
          <cell r="AL179">
            <v>45261</v>
          </cell>
          <cell r="AM179">
            <v>45701</v>
          </cell>
          <cell r="AN179">
            <v>1</v>
          </cell>
          <cell r="AO179">
            <v>0</v>
          </cell>
          <cell r="AP179" t="str">
            <v>-</v>
          </cell>
          <cell r="AQ179" t="str">
            <v>-</v>
          </cell>
          <cell r="AR179" t="str">
            <v>-</v>
          </cell>
          <cell r="AS179" t="str">
            <v>-</v>
          </cell>
          <cell r="AT179" t="str">
            <v>-</v>
          </cell>
          <cell r="AU179" t="str">
            <v>-</v>
          </cell>
          <cell r="AV179" t="str">
            <v/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 t="str">
            <v/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 t="str">
            <v/>
          </cell>
          <cell r="BN179">
            <v>0</v>
          </cell>
          <cell r="BO179" t="str">
            <v/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 t="str">
            <v/>
          </cell>
          <cell r="BV179">
            <v>0</v>
          </cell>
          <cell r="BW179">
            <v>7</v>
          </cell>
          <cell r="BX179" t="str">
            <v>DOWNGRADE</v>
          </cell>
          <cell r="BY179" t="str">
            <v>RESET</v>
          </cell>
        </row>
        <row r="180">
          <cell r="A180">
            <v>92667</v>
          </cell>
          <cell r="B180" t="str">
            <v>Fandri Ghozali</v>
          </cell>
          <cell r="C180" t="str">
            <v>DELTA</v>
          </cell>
          <cell r="D180">
            <v>44852</v>
          </cell>
          <cell r="E180" t="str">
            <v>Oct-22</v>
          </cell>
          <cell r="F180" t="str">
            <v>EKSKLUSIF</v>
          </cell>
          <cell r="G180" t="str">
            <v>EKSKLUSIF</v>
          </cell>
          <cell r="H180" t="str">
            <v>EKSKLUSIF</v>
          </cell>
          <cell r="I180" t="str">
            <v>EKSKLUSIF</v>
          </cell>
          <cell r="J180" t="str">
            <v>EKSKLUSIF</v>
          </cell>
          <cell r="K180" t="str">
            <v>-</v>
          </cell>
          <cell r="L180" t="str">
            <v>-</v>
          </cell>
          <cell r="M180">
            <v>21</v>
          </cell>
          <cell r="N180">
            <v>45</v>
          </cell>
          <cell r="O180">
            <v>40</v>
          </cell>
          <cell r="P180">
            <v>42</v>
          </cell>
          <cell r="Q180">
            <v>38</v>
          </cell>
          <cell r="R180">
            <v>0</v>
          </cell>
          <cell r="S180" t="str">
            <v/>
          </cell>
          <cell r="T180">
            <v>186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 t="str">
            <v/>
          </cell>
          <cell r="AB180">
            <v>0</v>
          </cell>
          <cell r="AC180">
            <v>2</v>
          </cell>
          <cell r="AD180" t="str">
            <v>TIDAK</v>
          </cell>
          <cell r="AE180" t="str">
            <v>TIDAK</v>
          </cell>
          <cell r="AF180">
            <v>0</v>
          </cell>
          <cell r="AG180">
            <v>2</v>
          </cell>
          <cell r="AH180" t="str">
            <v>SAPHIRE</v>
          </cell>
          <cell r="AI180">
            <v>0</v>
          </cell>
          <cell r="AJ180" t="str">
            <v>FALSE</v>
          </cell>
          <cell r="AK180">
            <v>0</v>
          </cell>
          <cell r="AL180">
            <v>45261</v>
          </cell>
          <cell r="AM180">
            <v>45701</v>
          </cell>
          <cell r="AN180">
            <v>1</v>
          </cell>
          <cell r="AO180">
            <v>0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/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 t="str">
            <v/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 t="str">
            <v/>
          </cell>
          <cell r="BN180">
            <v>0</v>
          </cell>
          <cell r="BO180" t="str">
            <v/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 t="str">
            <v/>
          </cell>
          <cell r="BV180">
            <v>0</v>
          </cell>
          <cell r="BW180">
            <v>7</v>
          </cell>
          <cell r="BX180" t="str">
            <v>DOWNGRADE</v>
          </cell>
          <cell r="BY180" t="str">
            <v>RESET</v>
          </cell>
        </row>
        <row r="181">
          <cell r="A181" t="str">
            <v>A1957</v>
          </cell>
          <cell r="B181" t="str">
            <v>Fatia</v>
          </cell>
          <cell r="C181" t="str">
            <v>DELTA</v>
          </cell>
          <cell r="D181">
            <v>45040</v>
          </cell>
          <cell r="E181" t="str">
            <v>Apr-23</v>
          </cell>
          <cell r="F181" t="str">
            <v>EKSKLUSIF</v>
          </cell>
          <cell r="G181" t="str">
            <v>EKSKLUSIF</v>
          </cell>
          <cell r="H181" t="str">
            <v>EKSKLUSIF</v>
          </cell>
          <cell r="I181" t="str">
            <v>EKSKLUSIF</v>
          </cell>
          <cell r="J181" t="str">
            <v>EKSKLUSIF</v>
          </cell>
          <cell r="K181" t="str">
            <v>EKSKLUSIF</v>
          </cell>
          <cell r="L181" t="str">
            <v>-</v>
          </cell>
          <cell r="M181">
            <v>22</v>
          </cell>
          <cell r="N181">
            <v>48</v>
          </cell>
          <cell r="O181">
            <v>42</v>
          </cell>
          <cell r="P181">
            <v>43</v>
          </cell>
          <cell r="Q181">
            <v>40</v>
          </cell>
          <cell r="R181">
            <v>43</v>
          </cell>
          <cell r="S181">
            <v>0</v>
          </cell>
          <cell r="T181">
            <v>238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1</v>
          </cell>
          <cell r="AD181" t="str">
            <v>TIDAK</v>
          </cell>
          <cell r="AE181" t="str">
            <v>TIDAK</v>
          </cell>
          <cell r="AF181">
            <v>0</v>
          </cell>
          <cell r="AG181">
            <v>3</v>
          </cell>
          <cell r="AH181" t="str">
            <v>SAPHIRE</v>
          </cell>
          <cell r="AI181">
            <v>0</v>
          </cell>
          <cell r="AJ181" t="str">
            <v>FALSE</v>
          </cell>
          <cell r="AK181">
            <v>0</v>
          </cell>
          <cell r="AL181">
            <v>45261</v>
          </cell>
          <cell r="AM181">
            <v>45701</v>
          </cell>
          <cell r="AN181">
            <v>1</v>
          </cell>
          <cell r="AO181">
            <v>0</v>
          </cell>
          <cell r="AP181" t="str">
            <v>-</v>
          </cell>
          <cell r="AQ181" t="str">
            <v>-</v>
          </cell>
          <cell r="AR181" t="str">
            <v>EKSKLUSIF</v>
          </cell>
          <cell r="AS181" t="str">
            <v>EKSKLUSIF</v>
          </cell>
          <cell r="AT181" t="str">
            <v>EKSKLUSIF</v>
          </cell>
          <cell r="AU181" t="str">
            <v>EKSKLUSIF</v>
          </cell>
          <cell r="AV181" t="str">
            <v/>
          </cell>
          <cell r="AW181">
            <v>50</v>
          </cell>
          <cell r="AX181">
            <v>49</v>
          </cell>
          <cell r="AY181">
            <v>45</v>
          </cell>
          <cell r="AZ181">
            <v>49</v>
          </cell>
          <cell r="BA181">
            <v>47</v>
          </cell>
          <cell r="BB181">
            <v>50</v>
          </cell>
          <cell r="BC181">
            <v>49</v>
          </cell>
          <cell r="BD181">
            <v>45</v>
          </cell>
          <cell r="BE181">
            <v>49</v>
          </cell>
          <cell r="BF181">
            <v>47</v>
          </cell>
          <cell r="BG181">
            <v>3</v>
          </cell>
          <cell r="BH181">
            <v>50</v>
          </cell>
          <cell r="BI181">
            <v>49</v>
          </cell>
          <cell r="BJ181">
            <v>45</v>
          </cell>
          <cell r="BK181">
            <v>49</v>
          </cell>
          <cell r="BL181">
            <v>47</v>
          </cell>
          <cell r="BM181">
            <v>22</v>
          </cell>
          <cell r="BN181">
            <v>265</v>
          </cell>
          <cell r="BO181">
            <v>3</v>
          </cell>
          <cell r="BP181">
            <v>50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22</v>
          </cell>
          <cell r="BV181">
            <v>75</v>
          </cell>
          <cell r="BW181">
            <v>0</v>
          </cell>
          <cell r="BX181" t="str">
            <v>TIDAK</v>
          </cell>
          <cell r="BY181" t="str">
            <v>TIDAK</v>
          </cell>
        </row>
        <row r="182">
          <cell r="A182" t="str">
            <v>A2442</v>
          </cell>
          <cell r="B182" t="str">
            <v>Fayi Salsabila</v>
          </cell>
          <cell r="C182" t="str">
            <v>DELTA</v>
          </cell>
          <cell r="D182">
            <v>45113</v>
          </cell>
          <cell r="E182" t="str">
            <v>Jul-23</v>
          </cell>
          <cell r="F182" t="str">
            <v>REGULER</v>
          </cell>
          <cell r="G182" t="str">
            <v>REGULER</v>
          </cell>
          <cell r="H182" t="str">
            <v>REGULER</v>
          </cell>
          <cell r="I182" t="str">
            <v>-</v>
          </cell>
          <cell r="J182" t="str">
            <v>REGULER</v>
          </cell>
          <cell r="K182" t="str">
            <v>REGULER</v>
          </cell>
          <cell r="L182" t="str">
            <v>REGULER</v>
          </cell>
          <cell r="M182">
            <v>0</v>
          </cell>
          <cell r="N182">
            <v>5</v>
          </cell>
          <cell r="O182">
            <v>5</v>
          </cell>
          <cell r="P182">
            <v>0</v>
          </cell>
          <cell r="Q182">
            <v>8</v>
          </cell>
          <cell r="R182">
            <v>19</v>
          </cell>
          <cell r="S182">
            <v>9</v>
          </cell>
          <cell r="T182">
            <v>46</v>
          </cell>
          <cell r="U182">
            <v>0</v>
          </cell>
          <cell r="V182">
            <v>5</v>
          </cell>
          <cell r="W182">
            <v>5</v>
          </cell>
          <cell r="X182">
            <v>0</v>
          </cell>
          <cell r="Y182">
            <v>8</v>
          </cell>
          <cell r="Z182">
            <v>19</v>
          </cell>
          <cell r="AA182">
            <v>9</v>
          </cell>
          <cell r="AB182">
            <v>46</v>
          </cell>
          <cell r="AC182">
            <v>2</v>
          </cell>
          <cell r="AD182" t="str">
            <v>TIDAK</v>
          </cell>
          <cell r="AE182" t="str">
            <v>TIDAK</v>
          </cell>
          <cell r="AF182">
            <v>46</v>
          </cell>
          <cell r="AG182">
            <v>2</v>
          </cell>
          <cell r="AH182" t="str">
            <v>SAPHIRE</v>
          </cell>
          <cell r="AI182">
            <v>0</v>
          </cell>
          <cell r="AJ182" t="str">
            <v>FALSE</v>
          </cell>
          <cell r="AK182">
            <v>0</v>
          </cell>
          <cell r="AL182">
            <v>45261</v>
          </cell>
          <cell r="AM182">
            <v>45701</v>
          </cell>
          <cell r="AN182">
            <v>1</v>
          </cell>
          <cell r="AO182">
            <v>46</v>
          </cell>
          <cell r="AP182" t="str">
            <v>-</v>
          </cell>
          <cell r="AQ182" t="str">
            <v>-</v>
          </cell>
          <cell r="AR182" t="str">
            <v>REGULER</v>
          </cell>
          <cell r="AS182" t="str">
            <v>REGULER</v>
          </cell>
          <cell r="AT182" t="str">
            <v>REGULER</v>
          </cell>
          <cell r="AU182" t="str">
            <v>REGULER</v>
          </cell>
          <cell r="AV182" t="str">
            <v/>
          </cell>
          <cell r="AW182">
            <v>31</v>
          </cell>
          <cell r="AX182">
            <v>37</v>
          </cell>
          <cell r="AY182">
            <v>36</v>
          </cell>
          <cell r="AZ182">
            <v>37</v>
          </cell>
          <cell r="BA182">
            <v>38</v>
          </cell>
          <cell r="BB182">
            <v>31</v>
          </cell>
          <cell r="BC182">
            <v>37</v>
          </cell>
          <cell r="BD182">
            <v>36</v>
          </cell>
          <cell r="BE182">
            <v>37</v>
          </cell>
          <cell r="BF182">
            <v>38</v>
          </cell>
          <cell r="BG182">
            <v>6</v>
          </cell>
          <cell r="BH182">
            <v>31</v>
          </cell>
          <cell r="BI182">
            <v>37</v>
          </cell>
          <cell r="BJ182">
            <v>36</v>
          </cell>
          <cell r="BK182">
            <v>37</v>
          </cell>
          <cell r="BL182">
            <v>38</v>
          </cell>
          <cell r="BM182">
            <v>18</v>
          </cell>
          <cell r="BN182">
            <v>203</v>
          </cell>
          <cell r="BO182">
            <v>6</v>
          </cell>
          <cell r="BP182">
            <v>31</v>
          </cell>
          <cell r="BQ182">
            <v>37</v>
          </cell>
          <cell r="BR182">
            <v>36</v>
          </cell>
          <cell r="BS182">
            <v>37</v>
          </cell>
          <cell r="BT182">
            <v>38</v>
          </cell>
          <cell r="BU182">
            <v>18</v>
          </cell>
          <cell r="BV182">
            <v>203</v>
          </cell>
          <cell r="BW182">
            <v>0</v>
          </cell>
          <cell r="BX182" t="str">
            <v>TIDAK</v>
          </cell>
          <cell r="BY182" t="str">
            <v>TIDAK</v>
          </cell>
        </row>
        <row r="183">
          <cell r="A183" t="str">
            <v>A0773</v>
          </cell>
          <cell r="B183" t="str">
            <v>Feby Dhimas Setyawan</v>
          </cell>
          <cell r="C183" t="str">
            <v>DELTA</v>
          </cell>
          <cell r="D183">
            <v>44905</v>
          </cell>
          <cell r="E183" t="str">
            <v>Dec-22</v>
          </cell>
          <cell r="F183" t="str">
            <v>EKSKLUSIF</v>
          </cell>
          <cell r="G183" t="str">
            <v>EKSKLUSIF</v>
          </cell>
          <cell r="H183" t="str">
            <v>-</v>
          </cell>
          <cell r="I183" t="str">
            <v>-</v>
          </cell>
          <cell r="J183" t="str">
            <v>REGULER</v>
          </cell>
          <cell r="K183" t="str">
            <v>-</v>
          </cell>
          <cell r="L183" t="str">
            <v>-</v>
          </cell>
          <cell r="M183">
            <v>20</v>
          </cell>
          <cell r="N183">
            <v>44</v>
          </cell>
          <cell r="O183">
            <v>0</v>
          </cell>
          <cell r="P183">
            <v>0</v>
          </cell>
          <cell r="Q183">
            <v>2</v>
          </cell>
          <cell r="R183">
            <v>0</v>
          </cell>
          <cell r="S183" t="str">
            <v/>
          </cell>
          <cell r="T183">
            <v>66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2</v>
          </cell>
          <cell r="Z183">
            <v>0</v>
          </cell>
          <cell r="AA183" t="str">
            <v/>
          </cell>
          <cell r="AB183">
            <v>2</v>
          </cell>
          <cell r="AC183">
            <v>4</v>
          </cell>
          <cell r="AD183" t="str">
            <v>DOWNGRADE</v>
          </cell>
          <cell r="AE183" t="str">
            <v>TIDAK</v>
          </cell>
          <cell r="AF183">
            <v>1</v>
          </cell>
          <cell r="AG183">
            <v>2</v>
          </cell>
          <cell r="AH183" t="str">
            <v>SAPHIRE</v>
          </cell>
          <cell r="AI183">
            <v>0</v>
          </cell>
          <cell r="AJ183" t="str">
            <v>FALSE</v>
          </cell>
          <cell r="AK183">
            <v>0</v>
          </cell>
          <cell r="AL183">
            <v>45261</v>
          </cell>
          <cell r="AM183">
            <v>45701</v>
          </cell>
          <cell r="AN183">
            <v>1</v>
          </cell>
          <cell r="AO183">
            <v>1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/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 t="str">
            <v/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 t="str">
            <v/>
          </cell>
          <cell r="BN183">
            <v>0</v>
          </cell>
          <cell r="BO183" t="str">
            <v/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 t="str">
            <v/>
          </cell>
          <cell r="BV183">
            <v>0</v>
          </cell>
          <cell r="BW183">
            <v>7</v>
          </cell>
          <cell r="BX183" t="str">
            <v>DOWNGRADE</v>
          </cell>
          <cell r="BY183" t="str">
            <v>RESET</v>
          </cell>
        </row>
        <row r="184">
          <cell r="A184" t="str">
            <v>A3456</v>
          </cell>
          <cell r="B184" t="str">
            <v>Feby Kurnia</v>
          </cell>
          <cell r="C184" t="str">
            <v>DELTA</v>
          </cell>
          <cell r="D184">
            <v>45269</v>
          </cell>
          <cell r="E184" t="str">
            <v>Dec-23</v>
          </cell>
          <cell r="F184" t="str">
            <v>-</v>
          </cell>
          <cell r="G184" t="str">
            <v>REGULER</v>
          </cell>
          <cell r="H184" t="str">
            <v>REGULER</v>
          </cell>
          <cell r="I184" t="str">
            <v>REGULER</v>
          </cell>
          <cell r="J184" t="str">
            <v>REGULER</v>
          </cell>
          <cell r="K184" t="str">
            <v>EKSKLUSIF</v>
          </cell>
          <cell r="L184" t="str">
            <v>EKSKLUSIF</v>
          </cell>
          <cell r="M184">
            <v>0</v>
          </cell>
          <cell r="N184">
            <v>37</v>
          </cell>
          <cell r="O184">
            <v>41</v>
          </cell>
          <cell r="P184">
            <v>42</v>
          </cell>
          <cell r="Q184">
            <v>15</v>
          </cell>
          <cell r="R184">
            <v>42</v>
          </cell>
          <cell r="S184">
            <v>20</v>
          </cell>
          <cell r="T184">
            <v>197</v>
          </cell>
          <cell r="U184">
            <v>0</v>
          </cell>
          <cell r="V184">
            <v>37</v>
          </cell>
          <cell r="W184">
            <v>41</v>
          </cell>
          <cell r="X184">
            <v>42</v>
          </cell>
          <cell r="Y184">
            <v>15</v>
          </cell>
          <cell r="Z184">
            <v>0</v>
          </cell>
          <cell r="AA184">
            <v>0</v>
          </cell>
          <cell r="AB184">
            <v>135</v>
          </cell>
          <cell r="AC184">
            <v>1</v>
          </cell>
          <cell r="AD184" t="str">
            <v>TIDAK</v>
          </cell>
          <cell r="AE184" t="str">
            <v>TIDAK</v>
          </cell>
          <cell r="AF184">
            <v>135</v>
          </cell>
          <cell r="AG184">
            <v>2</v>
          </cell>
          <cell r="AH184" t="str">
            <v>SAPHIRE</v>
          </cell>
          <cell r="AI184">
            <v>0</v>
          </cell>
          <cell r="AJ184" t="str">
            <v>Y</v>
          </cell>
          <cell r="AK184">
            <v>0</v>
          </cell>
          <cell r="AL184">
            <v>45261</v>
          </cell>
          <cell r="AM184">
            <v>45701</v>
          </cell>
          <cell r="AN184">
            <v>1</v>
          </cell>
          <cell r="AO184">
            <v>135</v>
          </cell>
          <cell r="AP184" t="str">
            <v>EKSKLUSIF</v>
          </cell>
          <cell r="AQ184" t="str">
            <v>-</v>
          </cell>
          <cell r="AR184" t="str">
            <v>EKSKLUSIF</v>
          </cell>
          <cell r="AS184" t="str">
            <v>EKSKLUSIF</v>
          </cell>
          <cell r="AT184" t="str">
            <v>EKSKLUSIF</v>
          </cell>
          <cell r="AU184" t="str">
            <v>EKSKLUSIF</v>
          </cell>
          <cell r="AV184" t="str">
            <v/>
          </cell>
          <cell r="AW184">
            <v>49</v>
          </cell>
          <cell r="AX184">
            <v>48</v>
          </cell>
          <cell r="AY184">
            <v>42</v>
          </cell>
          <cell r="AZ184">
            <v>47</v>
          </cell>
          <cell r="BA184">
            <v>43</v>
          </cell>
          <cell r="BB184">
            <v>49</v>
          </cell>
          <cell r="BC184">
            <v>48</v>
          </cell>
          <cell r="BD184">
            <v>42</v>
          </cell>
          <cell r="BE184">
            <v>47</v>
          </cell>
          <cell r="BF184">
            <v>43</v>
          </cell>
          <cell r="BG184">
            <v>19</v>
          </cell>
          <cell r="BH184">
            <v>49</v>
          </cell>
          <cell r="BI184">
            <v>48</v>
          </cell>
          <cell r="BJ184">
            <v>42</v>
          </cell>
          <cell r="BK184">
            <v>47</v>
          </cell>
          <cell r="BL184">
            <v>43</v>
          </cell>
          <cell r="BM184">
            <v>22</v>
          </cell>
          <cell r="BN184">
            <v>270</v>
          </cell>
          <cell r="BO184">
            <v>0</v>
          </cell>
          <cell r="BP184">
            <v>49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22</v>
          </cell>
          <cell r="BV184">
            <v>71</v>
          </cell>
          <cell r="BW184">
            <v>0</v>
          </cell>
          <cell r="BX184" t="str">
            <v>TIDAK</v>
          </cell>
          <cell r="BY184" t="str">
            <v>TIDAK</v>
          </cell>
        </row>
        <row r="185">
          <cell r="A185" t="str">
            <v>A3877</v>
          </cell>
          <cell r="B185" t="str">
            <v>Felsa Inkiriwang</v>
          </cell>
          <cell r="C185" t="str">
            <v>DELTA</v>
          </cell>
          <cell r="D185">
            <v>45383</v>
          </cell>
          <cell r="E185" t="str">
            <v>Apr-24</v>
          </cell>
          <cell r="F185" t="str">
            <v>-</v>
          </cell>
          <cell r="G185" t="str">
            <v>-</v>
          </cell>
          <cell r="H185" t="str">
            <v>-</v>
          </cell>
          <cell r="I185" t="str">
            <v>REGULER</v>
          </cell>
          <cell r="J185" t="str">
            <v>REGULER</v>
          </cell>
          <cell r="K185" t="str">
            <v>REGULER</v>
          </cell>
          <cell r="L185" t="str">
            <v>REGULER</v>
          </cell>
          <cell r="M185">
            <v>0</v>
          </cell>
          <cell r="N185">
            <v>0</v>
          </cell>
          <cell r="O185">
            <v>0</v>
          </cell>
          <cell r="P185">
            <v>4</v>
          </cell>
          <cell r="Q185">
            <v>22</v>
          </cell>
          <cell r="R185">
            <v>30</v>
          </cell>
          <cell r="S185">
            <v>17</v>
          </cell>
          <cell r="T185">
            <v>73</v>
          </cell>
          <cell r="U185">
            <v>0</v>
          </cell>
          <cell r="V185">
            <v>0</v>
          </cell>
          <cell r="W185">
            <v>0</v>
          </cell>
          <cell r="X185">
            <v>4</v>
          </cell>
          <cell r="Y185">
            <v>22</v>
          </cell>
          <cell r="Z185">
            <v>30</v>
          </cell>
          <cell r="AA185">
            <v>17</v>
          </cell>
          <cell r="AB185">
            <v>73</v>
          </cell>
          <cell r="AC185">
            <v>0</v>
          </cell>
          <cell r="AD185" t="str">
            <v>TIDAK</v>
          </cell>
          <cell r="AE185" t="str">
            <v>TIDAK</v>
          </cell>
          <cell r="AF185">
            <v>73</v>
          </cell>
          <cell r="AG185">
            <v>2</v>
          </cell>
          <cell r="AH185" t="str">
            <v>SAPHIRE</v>
          </cell>
          <cell r="AI185">
            <v>0</v>
          </cell>
          <cell r="AJ185" t="str">
            <v>Y</v>
          </cell>
          <cell r="AK185">
            <v>0</v>
          </cell>
          <cell r="AL185">
            <v>45261</v>
          </cell>
          <cell r="AM185">
            <v>45701</v>
          </cell>
          <cell r="AN185">
            <v>1</v>
          </cell>
          <cell r="AO185">
            <v>73</v>
          </cell>
          <cell r="AP185" t="str">
            <v>-</v>
          </cell>
          <cell r="AQ185" t="str">
            <v>-</v>
          </cell>
          <cell r="AR185" t="str">
            <v>REGULER</v>
          </cell>
          <cell r="AS185" t="str">
            <v>REGULER</v>
          </cell>
          <cell r="AT185" t="str">
            <v>REGULER</v>
          </cell>
          <cell r="AU185" t="str">
            <v>REGULER</v>
          </cell>
          <cell r="AV185" t="str">
            <v/>
          </cell>
          <cell r="AW185">
            <v>35</v>
          </cell>
          <cell r="AX185">
            <v>39</v>
          </cell>
          <cell r="AY185">
            <v>42</v>
          </cell>
          <cell r="AZ185">
            <v>47</v>
          </cell>
          <cell r="BA185">
            <v>31</v>
          </cell>
          <cell r="BB185">
            <v>35</v>
          </cell>
          <cell r="BC185">
            <v>39</v>
          </cell>
          <cell r="BD185">
            <v>42</v>
          </cell>
          <cell r="BE185">
            <v>47</v>
          </cell>
          <cell r="BF185">
            <v>31</v>
          </cell>
          <cell r="BG185">
            <v>9</v>
          </cell>
          <cell r="BH185">
            <v>35</v>
          </cell>
          <cell r="BI185">
            <v>39</v>
          </cell>
          <cell r="BJ185">
            <v>42</v>
          </cell>
          <cell r="BK185">
            <v>47</v>
          </cell>
          <cell r="BL185">
            <v>31</v>
          </cell>
          <cell r="BM185">
            <v>11</v>
          </cell>
          <cell r="BN185">
            <v>214</v>
          </cell>
          <cell r="BO185">
            <v>9</v>
          </cell>
          <cell r="BP185">
            <v>35</v>
          </cell>
          <cell r="BQ185">
            <v>39</v>
          </cell>
          <cell r="BR185">
            <v>42</v>
          </cell>
          <cell r="BS185">
            <v>47</v>
          </cell>
          <cell r="BT185">
            <v>31</v>
          </cell>
          <cell r="BU185">
            <v>11</v>
          </cell>
          <cell r="BV185">
            <v>214</v>
          </cell>
          <cell r="BW185">
            <v>0</v>
          </cell>
          <cell r="BX185" t="str">
            <v>TIDAK</v>
          </cell>
          <cell r="BY185" t="str">
            <v>TIDAK</v>
          </cell>
        </row>
        <row r="186">
          <cell r="A186" t="str">
            <v>A3754</v>
          </cell>
          <cell r="B186" t="str">
            <v>Firda Nur Karima</v>
          </cell>
          <cell r="C186" t="str">
            <v>DELTA</v>
          </cell>
          <cell r="D186">
            <v>45357</v>
          </cell>
          <cell r="E186" t="str">
            <v>Mar-24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REGULER</v>
          </cell>
          <cell r="J186" t="str">
            <v>REGULER</v>
          </cell>
          <cell r="K186" t="str">
            <v>REGULER</v>
          </cell>
          <cell r="L186" t="str">
            <v>EKSKLUSIF</v>
          </cell>
          <cell r="M186">
            <v>0</v>
          </cell>
          <cell r="N186">
            <v>0</v>
          </cell>
          <cell r="O186">
            <v>0</v>
          </cell>
          <cell r="P186">
            <v>10</v>
          </cell>
          <cell r="Q186">
            <v>34</v>
          </cell>
          <cell r="R186">
            <v>42</v>
          </cell>
          <cell r="S186">
            <v>21</v>
          </cell>
          <cell r="T186">
            <v>107</v>
          </cell>
          <cell r="U186">
            <v>0</v>
          </cell>
          <cell r="V186">
            <v>0</v>
          </cell>
          <cell r="W186">
            <v>0</v>
          </cell>
          <cell r="X186">
            <v>10</v>
          </cell>
          <cell r="Y186">
            <v>34</v>
          </cell>
          <cell r="Z186">
            <v>42</v>
          </cell>
          <cell r="AA186">
            <v>0</v>
          </cell>
          <cell r="AB186">
            <v>86</v>
          </cell>
          <cell r="AC186">
            <v>0</v>
          </cell>
          <cell r="AD186" t="str">
            <v>TIDAK</v>
          </cell>
          <cell r="AE186" t="str">
            <v>TIDAK</v>
          </cell>
          <cell r="AF186">
            <v>86</v>
          </cell>
          <cell r="AG186">
            <v>2</v>
          </cell>
          <cell r="AH186" t="str">
            <v>SAPHIRE</v>
          </cell>
          <cell r="AI186">
            <v>0</v>
          </cell>
          <cell r="AJ186" t="str">
            <v>Y</v>
          </cell>
          <cell r="AK186">
            <v>0</v>
          </cell>
          <cell r="AL186">
            <v>45261</v>
          </cell>
          <cell r="AM186">
            <v>45701</v>
          </cell>
          <cell r="AN186">
            <v>1</v>
          </cell>
          <cell r="AO186">
            <v>86</v>
          </cell>
          <cell r="AP186" t="str">
            <v>EKSKLUSIF</v>
          </cell>
          <cell r="AQ186" t="str">
            <v>-</v>
          </cell>
          <cell r="AR186" t="str">
            <v>EKSKLUSIF</v>
          </cell>
          <cell r="AS186" t="str">
            <v>REGULER</v>
          </cell>
          <cell r="AT186" t="str">
            <v>EKSKLUSIF</v>
          </cell>
          <cell r="AU186" t="str">
            <v>EKSKLUSIF</v>
          </cell>
          <cell r="AV186" t="str">
            <v/>
          </cell>
          <cell r="AW186">
            <v>47</v>
          </cell>
          <cell r="AX186">
            <v>47</v>
          </cell>
          <cell r="AY186">
            <v>15</v>
          </cell>
          <cell r="AZ186">
            <v>46</v>
          </cell>
          <cell r="BA186">
            <v>43</v>
          </cell>
          <cell r="BB186">
            <v>47</v>
          </cell>
          <cell r="BC186">
            <v>47</v>
          </cell>
          <cell r="BD186">
            <v>15</v>
          </cell>
          <cell r="BE186">
            <v>46</v>
          </cell>
          <cell r="BF186">
            <v>43</v>
          </cell>
          <cell r="BG186">
            <v>19</v>
          </cell>
          <cell r="BH186">
            <v>47</v>
          </cell>
          <cell r="BI186">
            <v>47</v>
          </cell>
          <cell r="BJ186">
            <v>15</v>
          </cell>
          <cell r="BK186">
            <v>46</v>
          </cell>
          <cell r="BL186">
            <v>43</v>
          </cell>
          <cell r="BM186">
            <v>21</v>
          </cell>
          <cell r="BN186">
            <v>238</v>
          </cell>
          <cell r="BO186">
            <v>0</v>
          </cell>
          <cell r="BP186">
            <v>47</v>
          </cell>
          <cell r="BQ186">
            <v>0</v>
          </cell>
          <cell r="BR186">
            <v>15</v>
          </cell>
          <cell r="BS186">
            <v>0</v>
          </cell>
          <cell r="BT186">
            <v>0</v>
          </cell>
          <cell r="BU186">
            <v>21</v>
          </cell>
          <cell r="BV186">
            <v>83</v>
          </cell>
          <cell r="BW186">
            <v>0</v>
          </cell>
          <cell r="BX186" t="str">
            <v>TIDAK</v>
          </cell>
          <cell r="BY186" t="str">
            <v>TIDAK</v>
          </cell>
        </row>
        <row r="187">
          <cell r="A187">
            <v>92315</v>
          </cell>
          <cell r="B187" t="str">
            <v>Fitrah Herdiansyah</v>
          </cell>
          <cell r="C187" t="str">
            <v>DELTA</v>
          </cell>
          <cell r="D187">
            <v>45201</v>
          </cell>
          <cell r="E187" t="str">
            <v>Oct-23</v>
          </cell>
          <cell r="F187" t="str">
            <v>REGULER</v>
          </cell>
          <cell r="G187" t="str">
            <v>REGULER</v>
          </cell>
          <cell r="H187" t="str">
            <v>-</v>
          </cell>
          <cell r="I187" t="str">
            <v>-</v>
          </cell>
          <cell r="J187" t="str">
            <v>-</v>
          </cell>
          <cell r="K187" t="str">
            <v>-</v>
          </cell>
          <cell r="L187" t="str">
            <v>-</v>
          </cell>
          <cell r="M187">
            <v>15</v>
          </cell>
          <cell r="N187">
            <v>37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 t="str">
            <v/>
          </cell>
          <cell r="T187">
            <v>52</v>
          </cell>
          <cell r="U187">
            <v>15</v>
          </cell>
          <cell r="V187">
            <v>37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 t="str">
            <v/>
          </cell>
          <cell r="AB187">
            <v>52</v>
          </cell>
          <cell r="AC187">
            <v>5</v>
          </cell>
          <cell r="AD187" t="str">
            <v>DOWNGRADE</v>
          </cell>
          <cell r="AE187" t="str">
            <v>RESET</v>
          </cell>
          <cell r="AF187">
            <v>0</v>
          </cell>
          <cell r="AG187">
            <v>2</v>
          </cell>
          <cell r="AH187" t="str">
            <v>SAPHIRE</v>
          </cell>
          <cell r="AI187">
            <v>0</v>
          </cell>
          <cell r="AJ187" t="str">
            <v>FALSE</v>
          </cell>
          <cell r="AK187">
            <v>0</v>
          </cell>
          <cell r="AL187">
            <v>45261</v>
          </cell>
          <cell r="AM187">
            <v>45701</v>
          </cell>
          <cell r="AN187">
            <v>1</v>
          </cell>
          <cell r="AO187">
            <v>0</v>
          </cell>
          <cell r="AP187" t="str">
            <v>-</v>
          </cell>
          <cell r="AQ187" t="str">
            <v>-</v>
          </cell>
          <cell r="AR187" t="str">
            <v>-</v>
          </cell>
          <cell r="AS187" t="str">
            <v>-</v>
          </cell>
          <cell r="AT187" t="str">
            <v>-</v>
          </cell>
          <cell r="AU187" t="str">
            <v>-</v>
          </cell>
          <cell r="AV187" t="str">
            <v/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 t="str">
            <v/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 t="str">
            <v/>
          </cell>
          <cell r="BN187">
            <v>0</v>
          </cell>
          <cell r="BO187" t="str">
            <v/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 t="str">
            <v/>
          </cell>
          <cell r="BV187">
            <v>0</v>
          </cell>
          <cell r="BW187">
            <v>7</v>
          </cell>
          <cell r="BX187" t="str">
            <v>DOWNGRADE</v>
          </cell>
          <cell r="BY187" t="str">
            <v>RESET</v>
          </cell>
        </row>
        <row r="188">
          <cell r="A188" t="str">
            <v>A3257</v>
          </cell>
          <cell r="B188" t="str">
            <v>Friska Nurafriani</v>
          </cell>
          <cell r="C188" t="str">
            <v>DELTA</v>
          </cell>
          <cell r="D188">
            <v>45229</v>
          </cell>
          <cell r="E188" t="str">
            <v>Oct-23</v>
          </cell>
          <cell r="F188" t="str">
            <v>REGULER</v>
          </cell>
          <cell r="G188" t="str">
            <v>REGULER</v>
          </cell>
          <cell r="H188" t="str">
            <v>-</v>
          </cell>
          <cell r="I188" t="str">
            <v>-</v>
          </cell>
          <cell r="J188" t="str">
            <v>-</v>
          </cell>
          <cell r="K188" t="str">
            <v>-</v>
          </cell>
          <cell r="L188" t="str">
            <v>-</v>
          </cell>
          <cell r="M188">
            <v>5</v>
          </cell>
          <cell r="N188">
            <v>9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 t="str">
            <v/>
          </cell>
          <cell r="T188">
            <v>14</v>
          </cell>
          <cell r="U188">
            <v>5</v>
          </cell>
          <cell r="V188">
            <v>9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 t="str">
            <v/>
          </cell>
          <cell r="AB188">
            <v>14</v>
          </cell>
          <cell r="AC188">
            <v>5</v>
          </cell>
          <cell r="AD188" t="str">
            <v>DOWNGRADE</v>
          </cell>
          <cell r="AE188" t="str">
            <v>RESET</v>
          </cell>
          <cell r="AF188">
            <v>0</v>
          </cell>
          <cell r="AG188">
            <v>2</v>
          </cell>
          <cell r="AH188" t="str">
            <v>SAPHIRE</v>
          </cell>
          <cell r="AI188">
            <v>0</v>
          </cell>
          <cell r="AJ188" t="str">
            <v>FALSE</v>
          </cell>
          <cell r="AK188">
            <v>0</v>
          </cell>
          <cell r="AL188">
            <v>45261</v>
          </cell>
          <cell r="AM188">
            <v>45701</v>
          </cell>
          <cell r="AN188">
            <v>1</v>
          </cell>
          <cell r="AO188">
            <v>0</v>
          </cell>
          <cell r="AP188" t="str">
            <v>-</v>
          </cell>
          <cell r="AQ188" t="str">
            <v>-</v>
          </cell>
          <cell r="AR188" t="str">
            <v>-</v>
          </cell>
          <cell r="AS188" t="str">
            <v>-</v>
          </cell>
          <cell r="AT188" t="str">
            <v>-</v>
          </cell>
          <cell r="AU188" t="str">
            <v>-</v>
          </cell>
          <cell r="AV188" t="str">
            <v/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 t="str">
            <v/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 t="str">
            <v/>
          </cell>
          <cell r="BN188">
            <v>0</v>
          </cell>
          <cell r="BO188" t="str">
            <v/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 t="str">
            <v/>
          </cell>
          <cell r="BV188">
            <v>0</v>
          </cell>
          <cell r="BW188">
            <v>7</v>
          </cell>
          <cell r="BX188" t="str">
            <v>DOWNGRADE</v>
          </cell>
          <cell r="BY188" t="str">
            <v>RESET</v>
          </cell>
        </row>
        <row r="189">
          <cell r="A189" t="str">
            <v>A0892</v>
          </cell>
          <cell r="B189" t="str">
            <v>Fuad Azyzy Al Ghifari</v>
          </cell>
          <cell r="C189" t="str">
            <v>DELTA</v>
          </cell>
          <cell r="D189">
            <v>44943</v>
          </cell>
          <cell r="E189" t="str">
            <v>Jan-23</v>
          </cell>
          <cell r="F189" t="str">
            <v>REGULER</v>
          </cell>
          <cell r="G189" t="str">
            <v>EKSKLUSIF</v>
          </cell>
          <cell r="H189" t="str">
            <v>EKSKLUSIF</v>
          </cell>
          <cell r="I189" t="str">
            <v>EKSKLUSIF</v>
          </cell>
          <cell r="J189" t="str">
            <v>REGULER</v>
          </cell>
          <cell r="K189" t="str">
            <v>REGULER</v>
          </cell>
          <cell r="L189" t="str">
            <v>REGULER</v>
          </cell>
          <cell r="M189">
            <v>0</v>
          </cell>
          <cell r="N189">
            <v>45</v>
          </cell>
          <cell r="O189">
            <v>41</v>
          </cell>
          <cell r="P189">
            <v>41</v>
          </cell>
          <cell r="Q189">
            <v>7</v>
          </cell>
          <cell r="R189">
            <v>38</v>
          </cell>
          <cell r="S189">
            <v>19</v>
          </cell>
          <cell r="T189">
            <v>191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7</v>
          </cell>
          <cell r="Z189">
            <v>38</v>
          </cell>
          <cell r="AA189">
            <v>19</v>
          </cell>
          <cell r="AB189">
            <v>64</v>
          </cell>
          <cell r="AC189">
            <v>1</v>
          </cell>
          <cell r="AD189" t="str">
            <v>TIDAK</v>
          </cell>
          <cell r="AE189" t="str">
            <v>TIDAK</v>
          </cell>
          <cell r="AF189">
            <v>64</v>
          </cell>
          <cell r="AG189">
            <v>2</v>
          </cell>
          <cell r="AH189" t="str">
            <v>SAPHIRE</v>
          </cell>
          <cell r="AI189">
            <v>0</v>
          </cell>
          <cell r="AJ189" t="str">
            <v>FALSE</v>
          </cell>
          <cell r="AK189">
            <v>0</v>
          </cell>
          <cell r="AL189">
            <v>45261</v>
          </cell>
          <cell r="AM189">
            <v>45701</v>
          </cell>
          <cell r="AN189">
            <v>1</v>
          </cell>
          <cell r="AO189">
            <v>64</v>
          </cell>
          <cell r="AP189" t="str">
            <v>-</v>
          </cell>
          <cell r="AQ189" t="str">
            <v>-</v>
          </cell>
          <cell r="AR189" t="str">
            <v>-</v>
          </cell>
          <cell r="AS189" t="str">
            <v>-</v>
          </cell>
          <cell r="AT189" t="str">
            <v>-</v>
          </cell>
          <cell r="AU189" t="str">
            <v>-</v>
          </cell>
          <cell r="AV189" t="str">
            <v/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 t="str">
            <v/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 t="str">
            <v/>
          </cell>
          <cell r="BN189">
            <v>0</v>
          </cell>
          <cell r="BO189" t="str">
            <v/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 t="str">
            <v/>
          </cell>
          <cell r="BV189">
            <v>0</v>
          </cell>
          <cell r="BW189">
            <v>7</v>
          </cell>
          <cell r="BX189" t="str">
            <v>DOWNGRADE</v>
          </cell>
          <cell r="BY189" t="str">
            <v>RESET</v>
          </cell>
        </row>
        <row r="190">
          <cell r="A190" t="str">
            <v>A0874</v>
          </cell>
          <cell r="B190" t="str">
            <v>Galih Mardiana</v>
          </cell>
          <cell r="C190" t="str">
            <v>DELTA</v>
          </cell>
          <cell r="D190">
            <v>44958</v>
          </cell>
          <cell r="E190" t="str">
            <v>Feb-23</v>
          </cell>
          <cell r="F190" t="str">
            <v>EKSKLUSIF</v>
          </cell>
          <cell r="G190" t="str">
            <v>EKSKLUSIF</v>
          </cell>
          <cell r="H190" t="str">
            <v>EKSKLUSIF</v>
          </cell>
          <cell r="I190" t="str">
            <v>EKSKLUSIF</v>
          </cell>
          <cell r="J190" t="str">
            <v>EKSKLUSIF</v>
          </cell>
          <cell r="K190" t="str">
            <v>EKSKLUSIF</v>
          </cell>
          <cell r="L190" t="str">
            <v>EKSKLUSIF</v>
          </cell>
          <cell r="M190">
            <v>20</v>
          </cell>
          <cell r="N190">
            <v>47</v>
          </cell>
          <cell r="O190">
            <v>42</v>
          </cell>
          <cell r="P190">
            <v>43</v>
          </cell>
          <cell r="Q190">
            <v>39</v>
          </cell>
          <cell r="R190">
            <v>42</v>
          </cell>
          <cell r="S190">
            <v>22</v>
          </cell>
          <cell r="T190">
            <v>255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 t="str">
            <v>TIDAK</v>
          </cell>
          <cell r="AE190" t="str">
            <v>TIDAK</v>
          </cell>
          <cell r="AF190">
            <v>0</v>
          </cell>
          <cell r="AG190">
            <v>2</v>
          </cell>
          <cell r="AH190" t="str">
            <v>SAPHIRE</v>
          </cell>
          <cell r="AI190">
            <v>0</v>
          </cell>
          <cell r="AJ190" t="str">
            <v>FALSE</v>
          </cell>
          <cell r="AK190">
            <v>0</v>
          </cell>
          <cell r="AL190">
            <v>45261</v>
          </cell>
          <cell r="AM190">
            <v>45701</v>
          </cell>
          <cell r="AN190">
            <v>1</v>
          </cell>
          <cell r="AO190">
            <v>0</v>
          </cell>
          <cell r="AP190" t="str">
            <v>EKSKLUSIF</v>
          </cell>
          <cell r="AQ190" t="str">
            <v>-</v>
          </cell>
          <cell r="AR190" t="str">
            <v>EKSKLUSIF</v>
          </cell>
          <cell r="AS190" t="str">
            <v>EKSKLUSIF</v>
          </cell>
          <cell r="AT190" t="str">
            <v>EKSKLUSIF</v>
          </cell>
          <cell r="AU190" t="str">
            <v>EKSKLUSIF</v>
          </cell>
          <cell r="AV190" t="str">
            <v/>
          </cell>
          <cell r="AW190">
            <v>50</v>
          </cell>
          <cell r="AX190">
            <v>49</v>
          </cell>
          <cell r="AY190">
            <v>43</v>
          </cell>
          <cell r="AZ190">
            <v>49</v>
          </cell>
          <cell r="BA190">
            <v>43</v>
          </cell>
          <cell r="BB190">
            <v>50</v>
          </cell>
          <cell r="BC190">
            <v>49</v>
          </cell>
          <cell r="BD190">
            <v>43</v>
          </cell>
          <cell r="BE190">
            <v>49</v>
          </cell>
          <cell r="BF190">
            <v>43</v>
          </cell>
          <cell r="BG190">
            <v>6</v>
          </cell>
          <cell r="BH190">
            <v>50</v>
          </cell>
          <cell r="BI190">
            <v>49</v>
          </cell>
          <cell r="BJ190">
            <v>43</v>
          </cell>
          <cell r="BK190">
            <v>49</v>
          </cell>
          <cell r="BL190">
            <v>43</v>
          </cell>
          <cell r="BM190">
            <v>21</v>
          </cell>
          <cell r="BN190">
            <v>261</v>
          </cell>
          <cell r="BO190">
            <v>0</v>
          </cell>
          <cell r="BP190">
            <v>50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21</v>
          </cell>
          <cell r="BV190">
            <v>71</v>
          </cell>
          <cell r="BW190">
            <v>0</v>
          </cell>
          <cell r="BX190" t="str">
            <v>TIDAK</v>
          </cell>
          <cell r="BY190" t="str">
            <v>TIDAK</v>
          </cell>
        </row>
        <row r="191">
          <cell r="A191" t="str">
            <v>A0757</v>
          </cell>
          <cell r="B191" t="str">
            <v>Ganesha Wijaya Kusuma</v>
          </cell>
          <cell r="C191" t="str">
            <v>DELTA</v>
          </cell>
          <cell r="D191">
            <v>44902</v>
          </cell>
          <cell r="E191" t="str">
            <v>Dec-22</v>
          </cell>
          <cell r="F191" t="str">
            <v>EKSKLUSIF</v>
          </cell>
          <cell r="G191" t="str">
            <v>REGULER</v>
          </cell>
          <cell r="H191" t="str">
            <v>REGULER</v>
          </cell>
          <cell r="I191" t="str">
            <v>REGULER</v>
          </cell>
          <cell r="J191" t="str">
            <v>-</v>
          </cell>
          <cell r="K191" t="str">
            <v>REGULER</v>
          </cell>
          <cell r="L191" t="str">
            <v>REGULER</v>
          </cell>
          <cell r="M191">
            <v>20</v>
          </cell>
          <cell r="N191">
            <v>0</v>
          </cell>
          <cell r="O191">
            <v>12</v>
          </cell>
          <cell r="P191">
            <v>1</v>
          </cell>
          <cell r="Q191">
            <v>0</v>
          </cell>
          <cell r="R191">
            <v>1</v>
          </cell>
          <cell r="S191">
            <v>15</v>
          </cell>
          <cell r="T191">
            <v>49</v>
          </cell>
          <cell r="U191">
            <v>0</v>
          </cell>
          <cell r="V191">
            <v>0</v>
          </cell>
          <cell r="W191">
            <v>12</v>
          </cell>
          <cell r="X191">
            <v>1</v>
          </cell>
          <cell r="Y191">
            <v>0</v>
          </cell>
          <cell r="Z191">
            <v>1</v>
          </cell>
          <cell r="AA191">
            <v>15</v>
          </cell>
          <cell r="AB191">
            <v>29</v>
          </cell>
          <cell r="AC191">
            <v>2</v>
          </cell>
          <cell r="AD191" t="str">
            <v>TIDAK</v>
          </cell>
          <cell r="AE191" t="str">
            <v>TIDAK</v>
          </cell>
          <cell r="AF191">
            <v>29</v>
          </cell>
          <cell r="AG191">
            <v>2</v>
          </cell>
          <cell r="AH191" t="str">
            <v>SAPHIRE</v>
          </cell>
          <cell r="AI191">
            <v>0</v>
          </cell>
          <cell r="AJ191" t="str">
            <v>FALSE</v>
          </cell>
          <cell r="AK191">
            <v>0</v>
          </cell>
          <cell r="AL191">
            <v>45261</v>
          </cell>
          <cell r="AM191">
            <v>45701</v>
          </cell>
          <cell r="AN191">
            <v>1</v>
          </cell>
          <cell r="AO191">
            <v>29</v>
          </cell>
          <cell r="AP191" t="str">
            <v>-</v>
          </cell>
          <cell r="AQ191" t="str">
            <v>-</v>
          </cell>
          <cell r="AR191" t="str">
            <v>REGULER</v>
          </cell>
          <cell r="AS191" t="str">
            <v>REGULER</v>
          </cell>
          <cell r="AT191" t="str">
            <v>REGULER</v>
          </cell>
          <cell r="AU191" t="str">
            <v>-</v>
          </cell>
          <cell r="AV191" t="str">
            <v/>
          </cell>
          <cell r="AW191">
            <v>32</v>
          </cell>
          <cell r="AX191">
            <v>28</v>
          </cell>
          <cell r="AY191">
            <v>19</v>
          </cell>
          <cell r="AZ191">
            <v>14</v>
          </cell>
          <cell r="BA191">
            <v>0</v>
          </cell>
          <cell r="BB191">
            <v>32</v>
          </cell>
          <cell r="BC191">
            <v>28</v>
          </cell>
          <cell r="BD191">
            <v>19</v>
          </cell>
          <cell r="BE191">
            <v>14</v>
          </cell>
          <cell r="BF191">
            <v>0</v>
          </cell>
          <cell r="BG191">
            <v>15</v>
          </cell>
          <cell r="BH191">
            <v>32</v>
          </cell>
          <cell r="BI191">
            <v>28</v>
          </cell>
          <cell r="BJ191">
            <v>19</v>
          </cell>
          <cell r="BK191">
            <v>14</v>
          </cell>
          <cell r="BL191">
            <v>0</v>
          </cell>
          <cell r="BM191" t="str">
            <v/>
          </cell>
          <cell r="BN191">
            <v>108</v>
          </cell>
          <cell r="BO191">
            <v>15</v>
          </cell>
          <cell r="BP191">
            <v>32</v>
          </cell>
          <cell r="BQ191">
            <v>28</v>
          </cell>
          <cell r="BR191">
            <v>19</v>
          </cell>
          <cell r="BS191">
            <v>14</v>
          </cell>
          <cell r="BT191">
            <v>0</v>
          </cell>
          <cell r="BU191" t="str">
            <v/>
          </cell>
          <cell r="BV191">
            <v>108</v>
          </cell>
          <cell r="BW191">
            <v>2</v>
          </cell>
          <cell r="BX191" t="str">
            <v>TIDAK</v>
          </cell>
          <cell r="BY191" t="str">
            <v>TIDAK</v>
          </cell>
        </row>
        <row r="192">
          <cell r="A192" t="str">
            <v>A0455</v>
          </cell>
          <cell r="B192" t="str">
            <v>Garib Firman Buaga Buaga</v>
          </cell>
          <cell r="C192" t="str">
            <v>DELTA</v>
          </cell>
          <cell r="D192">
            <v>44855</v>
          </cell>
          <cell r="E192" t="str">
            <v>Oct-22</v>
          </cell>
          <cell r="F192" t="str">
            <v>REGULER</v>
          </cell>
          <cell r="G192" t="str">
            <v>REGULER</v>
          </cell>
          <cell r="H192" t="str">
            <v>REGULER</v>
          </cell>
          <cell r="I192" t="str">
            <v>-</v>
          </cell>
          <cell r="J192" t="str">
            <v>-</v>
          </cell>
          <cell r="K192" t="str">
            <v>-</v>
          </cell>
          <cell r="L192" t="str">
            <v>-</v>
          </cell>
          <cell r="M192">
            <v>0</v>
          </cell>
          <cell r="N192">
            <v>4</v>
          </cell>
          <cell r="O192">
            <v>4</v>
          </cell>
          <cell r="P192">
            <v>0</v>
          </cell>
          <cell r="Q192">
            <v>0</v>
          </cell>
          <cell r="R192">
            <v>0</v>
          </cell>
          <cell r="S192" t="str">
            <v/>
          </cell>
          <cell r="T192">
            <v>8</v>
          </cell>
          <cell r="U192">
            <v>0</v>
          </cell>
          <cell r="V192">
            <v>4</v>
          </cell>
          <cell r="W192">
            <v>4</v>
          </cell>
          <cell r="X192">
            <v>0</v>
          </cell>
          <cell r="Y192">
            <v>0</v>
          </cell>
          <cell r="Z192">
            <v>0</v>
          </cell>
          <cell r="AA192" t="str">
            <v/>
          </cell>
          <cell r="AB192">
            <v>8</v>
          </cell>
          <cell r="AC192">
            <v>5</v>
          </cell>
          <cell r="AD192" t="str">
            <v>DOWNGRADE</v>
          </cell>
          <cell r="AE192" t="str">
            <v>RESET</v>
          </cell>
          <cell r="AF192">
            <v>0</v>
          </cell>
          <cell r="AG192">
            <v>2</v>
          </cell>
          <cell r="AH192" t="str">
            <v>SAPHIRE</v>
          </cell>
          <cell r="AI192">
            <v>0</v>
          </cell>
          <cell r="AJ192" t="str">
            <v>FALSE</v>
          </cell>
          <cell r="AK192">
            <v>0</v>
          </cell>
          <cell r="AL192">
            <v>45261</v>
          </cell>
          <cell r="AM192">
            <v>45701</v>
          </cell>
          <cell r="AN192">
            <v>1</v>
          </cell>
          <cell r="AO192">
            <v>0</v>
          </cell>
          <cell r="AP192" t="str">
            <v>-</v>
          </cell>
          <cell r="AQ192" t="str">
            <v>-</v>
          </cell>
          <cell r="AR192" t="str">
            <v>-</v>
          </cell>
          <cell r="AS192" t="str">
            <v>REGULER</v>
          </cell>
          <cell r="AT192" t="str">
            <v>-</v>
          </cell>
          <cell r="AU192" t="str">
            <v>-</v>
          </cell>
          <cell r="AV192" t="str">
            <v/>
          </cell>
          <cell r="AW192">
            <v>0</v>
          </cell>
          <cell r="AX192">
            <v>0</v>
          </cell>
          <cell r="AY192">
            <v>15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15</v>
          </cell>
          <cell r="BE192">
            <v>0</v>
          </cell>
          <cell r="BF192">
            <v>0</v>
          </cell>
          <cell r="BG192" t="str">
            <v/>
          </cell>
          <cell r="BH192">
            <v>0</v>
          </cell>
          <cell r="BI192">
            <v>0</v>
          </cell>
          <cell r="BJ192">
            <v>15</v>
          </cell>
          <cell r="BK192">
            <v>0</v>
          </cell>
          <cell r="BL192">
            <v>0</v>
          </cell>
          <cell r="BM192" t="str">
            <v/>
          </cell>
          <cell r="BN192">
            <v>15</v>
          </cell>
          <cell r="BO192" t="str">
            <v/>
          </cell>
          <cell r="BP192">
            <v>0</v>
          </cell>
          <cell r="BQ192">
            <v>0</v>
          </cell>
          <cell r="BR192">
            <v>15</v>
          </cell>
          <cell r="BS192">
            <v>0</v>
          </cell>
          <cell r="BT192">
            <v>0</v>
          </cell>
          <cell r="BU192" t="str">
            <v/>
          </cell>
          <cell r="BV192">
            <v>15</v>
          </cell>
          <cell r="BW192">
            <v>6</v>
          </cell>
          <cell r="BX192" t="str">
            <v>DOWNGRADE</v>
          </cell>
          <cell r="BY192" t="str">
            <v>RESET</v>
          </cell>
        </row>
        <row r="193">
          <cell r="A193" t="str">
            <v>A3353</v>
          </cell>
          <cell r="B193" t="str">
            <v>Garuda Pamungkas</v>
          </cell>
          <cell r="C193" t="str">
            <v>DELTA</v>
          </cell>
          <cell r="D193">
            <v>45262</v>
          </cell>
          <cell r="E193" t="str">
            <v>Dec-23</v>
          </cell>
          <cell r="F193" t="str">
            <v>REGULER</v>
          </cell>
          <cell r="G193" t="str">
            <v>REGULER</v>
          </cell>
          <cell r="H193" t="str">
            <v>REGULER</v>
          </cell>
          <cell r="I193" t="str">
            <v>REGULER</v>
          </cell>
          <cell r="J193" t="str">
            <v>REGULER</v>
          </cell>
          <cell r="K193" t="str">
            <v>REGULER</v>
          </cell>
          <cell r="L193" t="str">
            <v>REGULER</v>
          </cell>
          <cell r="M193">
            <v>8</v>
          </cell>
          <cell r="N193">
            <v>2</v>
          </cell>
          <cell r="O193">
            <v>11</v>
          </cell>
          <cell r="P193">
            <v>33</v>
          </cell>
          <cell r="Q193">
            <v>38</v>
          </cell>
          <cell r="R193">
            <v>15</v>
          </cell>
          <cell r="S193">
            <v>15</v>
          </cell>
          <cell r="T193">
            <v>122</v>
          </cell>
          <cell r="U193">
            <v>8</v>
          </cell>
          <cell r="V193">
            <v>2</v>
          </cell>
          <cell r="W193">
            <v>11</v>
          </cell>
          <cell r="X193">
            <v>33</v>
          </cell>
          <cell r="Y193">
            <v>38</v>
          </cell>
          <cell r="Z193">
            <v>15</v>
          </cell>
          <cell r="AA193">
            <v>15</v>
          </cell>
          <cell r="AB193">
            <v>122</v>
          </cell>
          <cell r="AC193">
            <v>0</v>
          </cell>
          <cell r="AD193" t="str">
            <v>TIDAK</v>
          </cell>
          <cell r="AE193" t="str">
            <v>TIDAK</v>
          </cell>
          <cell r="AF193">
            <v>122</v>
          </cell>
          <cell r="AG193">
            <v>2</v>
          </cell>
          <cell r="AH193" t="str">
            <v>SAPHIRE</v>
          </cell>
          <cell r="AI193">
            <v>0</v>
          </cell>
          <cell r="AJ193" t="str">
            <v>Y</v>
          </cell>
          <cell r="AK193">
            <v>0</v>
          </cell>
          <cell r="AL193">
            <v>45261</v>
          </cell>
          <cell r="AM193">
            <v>45701</v>
          </cell>
          <cell r="AN193">
            <v>1</v>
          </cell>
          <cell r="AO193">
            <v>122</v>
          </cell>
          <cell r="AP193" t="str">
            <v>-</v>
          </cell>
          <cell r="AQ193" t="str">
            <v>-</v>
          </cell>
          <cell r="AR193" t="str">
            <v>REGULER</v>
          </cell>
          <cell r="AS193" t="str">
            <v>REGULER</v>
          </cell>
          <cell r="AT193" t="str">
            <v>REGULER</v>
          </cell>
          <cell r="AU193" t="str">
            <v>REGULER</v>
          </cell>
          <cell r="AV193" t="str">
            <v/>
          </cell>
          <cell r="AW193">
            <v>21</v>
          </cell>
          <cell r="AX193">
            <v>11</v>
          </cell>
          <cell r="AY193">
            <v>33</v>
          </cell>
          <cell r="AZ193">
            <v>31</v>
          </cell>
          <cell r="BA193">
            <v>27</v>
          </cell>
          <cell r="BB193">
            <v>21</v>
          </cell>
          <cell r="BC193">
            <v>11</v>
          </cell>
          <cell r="BD193">
            <v>33</v>
          </cell>
          <cell r="BE193">
            <v>31</v>
          </cell>
          <cell r="BF193">
            <v>27</v>
          </cell>
          <cell r="BG193">
            <v>2</v>
          </cell>
          <cell r="BH193">
            <v>21</v>
          </cell>
          <cell r="BI193">
            <v>11</v>
          </cell>
          <cell r="BJ193">
            <v>33</v>
          </cell>
          <cell r="BK193">
            <v>31</v>
          </cell>
          <cell r="BL193">
            <v>27</v>
          </cell>
          <cell r="BM193">
            <v>1</v>
          </cell>
          <cell r="BN193">
            <v>126</v>
          </cell>
          <cell r="BO193">
            <v>2</v>
          </cell>
          <cell r="BP193">
            <v>21</v>
          </cell>
          <cell r="BQ193">
            <v>11</v>
          </cell>
          <cell r="BR193">
            <v>33</v>
          </cell>
          <cell r="BS193">
            <v>31</v>
          </cell>
          <cell r="BT193">
            <v>27</v>
          </cell>
          <cell r="BU193">
            <v>1</v>
          </cell>
          <cell r="BV193">
            <v>126</v>
          </cell>
          <cell r="BW193">
            <v>0</v>
          </cell>
          <cell r="BX193" t="str">
            <v>TIDAK</v>
          </cell>
          <cell r="BY193" t="str">
            <v>TIDAK</v>
          </cell>
        </row>
        <row r="194">
          <cell r="A194">
            <v>92646</v>
          </cell>
          <cell r="B194" t="str">
            <v>Haerini Ayatina</v>
          </cell>
          <cell r="C194" t="str">
            <v>DELTA</v>
          </cell>
          <cell r="D194">
            <v>44877</v>
          </cell>
          <cell r="E194" t="str">
            <v>Nov-22</v>
          </cell>
          <cell r="F194" t="str">
            <v>REGULER</v>
          </cell>
          <cell r="G194" t="str">
            <v>REGULER</v>
          </cell>
          <cell r="H194" t="str">
            <v>REGULER</v>
          </cell>
          <cell r="I194" t="str">
            <v>REGULER</v>
          </cell>
          <cell r="J194" t="str">
            <v>-</v>
          </cell>
          <cell r="K194" t="str">
            <v>REGULER</v>
          </cell>
          <cell r="L194" t="str">
            <v>-</v>
          </cell>
          <cell r="M194">
            <v>1</v>
          </cell>
          <cell r="N194">
            <v>17</v>
          </cell>
          <cell r="O194">
            <v>16</v>
          </cell>
          <cell r="P194">
            <v>18</v>
          </cell>
          <cell r="Q194">
            <v>0</v>
          </cell>
          <cell r="R194">
            <v>15</v>
          </cell>
          <cell r="S194" t="str">
            <v/>
          </cell>
          <cell r="T194">
            <v>67</v>
          </cell>
          <cell r="U194">
            <v>1</v>
          </cell>
          <cell r="V194">
            <v>17</v>
          </cell>
          <cell r="W194">
            <v>16</v>
          </cell>
          <cell r="X194">
            <v>18</v>
          </cell>
          <cell r="Y194">
            <v>0</v>
          </cell>
          <cell r="Z194">
            <v>15</v>
          </cell>
          <cell r="AA194" t="str">
            <v/>
          </cell>
          <cell r="AB194">
            <v>67</v>
          </cell>
          <cell r="AC194">
            <v>2</v>
          </cell>
          <cell r="AD194" t="str">
            <v>TIDAK</v>
          </cell>
          <cell r="AE194" t="str">
            <v>TIDAK</v>
          </cell>
          <cell r="AF194">
            <v>67</v>
          </cell>
          <cell r="AG194">
            <v>2</v>
          </cell>
          <cell r="AH194" t="str">
            <v>SAPHIRE</v>
          </cell>
          <cell r="AI194">
            <v>0</v>
          </cell>
          <cell r="AJ194" t="str">
            <v>Y</v>
          </cell>
          <cell r="AK194">
            <v>0</v>
          </cell>
          <cell r="AL194">
            <v>45261</v>
          </cell>
          <cell r="AM194">
            <v>45701</v>
          </cell>
          <cell r="AN194">
            <v>1</v>
          </cell>
          <cell r="AO194">
            <v>67</v>
          </cell>
          <cell r="AP194" t="str">
            <v>-</v>
          </cell>
          <cell r="AQ194" t="str">
            <v>-</v>
          </cell>
          <cell r="AR194" t="str">
            <v>-</v>
          </cell>
          <cell r="AS194" t="str">
            <v>-</v>
          </cell>
          <cell r="AT194" t="str">
            <v>-</v>
          </cell>
          <cell r="AU194" t="str">
            <v>-</v>
          </cell>
          <cell r="AV194" t="str">
            <v/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 t="str">
            <v/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 t="str">
            <v/>
          </cell>
          <cell r="BN194">
            <v>0</v>
          </cell>
          <cell r="BO194" t="str">
            <v/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 t="str">
            <v/>
          </cell>
          <cell r="BV194">
            <v>0</v>
          </cell>
          <cell r="BW194">
            <v>7</v>
          </cell>
          <cell r="BX194" t="str">
            <v>DOWNGRADE</v>
          </cell>
          <cell r="BY194" t="str">
            <v>RESET</v>
          </cell>
        </row>
        <row r="195">
          <cell r="A195" t="str">
            <v>A3599</v>
          </cell>
          <cell r="B195" t="str">
            <v>Hanifah Rahmadhani</v>
          </cell>
          <cell r="C195" t="str">
            <v>DELTA</v>
          </cell>
          <cell r="D195">
            <v>45307</v>
          </cell>
          <cell r="E195" t="str">
            <v>Jan-24</v>
          </cell>
          <cell r="F195" t="str">
            <v>-</v>
          </cell>
          <cell r="G195" t="str">
            <v>REGULER</v>
          </cell>
          <cell r="H195" t="str">
            <v>REGULER</v>
          </cell>
          <cell r="I195" t="str">
            <v>REGULER</v>
          </cell>
          <cell r="J195" t="str">
            <v>REGULER</v>
          </cell>
          <cell r="K195" t="str">
            <v>REGULER</v>
          </cell>
          <cell r="L195" t="str">
            <v>EKSKLUSIF</v>
          </cell>
          <cell r="M195">
            <v>0</v>
          </cell>
          <cell r="N195">
            <v>12</v>
          </cell>
          <cell r="O195">
            <v>4</v>
          </cell>
          <cell r="P195">
            <v>20</v>
          </cell>
          <cell r="Q195">
            <v>31</v>
          </cell>
          <cell r="R195">
            <v>37</v>
          </cell>
          <cell r="S195">
            <v>21</v>
          </cell>
          <cell r="T195">
            <v>125</v>
          </cell>
          <cell r="U195">
            <v>0</v>
          </cell>
          <cell r="V195">
            <v>12</v>
          </cell>
          <cell r="W195">
            <v>4</v>
          </cell>
          <cell r="X195">
            <v>20</v>
          </cell>
          <cell r="Y195">
            <v>31</v>
          </cell>
          <cell r="Z195">
            <v>37</v>
          </cell>
          <cell r="AA195">
            <v>0</v>
          </cell>
          <cell r="AB195">
            <v>104</v>
          </cell>
          <cell r="AC195">
            <v>0</v>
          </cell>
          <cell r="AD195" t="str">
            <v>TIDAK</v>
          </cell>
          <cell r="AE195" t="str">
            <v>TIDAK</v>
          </cell>
          <cell r="AF195">
            <v>104</v>
          </cell>
          <cell r="AG195">
            <v>2</v>
          </cell>
          <cell r="AH195" t="str">
            <v>SAPHIRE</v>
          </cell>
          <cell r="AI195">
            <v>0</v>
          </cell>
          <cell r="AJ195" t="str">
            <v>Y</v>
          </cell>
          <cell r="AK195">
            <v>0</v>
          </cell>
          <cell r="AL195">
            <v>45261</v>
          </cell>
          <cell r="AM195">
            <v>45701</v>
          </cell>
          <cell r="AN195">
            <v>1</v>
          </cell>
          <cell r="AO195">
            <v>104</v>
          </cell>
          <cell r="AP195" t="str">
            <v>EKSKLUSIF</v>
          </cell>
          <cell r="AQ195" t="str">
            <v>-</v>
          </cell>
          <cell r="AR195" t="str">
            <v>EKSKLUSIF</v>
          </cell>
          <cell r="AS195" t="str">
            <v>REGULER</v>
          </cell>
          <cell r="AT195" t="str">
            <v>EKSKLUSIF</v>
          </cell>
          <cell r="AU195" t="str">
            <v>EKSKLUSIF</v>
          </cell>
          <cell r="AV195" t="str">
            <v/>
          </cell>
          <cell r="AW195">
            <v>44</v>
          </cell>
          <cell r="AX195">
            <v>47</v>
          </cell>
          <cell r="AY195">
            <v>16</v>
          </cell>
          <cell r="AZ195">
            <v>48</v>
          </cell>
          <cell r="BA195">
            <v>43</v>
          </cell>
          <cell r="BB195">
            <v>44</v>
          </cell>
          <cell r="BC195">
            <v>47</v>
          </cell>
          <cell r="BD195">
            <v>16</v>
          </cell>
          <cell r="BE195">
            <v>48</v>
          </cell>
          <cell r="BF195">
            <v>43</v>
          </cell>
          <cell r="BG195">
            <v>20</v>
          </cell>
          <cell r="BH195">
            <v>44</v>
          </cell>
          <cell r="BI195">
            <v>47</v>
          </cell>
          <cell r="BJ195">
            <v>16</v>
          </cell>
          <cell r="BK195">
            <v>48</v>
          </cell>
          <cell r="BL195">
            <v>43</v>
          </cell>
          <cell r="BM195">
            <v>20</v>
          </cell>
          <cell r="BN195">
            <v>238</v>
          </cell>
          <cell r="BO195">
            <v>0</v>
          </cell>
          <cell r="BP195">
            <v>44</v>
          </cell>
          <cell r="BQ195">
            <v>0</v>
          </cell>
          <cell r="BR195">
            <v>16</v>
          </cell>
          <cell r="BS195">
            <v>0</v>
          </cell>
          <cell r="BT195">
            <v>0</v>
          </cell>
          <cell r="BU195">
            <v>20</v>
          </cell>
          <cell r="BV195">
            <v>80</v>
          </cell>
          <cell r="BW195">
            <v>0</v>
          </cell>
          <cell r="BX195" t="str">
            <v>TIDAK</v>
          </cell>
          <cell r="BY195" t="str">
            <v>TIDAK</v>
          </cell>
        </row>
        <row r="196">
          <cell r="A196" t="str">
            <v>A0347</v>
          </cell>
          <cell r="B196" t="str">
            <v>Hans Jeremy Simanjuntak</v>
          </cell>
          <cell r="C196" t="str">
            <v>DELTA</v>
          </cell>
          <cell r="D196">
            <v>44861</v>
          </cell>
          <cell r="E196" t="str">
            <v>Oct-22</v>
          </cell>
          <cell r="F196" t="str">
            <v>REGULER</v>
          </cell>
          <cell r="G196" t="str">
            <v>EKSKLUSIF</v>
          </cell>
          <cell r="H196" t="str">
            <v>EKSKLUSIF</v>
          </cell>
          <cell r="I196" t="str">
            <v>EKSKLUSIF</v>
          </cell>
          <cell r="J196" t="str">
            <v>EKSKLUSIF</v>
          </cell>
          <cell r="K196" t="str">
            <v>EKSKLUSIF</v>
          </cell>
          <cell r="L196" t="str">
            <v>EKSKLUSIF</v>
          </cell>
          <cell r="M196">
            <v>1</v>
          </cell>
          <cell r="N196">
            <v>44</v>
          </cell>
          <cell r="O196">
            <v>40</v>
          </cell>
          <cell r="P196">
            <v>42</v>
          </cell>
          <cell r="Q196">
            <v>38</v>
          </cell>
          <cell r="R196">
            <v>42</v>
          </cell>
          <cell r="S196">
            <v>22</v>
          </cell>
          <cell r="T196">
            <v>229</v>
          </cell>
          <cell r="U196">
            <v>1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1</v>
          </cell>
          <cell r="AC196">
            <v>0</v>
          </cell>
          <cell r="AD196" t="str">
            <v>TIDAK</v>
          </cell>
          <cell r="AE196" t="str">
            <v>TIDAK</v>
          </cell>
          <cell r="AF196">
            <v>1</v>
          </cell>
          <cell r="AG196">
            <v>2</v>
          </cell>
          <cell r="AH196" t="str">
            <v>SAPHIRE</v>
          </cell>
          <cell r="AI196">
            <v>0</v>
          </cell>
          <cell r="AJ196" t="str">
            <v>FALSE</v>
          </cell>
          <cell r="AK196">
            <v>0</v>
          </cell>
          <cell r="AL196">
            <v>45261</v>
          </cell>
          <cell r="AM196">
            <v>45701</v>
          </cell>
          <cell r="AN196">
            <v>1</v>
          </cell>
          <cell r="AO196">
            <v>1</v>
          </cell>
          <cell r="AP196" t="str">
            <v>-</v>
          </cell>
          <cell r="AQ196" t="str">
            <v>-</v>
          </cell>
          <cell r="AR196" t="str">
            <v>-</v>
          </cell>
          <cell r="AS196" t="str">
            <v>-</v>
          </cell>
          <cell r="AT196" t="str">
            <v>-</v>
          </cell>
          <cell r="AU196" t="str">
            <v>-</v>
          </cell>
          <cell r="AV196" t="str">
            <v/>
          </cell>
          <cell r="AW196">
            <v>42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42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19</v>
          </cell>
          <cell r="BH196">
            <v>42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 t="str">
            <v/>
          </cell>
          <cell r="BN196">
            <v>61</v>
          </cell>
          <cell r="BO196">
            <v>19</v>
          </cell>
          <cell r="BP196">
            <v>42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 t="str">
            <v/>
          </cell>
          <cell r="BV196">
            <v>61</v>
          </cell>
          <cell r="BW196">
            <v>5</v>
          </cell>
          <cell r="BX196" t="str">
            <v>DOWNGRADE</v>
          </cell>
          <cell r="BY196" t="str">
            <v>RESET</v>
          </cell>
        </row>
        <row r="197">
          <cell r="A197" t="str">
            <v>A3117</v>
          </cell>
          <cell r="B197" t="str">
            <v>Hapsari Arinta</v>
          </cell>
          <cell r="C197" t="str">
            <v>DELTA</v>
          </cell>
          <cell r="D197">
            <v>45215</v>
          </cell>
          <cell r="E197" t="str">
            <v>Oct-23</v>
          </cell>
          <cell r="F197" t="str">
            <v>REGULER</v>
          </cell>
          <cell r="G197" t="str">
            <v>REGULER</v>
          </cell>
          <cell r="H197" t="str">
            <v>REGULER</v>
          </cell>
          <cell r="I197" t="str">
            <v>REGULER</v>
          </cell>
          <cell r="J197" t="str">
            <v>-</v>
          </cell>
          <cell r="K197" t="str">
            <v>REGULER</v>
          </cell>
          <cell r="L197" t="str">
            <v>-</v>
          </cell>
          <cell r="M197">
            <v>4</v>
          </cell>
          <cell r="N197">
            <v>32</v>
          </cell>
          <cell r="O197">
            <v>34</v>
          </cell>
          <cell r="P197">
            <v>18</v>
          </cell>
          <cell r="Q197">
            <v>0</v>
          </cell>
          <cell r="R197">
            <v>1</v>
          </cell>
          <cell r="S197" t="str">
            <v/>
          </cell>
          <cell r="T197">
            <v>89</v>
          </cell>
          <cell r="U197">
            <v>4</v>
          </cell>
          <cell r="V197">
            <v>32</v>
          </cell>
          <cell r="W197">
            <v>34</v>
          </cell>
          <cell r="X197">
            <v>18</v>
          </cell>
          <cell r="Y197">
            <v>0</v>
          </cell>
          <cell r="Z197">
            <v>1</v>
          </cell>
          <cell r="AA197" t="str">
            <v/>
          </cell>
          <cell r="AB197">
            <v>89</v>
          </cell>
          <cell r="AC197">
            <v>2</v>
          </cell>
          <cell r="AD197" t="str">
            <v>TIDAK</v>
          </cell>
          <cell r="AE197" t="str">
            <v>TIDAK</v>
          </cell>
          <cell r="AF197">
            <v>89</v>
          </cell>
          <cell r="AG197">
            <v>2</v>
          </cell>
          <cell r="AH197" t="str">
            <v>SAPHIRE</v>
          </cell>
          <cell r="AI197">
            <v>0</v>
          </cell>
          <cell r="AJ197" t="str">
            <v>Y</v>
          </cell>
          <cell r="AK197">
            <v>0</v>
          </cell>
          <cell r="AL197">
            <v>45261</v>
          </cell>
          <cell r="AM197">
            <v>45701</v>
          </cell>
          <cell r="AN197">
            <v>1</v>
          </cell>
          <cell r="AO197">
            <v>89</v>
          </cell>
          <cell r="AP197" t="str">
            <v>-</v>
          </cell>
          <cell r="AQ197" t="str">
            <v>-</v>
          </cell>
          <cell r="AR197" t="str">
            <v>REGULER</v>
          </cell>
          <cell r="AS197" t="str">
            <v>REGULER</v>
          </cell>
          <cell r="AT197" t="str">
            <v>REGULER</v>
          </cell>
          <cell r="AU197" t="str">
            <v>REGULER</v>
          </cell>
          <cell r="AV197" t="str">
            <v/>
          </cell>
          <cell r="AW197">
            <v>16</v>
          </cell>
          <cell r="AX197">
            <v>36</v>
          </cell>
          <cell r="AY197">
            <v>31</v>
          </cell>
          <cell r="AZ197">
            <v>34</v>
          </cell>
          <cell r="BA197">
            <v>30</v>
          </cell>
          <cell r="BB197">
            <v>16</v>
          </cell>
          <cell r="BC197">
            <v>36</v>
          </cell>
          <cell r="BD197">
            <v>31</v>
          </cell>
          <cell r="BE197">
            <v>34</v>
          </cell>
          <cell r="BF197">
            <v>30</v>
          </cell>
          <cell r="BG197" t="str">
            <v/>
          </cell>
          <cell r="BH197">
            <v>16</v>
          </cell>
          <cell r="BI197">
            <v>36</v>
          </cell>
          <cell r="BJ197">
            <v>31</v>
          </cell>
          <cell r="BK197">
            <v>34</v>
          </cell>
          <cell r="BL197">
            <v>30</v>
          </cell>
          <cell r="BM197">
            <v>15</v>
          </cell>
          <cell r="BN197">
            <v>162</v>
          </cell>
          <cell r="BO197" t="str">
            <v/>
          </cell>
          <cell r="BP197">
            <v>16</v>
          </cell>
          <cell r="BQ197">
            <v>36</v>
          </cell>
          <cell r="BR197">
            <v>31</v>
          </cell>
          <cell r="BS197">
            <v>34</v>
          </cell>
          <cell r="BT197">
            <v>30</v>
          </cell>
          <cell r="BU197">
            <v>15</v>
          </cell>
          <cell r="BV197">
            <v>162</v>
          </cell>
          <cell r="BW197">
            <v>1</v>
          </cell>
          <cell r="BX197" t="str">
            <v>TIDAK</v>
          </cell>
          <cell r="BY197" t="str">
            <v>TIDAK</v>
          </cell>
        </row>
        <row r="198">
          <cell r="A198">
            <v>92498</v>
          </cell>
          <cell r="B198" t="str">
            <v>Hartapriliano Ady Nugroho</v>
          </cell>
          <cell r="C198" t="str">
            <v>DELTA</v>
          </cell>
          <cell r="D198">
            <v>44774</v>
          </cell>
          <cell r="E198" t="str">
            <v>Aug-22</v>
          </cell>
          <cell r="F198" t="str">
            <v>EKSKLUSIF</v>
          </cell>
          <cell r="G198" t="str">
            <v>EKSKLUSIF</v>
          </cell>
          <cell r="H198" t="str">
            <v>EKSKLUSIF</v>
          </cell>
          <cell r="I198" t="str">
            <v>EKSKLUSIF</v>
          </cell>
          <cell r="J198" t="str">
            <v>EKSKLUSIF</v>
          </cell>
          <cell r="K198" t="str">
            <v>EKSKLUSIF</v>
          </cell>
          <cell r="L198" t="str">
            <v>REGULER</v>
          </cell>
          <cell r="M198">
            <v>20</v>
          </cell>
          <cell r="N198">
            <v>44</v>
          </cell>
          <cell r="O198">
            <v>40</v>
          </cell>
          <cell r="P198">
            <v>42</v>
          </cell>
          <cell r="Q198">
            <v>38</v>
          </cell>
          <cell r="R198">
            <v>43</v>
          </cell>
          <cell r="S198">
            <v>3</v>
          </cell>
          <cell r="T198">
            <v>230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3</v>
          </cell>
          <cell r="AB198">
            <v>3</v>
          </cell>
          <cell r="AC198">
            <v>0</v>
          </cell>
          <cell r="AD198" t="str">
            <v>TIDAK</v>
          </cell>
          <cell r="AE198" t="str">
            <v>TIDAK</v>
          </cell>
          <cell r="AF198">
            <v>3</v>
          </cell>
          <cell r="AG198">
            <v>3</v>
          </cell>
          <cell r="AH198" t="str">
            <v>SAPHIRE</v>
          </cell>
          <cell r="AI198">
            <v>0</v>
          </cell>
          <cell r="AJ198" t="str">
            <v>FALSE</v>
          </cell>
          <cell r="AK198">
            <v>0</v>
          </cell>
          <cell r="AL198">
            <v>45261</v>
          </cell>
          <cell r="AM198">
            <v>45701</v>
          </cell>
          <cell r="AN198">
            <v>1</v>
          </cell>
          <cell r="AO198">
            <v>3</v>
          </cell>
          <cell r="AP198" t="str">
            <v>-</v>
          </cell>
          <cell r="AQ198" t="str">
            <v>-</v>
          </cell>
          <cell r="AR198" t="str">
            <v>REGULER</v>
          </cell>
          <cell r="AS198" t="str">
            <v>-</v>
          </cell>
          <cell r="AT198" t="str">
            <v>-</v>
          </cell>
          <cell r="AU198" t="str">
            <v>-</v>
          </cell>
          <cell r="AV198" t="str">
            <v/>
          </cell>
          <cell r="AW198">
            <v>24</v>
          </cell>
          <cell r="AX198">
            <v>5</v>
          </cell>
          <cell r="AY198">
            <v>0</v>
          </cell>
          <cell r="AZ198">
            <v>0</v>
          </cell>
          <cell r="BA198">
            <v>0</v>
          </cell>
          <cell r="BB198">
            <v>24</v>
          </cell>
          <cell r="BC198">
            <v>5</v>
          </cell>
          <cell r="BD198">
            <v>0</v>
          </cell>
          <cell r="BE198">
            <v>0</v>
          </cell>
          <cell r="BF198">
            <v>0</v>
          </cell>
          <cell r="BG198">
            <v>12</v>
          </cell>
          <cell r="BH198">
            <v>24</v>
          </cell>
          <cell r="BI198">
            <v>5</v>
          </cell>
          <cell r="BJ198">
            <v>0</v>
          </cell>
          <cell r="BK198">
            <v>0</v>
          </cell>
          <cell r="BL198">
            <v>0</v>
          </cell>
          <cell r="BM198" t="str">
            <v/>
          </cell>
          <cell r="BN198">
            <v>41</v>
          </cell>
          <cell r="BO198">
            <v>12</v>
          </cell>
          <cell r="BP198">
            <v>24</v>
          </cell>
          <cell r="BQ198">
            <v>5</v>
          </cell>
          <cell r="BR198">
            <v>0</v>
          </cell>
          <cell r="BS198">
            <v>0</v>
          </cell>
          <cell r="BT198">
            <v>0</v>
          </cell>
          <cell r="BU198" t="str">
            <v/>
          </cell>
          <cell r="BV198">
            <v>41</v>
          </cell>
          <cell r="BW198">
            <v>4</v>
          </cell>
          <cell r="BX198" t="str">
            <v>DOWNGRADE</v>
          </cell>
          <cell r="BY198" t="str">
            <v>RESET</v>
          </cell>
        </row>
        <row r="199">
          <cell r="A199" t="str">
            <v>A0812</v>
          </cell>
          <cell r="B199" t="str">
            <v>Herlini Nur Azizah</v>
          </cell>
          <cell r="C199" t="str">
            <v>DELTA</v>
          </cell>
          <cell r="D199">
            <v>44911</v>
          </cell>
          <cell r="E199" t="str">
            <v>Dec-22</v>
          </cell>
          <cell r="F199" t="str">
            <v>REGULER</v>
          </cell>
          <cell r="G199" t="str">
            <v>REGULER</v>
          </cell>
          <cell r="H199" t="str">
            <v>REGULER</v>
          </cell>
          <cell r="I199" t="str">
            <v>REGULER</v>
          </cell>
          <cell r="J199" t="str">
            <v>REGULER</v>
          </cell>
          <cell r="K199" t="str">
            <v>REGULER</v>
          </cell>
          <cell r="L199" t="str">
            <v>REGULER</v>
          </cell>
          <cell r="M199">
            <v>15</v>
          </cell>
          <cell r="N199">
            <v>27</v>
          </cell>
          <cell r="O199">
            <v>35</v>
          </cell>
          <cell r="P199">
            <v>35</v>
          </cell>
          <cell r="Q199">
            <v>17</v>
          </cell>
          <cell r="R199">
            <v>23</v>
          </cell>
          <cell r="S199">
            <v>20</v>
          </cell>
          <cell r="T199">
            <v>172</v>
          </cell>
          <cell r="U199">
            <v>15</v>
          </cell>
          <cell r="V199">
            <v>27</v>
          </cell>
          <cell r="W199">
            <v>35</v>
          </cell>
          <cell r="X199">
            <v>35</v>
          </cell>
          <cell r="Y199">
            <v>17</v>
          </cell>
          <cell r="Z199">
            <v>23</v>
          </cell>
          <cell r="AA199">
            <v>20</v>
          </cell>
          <cell r="AB199">
            <v>172</v>
          </cell>
          <cell r="AC199">
            <v>0</v>
          </cell>
          <cell r="AD199" t="str">
            <v>TIDAK</v>
          </cell>
          <cell r="AE199" t="str">
            <v>TIDAK</v>
          </cell>
          <cell r="AF199">
            <v>172</v>
          </cell>
          <cell r="AG199">
            <v>2</v>
          </cell>
          <cell r="AH199" t="str">
            <v>SAPHIRE</v>
          </cell>
          <cell r="AI199">
            <v>0</v>
          </cell>
          <cell r="AJ199" t="str">
            <v>Y</v>
          </cell>
          <cell r="AK199">
            <v>0</v>
          </cell>
          <cell r="AL199">
            <v>45261</v>
          </cell>
          <cell r="AM199">
            <v>45701</v>
          </cell>
          <cell r="AN199">
            <v>1</v>
          </cell>
          <cell r="AO199">
            <v>172</v>
          </cell>
          <cell r="AP199" t="str">
            <v>-</v>
          </cell>
          <cell r="AQ199" t="str">
            <v>-</v>
          </cell>
          <cell r="AR199" t="str">
            <v>REGULER</v>
          </cell>
          <cell r="AS199" t="str">
            <v>EKSKLUSIF</v>
          </cell>
          <cell r="AT199" t="str">
            <v>EKSKLUSIF</v>
          </cell>
          <cell r="AU199" t="str">
            <v>EKSKLUSIF</v>
          </cell>
          <cell r="AV199" t="str">
            <v/>
          </cell>
          <cell r="AW199">
            <v>36</v>
          </cell>
          <cell r="AX199">
            <v>43</v>
          </cell>
          <cell r="AY199">
            <v>41</v>
          </cell>
          <cell r="AZ199">
            <v>49</v>
          </cell>
          <cell r="BA199">
            <v>42</v>
          </cell>
          <cell r="BB199">
            <v>36</v>
          </cell>
          <cell r="BC199">
            <v>43</v>
          </cell>
          <cell r="BD199">
            <v>41</v>
          </cell>
          <cell r="BE199">
            <v>49</v>
          </cell>
          <cell r="BF199">
            <v>42</v>
          </cell>
          <cell r="BG199">
            <v>18</v>
          </cell>
          <cell r="BH199">
            <v>36</v>
          </cell>
          <cell r="BI199">
            <v>43</v>
          </cell>
          <cell r="BJ199">
            <v>41</v>
          </cell>
          <cell r="BK199">
            <v>49</v>
          </cell>
          <cell r="BL199">
            <v>42</v>
          </cell>
          <cell r="BM199">
            <v>21</v>
          </cell>
          <cell r="BN199">
            <v>250</v>
          </cell>
          <cell r="BO199">
            <v>18</v>
          </cell>
          <cell r="BP199">
            <v>36</v>
          </cell>
          <cell r="BQ199">
            <v>43</v>
          </cell>
          <cell r="BR199">
            <v>0</v>
          </cell>
          <cell r="BS199">
            <v>0</v>
          </cell>
          <cell r="BT199">
            <v>0</v>
          </cell>
          <cell r="BU199">
            <v>21</v>
          </cell>
          <cell r="BV199">
            <v>118</v>
          </cell>
          <cell r="BW199">
            <v>0</v>
          </cell>
          <cell r="BX199" t="str">
            <v>TIDAK</v>
          </cell>
          <cell r="BY199" t="str">
            <v>TIDAK</v>
          </cell>
        </row>
        <row r="200">
          <cell r="A200">
            <v>92715</v>
          </cell>
          <cell r="B200" t="str">
            <v>Hesti Wahyu Pratiwi</v>
          </cell>
          <cell r="C200" t="str">
            <v>DELTA</v>
          </cell>
          <cell r="D200">
            <v>44774</v>
          </cell>
          <cell r="E200" t="str">
            <v>Aug-22</v>
          </cell>
          <cell r="F200" t="str">
            <v>REGULER</v>
          </cell>
          <cell r="G200" t="str">
            <v>REGULER</v>
          </cell>
          <cell r="H200" t="str">
            <v>-</v>
          </cell>
          <cell r="I200" t="str">
            <v>-</v>
          </cell>
          <cell r="J200" t="str">
            <v>-</v>
          </cell>
          <cell r="K200" t="str">
            <v>-</v>
          </cell>
          <cell r="L200" t="str">
            <v>-</v>
          </cell>
          <cell r="M200">
            <v>1</v>
          </cell>
          <cell r="N200">
            <v>9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 t="str">
            <v/>
          </cell>
          <cell r="T200">
            <v>10</v>
          </cell>
          <cell r="U200">
            <v>1</v>
          </cell>
          <cell r="V200">
            <v>9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 t="str">
            <v/>
          </cell>
          <cell r="AB200">
            <v>10</v>
          </cell>
          <cell r="AC200">
            <v>5</v>
          </cell>
          <cell r="AD200" t="str">
            <v>DOWNGRADE</v>
          </cell>
          <cell r="AE200" t="str">
            <v>RESET</v>
          </cell>
          <cell r="AF200">
            <v>0</v>
          </cell>
          <cell r="AG200">
            <v>2</v>
          </cell>
          <cell r="AH200" t="str">
            <v>SAPHIRE</v>
          </cell>
          <cell r="AI200">
            <v>0</v>
          </cell>
          <cell r="AJ200" t="str">
            <v>FALSE</v>
          </cell>
          <cell r="AK200">
            <v>0</v>
          </cell>
          <cell r="AL200">
            <v>45261</v>
          </cell>
          <cell r="AM200">
            <v>45701</v>
          </cell>
          <cell r="AN200">
            <v>1</v>
          </cell>
          <cell r="AO200">
            <v>0</v>
          </cell>
          <cell r="AP200" t="str">
            <v>-</v>
          </cell>
          <cell r="AQ200" t="str">
            <v>-</v>
          </cell>
          <cell r="AR200" t="str">
            <v>REGULER</v>
          </cell>
          <cell r="AS200" t="str">
            <v>REGULER</v>
          </cell>
          <cell r="AT200" t="str">
            <v>REGULER</v>
          </cell>
          <cell r="AU200" t="str">
            <v>REGULER</v>
          </cell>
          <cell r="AV200" t="str">
            <v/>
          </cell>
          <cell r="AW200">
            <v>0</v>
          </cell>
          <cell r="AX200">
            <v>10</v>
          </cell>
          <cell r="AY200">
            <v>15</v>
          </cell>
          <cell r="AZ200">
            <v>38</v>
          </cell>
          <cell r="BA200">
            <v>37</v>
          </cell>
          <cell r="BB200">
            <v>0</v>
          </cell>
          <cell r="BC200">
            <v>10</v>
          </cell>
          <cell r="BD200">
            <v>15</v>
          </cell>
          <cell r="BE200">
            <v>38</v>
          </cell>
          <cell r="BF200">
            <v>37</v>
          </cell>
          <cell r="BG200" t="str">
            <v/>
          </cell>
          <cell r="BH200">
            <v>0</v>
          </cell>
          <cell r="BI200">
            <v>10</v>
          </cell>
          <cell r="BJ200">
            <v>15</v>
          </cell>
          <cell r="BK200">
            <v>38</v>
          </cell>
          <cell r="BL200">
            <v>37</v>
          </cell>
          <cell r="BM200">
            <v>20</v>
          </cell>
          <cell r="BN200">
            <v>120</v>
          </cell>
          <cell r="BO200" t="str">
            <v/>
          </cell>
          <cell r="BP200">
            <v>0</v>
          </cell>
          <cell r="BQ200">
            <v>10</v>
          </cell>
          <cell r="BR200">
            <v>15</v>
          </cell>
          <cell r="BS200">
            <v>38</v>
          </cell>
          <cell r="BT200">
            <v>37</v>
          </cell>
          <cell r="BU200">
            <v>20</v>
          </cell>
          <cell r="BV200">
            <v>120</v>
          </cell>
          <cell r="BW200">
            <v>2</v>
          </cell>
          <cell r="BX200" t="str">
            <v>TIDAK</v>
          </cell>
          <cell r="BY200" t="str">
            <v>TIDAK</v>
          </cell>
        </row>
        <row r="201">
          <cell r="A201" t="str">
            <v>A3292</v>
          </cell>
          <cell r="B201" t="str">
            <v>Hettinora Simbolon</v>
          </cell>
          <cell r="C201" t="str">
            <v>DELTA</v>
          </cell>
          <cell r="D201">
            <v>45240</v>
          </cell>
          <cell r="E201" t="str">
            <v>Nov-23</v>
          </cell>
          <cell r="F201" t="str">
            <v>REGULER</v>
          </cell>
          <cell r="G201" t="str">
            <v>REGULER</v>
          </cell>
          <cell r="H201" t="str">
            <v>EKSKLUSIF</v>
          </cell>
          <cell r="I201" t="str">
            <v>EKSKLUSIF</v>
          </cell>
          <cell r="J201" t="str">
            <v>EKSKLUSIF</v>
          </cell>
          <cell r="K201" t="str">
            <v>REGULER</v>
          </cell>
          <cell r="L201" t="str">
            <v>REGULER</v>
          </cell>
          <cell r="M201">
            <v>22</v>
          </cell>
          <cell r="N201">
            <v>45</v>
          </cell>
          <cell r="O201">
            <v>42</v>
          </cell>
          <cell r="P201">
            <v>41</v>
          </cell>
          <cell r="Q201">
            <v>40</v>
          </cell>
          <cell r="R201">
            <v>42</v>
          </cell>
          <cell r="S201">
            <v>9</v>
          </cell>
          <cell r="T201">
            <v>241</v>
          </cell>
          <cell r="U201">
            <v>22</v>
          </cell>
          <cell r="V201">
            <v>45</v>
          </cell>
          <cell r="W201">
            <v>0</v>
          </cell>
          <cell r="X201">
            <v>0</v>
          </cell>
          <cell r="Y201">
            <v>0</v>
          </cell>
          <cell r="Z201">
            <v>42</v>
          </cell>
          <cell r="AA201">
            <v>9</v>
          </cell>
          <cell r="AB201">
            <v>118</v>
          </cell>
          <cell r="AC201">
            <v>0</v>
          </cell>
          <cell r="AD201" t="str">
            <v>TIDAK</v>
          </cell>
          <cell r="AE201" t="str">
            <v>TIDAK</v>
          </cell>
          <cell r="AF201">
            <v>118</v>
          </cell>
          <cell r="AG201">
            <v>2</v>
          </cell>
          <cell r="AH201" t="str">
            <v>SAPHIRE</v>
          </cell>
          <cell r="AI201">
            <v>0</v>
          </cell>
          <cell r="AJ201" t="str">
            <v>Y</v>
          </cell>
          <cell r="AK201">
            <v>0</v>
          </cell>
          <cell r="AL201">
            <v>45261</v>
          </cell>
          <cell r="AM201">
            <v>45701</v>
          </cell>
          <cell r="AN201">
            <v>1</v>
          </cell>
          <cell r="AO201">
            <v>118</v>
          </cell>
          <cell r="AP201" t="str">
            <v>-</v>
          </cell>
          <cell r="AQ201" t="str">
            <v>-</v>
          </cell>
          <cell r="AR201" t="str">
            <v>-</v>
          </cell>
          <cell r="AS201" t="str">
            <v>-</v>
          </cell>
          <cell r="AT201" t="str">
            <v>-</v>
          </cell>
          <cell r="AU201" t="str">
            <v>-</v>
          </cell>
          <cell r="AV201" t="str">
            <v/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 t="str">
            <v/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 t="str">
            <v/>
          </cell>
          <cell r="BN201">
            <v>0</v>
          </cell>
          <cell r="BO201" t="str">
            <v/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 t="str">
            <v/>
          </cell>
          <cell r="BV201">
            <v>0</v>
          </cell>
          <cell r="BW201">
            <v>7</v>
          </cell>
          <cell r="BX201" t="str">
            <v>DOWNGRADE</v>
          </cell>
          <cell r="BY201" t="str">
            <v>RESET</v>
          </cell>
        </row>
        <row r="202">
          <cell r="A202" t="str">
            <v>A3757</v>
          </cell>
          <cell r="B202" t="str">
            <v>Hosiana Krisma Wijayanti</v>
          </cell>
          <cell r="C202" t="str">
            <v>DELTA</v>
          </cell>
          <cell r="D202">
            <v>45356</v>
          </cell>
          <cell r="E202" t="str">
            <v>Mar-24</v>
          </cell>
          <cell r="F202" t="str">
            <v>-</v>
          </cell>
          <cell r="G202" t="str">
            <v>-</v>
          </cell>
          <cell r="H202" t="str">
            <v>-</v>
          </cell>
          <cell r="I202" t="str">
            <v>REGULER</v>
          </cell>
          <cell r="J202" t="str">
            <v>REGULER</v>
          </cell>
          <cell r="K202" t="str">
            <v>REGULER</v>
          </cell>
          <cell r="L202" t="str">
            <v>REGULER</v>
          </cell>
          <cell r="M202">
            <v>0</v>
          </cell>
          <cell r="N202">
            <v>0</v>
          </cell>
          <cell r="O202">
            <v>0</v>
          </cell>
          <cell r="P202">
            <v>20</v>
          </cell>
          <cell r="Q202">
            <v>21</v>
          </cell>
          <cell r="R202">
            <v>18</v>
          </cell>
          <cell r="S202">
            <v>15</v>
          </cell>
          <cell r="T202">
            <v>74</v>
          </cell>
          <cell r="U202">
            <v>0</v>
          </cell>
          <cell r="V202">
            <v>0</v>
          </cell>
          <cell r="W202">
            <v>0</v>
          </cell>
          <cell r="X202">
            <v>20</v>
          </cell>
          <cell r="Y202">
            <v>21</v>
          </cell>
          <cell r="Z202">
            <v>18</v>
          </cell>
          <cell r="AA202">
            <v>15</v>
          </cell>
          <cell r="AB202">
            <v>74</v>
          </cell>
          <cell r="AC202">
            <v>0</v>
          </cell>
          <cell r="AD202" t="str">
            <v>TIDAK</v>
          </cell>
          <cell r="AE202" t="str">
            <v>TIDAK</v>
          </cell>
          <cell r="AF202">
            <v>74</v>
          </cell>
          <cell r="AG202">
            <v>2</v>
          </cell>
          <cell r="AH202" t="str">
            <v>SAPHIRE</v>
          </cell>
          <cell r="AI202">
            <v>0</v>
          </cell>
          <cell r="AJ202" t="str">
            <v>Y</v>
          </cell>
          <cell r="AK202">
            <v>0</v>
          </cell>
          <cell r="AL202">
            <v>45261</v>
          </cell>
          <cell r="AM202">
            <v>45701</v>
          </cell>
          <cell r="AN202">
            <v>1</v>
          </cell>
          <cell r="AO202">
            <v>74</v>
          </cell>
          <cell r="AP202" t="str">
            <v>-</v>
          </cell>
          <cell r="AQ202" t="str">
            <v>-</v>
          </cell>
          <cell r="AR202" t="str">
            <v>REGULER</v>
          </cell>
          <cell r="AS202" t="str">
            <v>REGULER</v>
          </cell>
          <cell r="AT202" t="str">
            <v>REGULER</v>
          </cell>
          <cell r="AU202" t="str">
            <v>-</v>
          </cell>
          <cell r="AV202" t="str">
            <v/>
          </cell>
          <cell r="AW202">
            <v>28</v>
          </cell>
          <cell r="AX202">
            <v>35</v>
          </cell>
          <cell r="AY202">
            <v>34</v>
          </cell>
          <cell r="AZ202">
            <v>24</v>
          </cell>
          <cell r="BA202">
            <v>0</v>
          </cell>
          <cell r="BB202">
            <v>28</v>
          </cell>
          <cell r="BC202">
            <v>35</v>
          </cell>
          <cell r="BD202">
            <v>34</v>
          </cell>
          <cell r="BE202">
            <v>24</v>
          </cell>
          <cell r="BF202">
            <v>0</v>
          </cell>
          <cell r="BG202">
            <v>3</v>
          </cell>
          <cell r="BH202">
            <v>28</v>
          </cell>
          <cell r="BI202">
            <v>35</v>
          </cell>
          <cell r="BJ202">
            <v>34</v>
          </cell>
          <cell r="BK202">
            <v>24</v>
          </cell>
          <cell r="BL202">
            <v>0</v>
          </cell>
          <cell r="BM202" t="str">
            <v/>
          </cell>
          <cell r="BN202">
            <v>124</v>
          </cell>
          <cell r="BO202">
            <v>3</v>
          </cell>
          <cell r="BP202">
            <v>28</v>
          </cell>
          <cell r="BQ202">
            <v>35</v>
          </cell>
          <cell r="BR202">
            <v>34</v>
          </cell>
          <cell r="BS202">
            <v>24</v>
          </cell>
          <cell r="BT202">
            <v>0</v>
          </cell>
          <cell r="BU202" t="str">
            <v/>
          </cell>
          <cell r="BV202">
            <v>124</v>
          </cell>
          <cell r="BW202">
            <v>2</v>
          </cell>
          <cell r="BX202" t="str">
            <v>TIDAK</v>
          </cell>
          <cell r="BY202" t="str">
            <v>TIDAK</v>
          </cell>
        </row>
        <row r="203">
          <cell r="A203" t="str">
            <v>A2944</v>
          </cell>
          <cell r="B203" t="str">
            <v>I Luh Laksmi Eka Dewi</v>
          </cell>
          <cell r="C203" t="str">
            <v>DELTA</v>
          </cell>
          <cell r="D203">
            <v>45139</v>
          </cell>
          <cell r="E203" t="str">
            <v>Aug-23</v>
          </cell>
          <cell r="F203" t="str">
            <v>-</v>
          </cell>
          <cell r="G203" t="str">
            <v>REGULER</v>
          </cell>
          <cell r="H203" t="str">
            <v>REGULER</v>
          </cell>
          <cell r="I203" t="str">
            <v>REGULER</v>
          </cell>
          <cell r="J203" t="str">
            <v>REGULER</v>
          </cell>
          <cell r="K203" t="str">
            <v>REGULER</v>
          </cell>
          <cell r="L203" t="str">
            <v>REGULER</v>
          </cell>
          <cell r="M203">
            <v>0</v>
          </cell>
          <cell r="N203">
            <v>38</v>
          </cell>
          <cell r="O203">
            <v>24</v>
          </cell>
          <cell r="P203">
            <v>16</v>
          </cell>
          <cell r="Q203">
            <v>22</v>
          </cell>
          <cell r="R203">
            <v>12</v>
          </cell>
          <cell r="S203">
            <v>7</v>
          </cell>
          <cell r="T203">
            <v>119</v>
          </cell>
          <cell r="U203">
            <v>0</v>
          </cell>
          <cell r="V203">
            <v>38</v>
          </cell>
          <cell r="W203">
            <v>24</v>
          </cell>
          <cell r="X203">
            <v>16</v>
          </cell>
          <cell r="Y203">
            <v>22</v>
          </cell>
          <cell r="Z203">
            <v>12</v>
          </cell>
          <cell r="AA203">
            <v>7</v>
          </cell>
          <cell r="AB203">
            <v>119</v>
          </cell>
          <cell r="AC203">
            <v>1</v>
          </cell>
          <cell r="AD203" t="str">
            <v>TIDAK</v>
          </cell>
          <cell r="AE203" t="str">
            <v>TIDAK</v>
          </cell>
          <cell r="AF203">
            <v>119</v>
          </cell>
          <cell r="AG203">
            <v>2</v>
          </cell>
          <cell r="AH203" t="str">
            <v>SAPHIRE</v>
          </cell>
          <cell r="AI203">
            <v>0</v>
          </cell>
          <cell r="AJ203" t="str">
            <v>Y</v>
          </cell>
          <cell r="AK203">
            <v>0</v>
          </cell>
          <cell r="AL203">
            <v>45261</v>
          </cell>
          <cell r="AM203">
            <v>45701</v>
          </cell>
          <cell r="AN203">
            <v>1</v>
          </cell>
          <cell r="AO203">
            <v>119</v>
          </cell>
          <cell r="AP203" t="str">
            <v>-</v>
          </cell>
          <cell r="AQ203" t="str">
            <v>-</v>
          </cell>
          <cell r="AR203" t="str">
            <v>REGULER</v>
          </cell>
          <cell r="AS203" t="str">
            <v>REGULER</v>
          </cell>
          <cell r="AT203" t="str">
            <v>REGULER</v>
          </cell>
          <cell r="AU203" t="str">
            <v>REGULER</v>
          </cell>
          <cell r="AV203" t="str">
            <v/>
          </cell>
          <cell r="AW203">
            <v>43</v>
          </cell>
          <cell r="AX203">
            <v>38</v>
          </cell>
          <cell r="AY203">
            <v>24</v>
          </cell>
          <cell r="AZ203">
            <v>43</v>
          </cell>
          <cell r="BA203">
            <v>39</v>
          </cell>
          <cell r="BB203">
            <v>43</v>
          </cell>
          <cell r="BC203">
            <v>38</v>
          </cell>
          <cell r="BD203">
            <v>24</v>
          </cell>
          <cell r="BE203">
            <v>43</v>
          </cell>
          <cell r="BF203">
            <v>39</v>
          </cell>
          <cell r="BG203">
            <v>16</v>
          </cell>
          <cell r="BH203">
            <v>43</v>
          </cell>
          <cell r="BI203">
            <v>38</v>
          </cell>
          <cell r="BJ203">
            <v>24</v>
          </cell>
          <cell r="BK203">
            <v>43</v>
          </cell>
          <cell r="BL203">
            <v>39</v>
          </cell>
          <cell r="BM203">
            <v>21</v>
          </cell>
          <cell r="BN203">
            <v>224</v>
          </cell>
          <cell r="BO203">
            <v>16</v>
          </cell>
          <cell r="BP203">
            <v>43</v>
          </cell>
          <cell r="BQ203">
            <v>38</v>
          </cell>
          <cell r="BR203">
            <v>24</v>
          </cell>
          <cell r="BS203">
            <v>43</v>
          </cell>
          <cell r="BT203">
            <v>39</v>
          </cell>
          <cell r="BU203">
            <v>21</v>
          </cell>
          <cell r="BV203">
            <v>224</v>
          </cell>
          <cell r="BW203">
            <v>0</v>
          </cell>
          <cell r="BX203" t="str">
            <v>TIDAK</v>
          </cell>
          <cell r="BY203" t="str">
            <v>TIDAK</v>
          </cell>
        </row>
        <row r="204">
          <cell r="A204" t="str">
            <v>A3458</v>
          </cell>
          <cell r="B204" t="str">
            <v>Imra Ningsih</v>
          </cell>
          <cell r="C204" t="str">
            <v>DELTA</v>
          </cell>
          <cell r="D204">
            <v>45303</v>
          </cell>
          <cell r="E204" t="str">
            <v>Jan-24</v>
          </cell>
          <cell r="F204" t="str">
            <v>-</v>
          </cell>
          <cell r="G204" t="str">
            <v>REGULER</v>
          </cell>
          <cell r="H204" t="str">
            <v>REGULER</v>
          </cell>
          <cell r="I204" t="str">
            <v>REGULER</v>
          </cell>
          <cell r="J204" t="str">
            <v>-</v>
          </cell>
          <cell r="K204" t="str">
            <v>-</v>
          </cell>
          <cell r="L204" t="str">
            <v>-</v>
          </cell>
          <cell r="M204">
            <v>0</v>
          </cell>
          <cell r="N204">
            <v>9</v>
          </cell>
          <cell r="O204">
            <v>23</v>
          </cell>
          <cell r="P204">
            <v>2</v>
          </cell>
          <cell r="Q204">
            <v>0</v>
          </cell>
          <cell r="R204">
            <v>0</v>
          </cell>
          <cell r="S204" t="str">
            <v/>
          </cell>
          <cell r="T204">
            <v>34</v>
          </cell>
          <cell r="U204">
            <v>0</v>
          </cell>
          <cell r="V204">
            <v>9</v>
          </cell>
          <cell r="W204">
            <v>23</v>
          </cell>
          <cell r="X204">
            <v>2</v>
          </cell>
          <cell r="Y204">
            <v>0</v>
          </cell>
          <cell r="Z204">
            <v>0</v>
          </cell>
          <cell r="AA204" t="str">
            <v/>
          </cell>
          <cell r="AB204">
            <v>34</v>
          </cell>
          <cell r="AC204">
            <v>3</v>
          </cell>
          <cell r="AD204" t="str">
            <v>DOWNGRADE</v>
          </cell>
          <cell r="AE204" t="str">
            <v>RESET</v>
          </cell>
          <cell r="AF204">
            <v>0</v>
          </cell>
          <cell r="AG204">
            <v>2</v>
          </cell>
          <cell r="AH204" t="str">
            <v>SAPHIRE</v>
          </cell>
          <cell r="AI204">
            <v>0</v>
          </cell>
          <cell r="AJ204" t="str">
            <v>FALSE</v>
          </cell>
          <cell r="AK204">
            <v>0</v>
          </cell>
          <cell r="AL204">
            <v>45261</v>
          </cell>
          <cell r="AM204">
            <v>45701</v>
          </cell>
          <cell r="AN204">
            <v>1</v>
          </cell>
          <cell r="AO204">
            <v>0</v>
          </cell>
          <cell r="AP204" t="str">
            <v>-</v>
          </cell>
          <cell r="AQ204" t="str">
            <v>-</v>
          </cell>
          <cell r="AR204" t="str">
            <v>-</v>
          </cell>
          <cell r="AS204" t="str">
            <v>-</v>
          </cell>
          <cell r="AT204" t="str">
            <v>-</v>
          </cell>
          <cell r="AU204" t="str">
            <v>-</v>
          </cell>
          <cell r="AV204" t="str">
            <v/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 t="str">
            <v/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 t="str">
            <v/>
          </cell>
          <cell r="BN204">
            <v>0</v>
          </cell>
          <cell r="BO204" t="str">
            <v/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 t="str">
            <v/>
          </cell>
          <cell r="BV204">
            <v>0</v>
          </cell>
          <cell r="BW204">
            <v>7</v>
          </cell>
          <cell r="BX204" t="str">
            <v>DOWNGRADE</v>
          </cell>
          <cell r="BY204" t="str">
            <v>RESET</v>
          </cell>
        </row>
        <row r="205">
          <cell r="A205" t="str">
            <v>A0821</v>
          </cell>
          <cell r="B205" t="str">
            <v>Indriana Damayanti</v>
          </cell>
          <cell r="C205" t="str">
            <v>DELTA</v>
          </cell>
          <cell r="D205">
            <v>44928</v>
          </cell>
          <cell r="E205" t="str">
            <v>Jan-23</v>
          </cell>
          <cell r="F205" t="str">
            <v>EKSKLUSIF</v>
          </cell>
          <cell r="G205" t="str">
            <v>EKSKLUSIF</v>
          </cell>
          <cell r="H205" t="str">
            <v>EKSKLUSIF</v>
          </cell>
          <cell r="I205" t="str">
            <v>EKSKLUSIF</v>
          </cell>
          <cell r="J205" t="str">
            <v>EKSKLUSIF</v>
          </cell>
          <cell r="K205" t="str">
            <v>EKSKLUSIF</v>
          </cell>
          <cell r="L205" t="str">
            <v>EKSKLUSIF</v>
          </cell>
          <cell r="M205">
            <v>21</v>
          </cell>
          <cell r="N205">
            <v>47</v>
          </cell>
          <cell r="O205">
            <v>41</v>
          </cell>
          <cell r="P205">
            <v>42</v>
          </cell>
          <cell r="Q205">
            <v>38</v>
          </cell>
          <cell r="R205">
            <v>40</v>
          </cell>
          <cell r="S205">
            <v>21</v>
          </cell>
          <cell r="T205">
            <v>250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 t="str">
            <v>TIDAK</v>
          </cell>
          <cell r="AE205" t="str">
            <v>TIDAK</v>
          </cell>
          <cell r="AF205">
            <v>0</v>
          </cell>
          <cell r="AG205">
            <v>3</v>
          </cell>
          <cell r="AH205" t="str">
            <v>SAPHIRE</v>
          </cell>
          <cell r="AI205">
            <v>0</v>
          </cell>
          <cell r="AJ205" t="str">
            <v>FALSE</v>
          </cell>
          <cell r="AK205">
            <v>0</v>
          </cell>
          <cell r="AL205">
            <v>45261</v>
          </cell>
          <cell r="AM205">
            <v>45701</v>
          </cell>
          <cell r="AN205">
            <v>1</v>
          </cell>
          <cell r="AO205">
            <v>0</v>
          </cell>
          <cell r="AP205" t="str">
            <v>EKSKLUSIF</v>
          </cell>
          <cell r="AQ205" t="str">
            <v>-</v>
          </cell>
          <cell r="AR205" t="str">
            <v>EKSKLUSIF</v>
          </cell>
          <cell r="AS205" t="str">
            <v>EKSKLUSIF</v>
          </cell>
          <cell r="AT205" t="str">
            <v>EKSKLUSIF</v>
          </cell>
          <cell r="AU205" t="str">
            <v>REGULER</v>
          </cell>
          <cell r="AV205" t="str">
            <v/>
          </cell>
          <cell r="AW205">
            <v>50</v>
          </cell>
          <cell r="AX205">
            <v>48</v>
          </cell>
          <cell r="AY205">
            <v>42</v>
          </cell>
          <cell r="AZ205">
            <v>49</v>
          </cell>
          <cell r="BA205">
            <v>34</v>
          </cell>
          <cell r="BB205">
            <v>50</v>
          </cell>
          <cell r="BC205">
            <v>48</v>
          </cell>
          <cell r="BD205">
            <v>42</v>
          </cell>
          <cell r="BE205">
            <v>49</v>
          </cell>
          <cell r="BF205">
            <v>34</v>
          </cell>
          <cell r="BG205">
            <v>18</v>
          </cell>
          <cell r="BH205">
            <v>50</v>
          </cell>
          <cell r="BI205">
            <v>48</v>
          </cell>
          <cell r="BJ205">
            <v>42</v>
          </cell>
          <cell r="BK205">
            <v>49</v>
          </cell>
          <cell r="BL205">
            <v>34</v>
          </cell>
          <cell r="BM205">
            <v>20</v>
          </cell>
          <cell r="BN205">
            <v>261</v>
          </cell>
          <cell r="BO205">
            <v>0</v>
          </cell>
          <cell r="BP205">
            <v>50</v>
          </cell>
          <cell r="BQ205">
            <v>0</v>
          </cell>
          <cell r="BR205">
            <v>0</v>
          </cell>
          <cell r="BS205">
            <v>0</v>
          </cell>
          <cell r="BT205">
            <v>34</v>
          </cell>
          <cell r="BU205">
            <v>20</v>
          </cell>
          <cell r="BV205">
            <v>104</v>
          </cell>
          <cell r="BW205">
            <v>0</v>
          </cell>
          <cell r="BX205" t="str">
            <v>TIDAK</v>
          </cell>
          <cell r="BY205" t="str">
            <v>TIDAK</v>
          </cell>
        </row>
        <row r="206">
          <cell r="A206" t="str">
            <v>A0459</v>
          </cell>
          <cell r="B206" t="str">
            <v>Indriany Kurniawaty Ngongo Pala</v>
          </cell>
          <cell r="C206" t="str">
            <v>DELTA</v>
          </cell>
          <cell r="D206">
            <v>44859</v>
          </cell>
          <cell r="E206" t="str">
            <v>Oct-22</v>
          </cell>
          <cell r="F206" t="str">
            <v>EKSKLUSIF</v>
          </cell>
          <cell r="G206" t="str">
            <v>EKSKLUSIF</v>
          </cell>
          <cell r="H206" t="str">
            <v>REGULER</v>
          </cell>
          <cell r="I206" t="str">
            <v>-</v>
          </cell>
          <cell r="J206" t="str">
            <v>-</v>
          </cell>
          <cell r="K206" t="str">
            <v>-</v>
          </cell>
          <cell r="L206" t="str">
            <v>-</v>
          </cell>
          <cell r="M206">
            <v>21</v>
          </cell>
          <cell r="N206">
            <v>45</v>
          </cell>
          <cell r="O206">
            <v>4</v>
          </cell>
          <cell r="P206">
            <v>0</v>
          </cell>
          <cell r="Q206">
            <v>0</v>
          </cell>
          <cell r="R206">
            <v>0</v>
          </cell>
          <cell r="S206" t="str">
            <v/>
          </cell>
          <cell r="T206">
            <v>70</v>
          </cell>
          <cell r="U206">
            <v>0</v>
          </cell>
          <cell r="V206">
            <v>0</v>
          </cell>
          <cell r="W206">
            <v>4</v>
          </cell>
          <cell r="X206">
            <v>0</v>
          </cell>
          <cell r="Y206">
            <v>0</v>
          </cell>
          <cell r="Z206">
            <v>0</v>
          </cell>
          <cell r="AA206" t="str">
            <v/>
          </cell>
          <cell r="AB206">
            <v>4</v>
          </cell>
          <cell r="AC206">
            <v>4</v>
          </cell>
          <cell r="AD206" t="str">
            <v>DOWNGRADE</v>
          </cell>
          <cell r="AE206" t="str">
            <v>RESET</v>
          </cell>
          <cell r="AF206">
            <v>0</v>
          </cell>
          <cell r="AG206">
            <v>3</v>
          </cell>
          <cell r="AH206" t="str">
            <v>SAPHIRE</v>
          </cell>
          <cell r="AI206">
            <v>0</v>
          </cell>
          <cell r="AJ206" t="str">
            <v>FALSE</v>
          </cell>
          <cell r="AK206">
            <v>0</v>
          </cell>
          <cell r="AL206">
            <v>45261</v>
          </cell>
          <cell r="AM206">
            <v>45701</v>
          </cell>
          <cell r="AN206">
            <v>1</v>
          </cell>
          <cell r="AO206">
            <v>0</v>
          </cell>
          <cell r="AP206" t="str">
            <v>-</v>
          </cell>
          <cell r="AQ206" t="str">
            <v>-</v>
          </cell>
          <cell r="AR206" t="str">
            <v>-</v>
          </cell>
          <cell r="AS206" t="str">
            <v>-</v>
          </cell>
          <cell r="AT206" t="str">
            <v>-</v>
          </cell>
          <cell r="AU206" t="str">
            <v>-</v>
          </cell>
          <cell r="AV206" t="str">
            <v/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 t="str">
            <v/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 t="str">
            <v/>
          </cell>
          <cell r="BN206">
            <v>0</v>
          </cell>
          <cell r="BO206" t="str">
            <v/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 t="str">
            <v/>
          </cell>
          <cell r="BV206">
            <v>0</v>
          </cell>
          <cell r="BW206">
            <v>7</v>
          </cell>
          <cell r="BX206" t="str">
            <v>DOWNGRADE</v>
          </cell>
          <cell r="BY206" t="str">
            <v>RESET</v>
          </cell>
        </row>
        <row r="207">
          <cell r="A207" t="str">
            <v>A3826</v>
          </cell>
          <cell r="B207" t="str">
            <v>Irene Intan Pradista</v>
          </cell>
          <cell r="C207" t="str">
            <v>DELTA</v>
          </cell>
          <cell r="D207">
            <v>45383</v>
          </cell>
          <cell r="E207" t="str">
            <v>Apr-24</v>
          </cell>
          <cell r="F207" t="str">
            <v>-</v>
          </cell>
          <cell r="G207" t="str">
            <v>-</v>
          </cell>
          <cell r="H207" t="str">
            <v>-</v>
          </cell>
          <cell r="I207" t="str">
            <v>-</v>
          </cell>
          <cell r="J207" t="str">
            <v>REGULER</v>
          </cell>
          <cell r="K207" t="str">
            <v>REGULER</v>
          </cell>
          <cell r="L207" t="str">
            <v>REGULER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29</v>
          </cell>
          <cell r="R207">
            <v>30</v>
          </cell>
          <cell r="S207">
            <v>15</v>
          </cell>
          <cell r="T207">
            <v>74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29</v>
          </cell>
          <cell r="Z207">
            <v>30</v>
          </cell>
          <cell r="AA207">
            <v>15</v>
          </cell>
          <cell r="AB207">
            <v>74</v>
          </cell>
          <cell r="AC207">
            <v>0</v>
          </cell>
          <cell r="AD207" t="str">
            <v>TIDAK</v>
          </cell>
          <cell r="AE207" t="str">
            <v>TIDAK</v>
          </cell>
          <cell r="AF207">
            <v>74</v>
          </cell>
          <cell r="AG207">
            <v>2</v>
          </cell>
          <cell r="AH207" t="str">
            <v>SAPHIRE</v>
          </cell>
          <cell r="AI207">
            <v>0</v>
          </cell>
          <cell r="AJ207" t="str">
            <v>Y</v>
          </cell>
          <cell r="AK207">
            <v>0</v>
          </cell>
          <cell r="AL207">
            <v>45261</v>
          </cell>
          <cell r="AM207">
            <v>45701</v>
          </cell>
          <cell r="AN207">
            <v>1</v>
          </cell>
          <cell r="AO207">
            <v>74</v>
          </cell>
          <cell r="AP207" t="str">
            <v>-</v>
          </cell>
          <cell r="AQ207" t="str">
            <v>-</v>
          </cell>
          <cell r="AR207" t="str">
            <v>REGULER</v>
          </cell>
          <cell r="AS207" t="str">
            <v>REGULER</v>
          </cell>
          <cell r="AT207" t="str">
            <v>REGULER</v>
          </cell>
          <cell r="AU207" t="str">
            <v>REGULER</v>
          </cell>
          <cell r="AV207" t="str">
            <v/>
          </cell>
          <cell r="AW207">
            <v>35</v>
          </cell>
          <cell r="AX207">
            <v>30</v>
          </cell>
          <cell r="AY207">
            <v>32</v>
          </cell>
          <cell r="AZ207">
            <v>33</v>
          </cell>
          <cell r="BA207">
            <v>31</v>
          </cell>
          <cell r="BB207">
            <v>35</v>
          </cell>
          <cell r="BC207">
            <v>30</v>
          </cell>
          <cell r="BD207">
            <v>32</v>
          </cell>
          <cell r="BE207">
            <v>33</v>
          </cell>
          <cell r="BF207">
            <v>31</v>
          </cell>
          <cell r="BG207">
            <v>15</v>
          </cell>
          <cell r="BH207">
            <v>35</v>
          </cell>
          <cell r="BI207">
            <v>30</v>
          </cell>
          <cell r="BJ207">
            <v>32</v>
          </cell>
          <cell r="BK207">
            <v>33</v>
          </cell>
          <cell r="BL207">
            <v>31</v>
          </cell>
          <cell r="BM207">
            <v>16</v>
          </cell>
          <cell r="BN207">
            <v>192</v>
          </cell>
          <cell r="BO207">
            <v>15</v>
          </cell>
          <cell r="BP207">
            <v>35</v>
          </cell>
          <cell r="BQ207">
            <v>30</v>
          </cell>
          <cell r="BR207">
            <v>32</v>
          </cell>
          <cell r="BS207">
            <v>33</v>
          </cell>
          <cell r="BT207">
            <v>31</v>
          </cell>
          <cell r="BU207">
            <v>16</v>
          </cell>
          <cell r="BV207">
            <v>192</v>
          </cell>
          <cell r="BW207">
            <v>0</v>
          </cell>
          <cell r="BX207" t="str">
            <v>TIDAK</v>
          </cell>
          <cell r="BY207" t="str">
            <v>TIDAK</v>
          </cell>
        </row>
        <row r="208">
          <cell r="A208" t="str">
            <v>A3218</v>
          </cell>
          <cell r="B208" t="str">
            <v>Irma Sembiring</v>
          </cell>
          <cell r="C208" t="str">
            <v>DELTA</v>
          </cell>
          <cell r="D208">
            <v>45243</v>
          </cell>
          <cell r="E208" t="str">
            <v>Nov-23</v>
          </cell>
          <cell r="F208" t="str">
            <v>REGULER</v>
          </cell>
          <cell r="G208" t="str">
            <v>REGULER</v>
          </cell>
          <cell r="H208" t="str">
            <v>REGULER</v>
          </cell>
          <cell r="I208" t="str">
            <v>REGULER</v>
          </cell>
          <cell r="J208" t="str">
            <v>REGULER</v>
          </cell>
          <cell r="K208" t="str">
            <v>REGULER</v>
          </cell>
          <cell r="L208" t="str">
            <v>REGULER</v>
          </cell>
          <cell r="M208">
            <v>17</v>
          </cell>
          <cell r="N208">
            <v>43</v>
          </cell>
          <cell r="O208">
            <v>30</v>
          </cell>
          <cell r="P208">
            <v>16</v>
          </cell>
          <cell r="Q208">
            <v>35</v>
          </cell>
          <cell r="R208">
            <v>34</v>
          </cell>
          <cell r="S208">
            <v>15</v>
          </cell>
          <cell r="T208">
            <v>190</v>
          </cell>
          <cell r="U208">
            <v>17</v>
          </cell>
          <cell r="V208">
            <v>43</v>
          </cell>
          <cell r="W208">
            <v>30</v>
          </cell>
          <cell r="X208">
            <v>16</v>
          </cell>
          <cell r="Y208">
            <v>35</v>
          </cell>
          <cell r="Z208">
            <v>34</v>
          </cell>
          <cell r="AA208">
            <v>15</v>
          </cell>
          <cell r="AB208">
            <v>190</v>
          </cell>
          <cell r="AC208">
            <v>0</v>
          </cell>
          <cell r="AD208" t="str">
            <v>TIDAK</v>
          </cell>
          <cell r="AE208" t="str">
            <v>TIDAK</v>
          </cell>
          <cell r="AF208">
            <v>190</v>
          </cell>
          <cell r="AG208">
            <v>2</v>
          </cell>
          <cell r="AH208" t="str">
            <v>SAPHIRE</v>
          </cell>
          <cell r="AI208">
            <v>0</v>
          </cell>
          <cell r="AJ208" t="str">
            <v>Y</v>
          </cell>
          <cell r="AK208">
            <v>0</v>
          </cell>
          <cell r="AL208">
            <v>45261</v>
          </cell>
          <cell r="AM208">
            <v>45701</v>
          </cell>
          <cell r="AN208">
            <v>1</v>
          </cell>
          <cell r="AO208">
            <v>190</v>
          </cell>
          <cell r="AP208" t="str">
            <v>-</v>
          </cell>
          <cell r="AQ208" t="str">
            <v>-</v>
          </cell>
          <cell r="AR208" t="str">
            <v>REGULER</v>
          </cell>
          <cell r="AS208" t="str">
            <v>-</v>
          </cell>
          <cell r="AT208" t="str">
            <v>REGULER</v>
          </cell>
          <cell r="AU208" t="str">
            <v>REGULER</v>
          </cell>
          <cell r="AV208" t="str">
            <v/>
          </cell>
          <cell r="AW208">
            <v>21</v>
          </cell>
          <cell r="AX208">
            <v>26</v>
          </cell>
          <cell r="AY208">
            <v>0</v>
          </cell>
          <cell r="AZ208">
            <v>4</v>
          </cell>
          <cell r="BA208">
            <v>35</v>
          </cell>
          <cell r="BB208">
            <v>21</v>
          </cell>
          <cell r="BC208">
            <v>26</v>
          </cell>
          <cell r="BD208">
            <v>0</v>
          </cell>
          <cell r="BE208">
            <v>4</v>
          </cell>
          <cell r="BF208">
            <v>35</v>
          </cell>
          <cell r="BG208">
            <v>7</v>
          </cell>
          <cell r="BH208">
            <v>21</v>
          </cell>
          <cell r="BI208">
            <v>26</v>
          </cell>
          <cell r="BJ208">
            <v>0</v>
          </cell>
          <cell r="BK208">
            <v>4</v>
          </cell>
          <cell r="BL208">
            <v>35</v>
          </cell>
          <cell r="BM208">
            <v>22</v>
          </cell>
          <cell r="BN208">
            <v>115</v>
          </cell>
          <cell r="BO208">
            <v>7</v>
          </cell>
          <cell r="BP208">
            <v>21</v>
          </cell>
          <cell r="BQ208">
            <v>26</v>
          </cell>
          <cell r="BR208">
            <v>0</v>
          </cell>
          <cell r="BS208">
            <v>4</v>
          </cell>
          <cell r="BT208">
            <v>35</v>
          </cell>
          <cell r="BU208">
            <v>22</v>
          </cell>
          <cell r="BV208">
            <v>115</v>
          </cell>
          <cell r="BW208">
            <v>1</v>
          </cell>
          <cell r="BX208" t="str">
            <v>TIDAK</v>
          </cell>
          <cell r="BY208" t="str">
            <v>TIDAK</v>
          </cell>
        </row>
        <row r="209">
          <cell r="A209" t="str">
            <v>A0747</v>
          </cell>
          <cell r="B209" t="str">
            <v>Irma Susanti</v>
          </cell>
          <cell r="C209" t="str">
            <v>DELTA</v>
          </cell>
          <cell r="D209">
            <v>45334</v>
          </cell>
          <cell r="E209" t="str">
            <v>Feb-24</v>
          </cell>
          <cell r="F209" t="str">
            <v>-</v>
          </cell>
          <cell r="G209" t="str">
            <v>-</v>
          </cell>
          <cell r="H209" t="str">
            <v>REGULER</v>
          </cell>
          <cell r="I209" t="str">
            <v>REGULER</v>
          </cell>
          <cell r="J209" t="str">
            <v>-</v>
          </cell>
          <cell r="K209" t="str">
            <v>-</v>
          </cell>
          <cell r="L209" t="str">
            <v>-</v>
          </cell>
          <cell r="M209">
            <v>0</v>
          </cell>
          <cell r="N209">
            <v>0</v>
          </cell>
          <cell r="O209">
            <v>3</v>
          </cell>
          <cell r="P209">
            <v>15</v>
          </cell>
          <cell r="Q209">
            <v>0</v>
          </cell>
          <cell r="R209">
            <v>0</v>
          </cell>
          <cell r="S209" t="str">
            <v/>
          </cell>
          <cell r="T209">
            <v>18</v>
          </cell>
          <cell r="U209">
            <v>0</v>
          </cell>
          <cell r="V209">
            <v>0</v>
          </cell>
          <cell r="W209">
            <v>3</v>
          </cell>
          <cell r="X209">
            <v>15</v>
          </cell>
          <cell r="Y209">
            <v>0</v>
          </cell>
          <cell r="Z209">
            <v>0</v>
          </cell>
          <cell r="AA209" t="str">
            <v/>
          </cell>
          <cell r="AB209">
            <v>18</v>
          </cell>
          <cell r="AC209">
            <v>3</v>
          </cell>
          <cell r="AD209" t="str">
            <v>DOWNGRADE</v>
          </cell>
          <cell r="AE209" t="str">
            <v>RESET</v>
          </cell>
          <cell r="AF209">
            <v>0</v>
          </cell>
          <cell r="AG209">
            <v>2</v>
          </cell>
          <cell r="AH209" t="str">
            <v>SAPHIRE</v>
          </cell>
          <cell r="AI209">
            <v>0</v>
          </cell>
          <cell r="AJ209" t="str">
            <v>FALSE</v>
          </cell>
          <cell r="AK209">
            <v>0</v>
          </cell>
          <cell r="AL209">
            <v>45261</v>
          </cell>
          <cell r="AM209">
            <v>45701</v>
          </cell>
          <cell r="AN209">
            <v>1</v>
          </cell>
          <cell r="AO209">
            <v>0</v>
          </cell>
          <cell r="AP209" t="str">
            <v>-</v>
          </cell>
          <cell r="AQ209" t="str">
            <v>-</v>
          </cell>
          <cell r="AR209" t="str">
            <v>-</v>
          </cell>
          <cell r="AS209" t="str">
            <v>-</v>
          </cell>
          <cell r="AT209" t="str">
            <v>-</v>
          </cell>
          <cell r="AU209" t="str">
            <v>-</v>
          </cell>
          <cell r="AV209" t="str">
            <v/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 t="str">
            <v/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 t="str">
            <v/>
          </cell>
          <cell r="BN209">
            <v>0</v>
          </cell>
          <cell r="BO209" t="str">
            <v/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 t="str">
            <v/>
          </cell>
          <cell r="BV209">
            <v>0</v>
          </cell>
          <cell r="BW209">
            <v>7</v>
          </cell>
          <cell r="BX209" t="str">
            <v>DOWNGRADE</v>
          </cell>
          <cell r="BY209" t="str">
            <v>RESET</v>
          </cell>
        </row>
        <row r="210">
          <cell r="A210" t="str">
            <v>A3474</v>
          </cell>
          <cell r="B210" t="str">
            <v>Irma Triana</v>
          </cell>
          <cell r="C210" t="str">
            <v>DELTA</v>
          </cell>
          <cell r="D210">
            <v>45261</v>
          </cell>
          <cell r="E210" t="str">
            <v>Dec-23</v>
          </cell>
          <cell r="F210" t="str">
            <v>-</v>
          </cell>
          <cell r="G210" t="str">
            <v>REGULER</v>
          </cell>
          <cell r="H210" t="str">
            <v>REGULER</v>
          </cell>
          <cell r="I210" t="str">
            <v>REGULER</v>
          </cell>
          <cell r="J210" t="str">
            <v>REGULER</v>
          </cell>
          <cell r="K210" t="str">
            <v>REGULER</v>
          </cell>
          <cell r="L210" t="str">
            <v>EKSKLUSIF</v>
          </cell>
          <cell r="M210">
            <v>0</v>
          </cell>
          <cell r="N210">
            <v>35</v>
          </cell>
          <cell r="O210">
            <v>22</v>
          </cell>
          <cell r="P210">
            <v>10</v>
          </cell>
          <cell r="Q210">
            <v>33</v>
          </cell>
          <cell r="R210">
            <v>37</v>
          </cell>
          <cell r="S210">
            <v>20</v>
          </cell>
          <cell r="T210">
            <v>157</v>
          </cell>
          <cell r="U210">
            <v>0</v>
          </cell>
          <cell r="V210">
            <v>35</v>
          </cell>
          <cell r="W210">
            <v>22</v>
          </cell>
          <cell r="X210">
            <v>10</v>
          </cell>
          <cell r="Y210">
            <v>33</v>
          </cell>
          <cell r="Z210">
            <v>37</v>
          </cell>
          <cell r="AA210">
            <v>0</v>
          </cell>
          <cell r="AB210">
            <v>137</v>
          </cell>
          <cell r="AC210">
            <v>1</v>
          </cell>
          <cell r="AD210" t="str">
            <v>TIDAK</v>
          </cell>
          <cell r="AE210" t="str">
            <v>TIDAK</v>
          </cell>
          <cell r="AF210">
            <v>137</v>
          </cell>
          <cell r="AG210">
            <v>2</v>
          </cell>
          <cell r="AH210" t="str">
            <v>SAPHIRE</v>
          </cell>
          <cell r="AI210">
            <v>0</v>
          </cell>
          <cell r="AJ210" t="str">
            <v>Y</v>
          </cell>
          <cell r="AK210">
            <v>0</v>
          </cell>
          <cell r="AL210">
            <v>45261</v>
          </cell>
          <cell r="AM210">
            <v>45701</v>
          </cell>
          <cell r="AN210">
            <v>1</v>
          </cell>
          <cell r="AO210">
            <v>137</v>
          </cell>
          <cell r="AP210" t="str">
            <v>EKSKLUSIF</v>
          </cell>
          <cell r="AQ210" t="str">
            <v>-</v>
          </cell>
          <cell r="AR210" t="str">
            <v>EKSKLUSIF</v>
          </cell>
          <cell r="AS210" t="str">
            <v>EKSKLUSIF</v>
          </cell>
          <cell r="AT210" t="str">
            <v>EKSKLUSIF</v>
          </cell>
          <cell r="AU210" t="str">
            <v>EKSKLUSIF</v>
          </cell>
          <cell r="AV210" t="str">
            <v/>
          </cell>
          <cell r="AW210">
            <v>48</v>
          </cell>
          <cell r="AX210">
            <v>48</v>
          </cell>
          <cell r="AY210">
            <v>44</v>
          </cell>
          <cell r="AZ210">
            <v>48</v>
          </cell>
          <cell r="BA210">
            <v>43</v>
          </cell>
          <cell r="BB210">
            <v>48</v>
          </cell>
          <cell r="BC210">
            <v>48</v>
          </cell>
          <cell r="BD210">
            <v>44</v>
          </cell>
          <cell r="BE210">
            <v>48</v>
          </cell>
          <cell r="BF210">
            <v>43</v>
          </cell>
          <cell r="BG210">
            <v>19</v>
          </cell>
          <cell r="BH210">
            <v>48</v>
          </cell>
          <cell r="BI210">
            <v>48</v>
          </cell>
          <cell r="BJ210">
            <v>44</v>
          </cell>
          <cell r="BK210">
            <v>48</v>
          </cell>
          <cell r="BL210">
            <v>43</v>
          </cell>
          <cell r="BM210">
            <v>21</v>
          </cell>
          <cell r="BN210">
            <v>271</v>
          </cell>
          <cell r="BO210">
            <v>0</v>
          </cell>
          <cell r="BP210">
            <v>48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21</v>
          </cell>
          <cell r="BV210">
            <v>69</v>
          </cell>
          <cell r="BW210">
            <v>0</v>
          </cell>
          <cell r="BX210" t="str">
            <v>TIDAK</v>
          </cell>
          <cell r="BY210" t="str">
            <v>TIDAK</v>
          </cell>
        </row>
        <row r="211">
          <cell r="A211" t="str">
            <v>A1556</v>
          </cell>
          <cell r="B211" t="str">
            <v>Isma Audia Prabawati</v>
          </cell>
          <cell r="C211" t="str">
            <v>DELTA</v>
          </cell>
          <cell r="D211">
            <v>44989</v>
          </cell>
          <cell r="E211" t="str">
            <v>Mar-23</v>
          </cell>
          <cell r="F211" t="str">
            <v>EKSKLUSIF</v>
          </cell>
          <cell r="G211" t="str">
            <v>EKSKLUSIF</v>
          </cell>
          <cell r="H211" t="str">
            <v>EKSKLUSIF</v>
          </cell>
          <cell r="I211" t="str">
            <v>EKSKLUSIF</v>
          </cell>
          <cell r="J211" t="str">
            <v>EKSKLUSIF</v>
          </cell>
          <cell r="K211" t="str">
            <v>EKSKLUSIF</v>
          </cell>
          <cell r="L211" t="str">
            <v>EKSKLUSIF</v>
          </cell>
          <cell r="M211">
            <v>21</v>
          </cell>
          <cell r="N211">
            <v>48</v>
          </cell>
          <cell r="O211">
            <v>42</v>
          </cell>
          <cell r="P211">
            <v>44</v>
          </cell>
          <cell r="Q211">
            <v>38</v>
          </cell>
          <cell r="R211">
            <v>43</v>
          </cell>
          <cell r="S211">
            <v>22</v>
          </cell>
          <cell r="T211">
            <v>258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 t="str">
            <v>TIDAK</v>
          </cell>
          <cell r="AE211" t="str">
            <v>TIDAK</v>
          </cell>
          <cell r="AF211">
            <v>0</v>
          </cell>
          <cell r="AG211">
            <v>2</v>
          </cell>
          <cell r="AH211" t="str">
            <v>SAPHIRE</v>
          </cell>
          <cell r="AI211">
            <v>0</v>
          </cell>
          <cell r="AJ211" t="str">
            <v>FALSE</v>
          </cell>
          <cell r="AK211">
            <v>0</v>
          </cell>
          <cell r="AL211">
            <v>45261</v>
          </cell>
          <cell r="AM211">
            <v>45701</v>
          </cell>
          <cell r="AN211">
            <v>1</v>
          </cell>
          <cell r="AO211">
            <v>0</v>
          </cell>
          <cell r="AP211" t="str">
            <v>EKSKLUSIF</v>
          </cell>
          <cell r="AQ211" t="str">
            <v>-</v>
          </cell>
          <cell r="AR211" t="str">
            <v>EKSKLUSIF</v>
          </cell>
          <cell r="AS211" t="str">
            <v>EKSKLUSIF</v>
          </cell>
          <cell r="AT211" t="str">
            <v>EKSKLUSIF</v>
          </cell>
          <cell r="AU211" t="str">
            <v>REGULER</v>
          </cell>
          <cell r="AV211" t="str">
            <v/>
          </cell>
          <cell r="AW211">
            <v>49</v>
          </cell>
          <cell r="AX211">
            <v>48</v>
          </cell>
          <cell r="AY211">
            <v>42</v>
          </cell>
          <cell r="AZ211">
            <v>47</v>
          </cell>
          <cell r="BA211">
            <v>31</v>
          </cell>
          <cell r="BB211">
            <v>49</v>
          </cell>
          <cell r="BC211">
            <v>48</v>
          </cell>
          <cell r="BD211">
            <v>42</v>
          </cell>
          <cell r="BE211">
            <v>47</v>
          </cell>
          <cell r="BF211">
            <v>31</v>
          </cell>
          <cell r="BG211">
            <v>19</v>
          </cell>
          <cell r="BH211">
            <v>49</v>
          </cell>
          <cell r="BI211">
            <v>48</v>
          </cell>
          <cell r="BJ211">
            <v>42</v>
          </cell>
          <cell r="BK211">
            <v>47</v>
          </cell>
          <cell r="BL211">
            <v>31</v>
          </cell>
          <cell r="BM211">
            <v>22</v>
          </cell>
          <cell r="BN211">
            <v>258</v>
          </cell>
          <cell r="BO211">
            <v>0</v>
          </cell>
          <cell r="BP211">
            <v>49</v>
          </cell>
          <cell r="BQ211">
            <v>0</v>
          </cell>
          <cell r="BR211">
            <v>0</v>
          </cell>
          <cell r="BS211">
            <v>0</v>
          </cell>
          <cell r="BT211">
            <v>31</v>
          </cell>
          <cell r="BU211">
            <v>22</v>
          </cell>
          <cell r="BV211">
            <v>102</v>
          </cell>
          <cell r="BW211">
            <v>0</v>
          </cell>
          <cell r="BX211" t="str">
            <v>TIDAK</v>
          </cell>
          <cell r="BY211" t="str">
            <v>TIDAK</v>
          </cell>
        </row>
        <row r="212">
          <cell r="A212" t="str">
            <v>A1417</v>
          </cell>
          <cell r="B212" t="str">
            <v>Istajib Hamami</v>
          </cell>
          <cell r="C212" t="str">
            <v>DELTA</v>
          </cell>
          <cell r="D212">
            <v>44991</v>
          </cell>
          <cell r="E212" t="str">
            <v>Mar-23</v>
          </cell>
          <cell r="F212" t="str">
            <v>REGULER</v>
          </cell>
          <cell r="G212" t="str">
            <v>REGULER</v>
          </cell>
          <cell r="H212" t="str">
            <v>REGULER</v>
          </cell>
          <cell r="I212" t="str">
            <v>REGULER</v>
          </cell>
          <cell r="J212" t="str">
            <v>REGULER</v>
          </cell>
          <cell r="K212" t="str">
            <v>REGULER</v>
          </cell>
          <cell r="L212" t="str">
            <v>REGULER</v>
          </cell>
          <cell r="M212">
            <v>22</v>
          </cell>
          <cell r="N212">
            <v>46</v>
          </cell>
          <cell r="O212">
            <v>36</v>
          </cell>
          <cell r="P212">
            <v>35</v>
          </cell>
          <cell r="Q212">
            <v>30</v>
          </cell>
          <cell r="R212">
            <v>31</v>
          </cell>
          <cell r="S212">
            <v>22</v>
          </cell>
          <cell r="T212">
            <v>222</v>
          </cell>
          <cell r="U212">
            <v>22</v>
          </cell>
          <cell r="V212">
            <v>46</v>
          </cell>
          <cell r="W212">
            <v>36</v>
          </cell>
          <cell r="X212">
            <v>35</v>
          </cell>
          <cell r="Y212">
            <v>30</v>
          </cell>
          <cell r="Z212">
            <v>31</v>
          </cell>
          <cell r="AA212">
            <v>22</v>
          </cell>
          <cell r="AB212">
            <v>222</v>
          </cell>
          <cell r="AC212">
            <v>0</v>
          </cell>
          <cell r="AD212" t="str">
            <v>TIDAK</v>
          </cell>
          <cell r="AE212" t="str">
            <v>TIDAK</v>
          </cell>
          <cell r="AF212">
            <v>222</v>
          </cell>
          <cell r="AG212">
            <v>2</v>
          </cell>
          <cell r="AH212" t="str">
            <v>SAPHIRE</v>
          </cell>
          <cell r="AI212">
            <v>0</v>
          </cell>
          <cell r="AJ212" t="str">
            <v>Y</v>
          </cell>
          <cell r="AK212">
            <v>0</v>
          </cell>
          <cell r="AL212">
            <v>45261</v>
          </cell>
          <cell r="AM212">
            <v>45701</v>
          </cell>
          <cell r="AN212">
            <v>1</v>
          </cell>
          <cell r="AO212">
            <v>222</v>
          </cell>
          <cell r="AP212" t="str">
            <v>-</v>
          </cell>
          <cell r="AQ212" t="str">
            <v>-</v>
          </cell>
          <cell r="AR212" t="str">
            <v>REGULER</v>
          </cell>
          <cell r="AS212" t="str">
            <v>REGULER</v>
          </cell>
          <cell r="AT212" t="str">
            <v>REGULER</v>
          </cell>
          <cell r="AU212" t="str">
            <v>REGULER</v>
          </cell>
          <cell r="AV212" t="str">
            <v/>
          </cell>
          <cell r="AW212">
            <v>37</v>
          </cell>
          <cell r="AX212">
            <v>41</v>
          </cell>
          <cell r="AY212">
            <v>36</v>
          </cell>
          <cell r="AZ212">
            <v>23</v>
          </cell>
          <cell r="BA212">
            <v>32</v>
          </cell>
          <cell r="BB212">
            <v>37</v>
          </cell>
          <cell r="BC212">
            <v>41</v>
          </cell>
          <cell r="BD212">
            <v>36</v>
          </cell>
          <cell r="BE212">
            <v>23</v>
          </cell>
          <cell r="BF212">
            <v>32</v>
          </cell>
          <cell r="BG212">
            <v>16</v>
          </cell>
          <cell r="BH212">
            <v>37</v>
          </cell>
          <cell r="BI212">
            <v>41</v>
          </cell>
          <cell r="BJ212">
            <v>36</v>
          </cell>
          <cell r="BK212">
            <v>23</v>
          </cell>
          <cell r="BL212">
            <v>32</v>
          </cell>
          <cell r="BM212">
            <v>20</v>
          </cell>
          <cell r="BN212">
            <v>205</v>
          </cell>
          <cell r="BO212">
            <v>16</v>
          </cell>
          <cell r="BP212">
            <v>37</v>
          </cell>
          <cell r="BQ212">
            <v>41</v>
          </cell>
          <cell r="BR212">
            <v>36</v>
          </cell>
          <cell r="BS212">
            <v>23</v>
          </cell>
          <cell r="BT212">
            <v>32</v>
          </cell>
          <cell r="BU212">
            <v>20</v>
          </cell>
          <cell r="BV212">
            <v>205</v>
          </cell>
          <cell r="BW212">
            <v>0</v>
          </cell>
          <cell r="BX212" t="str">
            <v>TIDAK</v>
          </cell>
          <cell r="BY212" t="str">
            <v>TIDAK</v>
          </cell>
        </row>
        <row r="213">
          <cell r="A213" t="str">
            <v>A1958</v>
          </cell>
          <cell r="B213" t="str">
            <v>Itsni Fatihatun Nisa</v>
          </cell>
          <cell r="C213" t="str">
            <v>DELTA</v>
          </cell>
          <cell r="D213">
            <v>45052</v>
          </cell>
          <cell r="E213" t="str">
            <v>May-23</v>
          </cell>
          <cell r="F213" t="str">
            <v>EKSKLUSIF</v>
          </cell>
          <cell r="G213" t="str">
            <v>EKSKLUSIF</v>
          </cell>
          <cell r="H213" t="str">
            <v>EKSKLUSIF</v>
          </cell>
          <cell r="I213" t="str">
            <v>EKSKLUSIF</v>
          </cell>
          <cell r="J213" t="str">
            <v>EKSKLUSIF</v>
          </cell>
          <cell r="K213" t="str">
            <v>EKSKLUSIF</v>
          </cell>
          <cell r="L213" t="str">
            <v>EKSKLUSIF</v>
          </cell>
          <cell r="M213">
            <v>21</v>
          </cell>
          <cell r="N213">
            <v>45</v>
          </cell>
          <cell r="O213">
            <v>41</v>
          </cell>
          <cell r="P213">
            <v>41</v>
          </cell>
          <cell r="Q213">
            <v>37</v>
          </cell>
          <cell r="R213">
            <v>42</v>
          </cell>
          <cell r="S213">
            <v>21</v>
          </cell>
          <cell r="T213">
            <v>248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 t="str">
            <v>TIDAK</v>
          </cell>
          <cell r="AE213" t="str">
            <v>TIDAK</v>
          </cell>
          <cell r="AF213">
            <v>0</v>
          </cell>
          <cell r="AG213">
            <v>2</v>
          </cell>
          <cell r="AH213" t="str">
            <v>SAPHIRE</v>
          </cell>
          <cell r="AI213">
            <v>0</v>
          </cell>
          <cell r="AJ213" t="str">
            <v>FALSE</v>
          </cell>
          <cell r="AK213">
            <v>0</v>
          </cell>
          <cell r="AL213">
            <v>45261</v>
          </cell>
          <cell r="AM213">
            <v>45701</v>
          </cell>
          <cell r="AN213">
            <v>1</v>
          </cell>
          <cell r="AO213">
            <v>0</v>
          </cell>
          <cell r="AP213" t="str">
            <v>EKSKLUSIF</v>
          </cell>
          <cell r="AQ213" t="str">
            <v>-</v>
          </cell>
          <cell r="AR213" t="str">
            <v>EKSKLUSIF</v>
          </cell>
          <cell r="AS213" t="str">
            <v>REGULER</v>
          </cell>
          <cell r="AT213" t="str">
            <v>-</v>
          </cell>
          <cell r="AU213" t="str">
            <v>-</v>
          </cell>
          <cell r="AV213" t="str">
            <v/>
          </cell>
          <cell r="AW213">
            <v>47</v>
          </cell>
          <cell r="AX213">
            <v>47</v>
          </cell>
          <cell r="AY213">
            <v>35</v>
          </cell>
          <cell r="AZ213">
            <v>0</v>
          </cell>
          <cell r="BA213">
            <v>0</v>
          </cell>
          <cell r="BB213">
            <v>47</v>
          </cell>
          <cell r="BC213">
            <v>47</v>
          </cell>
          <cell r="BD213">
            <v>35</v>
          </cell>
          <cell r="BE213">
            <v>0</v>
          </cell>
          <cell r="BF213">
            <v>0</v>
          </cell>
          <cell r="BG213">
            <v>20</v>
          </cell>
          <cell r="BH213">
            <v>47</v>
          </cell>
          <cell r="BI213">
            <v>47</v>
          </cell>
          <cell r="BJ213">
            <v>35</v>
          </cell>
          <cell r="BK213">
            <v>0</v>
          </cell>
          <cell r="BL213">
            <v>0</v>
          </cell>
          <cell r="BM213" t="str">
            <v/>
          </cell>
          <cell r="BN213">
            <v>149</v>
          </cell>
          <cell r="BO213">
            <v>0</v>
          </cell>
          <cell r="BP213">
            <v>47</v>
          </cell>
          <cell r="BQ213">
            <v>0</v>
          </cell>
          <cell r="BR213">
            <v>35</v>
          </cell>
          <cell r="BS213">
            <v>0</v>
          </cell>
          <cell r="BT213">
            <v>0</v>
          </cell>
          <cell r="BU213" t="str">
            <v/>
          </cell>
          <cell r="BV213">
            <v>82</v>
          </cell>
          <cell r="BW213">
            <v>3</v>
          </cell>
          <cell r="BX213" t="str">
            <v>DOWNGRADE</v>
          </cell>
          <cell r="BY213" t="str">
            <v>RESET</v>
          </cell>
        </row>
        <row r="214">
          <cell r="A214" t="str">
            <v>A1954</v>
          </cell>
          <cell r="B214" t="str">
            <v>Jelita Ayunda Fitria</v>
          </cell>
          <cell r="C214" t="str">
            <v>DELTA</v>
          </cell>
          <cell r="D214">
            <v>45040</v>
          </cell>
          <cell r="E214" t="str">
            <v>Apr-23</v>
          </cell>
          <cell r="F214" t="str">
            <v>EKSKLUSIF</v>
          </cell>
          <cell r="G214" t="str">
            <v>EKSKLUSIF</v>
          </cell>
          <cell r="H214" t="str">
            <v>EKSKLUSIF</v>
          </cell>
          <cell r="I214" t="str">
            <v>EKSKLUSIF</v>
          </cell>
          <cell r="J214" t="str">
            <v>EKSKLUSIF</v>
          </cell>
          <cell r="K214" t="str">
            <v>EKSKLUSIF</v>
          </cell>
          <cell r="L214" t="str">
            <v>EKSKLUSIF</v>
          </cell>
          <cell r="M214">
            <v>21</v>
          </cell>
          <cell r="N214">
            <v>47</v>
          </cell>
          <cell r="O214">
            <v>41</v>
          </cell>
          <cell r="P214">
            <v>42</v>
          </cell>
          <cell r="Q214">
            <v>39</v>
          </cell>
          <cell r="R214">
            <v>44</v>
          </cell>
          <cell r="S214">
            <v>21</v>
          </cell>
          <cell r="T214">
            <v>255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 t="str">
            <v>TIDAK</v>
          </cell>
          <cell r="AE214" t="str">
            <v>TIDAK</v>
          </cell>
          <cell r="AF214">
            <v>0</v>
          </cell>
          <cell r="AG214">
            <v>2</v>
          </cell>
          <cell r="AH214" t="str">
            <v>SAPHIRE</v>
          </cell>
          <cell r="AI214">
            <v>0</v>
          </cell>
          <cell r="AJ214" t="str">
            <v>FALSE</v>
          </cell>
          <cell r="AK214">
            <v>0</v>
          </cell>
          <cell r="AL214">
            <v>45261</v>
          </cell>
          <cell r="AM214">
            <v>45701</v>
          </cell>
          <cell r="AN214">
            <v>1</v>
          </cell>
          <cell r="AO214">
            <v>0</v>
          </cell>
          <cell r="AP214" t="str">
            <v>EKSKLUSIF</v>
          </cell>
          <cell r="AQ214" t="str">
            <v>-</v>
          </cell>
          <cell r="AR214" t="str">
            <v>EKSKLUSIF</v>
          </cell>
          <cell r="AS214" t="str">
            <v>EKSKLUSIF</v>
          </cell>
          <cell r="AT214" t="str">
            <v>EKSKLUSIF</v>
          </cell>
          <cell r="AU214" t="str">
            <v>EKSKLUSIF</v>
          </cell>
          <cell r="AV214" t="str">
            <v/>
          </cell>
          <cell r="AW214">
            <v>48</v>
          </cell>
          <cell r="AX214">
            <v>48</v>
          </cell>
          <cell r="AY214">
            <v>44</v>
          </cell>
          <cell r="AZ214">
            <v>50</v>
          </cell>
          <cell r="BA214">
            <v>45</v>
          </cell>
          <cell r="BB214">
            <v>48</v>
          </cell>
          <cell r="BC214">
            <v>48</v>
          </cell>
          <cell r="BD214">
            <v>44</v>
          </cell>
          <cell r="BE214">
            <v>50</v>
          </cell>
          <cell r="BF214">
            <v>45</v>
          </cell>
          <cell r="BG214">
            <v>20</v>
          </cell>
          <cell r="BH214">
            <v>48</v>
          </cell>
          <cell r="BI214">
            <v>48</v>
          </cell>
          <cell r="BJ214">
            <v>44</v>
          </cell>
          <cell r="BK214">
            <v>50</v>
          </cell>
          <cell r="BL214">
            <v>45</v>
          </cell>
          <cell r="BM214">
            <v>22</v>
          </cell>
          <cell r="BN214">
            <v>277</v>
          </cell>
          <cell r="BO214">
            <v>0</v>
          </cell>
          <cell r="BP214">
            <v>48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22</v>
          </cell>
          <cell r="BV214">
            <v>70</v>
          </cell>
          <cell r="BW214">
            <v>0</v>
          </cell>
          <cell r="BX214" t="str">
            <v>TIDAK</v>
          </cell>
          <cell r="BY214" t="str">
            <v>TIDAK</v>
          </cell>
        </row>
        <row r="215">
          <cell r="A215" t="str">
            <v>A2555</v>
          </cell>
          <cell r="B215" t="str">
            <v>Jhosua Marchellino Jhoes Matindas</v>
          </cell>
          <cell r="C215" t="str">
            <v>DELTA</v>
          </cell>
          <cell r="D215">
            <v>45079</v>
          </cell>
          <cell r="E215" t="str">
            <v>Jun-23</v>
          </cell>
          <cell r="F215" t="str">
            <v>-</v>
          </cell>
          <cell r="G215" t="str">
            <v>-</v>
          </cell>
          <cell r="H215" t="str">
            <v>REGULER</v>
          </cell>
          <cell r="I215" t="str">
            <v>-</v>
          </cell>
          <cell r="J215" t="str">
            <v>-</v>
          </cell>
          <cell r="K215" t="str">
            <v>-</v>
          </cell>
          <cell r="L215" t="str">
            <v>-</v>
          </cell>
          <cell r="M215">
            <v>0</v>
          </cell>
          <cell r="N215">
            <v>0</v>
          </cell>
          <cell r="O215">
            <v>20</v>
          </cell>
          <cell r="P215">
            <v>0</v>
          </cell>
          <cell r="Q215">
            <v>0</v>
          </cell>
          <cell r="R215">
            <v>0</v>
          </cell>
          <cell r="S215" t="str">
            <v/>
          </cell>
          <cell r="T215">
            <v>20</v>
          </cell>
          <cell r="U215">
            <v>0</v>
          </cell>
          <cell r="V215">
            <v>0</v>
          </cell>
          <cell r="W215">
            <v>20</v>
          </cell>
          <cell r="X215">
            <v>0</v>
          </cell>
          <cell r="Y215">
            <v>0</v>
          </cell>
          <cell r="Z215">
            <v>0</v>
          </cell>
          <cell r="AA215" t="str">
            <v/>
          </cell>
          <cell r="AB215">
            <v>20</v>
          </cell>
          <cell r="AC215">
            <v>6</v>
          </cell>
          <cell r="AD215" t="str">
            <v>DOWNGRADE</v>
          </cell>
          <cell r="AE215" t="str">
            <v>RESET</v>
          </cell>
          <cell r="AF215">
            <v>0</v>
          </cell>
          <cell r="AG215">
            <v>2</v>
          </cell>
          <cell r="AH215" t="str">
            <v>SAPHIRE</v>
          </cell>
          <cell r="AI215">
            <v>0</v>
          </cell>
          <cell r="AJ215" t="str">
            <v>FALSE</v>
          </cell>
          <cell r="AK215">
            <v>0</v>
          </cell>
          <cell r="AL215">
            <v>45261</v>
          </cell>
          <cell r="AM215">
            <v>45701</v>
          </cell>
          <cell r="AN215">
            <v>1</v>
          </cell>
          <cell r="AO215">
            <v>0</v>
          </cell>
          <cell r="AP215" t="str">
            <v>-</v>
          </cell>
          <cell r="AQ215" t="str">
            <v>-</v>
          </cell>
          <cell r="AR215" t="str">
            <v>-</v>
          </cell>
          <cell r="AS215" t="str">
            <v>-</v>
          </cell>
          <cell r="AT215" t="str">
            <v>-</v>
          </cell>
          <cell r="AU215" t="str">
            <v>-</v>
          </cell>
          <cell r="AV215" t="str">
            <v/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 t="str">
            <v/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 t="str">
            <v/>
          </cell>
          <cell r="BN215">
            <v>0</v>
          </cell>
          <cell r="BO215" t="str">
            <v/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 t="str">
            <v/>
          </cell>
          <cell r="BV215">
            <v>0</v>
          </cell>
          <cell r="BW215">
            <v>7</v>
          </cell>
          <cell r="BX215" t="str">
            <v>DOWNGRADE</v>
          </cell>
          <cell r="BY215" t="str">
            <v>RESET</v>
          </cell>
        </row>
        <row r="216">
          <cell r="A216" t="str">
            <v>A0458</v>
          </cell>
          <cell r="B216" t="str">
            <v>Joko Slameto</v>
          </cell>
          <cell r="C216" t="str">
            <v>DELTA</v>
          </cell>
          <cell r="D216">
            <v>44868</v>
          </cell>
          <cell r="E216" t="str">
            <v>Nov-22</v>
          </cell>
          <cell r="F216" t="str">
            <v>EKSKLUSIF</v>
          </cell>
          <cell r="G216" t="str">
            <v>EKSKLUSIF</v>
          </cell>
          <cell r="H216" t="str">
            <v>EKSKLUSIF</v>
          </cell>
          <cell r="I216" t="str">
            <v>EKSKLUSIF</v>
          </cell>
          <cell r="J216" t="str">
            <v>EKSKLUSIF</v>
          </cell>
          <cell r="K216" t="str">
            <v>EKSKLUSIF</v>
          </cell>
          <cell r="L216" t="str">
            <v>-</v>
          </cell>
          <cell r="M216">
            <v>22</v>
          </cell>
          <cell r="N216">
            <v>46</v>
          </cell>
          <cell r="O216">
            <v>42</v>
          </cell>
          <cell r="P216">
            <v>42</v>
          </cell>
          <cell r="Q216">
            <v>37</v>
          </cell>
          <cell r="R216">
            <v>44</v>
          </cell>
          <cell r="S216" t="str">
            <v/>
          </cell>
          <cell r="T216">
            <v>233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 t="str">
            <v/>
          </cell>
          <cell r="AB216">
            <v>0</v>
          </cell>
          <cell r="AC216">
            <v>1</v>
          </cell>
          <cell r="AD216" t="str">
            <v>TIDAK</v>
          </cell>
          <cell r="AE216" t="str">
            <v>TIDAK</v>
          </cell>
          <cell r="AF216">
            <v>0</v>
          </cell>
          <cell r="AG216">
            <v>2</v>
          </cell>
          <cell r="AH216" t="str">
            <v>SAPHIRE</v>
          </cell>
          <cell r="AI216">
            <v>0</v>
          </cell>
          <cell r="AJ216" t="str">
            <v>FALSE</v>
          </cell>
          <cell r="AK216">
            <v>0</v>
          </cell>
          <cell r="AL216">
            <v>45261</v>
          </cell>
          <cell r="AM216">
            <v>45701</v>
          </cell>
          <cell r="AN216">
            <v>1</v>
          </cell>
          <cell r="AO216">
            <v>0</v>
          </cell>
          <cell r="AP216" t="str">
            <v>-</v>
          </cell>
          <cell r="AQ216" t="str">
            <v>-</v>
          </cell>
          <cell r="AR216" t="str">
            <v>EKSKLUSIF</v>
          </cell>
          <cell r="AS216" t="str">
            <v>EKSKLUSIF</v>
          </cell>
          <cell r="AT216" t="str">
            <v>EKSKLUSIF</v>
          </cell>
          <cell r="AU216" t="str">
            <v>EKSKLUSIF</v>
          </cell>
          <cell r="AV216" t="str">
            <v/>
          </cell>
          <cell r="AW216">
            <v>26</v>
          </cell>
          <cell r="AX216">
            <v>46</v>
          </cell>
          <cell r="AY216">
            <v>40</v>
          </cell>
          <cell r="AZ216">
            <v>48</v>
          </cell>
          <cell r="BA216">
            <v>43</v>
          </cell>
          <cell r="BB216">
            <v>26</v>
          </cell>
          <cell r="BC216">
            <v>46</v>
          </cell>
          <cell r="BD216">
            <v>40</v>
          </cell>
          <cell r="BE216">
            <v>48</v>
          </cell>
          <cell r="BF216">
            <v>43</v>
          </cell>
          <cell r="BG216" t="str">
            <v/>
          </cell>
          <cell r="BH216">
            <v>26</v>
          </cell>
          <cell r="BI216">
            <v>46</v>
          </cell>
          <cell r="BJ216">
            <v>40</v>
          </cell>
          <cell r="BK216">
            <v>48</v>
          </cell>
          <cell r="BL216">
            <v>43</v>
          </cell>
          <cell r="BM216">
            <v>20</v>
          </cell>
          <cell r="BN216">
            <v>223</v>
          </cell>
          <cell r="BO216" t="str">
            <v/>
          </cell>
          <cell r="BP216">
            <v>26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20</v>
          </cell>
          <cell r="BV216">
            <v>46</v>
          </cell>
          <cell r="BW216">
            <v>1</v>
          </cell>
          <cell r="BX216" t="str">
            <v>TIDAK</v>
          </cell>
          <cell r="BY216" t="str">
            <v>TIDAK</v>
          </cell>
        </row>
        <row r="217">
          <cell r="A217" t="str">
            <v>A1432</v>
          </cell>
          <cell r="B217" t="str">
            <v>Joko Winarno</v>
          </cell>
          <cell r="C217" t="str">
            <v>DELTA</v>
          </cell>
          <cell r="D217">
            <v>45002</v>
          </cell>
          <cell r="E217" t="str">
            <v>Mar-23</v>
          </cell>
          <cell r="F217" t="str">
            <v>-</v>
          </cell>
          <cell r="G217" t="str">
            <v>-</v>
          </cell>
          <cell r="H217" t="str">
            <v>-</v>
          </cell>
          <cell r="I217" t="str">
            <v>REGULER</v>
          </cell>
          <cell r="J217" t="str">
            <v>REGULER</v>
          </cell>
          <cell r="K217" t="str">
            <v>REGULER</v>
          </cell>
          <cell r="L217" t="str">
            <v>-</v>
          </cell>
          <cell r="M217">
            <v>0</v>
          </cell>
          <cell r="N217">
            <v>0</v>
          </cell>
          <cell r="O217">
            <v>0</v>
          </cell>
          <cell r="P217">
            <v>3</v>
          </cell>
          <cell r="Q217">
            <v>3</v>
          </cell>
          <cell r="R217">
            <v>10</v>
          </cell>
          <cell r="S217" t="str">
            <v/>
          </cell>
          <cell r="T217">
            <v>16</v>
          </cell>
          <cell r="U217">
            <v>0</v>
          </cell>
          <cell r="V217">
            <v>0</v>
          </cell>
          <cell r="W217">
            <v>0</v>
          </cell>
          <cell r="X217">
            <v>3</v>
          </cell>
          <cell r="Y217">
            <v>3</v>
          </cell>
          <cell r="Z217">
            <v>10</v>
          </cell>
          <cell r="AA217" t="str">
            <v/>
          </cell>
          <cell r="AB217">
            <v>16</v>
          </cell>
          <cell r="AC217">
            <v>4</v>
          </cell>
          <cell r="AD217" t="str">
            <v>DOWNGRADE</v>
          </cell>
          <cell r="AE217" t="str">
            <v>RESET</v>
          </cell>
          <cell r="AF217">
            <v>0</v>
          </cell>
          <cell r="AG217">
            <v>2</v>
          </cell>
          <cell r="AH217" t="str">
            <v>SAPHIRE</v>
          </cell>
          <cell r="AI217">
            <v>0</v>
          </cell>
          <cell r="AJ217" t="str">
            <v>FALSE</v>
          </cell>
          <cell r="AK217">
            <v>0</v>
          </cell>
          <cell r="AL217">
            <v>45261</v>
          </cell>
          <cell r="AM217">
            <v>45701</v>
          </cell>
          <cell r="AN217">
            <v>1</v>
          </cell>
          <cell r="AO217">
            <v>0</v>
          </cell>
          <cell r="AP217" t="str">
            <v>-</v>
          </cell>
          <cell r="AQ217" t="str">
            <v>-</v>
          </cell>
          <cell r="AR217" t="str">
            <v>-</v>
          </cell>
          <cell r="AS217" t="str">
            <v>-</v>
          </cell>
          <cell r="AT217" t="str">
            <v>-</v>
          </cell>
          <cell r="AU217" t="str">
            <v>-</v>
          </cell>
          <cell r="AV217" t="str">
            <v/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 t="str">
            <v/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 t="str">
            <v/>
          </cell>
          <cell r="BN217">
            <v>0</v>
          </cell>
          <cell r="BO217" t="str">
            <v/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 t="str">
            <v/>
          </cell>
          <cell r="BV217">
            <v>0</v>
          </cell>
          <cell r="BW217">
            <v>7</v>
          </cell>
          <cell r="BX217" t="str">
            <v>DOWNGRADE</v>
          </cell>
          <cell r="BY217" t="str">
            <v>RESET</v>
          </cell>
        </row>
        <row r="218">
          <cell r="A218" t="str">
            <v>A3480</v>
          </cell>
          <cell r="B218" t="str">
            <v>Juan Rafael Nazareth</v>
          </cell>
          <cell r="C218" t="str">
            <v>DELTA</v>
          </cell>
          <cell r="D218">
            <v>45306</v>
          </cell>
          <cell r="E218" t="str">
            <v>Jan-24</v>
          </cell>
          <cell r="F218" t="str">
            <v>-</v>
          </cell>
          <cell r="G218" t="str">
            <v>REGULER</v>
          </cell>
          <cell r="H218" t="str">
            <v>REGULER</v>
          </cell>
          <cell r="I218" t="str">
            <v>REGULER</v>
          </cell>
          <cell r="J218" t="str">
            <v>-</v>
          </cell>
          <cell r="K218" t="str">
            <v>-</v>
          </cell>
          <cell r="L218" t="str">
            <v>-</v>
          </cell>
          <cell r="M218">
            <v>0</v>
          </cell>
          <cell r="N218">
            <v>12</v>
          </cell>
          <cell r="O218">
            <v>4</v>
          </cell>
          <cell r="P218">
            <v>3</v>
          </cell>
          <cell r="Q218">
            <v>0</v>
          </cell>
          <cell r="R218">
            <v>0</v>
          </cell>
          <cell r="S218" t="str">
            <v/>
          </cell>
          <cell r="T218">
            <v>19</v>
          </cell>
          <cell r="U218">
            <v>0</v>
          </cell>
          <cell r="V218">
            <v>12</v>
          </cell>
          <cell r="W218">
            <v>4</v>
          </cell>
          <cell r="X218">
            <v>3</v>
          </cell>
          <cell r="Y218">
            <v>0</v>
          </cell>
          <cell r="Z218">
            <v>0</v>
          </cell>
          <cell r="AA218" t="str">
            <v/>
          </cell>
          <cell r="AB218">
            <v>19</v>
          </cell>
          <cell r="AC218">
            <v>3</v>
          </cell>
          <cell r="AD218" t="str">
            <v>DOWNGRADE</v>
          </cell>
          <cell r="AE218" t="str">
            <v>RESET</v>
          </cell>
          <cell r="AF218">
            <v>0</v>
          </cell>
          <cell r="AG218">
            <v>2</v>
          </cell>
          <cell r="AH218" t="str">
            <v>SAPHIRE</v>
          </cell>
          <cell r="AI218">
            <v>0</v>
          </cell>
          <cell r="AJ218" t="str">
            <v>FALSE</v>
          </cell>
          <cell r="AK218">
            <v>0</v>
          </cell>
          <cell r="AL218">
            <v>45261</v>
          </cell>
          <cell r="AM218">
            <v>45701</v>
          </cell>
          <cell r="AN218">
            <v>1</v>
          </cell>
          <cell r="AO218">
            <v>0</v>
          </cell>
          <cell r="AP218" t="str">
            <v>-</v>
          </cell>
          <cell r="AQ218" t="str">
            <v>-</v>
          </cell>
          <cell r="AR218" t="str">
            <v>-</v>
          </cell>
          <cell r="AS218" t="str">
            <v>-</v>
          </cell>
          <cell r="AT218" t="str">
            <v>-</v>
          </cell>
          <cell r="AU218" t="str">
            <v>-</v>
          </cell>
          <cell r="AV218" t="str">
            <v/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 t="str">
            <v/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 t="str">
            <v/>
          </cell>
          <cell r="BN218">
            <v>0</v>
          </cell>
          <cell r="BO218" t="str">
            <v/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 t="str">
            <v/>
          </cell>
          <cell r="BV218">
            <v>0</v>
          </cell>
          <cell r="BW218">
            <v>7</v>
          </cell>
          <cell r="BX218" t="str">
            <v>DOWNGRADE</v>
          </cell>
          <cell r="BY218" t="str">
            <v>RESET</v>
          </cell>
        </row>
        <row r="219">
          <cell r="A219" t="str">
            <v>A1717</v>
          </cell>
          <cell r="B219" t="str">
            <v>Kartika Purnomo</v>
          </cell>
          <cell r="C219" t="str">
            <v>DELTA</v>
          </cell>
          <cell r="D219">
            <v>44986</v>
          </cell>
          <cell r="E219" t="str">
            <v>Mar-23</v>
          </cell>
          <cell r="F219" t="str">
            <v>REGULER</v>
          </cell>
          <cell r="G219" t="str">
            <v>REGULER</v>
          </cell>
          <cell r="H219" t="str">
            <v>-</v>
          </cell>
          <cell r="I219" t="str">
            <v>-</v>
          </cell>
          <cell r="J219" t="str">
            <v>-</v>
          </cell>
          <cell r="K219" t="str">
            <v>-</v>
          </cell>
          <cell r="L219" t="str">
            <v>-</v>
          </cell>
          <cell r="M219">
            <v>15</v>
          </cell>
          <cell r="N219">
            <v>17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 t="str">
            <v/>
          </cell>
          <cell r="T219">
            <v>32</v>
          </cell>
          <cell r="U219">
            <v>15</v>
          </cell>
          <cell r="V219">
            <v>17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 t="str">
            <v/>
          </cell>
          <cell r="AB219">
            <v>32</v>
          </cell>
          <cell r="AC219">
            <v>5</v>
          </cell>
          <cell r="AD219" t="str">
            <v>DOWNGRADE</v>
          </cell>
          <cell r="AE219" t="str">
            <v>RESET</v>
          </cell>
          <cell r="AF219">
            <v>0</v>
          </cell>
          <cell r="AG219">
            <v>2</v>
          </cell>
          <cell r="AH219" t="str">
            <v>SAPHIRE</v>
          </cell>
          <cell r="AI219">
            <v>0</v>
          </cell>
          <cell r="AJ219" t="str">
            <v>FALSE</v>
          </cell>
          <cell r="AK219">
            <v>0</v>
          </cell>
          <cell r="AL219">
            <v>45261</v>
          </cell>
          <cell r="AM219">
            <v>45701</v>
          </cell>
          <cell r="AN219">
            <v>1</v>
          </cell>
          <cell r="AO219">
            <v>0</v>
          </cell>
          <cell r="AP219" t="str">
            <v>-</v>
          </cell>
          <cell r="AQ219" t="str">
            <v>-</v>
          </cell>
          <cell r="AR219" t="str">
            <v>-</v>
          </cell>
          <cell r="AS219" t="str">
            <v>-</v>
          </cell>
          <cell r="AT219" t="str">
            <v>-</v>
          </cell>
          <cell r="AU219" t="str">
            <v>-</v>
          </cell>
          <cell r="AV219" t="str">
            <v/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 t="str">
            <v/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 t="str">
            <v/>
          </cell>
          <cell r="BN219">
            <v>0</v>
          </cell>
          <cell r="BO219" t="str">
            <v/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 t="str">
            <v/>
          </cell>
          <cell r="BV219">
            <v>0</v>
          </cell>
          <cell r="BW219">
            <v>7</v>
          </cell>
          <cell r="BX219" t="str">
            <v>DOWNGRADE</v>
          </cell>
          <cell r="BY219" t="str">
            <v>RESET</v>
          </cell>
        </row>
        <row r="220">
          <cell r="A220" t="str">
            <v>A1842</v>
          </cell>
          <cell r="B220" t="str">
            <v>Kelpin Pontius Aron</v>
          </cell>
          <cell r="C220" t="str">
            <v>DELTA</v>
          </cell>
          <cell r="D220">
            <v>45033</v>
          </cell>
          <cell r="E220" t="str">
            <v>Apr-23</v>
          </cell>
          <cell r="F220" t="str">
            <v>EKSKLUSIF</v>
          </cell>
          <cell r="G220" t="str">
            <v>EKSKLUSIF</v>
          </cell>
          <cell r="H220" t="str">
            <v>-</v>
          </cell>
          <cell r="I220" t="str">
            <v>EKSKLUSIF</v>
          </cell>
          <cell r="J220" t="str">
            <v>EKSKLUSIF</v>
          </cell>
          <cell r="K220" t="str">
            <v>EKSKLUSIF</v>
          </cell>
          <cell r="L220" t="str">
            <v>EKSKLUSIF</v>
          </cell>
          <cell r="M220">
            <v>20</v>
          </cell>
          <cell r="N220">
            <v>45</v>
          </cell>
          <cell r="O220">
            <v>0</v>
          </cell>
          <cell r="P220">
            <v>43</v>
          </cell>
          <cell r="Q220">
            <v>38</v>
          </cell>
          <cell r="R220">
            <v>43</v>
          </cell>
          <cell r="S220">
            <v>21</v>
          </cell>
          <cell r="T220">
            <v>210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1</v>
          </cell>
          <cell r="AD220" t="str">
            <v>TIDAK</v>
          </cell>
          <cell r="AE220" t="str">
            <v>TIDAK</v>
          </cell>
          <cell r="AF220">
            <v>0</v>
          </cell>
          <cell r="AG220">
            <v>2</v>
          </cell>
          <cell r="AH220" t="str">
            <v>SAPHIRE</v>
          </cell>
          <cell r="AI220">
            <v>0</v>
          </cell>
          <cell r="AJ220" t="str">
            <v>FALSE</v>
          </cell>
          <cell r="AK220">
            <v>0</v>
          </cell>
          <cell r="AL220">
            <v>45261</v>
          </cell>
          <cell r="AM220">
            <v>45701</v>
          </cell>
          <cell r="AN220">
            <v>1</v>
          </cell>
          <cell r="AO220">
            <v>0</v>
          </cell>
          <cell r="AP220" t="str">
            <v>EKSKLUSIF</v>
          </cell>
          <cell r="AQ220" t="str">
            <v>-</v>
          </cell>
          <cell r="AR220" t="str">
            <v>EKSKLUSIF</v>
          </cell>
          <cell r="AS220" t="str">
            <v>EKSKLUSIF</v>
          </cell>
          <cell r="AT220" t="str">
            <v>EKSKLUSIF</v>
          </cell>
          <cell r="AU220" t="str">
            <v>EKSKLUSIF</v>
          </cell>
          <cell r="AV220" t="str">
            <v/>
          </cell>
          <cell r="AW220">
            <v>49</v>
          </cell>
          <cell r="AX220">
            <v>48</v>
          </cell>
          <cell r="AY220">
            <v>43</v>
          </cell>
          <cell r="AZ220">
            <v>49</v>
          </cell>
          <cell r="BA220">
            <v>46</v>
          </cell>
          <cell r="BB220">
            <v>49</v>
          </cell>
          <cell r="BC220">
            <v>48</v>
          </cell>
          <cell r="BD220">
            <v>43</v>
          </cell>
          <cell r="BE220">
            <v>49</v>
          </cell>
          <cell r="BF220">
            <v>46</v>
          </cell>
          <cell r="BG220">
            <v>20</v>
          </cell>
          <cell r="BH220">
            <v>49</v>
          </cell>
          <cell r="BI220">
            <v>48</v>
          </cell>
          <cell r="BJ220">
            <v>43</v>
          </cell>
          <cell r="BK220">
            <v>49</v>
          </cell>
          <cell r="BL220">
            <v>46</v>
          </cell>
          <cell r="BM220">
            <v>15</v>
          </cell>
          <cell r="BN220">
            <v>270</v>
          </cell>
          <cell r="BO220">
            <v>0</v>
          </cell>
          <cell r="BP220">
            <v>49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15</v>
          </cell>
          <cell r="BV220">
            <v>64</v>
          </cell>
          <cell r="BW220">
            <v>0</v>
          </cell>
          <cell r="BX220" t="str">
            <v>TIDAK</v>
          </cell>
          <cell r="BY220" t="str">
            <v>TIDAK</v>
          </cell>
        </row>
        <row r="221">
          <cell r="A221" t="str">
            <v>A0487</v>
          </cell>
          <cell r="B221" t="str">
            <v>Kezia Chris Novitiya</v>
          </cell>
          <cell r="C221" t="str">
            <v>DELTA</v>
          </cell>
          <cell r="D221">
            <v>44877</v>
          </cell>
          <cell r="E221" t="str">
            <v>Nov-22</v>
          </cell>
          <cell r="F221" t="str">
            <v>REGULER</v>
          </cell>
          <cell r="G221" t="str">
            <v>REGULER</v>
          </cell>
          <cell r="H221" t="str">
            <v>REGULER</v>
          </cell>
          <cell r="I221" t="str">
            <v>REGULER</v>
          </cell>
          <cell r="J221" t="str">
            <v>REGULER</v>
          </cell>
          <cell r="K221" t="str">
            <v>-</v>
          </cell>
          <cell r="L221" t="str">
            <v>-</v>
          </cell>
          <cell r="M221">
            <v>7</v>
          </cell>
          <cell r="N221">
            <v>20</v>
          </cell>
          <cell r="O221">
            <v>30</v>
          </cell>
          <cell r="P221">
            <v>15</v>
          </cell>
          <cell r="Q221">
            <v>15</v>
          </cell>
          <cell r="R221">
            <v>0</v>
          </cell>
          <cell r="S221" t="str">
            <v/>
          </cell>
          <cell r="T221">
            <v>87</v>
          </cell>
          <cell r="U221">
            <v>7</v>
          </cell>
          <cell r="V221">
            <v>20</v>
          </cell>
          <cell r="W221">
            <v>30</v>
          </cell>
          <cell r="X221">
            <v>15</v>
          </cell>
          <cell r="Y221">
            <v>15</v>
          </cell>
          <cell r="Z221">
            <v>0</v>
          </cell>
          <cell r="AA221" t="str">
            <v/>
          </cell>
          <cell r="AB221">
            <v>87</v>
          </cell>
          <cell r="AC221">
            <v>2</v>
          </cell>
          <cell r="AD221" t="str">
            <v>TIDAK</v>
          </cell>
          <cell r="AE221" t="str">
            <v>TIDAK</v>
          </cell>
          <cell r="AF221">
            <v>87</v>
          </cell>
          <cell r="AG221">
            <v>2</v>
          </cell>
          <cell r="AH221" t="str">
            <v>SAPHIRE</v>
          </cell>
          <cell r="AI221">
            <v>0</v>
          </cell>
          <cell r="AJ221" t="str">
            <v>Y</v>
          </cell>
          <cell r="AK221">
            <v>0</v>
          </cell>
          <cell r="AL221">
            <v>45261</v>
          </cell>
          <cell r="AM221">
            <v>45701</v>
          </cell>
          <cell r="AN221">
            <v>1</v>
          </cell>
          <cell r="AO221">
            <v>87</v>
          </cell>
          <cell r="AP221" t="str">
            <v>-</v>
          </cell>
          <cell r="AQ221" t="str">
            <v>-</v>
          </cell>
          <cell r="AR221" t="str">
            <v>-</v>
          </cell>
          <cell r="AS221" t="str">
            <v>REGULER</v>
          </cell>
          <cell r="AT221" t="str">
            <v>-</v>
          </cell>
          <cell r="AU221" t="str">
            <v>-</v>
          </cell>
          <cell r="AV221" t="str">
            <v/>
          </cell>
          <cell r="AW221">
            <v>4</v>
          </cell>
          <cell r="AX221">
            <v>0</v>
          </cell>
          <cell r="AY221">
            <v>1</v>
          </cell>
          <cell r="AZ221">
            <v>0</v>
          </cell>
          <cell r="BA221">
            <v>0</v>
          </cell>
          <cell r="BB221">
            <v>4</v>
          </cell>
          <cell r="BC221">
            <v>0</v>
          </cell>
          <cell r="BD221">
            <v>1</v>
          </cell>
          <cell r="BE221">
            <v>0</v>
          </cell>
          <cell r="BF221">
            <v>0</v>
          </cell>
          <cell r="BG221" t="str">
            <v/>
          </cell>
          <cell r="BH221">
            <v>4</v>
          </cell>
          <cell r="BI221">
            <v>0</v>
          </cell>
          <cell r="BJ221">
            <v>1</v>
          </cell>
          <cell r="BK221">
            <v>0</v>
          </cell>
          <cell r="BL221">
            <v>0</v>
          </cell>
          <cell r="BM221" t="str">
            <v/>
          </cell>
          <cell r="BN221">
            <v>5</v>
          </cell>
          <cell r="BO221" t="str">
            <v/>
          </cell>
          <cell r="BP221">
            <v>4</v>
          </cell>
          <cell r="BQ221">
            <v>0</v>
          </cell>
          <cell r="BR221">
            <v>1</v>
          </cell>
          <cell r="BS221">
            <v>0</v>
          </cell>
          <cell r="BT221">
            <v>0</v>
          </cell>
          <cell r="BU221" t="str">
            <v/>
          </cell>
          <cell r="BV221">
            <v>5</v>
          </cell>
          <cell r="BW221">
            <v>5</v>
          </cell>
          <cell r="BX221" t="str">
            <v>DOWNGRADE</v>
          </cell>
          <cell r="BY221" t="str">
            <v>RESET</v>
          </cell>
        </row>
        <row r="222">
          <cell r="A222" t="str">
            <v>A2462</v>
          </cell>
          <cell r="B222" t="str">
            <v>Khusnul Khatimah</v>
          </cell>
          <cell r="C222" t="str">
            <v>DELTA</v>
          </cell>
          <cell r="D222">
            <v>45089</v>
          </cell>
          <cell r="E222" t="str">
            <v>Jun-23</v>
          </cell>
          <cell r="F222" t="str">
            <v>EKSKLUSIF</v>
          </cell>
          <cell r="G222" t="str">
            <v>EKSKLUSIF</v>
          </cell>
          <cell r="H222" t="str">
            <v>REGULER</v>
          </cell>
          <cell r="I222" t="str">
            <v>REGULER</v>
          </cell>
          <cell r="J222" t="str">
            <v>REGULER</v>
          </cell>
          <cell r="K222" t="str">
            <v>EKSKLUSIF</v>
          </cell>
          <cell r="L222" t="str">
            <v>EKSKLUSIF</v>
          </cell>
          <cell r="M222">
            <v>22</v>
          </cell>
          <cell r="N222">
            <v>48</v>
          </cell>
          <cell r="O222">
            <v>42</v>
          </cell>
          <cell r="P222">
            <v>38</v>
          </cell>
          <cell r="Q222">
            <v>23</v>
          </cell>
          <cell r="R222">
            <v>42</v>
          </cell>
          <cell r="S222">
            <v>22</v>
          </cell>
          <cell r="T222">
            <v>237</v>
          </cell>
          <cell r="U222">
            <v>0</v>
          </cell>
          <cell r="V222">
            <v>0</v>
          </cell>
          <cell r="W222">
            <v>42</v>
          </cell>
          <cell r="X222">
            <v>38</v>
          </cell>
          <cell r="Y222">
            <v>23</v>
          </cell>
          <cell r="Z222">
            <v>0</v>
          </cell>
          <cell r="AA222">
            <v>0</v>
          </cell>
          <cell r="AB222">
            <v>103</v>
          </cell>
          <cell r="AC222">
            <v>0</v>
          </cell>
          <cell r="AD222" t="str">
            <v>TIDAK</v>
          </cell>
          <cell r="AE222" t="str">
            <v>TIDAK</v>
          </cell>
          <cell r="AF222">
            <v>103</v>
          </cell>
          <cell r="AG222">
            <v>2</v>
          </cell>
          <cell r="AH222" t="str">
            <v>SAPHIRE</v>
          </cell>
          <cell r="AI222">
            <v>0</v>
          </cell>
          <cell r="AJ222" t="str">
            <v>Y</v>
          </cell>
          <cell r="AK222">
            <v>0</v>
          </cell>
          <cell r="AL222">
            <v>45261</v>
          </cell>
          <cell r="AM222">
            <v>45701</v>
          </cell>
          <cell r="AN222">
            <v>1</v>
          </cell>
          <cell r="AO222">
            <v>103</v>
          </cell>
          <cell r="AP222" t="str">
            <v>EKSKLUSIF</v>
          </cell>
          <cell r="AQ222" t="str">
            <v>-</v>
          </cell>
          <cell r="AR222" t="str">
            <v>EKSKLUSIF</v>
          </cell>
          <cell r="AS222" t="str">
            <v>EKSKLUSIF</v>
          </cell>
          <cell r="AT222" t="str">
            <v>EKSKLUSIF</v>
          </cell>
          <cell r="AU222" t="str">
            <v>REGULER</v>
          </cell>
          <cell r="AV222" t="str">
            <v/>
          </cell>
          <cell r="AW222">
            <v>49</v>
          </cell>
          <cell r="AX222">
            <v>49</v>
          </cell>
          <cell r="AY222">
            <v>44</v>
          </cell>
          <cell r="AZ222">
            <v>49</v>
          </cell>
          <cell r="BA222">
            <v>36</v>
          </cell>
          <cell r="BB222">
            <v>49</v>
          </cell>
          <cell r="BC222">
            <v>49</v>
          </cell>
          <cell r="BD222">
            <v>44</v>
          </cell>
          <cell r="BE222">
            <v>49</v>
          </cell>
          <cell r="BF222">
            <v>36</v>
          </cell>
          <cell r="BG222">
            <v>20</v>
          </cell>
          <cell r="BH222">
            <v>49</v>
          </cell>
          <cell r="BI222">
            <v>49</v>
          </cell>
          <cell r="BJ222">
            <v>44</v>
          </cell>
          <cell r="BK222">
            <v>49</v>
          </cell>
          <cell r="BL222">
            <v>36</v>
          </cell>
          <cell r="BM222">
            <v>22</v>
          </cell>
          <cell r="BN222">
            <v>269</v>
          </cell>
          <cell r="BO222">
            <v>0</v>
          </cell>
          <cell r="BP222">
            <v>49</v>
          </cell>
          <cell r="BQ222">
            <v>0</v>
          </cell>
          <cell r="BR222">
            <v>0</v>
          </cell>
          <cell r="BS222">
            <v>0</v>
          </cell>
          <cell r="BT222">
            <v>36</v>
          </cell>
          <cell r="BU222">
            <v>22</v>
          </cell>
          <cell r="BV222">
            <v>107</v>
          </cell>
          <cell r="BW222">
            <v>0</v>
          </cell>
          <cell r="BX222" t="str">
            <v>TIDAK</v>
          </cell>
          <cell r="BY222" t="str">
            <v>TIDAK</v>
          </cell>
        </row>
        <row r="223">
          <cell r="A223" t="str">
            <v>A2145</v>
          </cell>
          <cell r="B223" t="str">
            <v>Laily Fajriyanti</v>
          </cell>
          <cell r="C223" t="str">
            <v>DELTA</v>
          </cell>
          <cell r="D223">
            <v>45048</v>
          </cell>
          <cell r="E223" t="str">
            <v>May-23</v>
          </cell>
          <cell r="F223" t="str">
            <v>REGULER</v>
          </cell>
          <cell r="G223" t="str">
            <v>REGULER</v>
          </cell>
          <cell r="H223" t="str">
            <v>REGULER</v>
          </cell>
          <cell r="I223" t="str">
            <v>REGULER</v>
          </cell>
          <cell r="J223" t="str">
            <v>REGULER</v>
          </cell>
          <cell r="K223" t="str">
            <v>REGULER</v>
          </cell>
          <cell r="L223" t="str">
            <v>REGULER</v>
          </cell>
          <cell r="M223">
            <v>17</v>
          </cell>
          <cell r="N223">
            <v>34</v>
          </cell>
          <cell r="O223">
            <v>32</v>
          </cell>
          <cell r="P223">
            <v>35</v>
          </cell>
          <cell r="Q223">
            <v>32</v>
          </cell>
          <cell r="R223">
            <v>37</v>
          </cell>
          <cell r="S223">
            <v>20</v>
          </cell>
          <cell r="T223">
            <v>207</v>
          </cell>
          <cell r="U223">
            <v>17</v>
          </cell>
          <cell r="V223">
            <v>34</v>
          </cell>
          <cell r="W223">
            <v>32</v>
          </cell>
          <cell r="X223">
            <v>35</v>
          </cell>
          <cell r="Y223">
            <v>32</v>
          </cell>
          <cell r="Z223">
            <v>37</v>
          </cell>
          <cell r="AA223">
            <v>20</v>
          </cell>
          <cell r="AB223">
            <v>207</v>
          </cell>
          <cell r="AC223">
            <v>0</v>
          </cell>
          <cell r="AD223" t="str">
            <v>TIDAK</v>
          </cell>
          <cell r="AE223" t="str">
            <v>TIDAK</v>
          </cell>
          <cell r="AF223">
            <v>207</v>
          </cell>
          <cell r="AG223">
            <v>2</v>
          </cell>
          <cell r="AH223" t="str">
            <v>SAPHIRE</v>
          </cell>
          <cell r="AI223">
            <v>0</v>
          </cell>
          <cell r="AJ223" t="str">
            <v>Y</v>
          </cell>
          <cell r="AK223">
            <v>0</v>
          </cell>
          <cell r="AL223">
            <v>45261</v>
          </cell>
          <cell r="AM223">
            <v>45701</v>
          </cell>
          <cell r="AN223">
            <v>1</v>
          </cell>
          <cell r="AO223">
            <v>207</v>
          </cell>
          <cell r="AP223" t="str">
            <v>-</v>
          </cell>
          <cell r="AQ223" t="str">
            <v>-</v>
          </cell>
          <cell r="AR223" t="str">
            <v>REGULER</v>
          </cell>
          <cell r="AS223" t="str">
            <v>REGULER</v>
          </cell>
          <cell r="AT223" t="str">
            <v>REGULER</v>
          </cell>
          <cell r="AU223" t="str">
            <v>REGULER</v>
          </cell>
          <cell r="AV223" t="str">
            <v/>
          </cell>
          <cell r="AW223">
            <v>45</v>
          </cell>
          <cell r="AX223">
            <v>42</v>
          </cell>
          <cell r="AY223">
            <v>39</v>
          </cell>
          <cell r="AZ223">
            <v>43</v>
          </cell>
          <cell r="BA223">
            <v>38</v>
          </cell>
          <cell r="BB223">
            <v>45</v>
          </cell>
          <cell r="BC223">
            <v>42</v>
          </cell>
          <cell r="BD223">
            <v>39</v>
          </cell>
          <cell r="BE223">
            <v>43</v>
          </cell>
          <cell r="BF223">
            <v>38</v>
          </cell>
          <cell r="BG223">
            <v>16</v>
          </cell>
          <cell r="BH223">
            <v>45</v>
          </cell>
          <cell r="BI223">
            <v>42</v>
          </cell>
          <cell r="BJ223">
            <v>39</v>
          </cell>
          <cell r="BK223">
            <v>43</v>
          </cell>
          <cell r="BL223">
            <v>38</v>
          </cell>
          <cell r="BM223">
            <v>16</v>
          </cell>
          <cell r="BN223">
            <v>239</v>
          </cell>
          <cell r="BO223">
            <v>16</v>
          </cell>
          <cell r="BP223">
            <v>45</v>
          </cell>
          <cell r="BQ223">
            <v>42</v>
          </cell>
          <cell r="BR223">
            <v>39</v>
          </cell>
          <cell r="BS223">
            <v>43</v>
          </cell>
          <cell r="BT223">
            <v>38</v>
          </cell>
          <cell r="BU223">
            <v>16</v>
          </cell>
          <cell r="BV223">
            <v>239</v>
          </cell>
          <cell r="BW223">
            <v>0</v>
          </cell>
          <cell r="BX223" t="str">
            <v>TIDAK</v>
          </cell>
          <cell r="BY223" t="str">
            <v>TIDAK</v>
          </cell>
        </row>
        <row r="224">
          <cell r="A224" t="str">
            <v>A2417</v>
          </cell>
          <cell r="B224" t="str">
            <v>Lalang Winata Bintang Nanoe</v>
          </cell>
          <cell r="C224" t="str">
            <v>DELTA</v>
          </cell>
          <cell r="D224">
            <v>45125</v>
          </cell>
          <cell r="E224" t="str">
            <v>Jul-23</v>
          </cell>
          <cell r="F224" t="str">
            <v>REGULER</v>
          </cell>
          <cell r="G224" t="str">
            <v>REGULER</v>
          </cell>
          <cell r="H224" t="str">
            <v>REGULER</v>
          </cell>
          <cell r="I224" t="str">
            <v>REGULER</v>
          </cell>
          <cell r="J224" t="str">
            <v>REGULER</v>
          </cell>
          <cell r="K224" t="str">
            <v>REGULER</v>
          </cell>
          <cell r="L224" t="str">
            <v>REGULER</v>
          </cell>
          <cell r="M224">
            <v>19</v>
          </cell>
          <cell r="N224">
            <v>10</v>
          </cell>
          <cell r="O224">
            <v>33</v>
          </cell>
          <cell r="P224">
            <v>33</v>
          </cell>
          <cell r="Q224">
            <v>34</v>
          </cell>
          <cell r="R224">
            <v>35</v>
          </cell>
          <cell r="S224">
            <v>21</v>
          </cell>
          <cell r="T224">
            <v>185</v>
          </cell>
          <cell r="U224">
            <v>19</v>
          </cell>
          <cell r="V224">
            <v>10</v>
          </cell>
          <cell r="W224">
            <v>33</v>
          </cell>
          <cell r="X224">
            <v>33</v>
          </cell>
          <cell r="Y224">
            <v>34</v>
          </cell>
          <cell r="Z224">
            <v>35</v>
          </cell>
          <cell r="AA224">
            <v>21</v>
          </cell>
          <cell r="AB224">
            <v>185</v>
          </cell>
          <cell r="AC224">
            <v>0</v>
          </cell>
          <cell r="AD224" t="str">
            <v>TIDAK</v>
          </cell>
          <cell r="AE224" t="str">
            <v>TIDAK</v>
          </cell>
          <cell r="AF224">
            <v>185</v>
          </cell>
          <cell r="AG224">
            <v>2</v>
          </cell>
          <cell r="AH224" t="str">
            <v>SAPHIRE</v>
          </cell>
          <cell r="AI224">
            <v>0</v>
          </cell>
          <cell r="AJ224" t="str">
            <v>Y</v>
          </cell>
          <cell r="AK224">
            <v>0</v>
          </cell>
          <cell r="AL224">
            <v>45261</v>
          </cell>
          <cell r="AM224">
            <v>45701</v>
          </cell>
          <cell r="AN224">
            <v>1</v>
          </cell>
          <cell r="AO224">
            <v>185</v>
          </cell>
          <cell r="AP224" t="str">
            <v>-</v>
          </cell>
          <cell r="AQ224" t="str">
            <v>-</v>
          </cell>
          <cell r="AR224" t="str">
            <v>REGULER</v>
          </cell>
          <cell r="AS224" t="str">
            <v>REGULER</v>
          </cell>
          <cell r="AT224" t="str">
            <v>REGULER</v>
          </cell>
          <cell r="AU224" t="str">
            <v>EKSKLUSIF</v>
          </cell>
          <cell r="AV224" t="str">
            <v/>
          </cell>
          <cell r="AW224">
            <v>43</v>
          </cell>
          <cell r="AX224">
            <v>44</v>
          </cell>
          <cell r="AY224">
            <v>39</v>
          </cell>
          <cell r="AZ224">
            <v>46</v>
          </cell>
          <cell r="BA224">
            <v>44</v>
          </cell>
          <cell r="BB224">
            <v>43</v>
          </cell>
          <cell r="BC224">
            <v>44</v>
          </cell>
          <cell r="BD224">
            <v>39</v>
          </cell>
          <cell r="BE224">
            <v>46</v>
          </cell>
          <cell r="BF224">
            <v>44</v>
          </cell>
          <cell r="BG224">
            <v>15</v>
          </cell>
          <cell r="BH224">
            <v>43</v>
          </cell>
          <cell r="BI224">
            <v>44</v>
          </cell>
          <cell r="BJ224">
            <v>39</v>
          </cell>
          <cell r="BK224">
            <v>46</v>
          </cell>
          <cell r="BL224">
            <v>44</v>
          </cell>
          <cell r="BM224">
            <v>22</v>
          </cell>
          <cell r="BN224">
            <v>253</v>
          </cell>
          <cell r="BO224">
            <v>15</v>
          </cell>
          <cell r="BP224">
            <v>43</v>
          </cell>
          <cell r="BQ224">
            <v>44</v>
          </cell>
          <cell r="BR224">
            <v>39</v>
          </cell>
          <cell r="BS224">
            <v>46</v>
          </cell>
          <cell r="BT224">
            <v>0</v>
          </cell>
          <cell r="BU224">
            <v>22</v>
          </cell>
          <cell r="BV224">
            <v>209</v>
          </cell>
          <cell r="BW224">
            <v>0</v>
          </cell>
          <cell r="BX224" t="str">
            <v>TIDAK</v>
          </cell>
          <cell r="BY224" t="str">
            <v>TIDAK</v>
          </cell>
        </row>
        <row r="225">
          <cell r="A225">
            <v>90355</v>
          </cell>
          <cell r="B225" t="str">
            <v>Lantip Guretno</v>
          </cell>
          <cell r="C225" t="str">
            <v>DELTA</v>
          </cell>
          <cell r="D225">
            <v>45357</v>
          </cell>
          <cell r="E225" t="str">
            <v>Mar-24</v>
          </cell>
          <cell r="F225" t="str">
            <v>-</v>
          </cell>
          <cell r="G225" t="str">
            <v>-</v>
          </cell>
          <cell r="H225" t="str">
            <v>-</v>
          </cell>
          <cell r="I225" t="str">
            <v>REGULER</v>
          </cell>
          <cell r="J225" t="str">
            <v>REGULER</v>
          </cell>
          <cell r="K225" t="str">
            <v>REGULER</v>
          </cell>
          <cell r="L225" t="str">
            <v>EKSKLUSIF</v>
          </cell>
          <cell r="M225">
            <v>0</v>
          </cell>
          <cell r="N225">
            <v>0</v>
          </cell>
          <cell r="O225">
            <v>0</v>
          </cell>
          <cell r="P225">
            <v>9</v>
          </cell>
          <cell r="Q225">
            <v>23</v>
          </cell>
          <cell r="R225">
            <v>41</v>
          </cell>
          <cell r="S225">
            <v>22</v>
          </cell>
          <cell r="T225">
            <v>95</v>
          </cell>
          <cell r="U225">
            <v>0</v>
          </cell>
          <cell r="V225">
            <v>0</v>
          </cell>
          <cell r="W225">
            <v>0</v>
          </cell>
          <cell r="X225">
            <v>9</v>
          </cell>
          <cell r="Y225">
            <v>23</v>
          </cell>
          <cell r="Z225">
            <v>41</v>
          </cell>
          <cell r="AA225">
            <v>0</v>
          </cell>
          <cell r="AB225">
            <v>73</v>
          </cell>
          <cell r="AC225">
            <v>0</v>
          </cell>
          <cell r="AD225" t="str">
            <v>TIDAK</v>
          </cell>
          <cell r="AE225" t="str">
            <v>TIDAK</v>
          </cell>
          <cell r="AF225">
            <v>73</v>
          </cell>
          <cell r="AG225">
            <v>2</v>
          </cell>
          <cell r="AH225" t="str">
            <v>SAPHIRE</v>
          </cell>
          <cell r="AI225">
            <v>0</v>
          </cell>
          <cell r="AJ225" t="str">
            <v>Y</v>
          </cell>
          <cell r="AK225">
            <v>0</v>
          </cell>
          <cell r="AL225">
            <v>45261</v>
          </cell>
          <cell r="AM225">
            <v>45701</v>
          </cell>
          <cell r="AN225">
            <v>1</v>
          </cell>
          <cell r="AO225">
            <v>73</v>
          </cell>
          <cell r="AP225" t="str">
            <v>EKSKLUSIF</v>
          </cell>
          <cell r="AQ225" t="str">
            <v>-</v>
          </cell>
          <cell r="AR225" t="str">
            <v>-</v>
          </cell>
          <cell r="AS225" t="str">
            <v>-</v>
          </cell>
          <cell r="AT225" t="str">
            <v>-</v>
          </cell>
          <cell r="AU225" t="str">
            <v>-</v>
          </cell>
          <cell r="AV225" t="str">
            <v/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16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 t="str">
            <v/>
          </cell>
          <cell r="BN225">
            <v>16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 t="str">
            <v/>
          </cell>
          <cell r="BV225">
            <v>0</v>
          </cell>
          <cell r="BW225">
            <v>6</v>
          </cell>
          <cell r="BX225" t="str">
            <v>DOWNGRADE</v>
          </cell>
          <cell r="BY225" t="str">
            <v>RESET</v>
          </cell>
        </row>
        <row r="226">
          <cell r="A226" t="str">
            <v>A3455</v>
          </cell>
          <cell r="B226" t="str">
            <v>Lely Efriyanti</v>
          </cell>
          <cell r="C226" t="str">
            <v>DELTA</v>
          </cell>
          <cell r="D226">
            <v>45265</v>
          </cell>
          <cell r="E226" t="str">
            <v>Dec-23</v>
          </cell>
          <cell r="F226" t="str">
            <v>-</v>
          </cell>
          <cell r="G226" t="str">
            <v>REGULER</v>
          </cell>
          <cell r="H226" t="str">
            <v>REGULER</v>
          </cell>
          <cell r="I226" t="str">
            <v>REGULER</v>
          </cell>
          <cell r="J226" t="str">
            <v>REGULER</v>
          </cell>
          <cell r="K226" t="str">
            <v>REGULER</v>
          </cell>
          <cell r="L226" t="str">
            <v>REGULER</v>
          </cell>
          <cell r="M226">
            <v>0</v>
          </cell>
          <cell r="N226">
            <v>12</v>
          </cell>
          <cell r="O226">
            <v>22</v>
          </cell>
          <cell r="P226">
            <v>21</v>
          </cell>
          <cell r="Q226">
            <v>30</v>
          </cell>
          <cell r="R226">
            <v>3</v>
          </cell>
          <cell r="S226">
            <v>16</v>
          </cell>
          <cell r="T226">
            <v>104</v>
          </cell>
          <cell r="U226">
            <v>0</v>
          </cell>
          <cell r="V226">
            <v>12</v>
          </cell>
          <cell r="W226">
            <v>22</v>
          </cell>
          <cell r="X226">
            <v>21</v>
          </cell>
          <cell r="Y226">
            <v>30</v>
          </cell>
          <cell r="Z226">
            <v>3</v>
          </cell>
          <cell r="AA226">
            <v>16</v>
          </cell>
          <cell r="AB226">
            <v>104</v>
          </cell>
          <cell r="AC226">
            <v>1</v>
          </cell>
          <cell r="AD226" t="str">
            <v>TIDAK</v>
          </cell>
          <cell r="AE226" t="str">
            <v>TIDAK</v>
          </cell>
          <cell r="AF226">
            <v>104</v>
          </cell>
          <cell r="AG226">
            <v>2</v>
          </cell>
          <cell r="AH226" t="str">
            <v>SAPHIRE</v>
          </cell>
          <cell r="AI226">
            <v>0</v>
          </cell>
          <cell r="AJ226" t="str">
            <v>Y</v>
          </cell>
          <cell r="AK226">
            <v>0</v>
          </cell>
          <cell r="AL226">
            <v>45261</v>
          </cell>
          <cell r="AM226">
            <v>45701</v>
          </cell>
          <cell r="AN226">
            <v>1</v>
          </cell>
          <cell r="AO226">
            <v>104</v>
          </cell>
          <cell r="AP226" t="str">
            <v>-</v>
          </cell>
          <cell r="AQ226" t="str">
            <v>-</v>
          </cell>
          <cell r="AR226" t="str">
            <v>REGULER</v>
          </cell>
          <cell r="AS226" t="str">
            <v>-</v>
          </cell>
          <cell r="AT226" t="str">
            <v>REGULER</v>
          </cell>
          <cell r="AU226" t="str">
            <v>-</v>
          </cell>
          <cell r="AV226" t="str">
            <v/>
          </cell>
          <cell r="AW226">
            <v>0</v>
          </cell>
          <cell r="AX226">
            <v>9</v>
          </cell>
          <cell r="AY226">
            <v>0</v>
          </cell>
          <cell r="AZ226">
            <v>15</v>
          </cell>
          <cell r="BA226">
            <v>0</v>
          </cell>
          <cell r="BB226">
            <v>0</v>
          </cell>
          <cell r="BC226">
            <v>9</v>
          </cell>
          <cell r="BD226">
            <v>0</v>
          </cell>
          <cell r="BE226">
            <v>15</v>
          </cell>
          <cell r="BF226">
            <v>0</v>
          </cell>
          <cell r="BG226">
            <v>15</v>
          </cell>
          <cell r="BH226">
            <v>0</v>
          </cell>
          <cell r="BI226">
            <v>9</v>
          </cell>
          <cell r="BJ226">
            <v>0</v>
          </cell>
          <cell r="BK226">
            <v>15</v>
          </cell>
          <cell r="BL226">
            <v>0</v>
          </cell>
          <cell r="BM226" t="str">
            <v/>
          </cell>
          <cell r="BN226">
            <v>39</v>
          </cell>
          <cell r="BO226">
            <v>15</v>
          </cell>
          <cell r="BP226">
            <v>0</v>
          </cell>
          <cell r="BQ226">
            <v>9</v>
          </cell>
          <cell r="BR226">
            <v>0</v>
          </cell>
          <cell r="BS226">
            <v>15</v>
          </cell>
          <cell r="BT226">
            <v>0</v>
          </cell>
          <cell r="BU226" t="str">
            <v/>
          </cell>
          <cell r="BV226">
            <v>39</v>
          </cell>
          <cell r="BW226">
            <v>4</v>
          </cell>
          <cell r="BX226" t="str">
            <v>DOWNGRADE</v>
          </cell>
          <cell r="BY226" t="str">
            <v>TIDAK</v>
          </cell>
        </row>
        <row r="227">
          <cell r="A227" t="str">
            <v>A3357</v>
          </cell>
          <cell r="B227" t="str">
            <v>Lilis Salas Wati</v>
          </cell>
          <cell r="C227" t="str">
            <v>DELTA</v>
          </cell>
          <cell r="D227">
            <v>45261</v>
          </cell>
          <cell r="E227" t="str">
            <v>Dec-23</v>
          </cell>
          <cell r="F227" t="str">
            <v>REGULER</v>
          </cell>
          <cell r="G227" t="str">
            <v>-</v>
          </cell>
          <cell r="H227" t="str">
            <v>-</v>
          </cell>
          <cell r="I227" t="str">
            <v>-</v>
          </cell>
          <cell r="J227" t="str">
            <v>-</v>
          </cell>
          <cell r="K227" t="str">
            <v>-</v>
          </cell>
          <cell r="L227" t="str">
            <v>-</v>
          </cell>
          <cell r="M227">
            <v>1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</v>
          </cell>
          <cell r="U227">
            <v>1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1</v>
          </cell>
          <cell r="AC227">
            <v>6</v>
          </cell>
          <cell r="AD227" t="str">
            <v>DOWNGRADE</v>
          </cell>
          <cell r="AE227" t="str">
            <v>RESET</v>
          </cell>
          <cell r="AF227">
            <v>0</v>
          </cell>
          <cell r="AG227">
            <v>0</v>
          </cell>
          <cell r="AH227" t="str">
            <v>SAPHIRE</v>
          </cell>
          <cell r="AI227">
            <v>0</v>
          </cell>
          <cell r="AJ227" t="str">
            <v>FALSE</v>
          </cell>
          <cell r="AK227">
            <v>0</v>
          </cell>
          <cell r="AL227">
            <v>45261</v>
          </cell>
          <cell r="AM227">
            <v>45701</v>
          </cell>
          <cell r="AN227">
            <v>1</v>
          </cell>
          <cell r="AO227">
            <v>0</v>
          </cell>
          <cell r="AP227" t="str">
            <v>-</v>
          </cell>
          <cell r="AQ227" t="str">
            <v>-</v>
          </cell>
          <cell r="AR227" t="str">
            <v>-</v>
          </cell>
          <cell r="AS227" t="str">
            <v>-</v>
          </cell>
          <cell r="AT227" t="str">
            <v>-</v>
          </cell>
          <cell r="AU227" t="str">
            <v>-</v>
          </cell>
          <cell r="AV227" t="str">
            <v/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 t="str">
            <v/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 t="str">
            <v/>
          </cell>
          <cell r="BN227">
            <v>0</v>
          </cell>
          <cell r="BO227" t="str">
            <v/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 t="str">
            <v/>
          </cell>
          <cell r="BV227">
            <v>0</v>
          </cell>
          <cell r="BW227">
            <v>7</v>
          </cell>
          <cell r="BX227" t="str">
            <v>DOWNGRADE</v>
          </cell>
          <cell r="BY227" t="str">
            <v>RESET</v>
          </cell>
        </row>
        <row r="228">
          <cell r="A228" t="str">
            <v>A3194</v>
          </cell>
          <cell r="B228" t="str">
            <v>Lintang Putri Maharani</v>
          </cell>
          <cell r="C228" t="str">
            <v>DELTA</v>
          </cell>
          <cell r="D228">
            <v>45215</v>
          </cell>
          <cell r="E228" t="str">
            <v>Oct-23</v>
          </cell>
          <cell r="F228" t="str">
            <v>REGULER</v>
          </cell>
          <cell r="G228" t="str">
            <v>REGULER</v>
          </cell>
          <cell r="H228" t="str">
            <v>EKSKLUSIF</v>
          </cell>
          <cell r="I228" t="str">
            <v>EKSKLUSIF</v>
          </cell>
          <cell r="J228" t="str">
            <v>EKSKLUSIF</v>
          </cell>
          <cell r="K228" t="str">
            <v>EKSKLUSIF</v>
          </cell>
          <cell r="L228" t="str">
            <v>EKSKLUSIF</v>
          </cell>
          <cell r="M228">
            <v>18</v>
          </cell>
          <cell r="N228">
            <v>44</v>
          </cell>
          <cell r="O228">
            <v>42</v>
          </cell>
          <cell r="P228">
            <v>42</v>
          </cell>
          <cell r="Q228">
            <v>40</v>
          </cell>
          <cell r="R228">
            <v>40</v>
          </cell>
          <cell r="S228">
            <v>19</v>
          </cell>
          <cell r="T228">
            <v>245</v>
          </cell>
          <cell r="U228">
            <v>18</v>
          </cell>
          <cell r="V228">
            <v>44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62</v>
          </cell>
          <cell r="AC228">
            <v>0</v>
          </cell>
          <cell r="AD228" t="str">
            <v>TIDAK</v>
          </cell>
          <cell r="AE228" t="str">
            <v>TIDAK</v>
          </cell>
          <cell r="AF228">
            <v>62</v>
          </cell>
          <cell r="AG228">
            <v>2</v>
          </cell>
          <cell r="AH228" t="str">
            <v>SAPHIRE</v>
          </cell>
          <cell r="AI228">
            <v>0</v>
          </cell>
          <cell r="AJ228" t="str">
            <v>FALSE</v>
          </cell>
          <cell r="AK228">
            <v>0</v>
          </cell>
          <cell r="AL228">
            <v>45261</v>
          </cell>
          <cell r="AM228">
            <v>45701</v>
          </cell>
          <cell r="AN228">
            <v>1</v>
          </cell>
          <cell r="AO228">
            <v>62</v>
          </cell>
          <cell r="AP228" t="str">
            <v>EKSKLUSIF</v>
          </cell>
          <cell r="AQ228" t="str">
            <v>-</v>
          </cell>
          <cell r="AR228" t="str">
            <v>-</v>
          </cell>
          <cell r="AS228" t="str">
            <v>-</v>
          </cell>
          <cell r="AT228" t="str">
            <v>-</v>
          </cell>
          <cell r="AU228" t="str">
            <v>-</v>
          </cell>
          <cell r="AV228" t="str">
            <v/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10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 t="str">
            <v/>
          </cell>
          <cell r="BN228">
            <v>10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 t="str">
            <v/>
          </cell>
          <cell r="BV228">
            <v>0</v>
          </cell>
          <cell r="BW228">
            <v>6</v>
          </cell>
          <cell r="BX228" t="str">
            <v>DOWNGRADE</v>
          </cell>
          <cell r="BY228" t="str">
            <v>RESET</v>
          </cell>
        </row>
        <row r="229">
          <cell r="A229" t="str">
            <v>A1087</v>
          </cell>
          <cell r="B229" t="str">
            <v>Lisbet Suryaningtyas</v>
          </cell>
          <cell r="C229" t="str">
            <v>DELTA</v>
          </cell>
          <cell r="D229">
            <v>44978</v>
          </cell>
          <cell r="E229" t="str">
            <v>Feb-23</v>
          </cell>
          <cell r="F229" t="str">
            <v>EKSKLUSIF</v>
          </cell>
          <cell r="G229" t="str">
            <v>EKSKLUSIF</v>
          </cell>
          <cell r="H229" t="str">
            <v>EKSKLUSIF</v>
          </cell>
          <cell r="I229" t="str">
            <v>EKSKLUSIF</v>
          </cell>
          <cell r="J229" t="str">
            <v>EKSKLUSIF</v>
          </cell>
          <cell r="K229" t="str">
            <v>EKSKLUSIF</v>
          </cell>
          <cell r="L229" t="str">
            <v>EKSKLUSIF</v>
          </cell>
          <cell r="M229">
            <v>20</v>
          </cell>
          <cell r="N229">
            <v>45</v>
          </cell>
          <cell r="O229">
            <v>39</v>
          </cell>
          <cell r="P229">
            <v>41</v>
          </cell>
          <cell r="Q229">
            <v>37</v>
          </cell>
          <cell r="R229">
            <v>42</v>
          </cell>
          <cell r="S229">
            <v>18</v>
          </cell>
          <cell r="T229">
            <v>242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 t="str">
            <v>TIDAK</v>
          </cell>
          <cell r="AE229" t="str">
            <v>TIDAK</v>
          </cell>
          <cell r="AF229">
            <v>0</v>
          </cell>
          <cell r="AG229">
            <v>2</v>
          </cell>
          <cell r="AH229" t="str">
            <v>SAPHIRE</v>
          </cell>
          <cell r="AI229">
            <v>0</v>
          </cell>
          <cell r="AJ229" t="str">
            <v>FALSE</v>
          </cell>
          <cell r="AK229">
            <v>0</v>
          </cell>
          <cell r="AL229">
            <v>45261</v>
          </cell>
          <cell r="AM229">
            <v>45701</v>
          </cell>
          <cell r="AN229">
            <v>1</v>
          </cell>
          <cell r="AO229">
            <v>0</v>
          </cell>
          <cell r="AP229" t="str">
            <v>EKSKLUSIF</v>
          </cell>
          <cell r="AQ229" t="str">
            <v>-</v>
          </cell>
          <cell r="AR229" t="str">
            <v>-</v>
          </cell>
          <cell r="AS229" t="str">
            <v>-</v>
          </cell>
          <cell r="AT229" t="str">
            <v>-</v>
          </cell>
          <cell r="AU229" t="str">
            <v>-</v>
          </cell>
          <cell r="AV229" t="str">
            <v/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 t="str">
            <v/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 t="str">
            <v/>
          </cell>
          <cell r="BV229">
            <v>0</v>
          </cell>
          <cell r="BW229">
            <v>7</v>
          </cell>
          <cell r="BX229" t="str">
            <v>DOWNGRADE</v>
          </cell>
          <cell r="BY229" t="str">
            <v>RESET</v>
          </cell>
        </row>
        <row r="230">
          <cell r="A230" t="str">
            <v>A3481</v>
          </cell>
          <cell r="B230" t="str">
            <v>M Dzaky Eddyandra</v>
          </cell>
          <cell r="C230" t="str">
            <v>DELTA</v>
          </cell>
          <cell r="D230">
            <v>45293</v>
          </cell>
          <cell r="E230" t="str">
            <v>Jan-24</v>
          </cell>
          <cell r="F230" t="str">
            <v>-</v>
          </cell>
          <cell r="G230" t="str">
            <v>REGULER</v>
          </cell>
          <cell r="H230" t="str">
            <v>REGULER</v>
          </cell>
          <cell r="I230" t="str">
            <v>-</v>
          </cell>
          <cell r="J230" t="str">
            <v>-</v>
          </cell>
          <cell r="K230" t="str">
            <v>-</v>
          </cell>
          <cell r="L230" t="str">
            <v>-</v>
          </cell>
          <cell r="M230">
            <v>0</v>
          </cell>
          <cell r="N230">
            <v>21</v>
          </cell>
          <cell r="O230">
            <v>15</v>
          </cell>
          <cell r="P230">
            <v>0</v>
          </cell>
          <cell r="Q230">
            <v>0</v>
          </cell>
          <cell r="R230">
            <v>0</v>
          </cell>
          <cell r="S230" t="str">
            <v/>
          </cell>
          <cell r="T230">
            <v>36</v>
          </cell>
          <cell r="U230">
            <v>0</v>
          </cell>
          <cell r="V230">
            <v>21</v>
          </cell>
          <cell r="W230">
            <v>15</v>
          </cell>
          <cell r="X230">
            <v>0</v>
          </cell>
          <cell r="Y230">
            <v>0</v>
          </cell>
          <cell r="Z230">
            <v>0</v>
          </cell>
          <cell r="AA230" t="str">
            <v/>
          </cell>
          <cell r="AB230">
            <v>36</v>
          </cell>
          <cell r="AC230">
            <v>4</v>
          </cell>
          <cell r="AD230" t="str">
            <v>DOWNGRADE</v>
          </cell>
          <cell r="AE230" t="str">
            <v>RESET</v>
          </cell>
          <cell r="AF230">
            <v>0</v>
          </cell>
          <cell r="AG230">
            <v>2</v>
          </cell>
          <cell r="AH230" t="str">
            <v>SAPHIRE</v>
          </cell>
          <cell r="AI230">
            <v>0</v>
          </cell>
          <cell r="AJ230" t="str">
            <v>FALSE</v>
          </cell>
          <cell r="AK230">
            <v>0</v>
          </cell>
          <cell r="AL230">
            <v>45261</v>
          </cell>
          <cell r="AM230">
            <v>45701</v>
          </cell>
          <cell r="AN230">
            <v>1</v>
          </cell>
          <cell r="AO230">
            <v>0</v>
          </cell>
          <cell r="AP230" t="str">
            <v>-</v>
          </cell>
          <cell r="AQ230" t="str">
            <v>-</v>
          </cell>
          <cell r="AR230" t="str">
            <v>-</v>
          </cell>
          <cell r="AS230" t="str">
            <v>-</v>
          </cell>
          <cell r="AT230" t="str">
            <v>-</v>
          </cell>
          <cell r="AU230" t="str">
            <v>-</v>
          </cell>
          <cell r="AV230" t="str">
            <v/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 t="str">
            <v/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 t="str">
            <v/>
          </cell>
          <cell r="BN230">
            <v>0</v>
          </cell>
          <cell r="BO230" t="str">
            <v/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 t="str">
            <v/>
          </cell>
          <cell r="BV230">
            <v>0</v>
          </cell>
          <cell r="BW230">
            <v>7</v>
          </cell>
          <cell r="BX230" t="str">
            <v>DOWNGRADE</v>
          </cell>
          <cell r="BY230" t="str">
            <v>RESET</v>
          </cell>
        </row>
        <row r="231">
          <cell r="A231" t="str">
            <v>A3710</v>
          </cell>
          <cell r="B231" t="str">
            <v>M. Fahmi Ilham Septiananda</v>
          </cell>
          <cell r="C231" t="str">
            <v>DELTA</v>
          </cell>
          <cell r="D231">
            <v>45323</v>
          </cell>
          <cell r="E231" t="str">
            <v>Feb-24</v>
          </cell>
          <cell r="F231" t="str">
            <v>-</v>
          </cell>
          <cell r="G231" t="str">
            <v>-</v>
          </cell>
          <cell r="H231" t="str">
            <v>REGULER</v>
          </cell>
          <cell r="I231" t="str">
            <v>-</v>
          </cell>
          <cell r="J231" t="str">
            <v>-</v>
          </cell>
          <cell r="K231" t="str">
            <v>-</v>
          </cell>
          <cell r="L231" t="str">
            <v>-</v>
          </cell>
          <cell r="M231">
            <v>0</v>
          </cell>
          <cell r="N231">
            <v>0</v>
          </cell>
          <cell r="O231">
            <v>17</v>
          </cell>
          <cell r="P231">
            <v>0</v>
          </cell>
          <cell r="Q231">
            <v>0</v>
          </cell>
          <cell r="R231">
            <v>0</v>
          </cell>
          <cell r="S231" t="str">
            <v/>
          </cell>
          <cell r="T231">
            <v>17</v>
          </cell>
          <cell r="U231">
            <v>0</v>
          </cell>
          <cell r="V231">
            <v>0</v>
          </cell>
          <cell r="W231">
            <v>17</v>
          </cell>
          <cell r="X231">
            <v>0</v>
          </cell>
          <cell r="Y231">
            <v>0</v>
          </cell>
          <cell r="Z231">
            <v>0</v>
          </cell>
          <cell r="AA231" t="str">
            <v/>
          </cell>
          <cell r="AB231">
            <v>17</v>
          </cell>
          <cell r="AC231">
            <v>4</v>
          </cell>
          <cell r="AD231" t="str">
            <v>DOWNGRADE</v>
          </cell>
          <cell r="AE231" t="str">
            <v>RESET</v>
          </cell>
          <cell r="AF231">
            <v>0</v>
          </cell>
          <cell r="AG231">
            <v>2</v>
          </cell>
          <cell r="AH231" t="str">
            <v>SAPHIRE</v>
          </cell>
          <cell r="AI231">
            <v>0</v>
          </cell>
          <cell r="AJ231" t="str">
            <v>FALSE</v>
          </cell>
          <cell r="AK231">
            <v>0</v>
          </cell>
          <cell r="AL231">
            <v>45261</v>
          </cell>
          <cell r="AM231">
            <v>45701</v>
          </cell>
          <cell r="AN231">
            <v>1</v>
          </cell>
          <cell r="AO231">
            <v>0</v>
          </cell>
          <cell r="AP231" t="str">
            <v>-</v>
          </cell>
          <cell r="AQ231" t="str">
            <v>-</v>
          </cell>
          <cell r="AR231" t="str">
            <v>-</v>
          </cell>
          <cell r="AS231" t="str">
            <v>-</v>
          </cell>
          <cell r="AT231" t="str">
            <v>-</v>
          </cell>
          <cell r="AU231" t="str">
            <v>-</v>
          </cell>
          <cell r="AV231" t="str">
            <v/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 t="str">
            <v/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 t="str">
            <v/>
          </cell>
          <cell r="BN231">
            <v>0</v>
          </cell>
          <cell r="BO231" t="str">
            <v/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 t="str">
            <v/>
          </cell>
          <cell r="BV231">
            <v>0</v>
          </cell>
          <cell r="BW231">
            <v>7</v>
          </cell>
          <cell r="BX231" t="str">
            <v>DOWNGRADE</v>
          </cell>
          <cell r="BY231" t="str">
            <v>RESET</v>
          </cell>
        </row>
        <row r="232">
          <cell r="A232" t="str">
            <v>A3869</v>
          </cell>
          <cell r="B232" t="str">
            <v>Maghfur Al Mubarok</v>
          </cell>
          <cell r="C232" t="str">
            <v>DELTA</v>
          </cell>
          <cell r="D232">
            <v>45384</v>
          </cell>
          <cell r="E232" t="str">
            <v>Apr-24</v>
          </cell>
          <cell r="F232" t="str">
            <v>-</v>
          </cell>
          <cell r="G232" t="str">
            <v>-</v>
          </cell>
          <cell r="H232" t="str">
            <v>-</v>
          </cell>
          <cell r="I232" t="str">
            <v>REGULER</v>
          </cell>
          <cell r="J232" t="str">
            <v>REGULER</v>
          </cell>
          <cell r="K232" t="str">
            <v>REGULER</v>
          </cell>
          <cell r="L232" t="str">
            <v>REGULER</v>
          </cell>
          <cell r="M232">
            <v>0</v>
          </cell>
          <cell r="N232">
            <v>0</v>
          </cell>
          <cell r="O232">
            <v>0</v>
          </cell>
          <cell r="P232">
            <v>3</v>
          </cell>
          <cell r="Q232">
            <v>9</v>
          </cell>
          <cell r="R232">
            <v>15</v>
          </cell>
          <cell r="S232">
            <v>6</v>
          </cell>
          <cell r="T232">
            <v>33</v>
          </cell>
          <cell r="U232">
            <v>0</v>
          </cell>
          <cell r="V232">
            <v>0</v>
          </cell>
          <cell r="W232">
            <v>0</v>
          </cell>
          <cell r="X232">
            <v>3</v>
          </cell>
          <cell r="Y232">
            <v>9</v>
          </cell>
          <cell r="Z232">
            <v>15</v>
          </cell>
          <cell r="AA232">
            <v>6</v>
          </cell>
          <cell r="AB232">
            <v>33</v>
          </cell>
          <cell r="AC232">
            <v>0</v>
          </cell>
          <cell r="AD232" t="str">
            <v>TIDAK</v>
          </cell>
          <cell r="AE232" t="str">
            <v>TIDAK</v>
          </cell>
          <cell r="AF232">
            <v>33</v>
          </cell>
          <cell r="AG232">
            <v>1</v>
          </cell>
          <cell r="AH232" t="str">
            <v>SAPHIRE</v>
          </cell>
          <cell r="AI232">
            <v>0</v>
          </cell>
          <cell r="AJ232" t="str">
            <v>FALSE</v>
          </cell>
          <cell r="AK232">
            <v>0</v>
          </cell>
          <cell r="AL232">
            <v>45261</v>
          </cell>
          <cell r="AM232">
            <v>45701</v>
          </cell>
          <cell r="AN232">
            <v>1</v>
          </cell>
          <cell r="AO232">
            <v>33</v>
          </cell>
          <cell r="AP232" t="str">
            <v>-</v>
          </cell>
          <cell r="AQ232" t="str">
            <v>-</v>
          </cell>
          <cell r="AR232" t="str">
            <v>REGULER</v>
          </cell>
          <cell r="AS232" t="str">
            <v>REGULER</v>
          </cell>
          <cell r="AT232" t="str">
            <v>REGULER</v>
          </cell>
          <cell r="AU232" t="str">
            <v>REGULER</v>
          </cell>
          <cell r="AV232" t="str">
            <v/>
          </cell>
          <cell r="AW232">
            <v>25</v>
          </cell>
          <cell r="AX232">
            <v>30</v>
          </cell>
          <cell r="AY232">
            <v>21</v>
          </cell>
          <cell r="AZ232">
            <v>20</v>
          </cell>
          <cell r="BA232">
            <v>4</v>
          </cell>
          <cell r="BB232">
            <v>25</v>
          </cell>
          <cell r="BC232">
            <v>30</v>
          </cell>
          <cell r="BD232">
            <v>21</v>
          </cell>
          <cell r="BE232">
            <v>20</v>
          </cell>
          <cell r="BF232">
            <v>4</v>
          </cell>
          <cell r="BG232">
            <v>8</v>
          </cell>
          <cell r="BH232">
            <v>25</v>
          </cell>
          <cell r="BI232">
            <v>30</v>
          </cell>
          <cell r="BJ232">
            <v>21</v>
          </cell>
          <cell r="BK232">
            <v>20</v>
          </cell>
          <cell r="BL232">
            <v>4</v>
          </cell>
          <cell r="BM232" t="str">
            <v/>
          </cell>
          <cell r="BN232">
            <v>108</v>
          </cell>
          <cell r="BO232">
            <v>8</v>
          </cell>
          <cell r="BP232">
            <v>25</v>
          </cell>
          <cell r="BQ232">
            <v>30</v>
          </cell>
          <cell r="BR232">
            <v>21</v>
          </cell>
          <cell r="BS232">
            <v>20</v>
          </cell>
          <cell r="BT232">
            <v>4</v>
          </cell>
          <cell r="BU232" t="str">
            <v/>
          </cell>
          <cell r="BV232">
            <v>108</v>
          </cell>
          <cell r="BW232">
            <v>1</v>
          </cell>
          <cell r="BX232" t="str">
            <v>TIDAK</v>
          </cell>
          <cell r="BY232" t="str">
            <v>TIDAK</v>
          </cell>
        </row>
        <row r="233">
          <cell r="A233" t="str">
            <v>A3451</v>
          </cell>
          <cell r="B233" t="str">
            <v>Marcellina Putri</v>
          </cell>
          <cell r="C233" t="str">
            <v>DELTA</v>
          </cell>
          <cell r="D233">
            <v>45265</v>
          </cell>
          <cell r="E233" t="str">
            <v>Dec-23</v>
          </cell>
          <cell r="F233" t="str">
            <v>-</v>
          </cell>
          <cell r="G233" t="str">
            <v>REGULER</v>
          </cell>
          <cell r="H233" t="str">
            <v>REGULER</v>
          </cell>
          <cell r="I233" t="str">
            <v>REGULER</v>
          </cell>
          <cell r="J233" t="str">
            <v>REGULER</v>
          </cell>
          <cell r="K233" t="str">
            <v>REGULER</v>
          </cell>
          <cell r="L233" t="str">
            <v>REGULER</v>
          </cell>
          <cell r="M233">
            <v>0</v>
          </cell>
          <cell r="N233">
            <v>20</v>
          </cell>
          <cell r="O233">
            <v>24</v>
          </cell>
          <cell r="P233">
            <v>24</v>
          </cell>
          <cell r="Q233">
            <v>18</v>
          </cell>
          <cell r="R233">
            <v>32</v>
          </cell>
          <cell r="S233">
            <v>15</v>
          </cell>
          <cell r="T233">
            <v>133</v>
          </cell>
          <cell r="U233">
            <v>0</v>
          </cell>
          <cell r="V233">
            <v>20</v>
          </cell>
          <cell r="W233">
            <v>24</v>
          </cell>
          <cell r="X233">
            <v>24</v>
          </cell>
          <cell r="Y233">
            <v>18</v>
          </cell>
          <cell r="Z233">
            <v>32</v>
          </cell>
          <cell r="AA233">
            <v>15</v>
          </cell>
          <cell r="AB233">
            <v>133</v>
          </cell>
          <cell r="AC233">
            <v>1</v>
          </cell>
          <cell r="AD233" t="str">
            <v>TIDAK</v>
          </cell>
          <cell r="AE233" t="str">
            <v>TIDAK</v>
          </cell>
          <cell r="AF233">
            <v>133</v>
          </cell>
          <cell r="AG233">
            <v>2</v>
          </cell>
          <cell r="AH233" t="str">
            <v>SAPHIRE</v>
          </cell>
          <cell r="AI233">
            <v>0</v>
          </cell>
          <cell r="AJ233" t="str">
            <v>Y</v>
          </cell>
          <cell r="AK233">
            <v>0</v>
          </cell>
          <cell r="AL233">
            <v>45261</v>
          </cell>
          <cell r="AM233">
            <v>45701</v>
          </cell>
          <cell r="AN233">
            <v>1</v>
          </cell>
          <cell r="AO233">
            <v>133</v>
          </cell>
          <cell r="AP233" t="str">
            <v>-</v>
          </cell>
          <cell r="AQ233" t="str">
            <v>-</v>
          </cell>
          <cell r="AR233" t="str">
            <v>REGULER</v>
          </cell>
          <cell r="AS233" t="str">
            <v>REGULER</v>
          </cell>
          <cell r="AT233" t="str">
            <v>EKSKLUSIF</v>
          </cell>
          <cell r="AU233" t="str">
            <v>EKSKLUSIF</v>
          </cell>
          <cell r="AV233" t="str">
            <v/>
          </cell>
          <cell r="AW233">
            <v>30</v>
          </cell>
          <cell r="AX233">
            <v>17</v>
          </cell>
          <cell r="AY233">
            <v>31</v>
          </cell>
          <cell r="AZ233">
            <v>45</v>
          </cell>
          <cell r="BA233">
            <v>41</v>
          </cell>
          <cell r="BB233">
            <v>30</v>
          </cell>
          <cell r="BC233">
            <v>17</v>
          </cell>
          <cell r="BD233">
            <v>31</v>
          </cell>
          <cell r="BE233">
            <v>45</v>
          </cell>
          <cell r="BF233">
            <v>41</v>
          </cell>
          <cell r="BG233">
            <v>3</v>
          </cell>
          <cell r="BH233">
            <v>30</v>
          </cell>
          <cell r="BI233">
            <v>17</v>
          </cell>
          <cell r="BJ233">
            <v>31</v>
          </cell>
          <cell r="BK233">
            <v>45</v>
          </cell>
          <cell r="BL233">
            <v>41</v>
          </cell>
          <cell r="BM233">
            <v>20</v>
          </cell>
          <cell r="BN233">
            <v>187</v>
          </cell>
          <cell r="BO233">
            <v>3</v>
          </cell>
          <cell r="BP233">
            <v>30</v>
          </cell>
          <cell r="BQ233">
            <v>17</v>
          </cell>
          <cell r="BR233">
            <v>31</v>
          </cell>
          <cell r="BS233">
            <v>0</v>
          </cell>
          <cell r="BT233">
            <v>0</v>
          </cell>
          <cell r="BU233">
            <v>20</v>
          </cell>
          <cell r="BV233">
            <v>101</v>
          </cell>
          <cell r="BW233">
            <v>0</v>
          </cell>
          <cell r="BX233" t="str">
            <v>TIDAK</v>
          </cell>
          <cell r="BY233" t="str">
            <v>TIDAK</v>
          </cell>
        </row>
        <row r="234">
          <cell r="A234" t="str">
            <v>A2320</v>
          </cell>
          <cell r="B234" t="str">
            <v>Margarita Polly</v>
          </cell>
          <cell r="C234" t="str">
            <v>DELTA</v>
          </cell>
          <cell r="D234">
            <v>45085</v>
          </cell>
          <cell r="E234" t="str">
            <v>Jun-23</v>
          </cell>
          <cell r="F234" t="str">
            <v>EKSKLUSIF</v>
          </cell>
          <cell r="G234" t="str">
            <v>EKSKLUSIF</v>
          </cell>
          <cell r="H234" t="str">
            <v>EKSKLUSIF</v>
          </cell>
          <cell r="I234" t="str">
            <v>EKSKLUSIF</v>
          </cell>
          <cell r="J234" t="str">
            <v>EKSKLUSIF</v>
          </cell>
          <cell r="K234" t="str">
            <v>EKSKLUSIF</v>
          </cell>
          <cell r="L234" t="str">
            <v>EKSKLUSIF</v>
          </cell>
          <cell r="M234">
            <v>22</v>
          </cell>
          <cell r="N234">
            <v>45</v>
          </cell>
          <cell r="O234">
            <v>41</v>
          </cell>
          <cell r="P234">
            <v>42</v>
          </cell>
          <cell r="Q234">
            <v>38</v>
          </cell>
          <cell r="R234">
            <v>43</v>
          </cell>
          <cell r="S234">
            <v>21</v>
          </cell>
          <cell r="T234">
            <v>252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 t="str">
            <v>TIDAK</v>
          </cell>
          <cell r="AE234" t="str">
            <v>TIDAK</v>
          </cell>
          <cell r="AF234">
            <v>0</v>
          </cell>
          <cell r="AG234">
            <v>3</v>
          </cell>
          <cell r="AH234" t="str">
            <v>SAPHIRE</v>
          </cell>
          <cell r="AI234">
            <v>0</v>
          </cell>
          <cell r="AJ234" t="str">
            <v>FALSE</v>
          </cell>
          <cell r="AK234">
            <v>0</v>
          </cell>
          <cell r="AL234">
            <v>45261</v>
          </cell>
          <cell r="AM234">
            <v>45701</v>
          </cell>
          <cell r="AN234">
            <v>1</v>
          </cell>
          <cell r="AO234">
            <v>0</v>
          </cell>
          <cell r="AP234" t="str">
            <v>EKSKLUSIF</v>
          </cell>
          <cell r="AQ234" t="str">
            <v>-</v>
          </cell>
          <cell r="AR234" t="str">
            <v>REGULER</v>
          </cell>
          <cell r="AS234" t="str">
            <v>REGULER</v>
          </cell>
          <cell r="AT234" t="str">
            <v>REGULER</v>
          </cell>
          <cell r="AU234" t="str">
            <v>-</v>
          </cell>
          <cell r="AV234" t="str">
            <v/>
          </cell>
          <cell r="AW234">
            <v>48</v>
          </cell>
          <cell r="AX234">
            <v>3</v>
          </cell>
          <cell r="AY234">
            <v>17</v>
          </cell>
          <cell r="AZ234">
            <v>39</v>
          </cell>
          <cell r="BA234">
            <v>0</v>
          </cell>
          <cell r="BB234">
            <v>48</v>
          </cell>
          <cell r="BC234">
            <v>3</v>
          </cell>
          <cell r="BD234">
            <v>17</v>
          </cell>
          <cell r="BE234">
            <v>39</v>
          </cell>
          <cell r="BF234">
            <v>0</v>
          </cell>
          <cell r="BG234">
            <v>20</v>
          </cell>
          <cell r="BH234">
            <v>48</v>
          </cell>
          <cell r="BI234">
            <v>3</v>
          </cell>
          <cell r="BJ234">
            <v>17</v>
          </cell>
          <cell r="BK234">
            <v>39</v>
          </cell>
          <cell r="BL234">
            <v>0</v>
          </cell>
          <cell r="BM234" t="str">
            <v/>
          </cell>
          <cell r="BN234">
            <v>127</v>
          </cell>
          <cell r="BO234">
            <v>0</v>
          </cell>
          <cell r="BP234">
            <v>48</v>
          </cell>
          <cell r="BQ234">
            <v>3</v>
          </cell>
          <cell r="BR234">
            <v>17</v>
          </cell>
          <cell r="BS234">
            <v>39</v>
          </cell>
          <cell r="BT234">
            <v>0</v>
          </cell>
          <cell r="BU234" t="str">
            <v/>
          </cell>
          <cell r="BV234">
            <v>107</v>
          </cell>
          <cell r="BW234">
            <v>2</v>
          </cell>
          <cell r="BX234" t="str">
            <v>TIDAK</v>
          </cell>
          <cell r="BY234" t="str">
            <v>TIDAK</v>
          </cell>
        </row>
        <row r="235">
          <cell r="A235" t="str">
            <v>A0830</v>
          </cell>
          <cell r="B235" t="str">
            <v>Margi Suryani</v>
          </cell>
          <cell r="C235" t="str">
            <v>DELTA</v>
          </cell>
          <cell r="D235">
            <v>44991</v>
          </cell>
          <cell r="E235" t="str">
            <v>Mar-23</v>
          </cell>
          <cell r="F235" t="str">
            <v>EKSKLUSIF</v>
          </cell>
          <cell r="G235" t="str">
            <v>EKSKLUSIF</v>
          </cell>
          <cell r="H235" t="str">
            <v>EKSKLUSIF</v>
          </cell>
          <cell r="I235" t="str">
            <v>EKSKLUSIF</v>
          </cell>
          <cell r="J235" t="str">
            <v>EKSKLUSIF</v>
          </cell>
          <cell r="K235" t="str">
            <v>EKSKLUSIF</v>
          </cell>
          <cell r="L235" t="str">
            <v>EKSKLUSIF</v>
          </cell>
          <cell r="M235">
            <v>22</v>
          </cell>
          <cell r="N235">
            <v>48</v>
          </cell>
          <cell r="O235">
            <v>42</v>
          </cell>
          <cell r="P235">
            <v>44</v>
          </cell>
          <cell r="Q235">
            <v>39</v>
          </cell>
          <cell r="R235">
            <v>44</v>
          </cell>
          <cell r="S235">
            <v>22</v>
          </cell>
          <cell r="T235">
            <v>261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 t="str">
            <v>TIDAK</v>
          </cell>
          <cell r="AE235" t="str">
            <v>TIDAK</v>
          </cell>
          <cell r="AF235">
            <v>0</v>
          </cell>
          <cell r="AG235">
            <v>3</v>
          </cell>
          <cell r="AH235" t="str">
            <v>SAPHIRE</v>
          </cell>
          <cell r="AI235">
            <v>0</v>
          </cell>
          <cell r="AJ235" t="str">
            <v>FALSE</v>
          </cell>
          <cell r="AK235">
            <v>0</v>
          </cell>
          <cell r="AL235">
            <v>45261</v>
          </cell>
          <cell r="AM235">
            <v>45701</v>
          </cell>
          <cell r="AN235">
            <v>1</v>
          </cell>
          <cell r="AO235">
            <v>0</v>
          </cell>
          <cell r="AP235" t="str">
            <v>EKSKLUSIF</v>
          </cell>
          <cell r="AQ235" t="str">
            <v>-</v>
          </cell>
          <cell r="AR235" t="str">
            <v>EKSKLUSIF</v>
          </cell>
          <cell r="AS235" t="str">
            <v>REGULER</v>
          </cell>
          <cell r="AT235" t="str">
            <v>EKSKLUSIF</v>
          </cell>
          <cell r="AU235" t="str">
            <v>EKSKLUSIF</v>
          </cell>
          <cell r="AV235" t="str">
            <v/>
          </cell>
          <cell r="AW235">
            <v>50</v>
          </cell>
          <cell r="AX235">
            <v>49</v>
          </cell>
          <cell r="AY235">
            <v>25</v>
          </cell>
          <cell r="AZ235">
            <v>50</v>
          </cell>
          <cell r="BA235">
            <v>46</v>
          </cell>
          <cell r="BB235">
            <v>50</v>
          </cell>
          <cell r="BC235">
            <v>49</v>
          </cell>
          <cell r="BD235">
            <v>25</v>
          </cell>
          <cell r="BE235">
            <v>50</v>
          </cell>
          <cell r="BF235">
            <v>46</v>
          </cell>
          <cell r="BG235">
            <v>20</v>
          </cell>
          <cell r="BH235">
            <v>50</v>
          </cell>
          <cell r="BI235">
            <v>49</v>
          </cell>
          <cell r="BJ235">
            <v>25</v>
          </cell>
          <cell r="BK235">
            <v>50</v>
          </cell>
          <cell r="BL235">
            <v>46</v>
          </cell>
          <cell r="BM235">
            <v>22</v>
          </cell>
          <cell r="BN235">
            <v>262</v>
          </cell>
          <cell r="BO235">
            <v>0</v>
          </cell>
          <cell r="BP235">
            <v>50</v>
          </cell>
          <cell r="BQ235">
            <v>0</v>
          </cell>
          <cell r="BR235">
            <v>25</v>
          </cell>
          <cell r="BS235">
            <v>0</v>
          </cell>
          <cell r="BT235">
            <v>0</v>
          </cell>
          <cell r="BU235">
            <v>22</v>
          </cell>
          <cell r="BV235">
            <v>97</v>
          </cell>
          <cell r="BW235">
            <v>0</v>
          </cell>
          <cell r="BX235" t="str">
            <v>TIDAK</v>
          </cell>
          <cell r="BY235" t="str">
            <v>TIDAK</v>
          </cell>
        </row>
        <row r="236">
          <cell r="A236" t="str">
            <v>A3454</v>
          </cell>
          <cell r="B236" t="str">
            <v>Maria Dewi Sekaringtyas</v>
          </cell>
          <cell r="C236" t="str">
            <v>DELTA</v>
          </cell>
          <cell r="D236">
            <v>45292</v>
          </cell>
          <cell r="E236" t="str">
            <v>Jan-24</v>
          </cell>
          <cell r="F236" t="str">
            <v>-</v>
          </cell>
          <cell r="G236" t="str">
            <v>REGULER</v>
          </cell>
          <cell r="H236" t="str">
            <v>-</v>
          </cell>
          <cell r="I236" t="str">
            <v>-</v>
          </cell>
          <cell r="J236" t="str">
            <v>-</v>
          </cell>
          <cell r="K236" t="str">
            <v>-</v>
          </cell>
          <cell r="L236" t="str">
            <v>-</v>
          </cell>
          <cell r="M236">
            <v>0</v>
          </cell>
          <cell r="N236">
            <v>8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 t="str">
            <v/>
          </cell>
          <cell r="T236">
            <v>8</v>
          </cell>
          <cell r="U236">
            <v>0</v>
          </cell>
          <cell r="V236">
            <v>8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 t="str">
            <v/>
          </cell>
          <cell r="AB236">
            <v>8</v>
          </cell>
          <cell r="AC236">
            <v>6</v>
          </cell>
          <cell r="AD236" t="str">
            <v>DOWNGRADE</v>
          </cell>
          <cell r="AE236" t="str">
            <v>RESET</v>
          </cell>
          <cell r="AF236">
            <v>0</v>
          </cell>
          <cell r="AG236">
            <v>0</v>
          </cell>
          <cell r="AH236" t="str">
            <v>SAPHIRE</v>
          </cell>
          <cell r="AI236">
            <v>0</v>
          </cell>
          <cell r="AJ236" t="str">
            <v>FALSE</v>
          </cell>
          <cell r="AK236">
            <v>0</v>
          </cell>
          <cell r="AL236">
            <v>45261</v>
          </cell>
          <cell r="AM236">
            <v>45701</v>
          </cell>
          <cell r="AN236">
            <v>1</v>
          </cell>
          <cell r="AO236">
            <v>0</v>
          </cell>
          <cell r="AP236" t="str">
            <v>-</v>
          </cell>
          <cell r="AQ236" t="str">
            <v>-</v>
          </cell>
          <cell r="AR236" t="str">
            <v>-</v>
          </cell>
          <cell r="AS236" t="str">
            <v>-</v>
          </cell>
          <cell r="AT236" t="str">
            <v>-</v>
          </cell>
          <cell r="AU236" t="str">
            <v>-</v>
          </cell>
          <cell r="AV236" t="str">
            <v/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 t="str">
            <v/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 t="str">
            <v/>
          </cell>
          <cell r="BN236">
            <v>0</v>
          </cell>
          <cell r="BO236" t="str">
            <v/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 t="str">
            <v/>
          </cell>
          <cell r="BV236">
            <v>0</v>
          </cell>
          <cell r="BW236">
            <v>7</v>
          </cell>
          <cell r="BX236" t="str">
            <v>DOWNGRADE</v>
          </cell>
          <cell r="BY236" t="str">
            <v>RESET</v>
          </cell>
        </row>
        <row r="237">
          <cell r="A237" t="str">
            <v>A1774</v>
          </cell>
          <cell r="B237" t="str">
            <v>Maria Dewi Tirta Perwita Sari Perwita Sari</v>
          </cell>
          <cell r="C237" t="str">
            <v>DELTA</v>
          </cell>
          <cell r="D237">
            <v>45036</v>
          </cell>
          <cell r="E237" t="str">
            <v>Apr-23</v>
          </cell>
          <cell r="F237" t="str">
            <v>EKSKLUSIF</v>
          </cell>
          <cell r="G237" t="str">
            <v>EKSKLUSIF</v>
          </cell>
          <cell r="H237" t="str">
            <v>EKSKLUSIF</v>
          </cell>
          <cell r="I237" t="str">
            <v>EKSKLUSIF</v>
          </cell>
          <cell r="J237" t="str">
            <v>EKSKLUSIF</v>
          </cell>
          <cell r="K237" t="str">
            <v>REGULER</v>
          </cell>
          <cell r="L237" t="str">
            <v>REGULER</v>
          </cell>
          <cell r="M237">
            <v>22</v>
          </cell>
          <cell r="N237">
            <v>44</v>
          </cell>
          <cell r="O237">
            <v>40</v>
          </cell>
          <cell r="P237">
            <v>40</v>
          </cell>
          <cell r="Q237">
            <v>39</v>
          </cell>
          <cell r="R237">
            <v>32</v>
          </cell>
          <cell r="S237">
            <v>16</v>
          </cell>
          <cell r="T237">
            <v>233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32</v>
          </cell>
          <cell r="AA237">
            <v>16</v>
          </cell>
          <cell r="AB237">
            <v>48</v>
          </cell>
          <cell r="AC237">
            <v>0</v>
          </cell>
          <cell r="AD237" t="str">
            <v>TIDAK</v>
          </cell>
          <cell r="AE237" t="str">
            <v>TIDAK</v>
          </cell>
          <cell r="AF237">
            <v>48</v>
          </cell>
          <cell r="AG237">
            <v>2</v>
          </cell>
          <cell r="AH237" t="str">
            <v>SAPHIRE</v>
          </cell>
          <cell r="AI237">
            <v>0</v>
          </cell>
          <cell r="AJ237" t="str">
            <v>FALSE</v>
          </cell>
          <cell r="AK237">
            <v>0</v>
          </cell>
          <cell r="AL237">
            <v>45261</v>
          </cell>
          <cell r="AM237">
            <v>45701</v>
          </cell>
          <cell r="AN237">
            <v>1</v>
          </cell>
          <cell r="AO237">
            <v>48</v>
          </cell>
          <cell r="AP237" t="str">
            <v>-</v>
          </cell>
          <cell r="AQ237" t="str">
            <v>-</v>
          </cell>
          <cell r="AR237" t="str">
            <v>EKSKLUSIF</v>
          </cell>
          <cell r="AS237" t="str">
            <v>EKSKLUSIF</v>
          </cell>
          <cell r="AT237" t="str">
            <v>REGULER</v>
          </cell>
          <cell r="AU237" t="str">
            <v>REGULER</v>
          </cell>
          <cell r="AV237" t="str">
            <v/>
          </cell>
          <cell r="AW237">
            <v>48</v>
          </cell>
          <cell r="AX237">
            <v>47</v>
          </cell>
          <cell r="AY237">
            <v>42</v>
          </cell>
          <cell r="AZ237">
            <v>38</v>
          </cell>
          <cell r="BA237">
            <v>36</v>
          </cell>
          <cell r="BB237">
            <v>48</v>
          </cell>
          <cell r="BC237">
            <v>47</v>
          </cell>
          <cell r="BD237">
            <v>42</v>
          </cell>
          <cell r="BE237">
            <v>38</v>
          </cell>
          <cell r="BF237">
            <v>36</v>
          </cell>
          <cell r="BG237">
            <v>17</v>
          </cell>
          <cell r="BH237">
            <v>48</v>
          </cell>
          <cell r="BI237">
            <v>47</v>
          </cell>
          <cell r="BJ237">
            <v>42</v>
          </cell>
          <cell r="BK237">
            <v>38</v>
          </cell>
          <cell r="BL237">
            <v>36</v>
          </cell>
          <cell r="BM237">
            <v>20</v>
          </cell>
          <cell r="BN237">
            <v>248</v>
          </cell>
          <cell r="BO237">
            <v>17</v>
          </cell>
          <cell r="BP237">
            <v>48</v>
          </cell>
          <cell r="BQ237">
            <v>0</v>
          </cell>
          <cell r="BR237">
            <v>0</v>
          </cell>
          <cell r="BS237">
            <v>38</v>
          </cell>
          <cell r="BT237">
            <v>36</v>
          </cell>
          <cell r="BU237">
            <v>20</v>
          </cell>
          <cell r="BV237">
            <v>159</v>
          </cell>
          <cell r="BW237">
            <v>0</v>
          </cell>
          <cell r="BX237" t="str">
            <v>TIDAK</v>
          </cell>
          <cell r="BY237" t="str">
            <v>TIDAK</v>
          </cell>
        </row>
        <row r="238">
          <cell r="A238" t="str">
            <v>A2925</v>
          </cell>
          <cell r="B238" t="str">
            <v>Maria Goretti Dian Permata Hadi</v>
          </cell>
          <cell r="C238" t="str">
            <v>DELTA</v>
          </cell>
          <cell r="D238">
            <v>45190</v>
          </cell>
          <cell r="E238" t="str">
            <v>Sep-23</v>
          </cell>
          <cell r="F238" t="str">
            <v>REGULER</v>
          </cell>
          <cell r="G238" t="str">
            <v>REGULER</v>
          </cell>
          <cell r="H238" t="str">
            <v>REGULER</v>
          </cell>
          <cell r="I238" t="str">
            <v>REGULER</v>
          </cell>
          <cell r="J238" t="str">
            <v>EKSKLUSIF</v>
          </cell>
          <cell r="K238" t="str">
            <v>EKSKLUSIF</v>
          </cell>
          <cell r="L238" t="str">
            <v>EKSKLUSIF</v>
          </cell>
          <cell r="M238">
            <v>19</v>
          </cell>
          <cell r="N238">
            <v>33</v>
          </cell>
          <cell r="O238">
            <v>39</v>
          </cell>
          <cell r="P238">
            <v>23</v>
          </cell>
          <cell r="Q238">
            <v>38</v>
          </cell>
          <cell r="R238">
            <v>42</v>
          </cell>
          <cell r="S238">
            <v>20</v>
          </cell>
          <cell r="T238">
            <v>214</v>
          </cell>
          <cell r="U238">
            <v>19</v>
          </cell>
          <cell r="V238">
            <v>33</v>
          </cell>
          <cell r="W238">
            <v>39</v>
          </cell>
          <cell r="X238">
            <v>23</v>
          </cell>
          <cell r="Y238">
            <v>0</v>
          </cell>
          <cell r="Z238">
            <v>0</v>
          </cell>
          <cell r="AA238">
            <v>0</v>
          </cell>
          <cell r="AB238">
            <v>114</v>
          </cell>
          <cell r="AC238">
            <v>0</v>
          </cell>
          <cell r="AD238" t="str">
            <v>TIDAK</v>
          </cell>
          <cell r="AE238" t="str">
            <v>TIDAK</v>
          </cell>
          <cell r="AF238">
            <v>114</v>
          </cell>
          <cell r="AG238">
            <v>2</v>
          </cell>
          <cell r="AH238" t="str">
            <v>SAPHIRE</v>
          </cell>
          <cell r="AI238">
            <v>0</v>
          </cell>
          <cell r="AJ238" t="str">
            <v>Y</v>
          </cell>
          <cell r="AK238">
            <v>0</v>
          </cell>
          <cell r="AL238">
            <v>45261</v>
          </cell>
          <cell r="AM238">
            <v>45701</v>
          </cell>
          <cell r="AN238">
            <v>1</v>
          </cell>
          <cell r="AO238">
            <v>114</v>
          </cell>
          <cell r="AP238" t="str">
            <v>EKSKLUSIF</v>
          </cell>
          <cell r="AQ238" t="str">
            <v>-</v>
          </cell>
          <cell r="AR238" t="str">
            <v>EKSKLUSIF</v>
          </cell>
          <cell r="AS238" t="str">
            <v>EKSKLUSIF</v>
          </cell>
          <cell r="AT238" t="str">
            <v>EKSKLUSIF</v>
          </cell>
          <cell r="AU238" t="str">
            <v>EKSKLUSIF</v>
          </cell>
          <cell r="AV238" t="str">
            <v/>
          </cell>
          <cell r="AW238">
            <v>48</v>
          </cell>
          <cell r="AX238">
            <v>47</v>
          </cell>
          <cell r="AY238">
            <v>44</v>
          </cell>
          <cell r="AZ238">
            <v>47</v>
          </cell>
          <cell r="BA238">
            <v>44</v>
          </cell>
          <cell r="BB238">
            <v>48</v>
          </cell>
          <cell r="BC238">
            <v>47</v>
          </cell>
          <cell r="BD238">
            <v>44</v>
          </cell>
          <cell r="BE238">
            <v>47</v>
          </cell>
          <cell r="BF238">
            <v>44</v>
          </cell>
          <cell r="BG238">
            <v>19</v>
          </cell>
          <cell r="BH238">
            <v>48</v>
          </cell>
          <cell r="BI238">
            <v>47</v>
          </cell>
          <cell r="BJ238">
            <v>44</v>
          </cell>
          <cell r="BK238">
            <v>47</v>
          </cell>
          <cell r="BL238">
            <v>44</v>
          </cell>
          <cell r="BM238">
            <v>21</v>
          </cell>
          <cell r="BN238">
            <v>270</v>
          </cell>
          <cell r="BO238">
            <v>0</v>
          </cell>
          <cell r="BP238">
            <v>48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21</v>
          </cell>
          <cell r="BV238">
            <v>69</v>
          </cell>
          <cell r="BW238">
            <v>0</v>
          </cell>
          <cell r="BX238" t="str">
            <v>TIDAK</v>
          </cell>
          <cell r="BY238" t="str">
            <v>TIDAK</v>
          </cell>
        </row>
        <row r="239">
          <cell r="A239" t="str">
            <v>A0466</v>
          </cell>
          <cell r="B239" t="str">
            <v>Maria Rafaella</v>
          </cell>
          <cell r="C239" t="str">
            <v>DELTA</v>
          </cell>
          <cell r="D239">
            <v>44901</v>
          </cell>
          <cell r="E239" t="str">
            <v>Dec-22</v>
          </cell>
          <cell r="F239" t="str">
            <v>REGULER</v>
          </cell>
          <cell r="G239" t="str">
            <v>REGULER</v>
          </cell>
          <cell r="H239" t="str">
            <v>REGULER</v>
          </cell>
          <cell r="I239" t="str">
            <v>-</v>
          </cell>
          <cell r="J239" t="str">
            <v>-</v>
          </cell>
          <cell r="K239" t="str">
            <v>REGULER</v>
          </cell>
          <cell r="L239" t="str">
            <v>-</v>
          </cell>
          <cell r="M239">
            <v>0</v>
          </cell>
          <cell r="N239">
            <v>5</v>
          </cell>
          <cell r="O239">
            <v>3</v>
          </cell>
          <cell r="P239">
            <v>0</v>
          </cell>
          <cell r="Q239">
            <v>0</v>
          </cell>
          <cell r="R239">
            <v>3</v>
          </cell>
          <cell r="S239" t="str">
            <v/>
          </cell>
          <cell r="T239">
            <v>11</v>
          </cell>
          <cell r="U239">
            <v>0</v>
          </cell>
          <cell r="V239">
            <v>5</v>
          </cell>
          <cell r="W239">
            <v>3</v>
          </cell>
          <cell r="X239">
            <v>0</v>
          </cell>
          <cell r="Y239">
            <v>0</v>
          </cell>
          <cell r="Z239">
            <v>3</v>
          </cell>
          <cell r="AA239" t="str">
            <v/>
          </cell>
          <cell r="AB239">
            <v>11</v>
          </cell>
          <cell r="AC239">
            <v>4</v>
          </cell>
          <cell r="AD239" t="str">
            <v>DOWNGRADE</v>
          </cell>
          <cell r="AE239" t="str">
            <v>TIDAK</v>
          </cell>
          <cell r="AF239">
            <v>5.5</v>
          </cell>
          <cell r="AG239">
            <v>2</v>
          </cell>
          <cell r="AH239" t="str">
            <v>SAPHIRE</v>
          </cell>
          <cell r="AI239">
            <v>0</v>
          </cell>
          <cell r="AJ239" t="str">
            <v>FALSE</v>
          </cell>
          <cell r="AK239">
            <v>0</v>
          </cell>
          <cell r="AL239">
            <v>45261</v>
          </cell>
          <cell r="AM239">
            <v>45701</v>
          </cell>
          <cell r="AN239">
            <v>1</v>
          </cell>
          <cell r="AO239">
            <v>5.5</v>
          </cell>
          <cell r="AP239" t="str">
            <v>-</v>
          </cell>
          <cell r="AQ239" t="str">
            <v>-</v>
          </cell>
          <cell r="AR239" t="str">
            <v>-</v>
          </cell>
          <cell r="AS239" t="str">
            <v>-</v>
          </cell>
          <cell r="AT239" t="str">
            <v>-</v>
          </cell>
          <cell r="AU239" t="str">
            <v>-</v>
          </cell>
          <cell r="AV239" t="str">
            <v/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 t="str">
            <v/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 t="str">
            <v/>
          </cell>
          <cell r="BN239">
            <v>0</v>
          </cell>
          <cell r="BO239" t="str">
            <v/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 t="str">
            <v/>
          </cell>
          <cell r="BV239">
            <v>0</v>
          </cell>
          <cell r="BW239">
            <v>7</v>
          </cell>
          <cell r="BX239" t="str">
            <v>DOWNGRADE</v>
          </cell>
          <cell r="BY239" t="str">
            <v>RESET</v>
          </cell>
        </row>
        <row r="240">
          <cell r="A240" t="str">
            <v>A3723</v>
          </cell>
          <cell r="B240" t="str">
            <v>Maria Reinildis Loe</v>
          </cell>
          <cell r="C240" t="str">
            <v>DELTA</v>
          </cell>
          <cell r="D240">
            <v>45338</v>
          </cell>
          <cell r="E240" t="str">
            <v>Feb-24</v>
          </cell>
          <cell r="F240" t="str">
            <v>-</v>
          </cell>
          <cell r="G240" t="str">
            <v>-</v>
          </cell>
          <cell r="H240" t="str">
            <v>REGULER</v>
          </cell>
          <cell r="I240" t="str">
            <v>-</v>
          </cell>
          <cell r="J240" t="str">
            <v>-</v>
          </cell>
          <cell r="K240" t="str">
            <v>-</v>
          </cell>
          <cell r="L240" t="str">
            <v>-</v>
          </cell>
          <cell r="M240">
            <v>0</v>
          </cell>
          <cell r="N240">
            <v>0</v>
          </cell>
          <cell r="O240">
            <v>2</v>
          </cell>
          <cell r="P240">
            <v>0</v>
          </cell>
          <cell r="Q240">
            <v>0</v>
          </cell>
          <cell r="R240">
            <v>0</v>
          </cell>
          <cell r="S240" t="str">
            <v/>
          </cell>
          <cell r="T240">
            <v>2</v>
          </cell>
          <cell r="U240">
            <v>0</v>
          </cell>
          <cell r="V240">
            <v>0</v>
          </cell>
          <cell r="W240">
            <v>2</v>
          </cell>
          <cell r="X240">
            <v>0</v>
          </cell>
          <cell r="Y240">
            <v>0</v>
          </cell>
          <cell r="Z240">
            <v>0</v>
          </cell>
          <cell r="AA240" t="str">
            <v/>
          </cell>
          <cell r="AB240">
            <v>2</v>
          </cell>
          <cell r="AC240">
            <v>4</v>
          </cell>
          <cell r="AD240" t="str">
            <v>DOWNGRADE</v>
          </cell>
          <cell r="AE240" t="str">
            <v>RESET</v>
          </cell>
          <cell r="AF240">
            <v>0</v>
          </cell>
          <cell r="AG240">
            <v>0</v>
          </cell>
          <cell r="AH240" t="str">
            <v>SAPHIRE</v>
          </cell>
          <cell r="AI240">
            <v>0</v>
          </cell>
          <cell r="AJ240" t="str">
            <v>FALSE</v>
          </cell>
          <cell r="AK240">
            <v>0</v>
          </cell>
          <cell r="AL240">
            <v>45261</v>
          </cell>
          <cell r="AM240">
            <v>45701</v>
          </cell>
          <cell r="AN240">
            <v>1</v>
          </cell>
          <cell r="AO240">
            <v>0</v>
          </cell>
          <cell r="AP240" t="str">
            <v>-</v>
          </cell>
          <cell r="AQ240" t="str">
            <v>-</v>
          </cell>
          <cell r="AR240" t="str">
            <v>-</v>
          </cell>
          <cell r="AS240" t="str">
            <v>-</v>
          </cell>
          <cell r="AT240" t="str">
            <v>-</v>
          </cell>
          <cell r="AU240" t="str">
            <v>-</v>
          </cell>
          <cell r="AV240" t="str">
            <v/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 t="str">
            <v/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 t="str">
            <v/>
          </cell>
          <cell r="BN240">
            <v>0</v>
          </cell>
          <cell r="BO240" t="str">
            <v/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 t="str">
            <v/>
          </cell>
          <cell r="BV240">
            <v>0</v>
          </cell>
          <cell r="BW240">
            <v>7</v>
          </cell>
          <cell r="BX240" t="str">
            <v>DOWNGRADE</v>
          </cell>
          <cell r="BY240" t="str">
            <v>RESET</v>
          </cell>
        </row>
        <row r="241">
          <cell r="A241" t="str">
            <v>A3301</v>
          </cell>
          <cell r="B241" t="str">
            <v>Maria Shinta</v>
          </cell>
          <cell r="C241" t="str">
            <v>DELTA</v>
          </cell>
          <cell r="D241">
            <v>45258</v>
          </cell>
          <cell r="E241" t="str">
            <v>Nov-23</v>
          </cell>
          <cell r="F241" t="str">
            <v>REGULER</v>
          </cell>
          <cell r="G241" t="str">
            <v>REGULER</v>
          </cell>
          <cell r="H241" t="str">
            <v>REGULER</v>
          </cell>
          <cell r="I241" t="str">
            <v>REGULER</v>
          </cell>
          <cell r="J241" t="str">
            <v>REGULER</v>
          </cell>
          <cell r="K241" t="str">
            <v>REGULER</v>
          </cell>
          <cell r="L241" t="str">
            <v>REGULER</v>
          </cell>
          <cell r="M241">
            <v>9</v>
          </cell>
          <cell r="N241">
            <v>15</v>
          </cell>
          <cell r="O241">
            <v>30</v>
          </cell>
          <cell r="P241">
            <v>26</v>
          </cell>
          <cell r="Q241">
            <v>31</v>
          </cell>
          <cell r="R241">
            <v>41</v>
          </cell>
          <cell r="S241">
            <v>16</v>
          </cell>
          <cell r="T241">
            <v>168</v>
          </cell>
          <cell r="U241">
            <v>9</v>
          </cell>
          <cell r="V241">
            <v>15</v>
          </cell>
          <cell r="W241">
            <v>30</v>
          </cell>
          <cell r="X241">
            <v>26</v>
          </cell>
          <cell r="Y241">
            <v>31</v>
          </cell>
          <cell r="Z241">
            <v>41</v>
          </cell>
          <cell r="AA241">
            <v>16</v>
          </cell>
          <cell r="AB241">
            <v>168</v>
          </cell>
          <cell r="AC241">
            <v>0</v>
          </cell>
          <cell r="AD241" t="str">
            <v>TIDAK</v>
          </cell>
          <cell r="AE241" t="str">
            <v>TIDAK</v>
          </cell>
          <cell r="AF241">
            <v>168</v>
          </cell>
          <cell r="AG241">
            <v>2</v>
          </cell>
          <cell r="AH241" t="str">
            <v>SAPHIRE</v>
          </cell>
          <cell r="AI241">
            <v>0</v>
          </cell>
          <cell r="AJ241" t="str">
            <v>Y</v>
          </cell>
          <cell r="AK241">
            <v>0</v>
          </cell>
          <cell r="AL241">
            <v>45261</v>
          </cell>
          <cell r="AM241">
            <v>45701</v>
          </cell>
          <cell r="AN241">
            <v>1</v>
          </cell>
          <cell r="AO241">
            <v>168</v>
          </cell>
          <cell r="AP241" t="str">
            <v>-</v>
          </cell>
          <cell r="AQ241" t="str">
            <v>-</v>
          </cell>
          <cell r="AR241" t="str">
            <v>REGULER</v>
          </cell>
          <cell r="AS241" t="str">
            <v>REGULER</v>
          </cell>
          <cell r="AT241" t="str">
            <v>-</v>
          </cell>
          <cell r="AU241" t="str">
            <v>REGULER</v>
          </cell>
          <cell r="AV241" t="str">
            <v/>
          </cell>
          <cell r="AW241">
            <v>27</v>
          </cell>
          <cell r="AX241">
            <v>2</v>
          </cell>
          <cell r="AY241">
            <v>2</v>
          </cell>
          <cell r="AZ241">
            <v>0</v>
          </cell>
          <cell r="BA241">
            <v>30</v>
          </cell>
          <cell r="BB241">
            <v>27</v>
          </cell>
          <cell r="BC241">
            <v>2</v>
          </cell>
          <cell r="BD241">
            <v>2</v>
          </cell>
          <cell r="BE241">
            <v>0</v>
          </cell>
          <cell r="BF241">
            <v>30</v>
          </cell>
          <cell r="BG241">
            <v>16</v>
          </cell>
          <cell r="BH241">
            <v>27</v>
          </cell>
          <cell r="BI241">
            <v>2</v>
          </cell>
          <cell r="BJ241">
            <v>2</v>
          </cell>
          <cell r="BK241">
            <v>0</v>
          </cell>
          <cell r="BL241">
            <v>30</v>
          </cell>
          <cell r="BM241">
            <v>15</v>
          </cell>
          <cell r="BN241">
            <v>92</v>
          </cell>
          <cell r="BO241">
            <v>16</v>
          </cell>
          <cell r="BP241">
            <v>27</v>
          </cell>
          <cell r="BQ241">
            <v>2</v>
          </cell>
          <cell r="BR241">
            <v>2</v>
          </cell>
          <cell r="BS241">
            <v>0</v>
          </cell>
          <cell r="BT241">
            <v>30</v>
          </cell>
          <cell r="BU241">
            <v>15</v>
          </cell>
          <cell r="BV241">
            <v>92</v>
          </cell>
          <cell r="BW241">
            <v>1</v>
          </cell>
          <cell r="BX241" t="str">
            <v>TIDAK</v>
          </cell>
          <cell r="BY241" t="str">
            <v>TIDAK</v>
          </cell>
        </row>
        <row r="242">
          <cell r="A242" t="str">
            <v>A0246</v>
          </cell>
          <cell r="B242" t="str">
            <v>Maria Wismaningsih</v>
          </cell>
          <cell r="C242" t="str">
            <v>DELTA</v>
          </cell>
          <cell r="D242">
            <v>44841</v>
          </cell>
          <cell r="E242" t="str">
            <v>Oct-22</v>
          </cell>
          <cell r="F242" t="str">
            <v>REGULER</v>
          </cell>
          <cell r="G242" t="str">
            <v>REGULER</v>
          </cell>
          <cell r="H242" t="str">
            <v>REGULER</v>
          </cell>
          <cell r="I242" t="str">
            <v>REGULER</v>
          </cell>
          <cell r="J242" t="str">
            <v>REGULER</v>
          </cell>
          <cell r="K242" t="str">
            <v>REGULER</v>
          </cell>
          <cell r="L242" t="str">
            <v>-</v>
          </cell>
          <cell r="M242">
            <v>20</v>
          </cell>
          <cell r="N242">
            <v>32</v>
          </cell>
          <cell r="O242">
            <v>31</v>
          </cell>
          <cell r="P242">
            <v>15</v>
          </cell>
          <cell r="Q242">
            <v>1</v>
          </cell>
          <cell r="R242">
            <v>1</v>
          </cell>
          <cell r="S242" t="str">
            <v/>
          </cell>
          <cell r="T242">
            <v>100</v>
          </cell>
          <cell r="U242">
            <v>20</v>
          </cell>
          <cell r="V242">
            <v>32</v>
          </cell>
          <cell r="W242">
            <v>31</v>
          </cell>
          <cell r="X242">
            <v>15</v>
          </cell>
          <cell r="Y242">
            <v>1</v>
          </cell>
          <cell r="Z242">
            <v>1</v>
          </cell>
          <cell r="AA242" t="str">
            <v/>
          </cell>
          <cell r="AB242">
            <v>100</v>
          </cell>
          <cell r="AC242">
            <v>1</v>
          </cell>
          <cell r="AD242" t="str">
            <v>TIDAK</v>
          </cell>
          <cell r="AE242" t="str">
            <v>TIDAK</v>
          </cell>
          <cell r="AF242">
            <v>100</v>
          </cell>
          <cell r="AG242">
            <v>2</v>
          </cell>
          <cell r="AH242" t="str">
            <v>SAPHIRE</v>
          </cell>
          <cell r="AI242">
            <v>0</v>
          </cell>
          <cell r="AJ242" t="str">
            <v>Y</v>
          </cell>
          <cell r="AK242">
            <v>0</v>
          </cell>
          <cell r="AL242">
            <v>45261</v>
          </cell>
          <cell r="AM242">
            <v>45701</v>
          </cell>
          <cell r="AN242">
            <v>1</v>
          </cell>
          <cell r="AO242">
            <v>100</v>
          </cell>
          <cell r="AP242" t="str">
            <v>-</v>
          </cell>
          <cell r="AQ242" t="str">
            <v>-</v>
          </cell>
          <cell r="AR242" t="str">
            <v>-</v>
          </cell>
          <cell r="AS242" t="str">
            <v>-</v>
          </cell>
          <cell r="AT242" t="str">
            <v>-</v>
          </cell>
          <cell r="AU242" t="str">
            <v>-</v>
          </cell>
          <cell r="AV242" t="str">
            <v/>
          </cell>
          <cell r="AW242">
            <v>1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1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 t="str">
            <v/>
          </cell>
          <cell r="BH242">
            <v>1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 t="str">
            <v/>
          </cell>
          <cell r="BN242">
            <v>1</v>
          </cell>
          <cell r="BO242" t="str">
            <v/>
          </cell>
          <cell r="BP242">
            <v>1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 t="str">
            <v/>
          </cell>
          <cell r="BV242">
            <v>1</v>
          </cell>
          <cell r="BW242">
            <v>6</v>
          </cell>
          <cell r="BX242" t="str">
            <v>DOWNGRADE</v>
          </cell>
          <cell r="BY242" t="str">
            <v>RESET</v>
          </cell>
        </row>
        <row r="243">
          <cell r="A243" t="str">
            <v>A1640</v>
          </cell>
          <cell r="B243" t="str">
            <v>Marintan Gultom</v>
          </cell>
          <cell r="C243" t="str">
            <v>DELTA</v>
          </cell>
          <cell r="D243">
            <v>45033</v>
          </cell>
          <cell r="E243" t="str">
            <v>Apr-23</v>
          </cell>
          <cell r="F243" t="str">
            <v>REGULER</v>
          </cell>
          <cell r="G243" t="str">
            <v>REGULER</v>
          </cell>
          <cell r="H243" t="str">
            <v>EKSKLUSIF</v>
          </cell>
          <cell r="I243" t="str">
            <v>EKSKLUSIF</v>
          </cell>
          <cell r="J243" t="str">
            <v>EKSKLUSIF</v>
          </cell>
          <cell r="K243" t="str">
            <v>-</v>
          </cell>
          <cell r="L243" t="str">
            <v>-</v>
          </cell>
          <cell r="M243">
            <v>0</v>
          </cell>
          <cell r="N243">
            <v>20</v>
          </cell>
          <cell r="O243">
            <v>39</v>
          </cell>
          <cell r="P243">
            <v>40</v>
          </cell>
          <cell r="Q243">
            <v>37</v>
          </cell>
          <cell r="R243">
            <v>0</v>
          </cell>
          <cell r="S243" t="str">
            <v/>
          </cell>
          <cell r="T243">
            <v>136</v>
          </cell>
          <cell r="U243">
            <v>0</v>
          </cell>
          <cell r="V243">
            <v>20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 t="str">
            <v/>
          </cell>
          <cell r="AB243">
            <v>20</v>
          </cell>
          <cell r="AC243">
            <v>3</v>
          </cell>
          <cell r="AD243" t="str">
            <v>DOWNGRADE</v>
          </cell>
          <cell r="AE243" t="str">
            <v>TIDAK</v>
          </cell>
          <cell r="AF243">
            <v>10</v>
          </cell>
          <cell r="AG243">
            <v>2</v>
          </cell>
          <cell r="AH243" t="str">
            <v>SAPHIRE</v>
          </cell>
          <cell r="AI243">
            <v>0</v>
          </cell>
          <cell r="AJ243" t="str">
            <v>FALSE</v>
          </cell>
          <cell r="AK243">
            <v>0</v>
          </cell>
          <cell r="AL243">
            <v>45261</v>
          </cell>
          <cell r="AM243">
            <v>45701</v>
          </cell>
          <cell r="AN243">
            <v>1</v>
          </cell>
          <cell r="AO243">
            <v>10</v>
          </cell>
          <cell r="AP243" t="str">
            <v>-</v>
          </cell>
          <cell r="AQ243" t="str">
            <v>-</v>
          </cell>
          <cell r="AR243" t="str">
            <v>-</v>
          </cell>
          <cell r="AS243" t="str">
            <v>-</v>
          </cell>
          <cell r="AT243" t="str">
            <v>-</v>
          </cell>
          <cell r="AU243" t="str">
            <v>-</v>
          </cell>
          <cell r="AV243" t="str">
            <v/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 t="str">
            <v/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 t="str">
            <v/>
          </cell>
          <cell r="BN243">
            <v>0</v>
          </cell>
          <cell r="BO243" t="str">
            <v/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 t="str">
            <v/>
          </cell>
          <cell r="BV243">
            <v>0</v>
          </cell>
          <cell r="BW243">
            <v>7</v>
          </cell>
          <cell r="BX243" t="str">
            <v>DOWNGRADE</v>
          </cell>
          <cell r="BY243" t="str">
            <v>RESET</v>
          </cell>
        </row>
        <row r="244">
          <cell r="A244" t="str">
            <v>A1825</v>
          </cell>
          <cell r="B244" t="str">
            <v>Marliana</v>
          </cell>
          <cell r="C244" t="str">
            <v>DELTA</v>
          </cell>
          <cell r="D244">
            <v>45033</v>
          </cell>
          <cell r="E244" t="str">
            <v>Apr-23</v>
          </cell>
          <cell r="F244" t="str">
            <v>REGULER</v>
          </cell>
          <cell r="G244" t="str">
            <v>REGULER</v>
          </cell>
          <cell r="H244" t="str">
            <v>REGULER</v>
          </cell>
          <cell r="I244" t="str">
            <v>REGULER</v>
          </cell>
          <cell r="J244" t="str">
            <v>REGULER</v>
          </cell>
          <cell r="K244" t="str">
            <v>REGULER</v>
          </cell>
          <cell r="L244" t="str">
            <v>EKSKLUSIF</v>
          </cell>
          <cell r="M244">
            <v>19</v>
          </cell>
          <cell r="N244">
            <v>4</v>
          </cell>
          <cell r="O244">
            <v>15</v>
          </cell>
          <cell r="P244">
            <v>12</v>
          </cell>
          <cell r="Q244">
            <v>15</v>
          </cell>
          <cell r="R244">
            <v>13</v>
          </cell>
          <cell r="S244">
            <v>21</v>
          </cell>
          <cell r="T244">
            <v>99</v>
          </cell>
          <cell r="U244">
            <v>19</v>
          </cell>
          <cell r="V244">
            <v>4</v>
          </cell>
          <cell r="W244">
            <v>15</v>
          </cell>
          <cell r="X244">
            <v>12</v>
          </cell>
          <cell r="Y244">
            <v>15</v>
          </cell>
          <cell r="Z244">
            <v>13</v>
          </cell>
          <cell r="AA244">
            <v>0</v>
          </cell>
          <cell r="AB244">
            <v>78</v>
          </cell>
          <cell r="AC244">
            <v>0</v>
          </cell>
          <cell r="AD244" t="str">
            <v>TIDAK</v>
          </cell>
          <cell r="AE244" t="str">
            <v>TIDAK</v>
          </cell>
          <cell r="AF244">
            <v>78</v>
          </cell>
          <cell r="AG244">
            <v>2</v>
          </cell>
          <cell r="AH244" t="str">
            <v>SAPHIRE</v>
          </cell>
          <cell r="AI244">
            <v>0</v>
          </cell>
          <cell r="AJ244" t="str">
            <v>Y</v>
          </cell>
          <cell r="AK244">
            <v>0</v>
          </cell>
          <cell r="AL244">
            <v>45261</v>
          </cell>
          <cell r="AM244">
            <v>45701</v>
          </cell>
          <cell r="AN244">
            <v>1</v>
          </cell>
          <cell r="AO244">
            <v>78</v>
          </cell>
          <cell r="AP244" t="str">
            <v>EKSKLUSIF</v>
          </cell>
          <cell r="AQ244" t="str">
            <v>-</v>
          </cell>
          <cell r="AR244" t="str">
            <v>EKSKLUSIF</v>
          </cell>
          <cell r="AS244" t="str">
            <v>EKSKLUSIF</v>
          </cell>
          <cell r="AT244" t="str">
            <v>EKSKLUSIF</v>
          </cell>
          <cell r="AU244" t="str">
            <v>EKSKLUSIF</v>
          </cell>
          <cell r="AV244" t="str">
            <v/>
          </cell>
          <cell r="AW244">
            <v>47</v>
          </cell>
          <cell r="AX244">
            <v>46</v>
          </cell>
          <cell r="AY244">
            <v>40</v>
          </cell>
          <cell r="AZ244">
            <v>48</v>
          </cell>
          <cell r="BA244">
            <v>42</v>
          </cell>
          <cell r="BB244">
            <v>47</v>
          </cell>
          <cell r="BC244">
            <v>46</v>
          </cell>
          <cell r="BD244">
            <v>40</v>
          </cell>
          <cell r="BE244">
            <v>48</v>
          </cell>
          <cell r="BF244">
            <v>42</v>
          </cell>
          <cell r="BG244">
            <v>19</v>
          </cell>
          <cell r="BH244">
            <v>47</v>
          </cell>
          <cell r="BI244">
            <v>46</v>
          </cell>
          <cell r="BJ244">
            <v>40</v>
          </cell>
          <cell r="BK244">
            <v>48</v>
          </cell>
          <cell r="BL244">
            <v>42</v>
          </cell>
          <cell r="BM244">
            <v>21</v>
          </cell>
          <cell r="BN244">
            <v>263</v>
          </cell>
          <cell r="BO244">
            <v>0</v>
          </cell>
          <cell r="BP244">
            <v>47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21</v>
          </cell>
          <cell r="BV244">
            <v>68</v>
          </cell>
          <cell r="BW244">
            <v>0</v>
          </cell>
          <cell r="BX244" t="str">
            <v>TIDAK</v>
          </cell>
          <cell r="BY244" t="str">
            <v>TIDAK</v>
          </cell>
        </row>
        <row r="245">
          <cell r="A245" t="str">
            <v>A3935</v>
          </cell>
          <cell r="B245" t="str">
            <v>MARSEL HAMANDIKA</v>
          </cell>
          <cell r="C245" t="str">
            <v>DELTA</v>
          </cell>
          <cell r="D245">
            <v>45414</v>
          </cell>
          <cell r="E245" t="str">
            <v>May-24</v>
          </cell>
          <cell r="F245" t="str">
            <v>-</v>
          </cell>
          <cell r="G245" t="str">
            <v>-</v>
          </cell>
          <cell r="H245" t="str">
            <v>-</v>
          </cell>
          <cell r="I245" t="str">
            <v>-</v>
          </cell>
          <cell r="J245" t="str">
            <v>-</v>
          </cell>
          <cell r="K245" t="str">
            <v>REGULER</v>
          </cell>
          <cell r="L245" t="str">
            <v>REGULER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29</v>
          </cell>
          <cell r="S245">
            <v>20</v>
          </cell>
          <cell r="T245">
            <v>49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29</v>
          </cell>
          <cell r="AA245">
            <v>20</v>
          </cell>
          <cell r="AB245">
            <v>49</v>
          </cell>
          <cell r="AC245">
            <v>0</v>
          </cell>
          <cell r="AD245" t="str">
            <v>TIDAK</v>
          </cell>
          <cell r="AE245" t="str">
            <v>TIDAK</v>
          </cell>
          <cell r="AF245">
            <v>49</v>
          </cell>
          <cell r="AG245">
            <v>2</v>
          </cell>
          <cell r="AH245" t="str">
            <v>SAPHIRE</v>
          </cell>
          <cell r="AI245">
            <v>0</v>
          </cell>
          <cell r="AJ245" t="str">
            <v>FALSE</v>
          </cell>
          <cell r="AK245">
            <v>0</v>
          </cell>
          <cell r="AL245">
            <v>45261</v>
          </cell>
          <cell r="AM245">
            <v>45701</v>
          </cell>
          <cell r="AN245">
            <v>1</v>
          </cell>
          <cell r="AO245">
            <v>49</v>
          </cell>
          <cell r="AP245" t="str">
            <v>-</v>
          </cell>
          <cell r="AQ245" t="str">
            <v>-</v>
          </cell>
          <cell r="AR245" t="str">
            <v>REGULER</v>
          </cell>
          <cell r="AS245" t="str">
            <v>REGULER</v>
          </cell>
          <cell r="AT245" t="str">
            <v>REGULER</v>
          </cell>
          <cell r="AU245" t="str">
            <v>REGULER</v>
          </cell>
          <cell r="AV245" t="str">
            <v/>
          </cell>
          <cell r="AW245">
            <v>40</v>
          </cell>
          <cell r="AX245">
            <v>46</v>
          </cell>
          <cell r="AY245">
            <v>36</v>
          </cell>
          <cell r="AZ245">
            <v>43</v>
          </cell>
          <cell r="BA245">
            <v>40</v>
          </cell>
          <cell r="BB245">
            <v>40</v>
          </cell>
          <cell r="BC245">
            <v>46</v>
          </cell>
          <cell r="BD245">
            <v>36</v>
          </cell>
          <cell r="BE245">
            <v>43</v>
          </cell>
          <cell r="BF245">
            <v>40</v>
          </cell>
          <cell r="BG245">
            <v>18</v>
          </cell>
          <cell r="BH245">
            <v>40</v>
          </cell>
          <cell r="BI245">
            <v>46</v>
          </cell>
          <cell r="BJ245">
            <v>36</v>
          </cell>
          <cell r="BK245">
            <v>43</v>
          </cell>
          <cell r="BL245">
            <v>40</v>
          </cell>
          <cell r="BM245">
            <v>20</v>
          </cell>
          <cell r="BN245">
            <v>243</v>
          </cell>
          <cell r="BO245">
            <v>18</v>
          </cell>
          <cell r="BP245">
            <v>40</v>
          </cell>
          <cell r="BQ245">
            <v>46</v>
          </cell>
          <cell r="BR245">
            <v>36</v>
          </cell>
          <cell r="BS245">
            <v>43</v>
          </cell>
          <cell r="BT245">
            <v>40</v>
          </cell>
          <cell r="BU245">
            <v>20</v>
          </cell>
          <cell r="BV245">
            <v>243</v>
          </cell>
          <cell r="BW245">
            <v>0</v>
          </cell>
          <cell r="BX245" t="str">
            <v>TIDAK</v>
          </cell>
          <cell r="BY245" t="str">
            <v>TIDAK</v>
          </cell>
        </row>
        <row r="246">
          <cell r="A246" t="str">
            <v>A1525</v>
          </cell>
          <cell r="B246" t="str">
            <v>Marsidah</v>
          </cell>
          <cell r="C246" t="str">
            <v>DELTA</v>
          </cell>
          <cell r="D246">
            <v>44988</v>
          </cell>
          <cell r="E246" t="str">
            <v>Mar-23</v>
          </cell>
          <cell r="F246" t="str">
            <v>EKSKLUSIF</v>
          </cell>
          <cell r="G246" t="str">
            <v>EKSKLUSIF</v>
          </cell>
          <cell r="H246" t="str">
            <v>EKSKLUSIF</v>
          </cell>
          <cell r="I246" t="str">
            <v>EKSKLUSIF</v>
          </cell>
          <cell r="J246" t="str">
            <v>EKSKLUSIF</v>
          </cell>
          <cell r="K246" t="str">
            <v>EKSKLUSIF</v>
          </cell>
          <cell r="L246" t="str">
            <v>EKSKLUSIF</v>
          </cell>
          <cell r="M246">
            <v>22</v>
          </cell>
          <cell r="N246">
            <v>47</v>
          </cell>
          <cell r="O246">
            <v>42</v>
          </cell>
          <cell r="P246">
            <v>43</v>
          </cell>
          <cell r="Q246">
            <v>37</v>
          </cell>
          <cell r="R246">
            <v>44</v>
          </cell>
          <cell r="S246">
            <v>21</v>
          </cell>
          <cell r="T246">
            <v>256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 t="str">
            <v>TIDAK</v>
          </cell>
          <cell r="AE246" t="str">
            <v>TIDAK</v>
          </cell>
          <cell r="AF246">
            <v>0</v>
          </cell>
          <cell r="AG246">
            <v>2</v>
          </cell>
          <cell r="AH246" t="str">
            <v>SAPHIRE</v>
          </cell>
          <cell r="AI246">
            <v>0</v>
          </cell>
          <cell r="AJ246" t="str">
            <v>FALSE</v>
          </cell>
          <cell r="AK246">
            <v>0</v>
          </cell>
          <cell r="AL246">
            <v>45261</v>
          </cell>
          <cell r="AM246">
            <v>45701</v>
          </cell>
          <cell r="AN246">
            <v>1</v>
          </cell>
          <cell r="AO246">
            <v>0</v>
          </cell>
          <cell r="AP246" t="str">
            <v>-</v>
          </cell>
          <cell r="AQ246" t="str">
            <v>-</v>
          </cell>
          <cell r="AR246" t="str">
            <v>EKSKLUSIF</v>
          </cell>
          <cell r="AS246" t="str">
            <v>EKSKLUSIF</v>
          </cell>
          <cell r="AT246" t="str">
            <v>EKSKLUSIF</v>
          </cell>
          <cell r="AU246" t="str">
            <v>EKSKLUSIF</v>
          </cell>
          <cell r="AV246" t="str">
            <v/>
          </cell>
          <cell r="AW246">
            <v>41</v>
          </cell>
          <cell r="AX246">
            <v>49</v>
          </cell>
          <cell r="AY246">
            <v>45</v>
          </cell>
          <cell r="AZ246">
            <v>49</v>
          </cell>
          <cell r="BA246">
            <v>46</v>
          </cell>
          <cell r="BB246">
            <v>41</v>
          </cell>
          <cell r="BC246">
            <v>49</v>
          </cell>
          <cell r="BD246">
            <v>45</v>
          </cell>
          <cell r="BE246">
            <v>49</v>
          </cell>
          <cell r="BF246">
            <v>46</v>
          </cell>
          <cell r="BG246">
            <v>20</v>
          </cell>
          <cell r="BH246">
            <v>41</v>
          </cell>
          <cell r="BI246">
            <v>49</v>
          </cell>
          <cell r="BJ246">
            <v>45</v>
          </cell>
          <cell r="BK246">
            <v>49</v>
          </cell>
          <cell r="BL246">
            <v>46</v>
          </cell>
          <cell r="BM246">
            <v>21</v>
          </cell>
          <cell r="BN246">
            <v>271</v>
          </cell>
          <cell r="BO246">
            <v>20</v>
          </cell>
          <cell r="BP246">
            <v>41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21</v>
          </cell>
          <cell r="BV246">
            <v>82</v>
          </cell>
          <cell r="BW246">
            <v>0</v>
          </cell>
          <cell r="BX246" t="str">
            <v>TIDAK</v>
          </cell>
          <cell r="BY246" t="str">
            <v>TIDAK</v>
          </cell>
        </row>
        <row r="247">
          <cell r="A247" t="str">
            <v>A0559</v>
          </cell>
          <cell r="B247" t="str">
            <v>Martha Rena Nugraha Eny</v>
          </cell>
          <cell r="C247" t="str">
            <v>DELTA</v>
          </cell>
          <cell r="D247">
            <v>44958</v>
          </cell>
          <cell r="E247" t="str">
            <v>Feb-23</v>
          </cell>
          <cell r="F247" t="str">
            <v>REGULER</v>
          </cell>
          <cell r="G247" t="str">
            <v>REGULER</v>
          </cell>
          <cell r="H247" t="str">
            <v>REGULER</v>
          </cell>
          <cell r="I247" t="str">
            <v>REGULER</v>
          </cell>
          <cell r="J247" t="str">
            <v>REGULER</v>
          </cell>
          <cell r="K247" t="str">
            <v>-</v>
          </cell>
          <cell r="L247" t="str">
            <v>-</v>
          </cell>
          <cell r="M247">
            <v>12</v>
          </cell>
          <cell r="N247">
            <v>2</v>
          </cell>
          <cell r="O247">
            <v>3</v>
          </cell>
          <cell r="P247">
            <v>7</v>
          </cell>
          <cell r="Q247">
            <v>16</v>
          </cell>
          <cell r="R247">
            <v>0</v>
          </cell>
          <cell r="S247" t="str">
            <v/>
          </cell>
          <cell r="T247">
            <v>40</v>
          </cell>
          <cell r="U247">
            <v>12</v>
          </cell>
          <cell r="V247">
            <v>2</v>
          </cell>
          <cell r="W247">
            <v>3</v>
          </cell>
          <cell r="X247">
            <v>7</v>
          </cell>
          <cell r="Y247">
            <v>16</v>
          </cell>
          <cell r="Z247">
            <v>0</v>
          </cell>
          <cell r="AA247" t="str">
            <v/>
          </cell>
          <cell r="AB247">
            <v>40</v>
          </cell>
          <cell r="AC247">
            <v>2</v>
          </cell>
          <cell r="AD247" t="str">
            <v>TIDAK</v>
          </cell>
          <cell r="AE247" t="str">
            <v>TIDAK</v>
          </cell>
          <cell r="AF247">
            <v>40</v>
          </cell>
          <cell r="AG247">
            <v>2</v>
          </cell>
          <cell r="AH247" t="str">
            <v>SAPHIRE</v>
          </cell>
          <cell r="AI247">
            <v>0</v>
          </cell>
          <cell r="AJ247" t="str">
            <v>FALSE</v>
          </cell>
          <cell r="AK247">
            <v>0</v>
          </cell>
          <cell r="AL247">
            <v>45261</v>
          </cell>
          <cell r="AM247">
            <v>45701</v>
          </cell>
          <cell r="AN247">
            <v>1</v>
          </cell>
          <cell r="AO247">
            <v>40</v>
          </cell>
          <cell r="AP247" t="str">
            <v>-</v>
          </cell>
          <cell r="AQ247" t="str">
            <v>-</v>
          </cell>
          <cell r="AR247" t="str">
            <v>-</v>
          </cell>
          <cell r="AS247" t="str">
            <v>-</v>
          </cell>
          <cell r="AT247" t="str">
            <v>-</v>
          </cell>
          <cell r="AU247" t="str">
            <v>-</v>
          </cell>
          <cell r="AV247" t="str">
            <v/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 t="str">
            <v/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 t="str">
            <v/>
          </cell>
          <cell r="BN247">
            <v>0</v>
          </cell>
          <cell r="BO247" t="str">
            <v/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 t="str">
            <v/>
          </cell>
          <cell r="BV247">
            <v>0</v>
          </cell>
          <cell r="BW247">
            <v>7</v>
          </cell>
          <cell r="BX247" t="str">
            <v>DOWNGRADE</v>
          </cell>
          <cell r="BY247" t="str">
            <v>RESET</v>
          </cell>
        </row>
        <row r="248">
          <cell r="A248" t="str">
            <v>A1721</v>
          </cell>
          <cell r="B248" t="str">
            <v>Mega Audilia</v>
          </cell>
          <cell r="C248" t="str">
            <v>DELTA</v>
          </cell>
          <cell r="D248">
            <v>45005</v>
          </cell>
          <cell r="E248" t="str">
            <v>Mar-23</v>
          </cell>
          <cell r="F248" t="str">
            <v>EKSKLUSIF</v>
          </cell>
          <cell r="G248" t="str">
            <v>EKSKLUSIF</v>
          </cell>
          <cell r="H248" t="str">
            <v>EKSKLUSIF</v>
          </cell>
          <cell r="I248" t="str">
            <v>EKSKLUSIF</v>
          </cell>
          <cell r="J248" t="str">
            <v>EKSKLUSIF</v>
          </cell>
          <cell r="K248" t="str">
            <v>EKSKLUSIF</v>
          </cell>
          <cell r="L248" t="str">
            <v>EKSKLUSIF</v>
          </cell>
          <cell r="M248">
            <v>22</v>
          </cell>
          <cell r="N248">
            <v>47</v>
          </cell>
          <cell r="O248">
            <v>42</v>
          </cell>
          <cell r="P248">
            <v>44</v>
          </cell>
          <cell r="Q248">
            <v>38</v>
          </cell>
          <cell r="R248">
            <v>44</v>
          </cell>
          <cell r="S248">
            <v>22</v>
          </cell>
          <cell r="T248">
            <v>259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 t="str">
            <v>TIDAK</v>
          </cell>
          <cell r="AE248" t="str">
            <v>TIDAK</v>
          </cell>
          <cell r="AF248">
            <v>0</v>
          </cell>
          <cell r="AG248">
            <v>2</v>
          </cell>
          <cell r="AH248" t="str">
            <v>SAPHIRE</v>
          </cell>
          <cell r="AI248">
            <v>0</v>
          </cell>
          <cell r="AJ248" t="str">
            <v>FALSE</v>
          </cell>
          <cell r="AK248">
            <v>0</v>
          </cell>
          <cell r="AL248">
            <v>45261</v>
          </cell>
          <cell r="AM248">
            <v>45701</v>
          </cell>
          <cell r="AN248">
            <v>1</v>
          </cell>
          <cell r="AO248">
            <v>0</v>
          </cell>
          <cell r="AP248" t="str">
            <v>EKSKLUSIF</v>
          </cell>
          <cell r="AQ248" t="str">
            <v>-</v>
          </cell>
          <cell r="AR248" t="str">
            <v>EKSKLUSIF</v>
          </cell>
          <cell r="AS248" t="str">
            <v>EKSKLUSIF</v>
          </cell>
          <cell r="AT248" t="str">
            <v>EKSKLUSIF</v>
          </cell>
          <cell r="AU248" t="str">
            <v>EKSKLUSIF</v>
          </cell>
          <cell r="AV248" t="str">
            <v/>
          </cell>
          <cell r="AW248">
            <v>49</v>
          </cell>
          <cell r="AX248">
            <v>48</v>
          </cell>
          <cell r="AY248">
            <v>44</v>
          </cell>
          <cell r="AZ248">
            <v>50</v>
          </cell>
          <cell r="BA248">
            <v>45</v>
          </cell>
          <cell r="BB248">
            <v>49</v>
          </cell>
          <cell r="BC248">
            <v>48</v>
          </cell>
          <cell r="BD248">
            <v>44</v>
          </cell>
          <cell r="BE248">
            <v>50</v>
          </cell>
          <cell r="BF248">
            <v>45</v>
          </cell>
          <cell r="BG248">
            <v>20</v>
          </cell>
          <cell r="BH248">
            <v>49</v>
          </cell>
          <cell r="BI248">
            <v>48</v>
          </cell>
          <cell r="BJ248">
            <v>44</v>
          </cell>
          <cell r="BK248">
            <v>50</v>
          </cell>
          <cell r="BL248">
            <v>45</v>
          </cell>
          <cell r="BM248">
            <v>22</v>
          </cell>
          <cell r="BN248">
            <v>278</v>
          </cell>
          <cell r="BO248">
            <v>0</v>
          </cell>
          <cell r="BP248">
            <v>49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22</v>
          </cell>
          <cell r="BV248">
            <v>71</v>
          </cell>
          <cell r="BW248">
            <v>0</v>
          </cell>
          <cell r="BX248" t="str">
            <v>TIDAK</v>
          </cell>
          <cell r="BY248" t="str">
            <v>TIDAK</v>
          </cell>
        </row>
        <row r="249">
          <cell r="A249" t="str">
            <v>A1773</v>
          </cell>
          <cell r="B249" t="str">
            <v>Melinia Windy Erliya</v>
          </cell>
          <cell r="C249" t="str">
            <v>DELTA</v>
          </cell>
          <cell r="D249">
            <v>45082</v>
          </cell>
          <cell r="E249" t="str">
            <v>Jun-23</v>
          </cell>
          <cell r="F249" t="str">
            <v>REGULER</v>
          </cell>
          <cell r="G249" t="str">
            <v>REGULER</v>
          </cell>
          <cell r="H249" t="str">
            <v>EKSKLUSIF</v>
          </cell>
          <cell r="I249" t="str">
            <v>EKSKLUSIF</v>
          </cell>
          <cell r="J249" t="str">
            <v>EKSKLUSIF</v>
          </cell>
          <cell r="K249" t="str">
            <v>EKSKLUSIF</v>
          </cell>
          <cell r="L249" t="str">
            <v>EKSKLUSIF</v>
          </cell>
          <cell r="M249">
            <v>15</v>
          </cell>
          <cell r="N249">
            <v>38</v>
          </cell>
          <cell r="O249">
            <v>41</v>
          </cell>
          <cell r="P249">
            <v>40</v>
          </cell>
          <cell r="Q249">
            <v>37</v>
          </cell>
          <cell r="R249">
            <v>40</v>
          </cell>
          <cell r="S249">
            <v>21</v>
          </cell>
          <cell r="T249">
            <v>232</v>
          </cell>
          <cell r="U249">
            <v>15</v>
          </cell>
          <cell r="V249">
            <v>38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53</v>
          </cell>
          <cell r="AC249">
            <v>0</v>
          </cell>
          <cell r="AD249" t="str">
            <v>TIDAK</v>
          </cell>
          <cell r="AE249" t="str">
            <v>TIDAK</v>
          </cell>
          <cell r="AF249">
            <v>53</v>
          </cell>
          <cell r="AG249">
            <v>2</v>
          </cell>
          <cell r="AH249" t="str">
            <v>SAPHIRE</v>
          </cell>
          <cell r="AI249">
            <v>0</v>
          </cell>
          <cell r="AJ249" t="str">
            <v>FALSE</v>
          </cell>
          <cell r="AK249">
            <v>0</v>
          </cell>
          <cell r="AL249">
            <v>45261</v>
          </cell>
          <cell r="AM249">
            <v>45701</v>
          </cell>
          <cell r="AN249">
            <v>1</v>
          </cell>
          <cell r="AO249">
            <v>53</v>
          </cell>
          <cell r="AP249" t="str">
            <v>EKSKLUSIF</v>
          </cell>
          <cell r="AQ249" t="str">
            <v>-</v>
          </cell>
          <cell r="AR249" t="str">
            <v>EKSKLUSIF</v>
          </cell>
          <cell r="AS249" t="str">
            <v>EKSKLUSIF</v>
          </cell>
          <cell r="AT249" t="str">
            <v>EKSKLUSIF</v>
          </cell>
          <cell r="AU249" t="str">
            <v>EKSKLUSIF</v>
          </cell>
          <cell r="AV249" t="str">
            <v/>
          </cell>
          <cell r="AW249">
            <v>49</v>
          </cell>
          <cell r="AX249">
            <v>44</v>
          </cell>
          <cell r="AY249">
            <v>43</v>
          </cell>
          <cell r="AZ249">
            <v>50</v>
          </cell>
          <cell r="BA249">
            <v>43</v>
          </cell>
          <cell r="BB249">
            <v>49</v>
          </cell>
          <cell r="BC249">
            <v>44</v>
          </cell>
          <cell r="BD249">
            <v>43</v>
          </cell>
          <cell r="BE249">
            <v>50</v>
          </cell>
          <cell r="BF249">
            <v>43</v>
          </cell>
          <cell r="BG249">
            <v>20</v>
          </cell>
          <cell r="BH249">
            <v>49</v>
          </cell>
          <cell r="BI249">
            <v>44</v>
          </cell>
          <cell r="BJ249">
            <v>43</v>
          </cell>
          <cell r="BK249">
            <v>50</v>
          </cell>
          <cell r="BL249">
            <v>43</v>
          </cell>
          <cell r="BM249">
            <v>20</v>
          </cell>
          <cell r="BN249">
            <v>269</v>
          </cell>
          <cell r="BO249">
            <v>0</v>
          </cell>
          <cell r="BP249">
            <v>49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20</v>
          </cell>
          <cell r="BV249">
            <v>69</v>
          </cell>
          <cell r="BW249">
            <v>0</v>
          </cell>
          <cell r="BX249" t="str">
            <v>TIDAK</v>
          </cell>
          <cell r="BY249" t="str">
            <v>TIDAK</v>
          </cell>
        </row>
        <row r="250">
          <cell r="A250">
            <v>90717</v>
          </cell>
          <cell r="B250" t="str">
            <v>Meri Erania Elkosi</v>
          </cell>
          <cell r="C250" t="str">
            <v>DELTA</v>
          </cell>
          <cell r="D250">
            <v>44417</v>
          </cell>
          <cell r="E250" t="str">
            <v>Aug-21</v>
          </cell>
          <cell r="F250" t="str">
            <v>-</v>
          </cell>
          <cell r="G250" t="str">
            <v>REGULER</v>
          </cell>
          <cell r="H250" t="str">
            <v>REGULER</v>
          </cell>
          <cell r="I250" t="str">
            <v>REGULER</v>
          </cell>
          <cell r="J250" t="str">
            <v>REGULER</v>
          </cell>
          <cell r="K250" t="str">
            <v>REGULER</v>
          </cell>
          <cell r="L250" t="str">
            <v>-</v>
          </cell>
          <cell r="M250">
            <v>0</v>
          </cell>
          <cell r="N250">
            <v>18</v>
          </cell>
          <cell r="O250">
            <v>25</v>
          </cell>
          <cell r="P250">
            <v>23</v>
          </cell>
          <cell r="Q250">
            <v>8</v>
          </cell>
          <cell r="R250">
            <v>4</v>
          </cell>
          <cell r="S250" t="str">
            <v/>
          </cell>
          <cell r="T250">
            <v>78</v>
          </cell>
          <cell r="U250">
            <v>0</v>
          </cell>
          <cell r="V250">
            <v>18</v>
          </cell>
          <cell r="W250">
            <v>25</v>
          </cell>
          <cell r="X250">
            <v>23</v>
          </cell>
          <cell r="Y250">
            <v>8</v>
          </cell>
          <cell r="Z250">
            <v>4</v>
          </cell>
          <cell r="AA250" t="str">
            <v/>
          </cell>
          <cell r="AB250">
            <v>78</v>
          </cell>
          <cell r="AC250">
            <v>2</v>
          </cell>
          <cell r="AD250" t="str">
            <v>TIDAK</v>
          </cell>
          <cell r="AE250" t="str">
            <v>TIDAK</v>
          </cell>
          <cell r="AF250">
            <v>78</v>
          </cell>
          <cell r="AG250">
            <v>2</v>
          </cell>
          <cell r="AH250" t="str">
            <v>SAPHIRE</v>
          </cell>
          <cell r="AI250">
            <v>0</v>
          </cell>
          <cell r="AJ250" t="str">
            <v>Y</v>
          </cell>
          <cell r="AK250">
            <v>0</v>
          </cell>
          <cell r="AL250">
            <v>45261</v>
          </cell>
          <cell r="AM250">
            <v>45701</v>
          </cell>
          <cell r="AN250">
            <v>1</v>
          </cell>
          <cell r="AO250">
            <v>78</v>
          </cell>
          <cell r="AP250" t="str">
            <v>-</v>
          </cell>
          <cell r="AQ250" t="str">
            <v>-</v>
          </cell>
          <cell r="AR250" t="str">
            <v>-</v>
          </cell>
          <cell r="AS250" t="str">
            <v>-</v>
          </cell>
          <cell r="AT250" t="str">
            <v>-</v>
          </cell>
          <cell r="AU250" t="str">
            <v>-</v>
          </cell>
          <cell r="AV250" t="str">
            <v/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 t="str">
            <v/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 t="str">
            <v/>
          </cell>
          <cell r="BN250">
            <v>0</v>
          </cell>
          <cell r="BO250" t="str">
            <v/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 t="str">
            <v/>
          </cell>
          <cell r="BV250">
            <v>0</v>
          </cell>
          <cell r="BW250">
            <v>7</v>
          </cell>
          <cell r="BX250" t="str">
            <v>DOWNGRADE</v>
          </cell>
          <cell r="BY250" t="str">
            <v>RESET</v>
          </cell>
        </row>
        <row r="251">
          <cell r="A251" t="str">
            <v>A3752</v>
          </cell>
          <cell r="B251" t="str">
            <v>Meyta Andira</v>
          </cell>
          <cell r="C251" t="str">
            <v>DELTA</v>
          </cell>
          <cell r="D251">
            <v>45352</v>
          </cell>
          <cell r="E251" t="str">
            <v>Mar-24</v>
          </cell>
          <cell r="F251" t="str">
            <v>-</v>
          </cell>
          <cell r="G251" t="str">
            <v>-</v>
          </cell>
          <cell r="H251" t="str">
            <v>-</v>
          </cell>
          <cell r="I251" t="str">
            <v>REGULER</v>
          </cell>
          <cell r="J251" t="str">
            <v>REGULER</v>
          </cell>
          <cell r="K251" t="str">
            <v>EKSKLUSIF</v>
          </cell>
          <cell r="L251" t="str">
            <v>EKSKLUSIF</v>
          </cell>
          <cell r="M251">
            <v>0</v>
          </cell>
          <cell r="N251">
            <v>0</v>
          </cell>
          <cell r="O251">
            <v>0</v>
          </cell>
          <cell r="P251">
            <v>35</v>
          </cell>
          <cell r="Q251">
            <v>36</v>
          </cell>
          <cell r="R251">
            <v>42</v>
          </cell>
          <cell r="S251">
            <v>21</v>
          </cell>
          <cell r="T251">
            <v>134</v>
          </cell>
          <cell r="U251">
            <v>0</v>
          </cell>
          <cell r="V251">
            <v>0</v>
          </cell>
          <cell r="W251">
            <v>0</v>
          </cell>
          <cell r="X251">
            <v>35</v>
          </cell>
          <cell r="Y251">
            <v>36</v>
          </cell>
          <cell r="Z251">
            <v>0</v>
          </cell>
          <cell r="AA251">
            <v>0</v>
          </cell>
          <cell r="AB251">
            <v>71</v>
          </cell>
          <cell r="AC251">
            <v>0</v>
          </cell>
          <cell r="AD251" t="str">
            <v>TIDAK</v>
          </cell>
          <cell r="AE251" t="str">
            <v>TIDAK</v>
          </cell>
          <cell r="AF251">
            <v>71</v>
          </cell>
          <cell r="AG251">
            <v>2</v>
          </cell>
          <cell r="AH251" t="str">
            <v>SAPHIRE</v>
          </cell>
          <cell r="AI251">
            <v>0</v>
          </cell>
          <cell r="AJ251" t="str">
            <v>Y</v>
          </cell>
          <cell r="AK251">
            <v>0</v>
          </cell>
          <cell r="AL251">
            <v>45261</v>
          </cell>
          <cell r="AM251">
            <v>45701</v>
          </cell>
          <cell r="AN251">
            <v>1</v>
          </cell>
          <cell r="AO251">
            <v>71</v>
          </cell>
          <cell r="AP251" t="str">
            <v>EKSKLUSIF</v>
          </cell>
          <cell r="AQ251" t="str">
            <v>-</v>
          </cell>
          <cell r="AR251" t="str">
            <v>EKSKLUSIF</v>
          </cell>
          <cell r="AS251" t="str">
            <v>EKSKLUSIF</v>
          </cell>
          <cell r="AT251" t="str">
            <v>EKSKLUSIF</v>
          </cell>
          <cell r="AU251" t="str">
            <v>REGULER</v>
          </cell>
          <cell r="AV251" t="str">
            <v/>
          </cell>
          <cell r="AW251">
            <v>48</v>
          </cell>
          <cell r="AX251">
            <v>49</v>
          </cell>
          <cell r="AY251">
            <v>41</v>
          </cell>
          <cell r="AZ251">
            <v>46</v>
          </cell>
          <cell r="BA251">
            <v>36</v>
          </cell>
          <cell r="BB251">
            <v>48</v>
          </cell>
          <cell r="BC251">
            <v>49</v>
          </cell>
          <cell r="BD251">
            <v>41</v>
          </cell>
          <cell r="BE251">
            <v>46</v>
          </cell>
          <cell r="BF251">
            <v>36</v>
          </cell>
          <cell r="BG251">
            <v>20</v>
          </cell>
          <cell r="BH251">
            <v>48</v>
          </cell>
          <cell r="BI251">
            <v>49</v>
          </cell>
          <cell r="BJ251">
            <v>41</v>
          </cell>
          <cell r="BK251">
            <v>46</v>
          </cell>
          <cell r="BL251">
            <v>36</v>
          </cell>
          <cell r="BM251">
            <v>18</v>
          </cell>
          <cell r="BN251">
            <v>258</v>
          </cell>
          <cell r="BO251">
            <v>0</v>
          </cell>
          <cell r="BP251">
            <v>48</v>
          </cell>
          <cell r="BQ251">
            <v>0</v>
          </cell>
          <cell r="BR251">
            <v>0</v>
          </cell>
          <cell r="BS251">
            <v>0</v>
          </cell>
          <cell r="BT251">
            <v>36</v>
          </cell>
          <cell r="BU251">
            <v>18</v>
          </cell>
          <cell r="BV251">
            <v>102</v>
          </cell>
          <cell r="BW251">
            <v>0</v>
          </cell>
          <cell r="BX251" t="str">
            <v>TIDAK</v>
          </cell>
          <cell r="BY251" t="str">
            <v>TIDAK</v>
          </cell>
        </row>
        <row r="252">
          <cell r="A252" t="str">
            <v>A2279</v>
          </cell>
          <cell r="B252" t="str">
            <v>Michael Alvian Danish Prasojo</v>
          </cell>
          <cell r="C252" t="str">
            <v>DELTA</v>
          </cell>
          <cell r="D252">
            <v>45219</v>
          </cell>
          <cell r="E252" t="str">
            <v>Oct-23</v>
          </cell>
          <cell r="F252" t="str">
            <v>REGULER</v>
          </cell>
          <cell r="G252" t="str">
            <v>REGULER</v>
          </cell>
          <cell r="H252" t="str">
            <v>REGULER</v>
          </cell>
          <cell r="I252" t="str">
            <v>REGULER</v>
          </cell>
          <cell r="J252" t="str">
            <v>REGULER</v>
          </cell>
          <cell r="K252" t="str">
            <v>-</v>
          </cell>
          <cell r="L252" t="str">
            <v>-</v>
          </cell>
          <cell r="M252">
            <v>1</v>
          </cell>
          <cell r="N252">
            <v>2</v>
          </cell>
          <cell r="O252">
            <v>3</v>
          </cell>
          <cell r="P252">
            <v>2</v>
          </cell>
          <cell r="Q252">
            <v>7</v>
          </cell>
          <cell r="R252">
            <v>0</v>
          </cell>
          <cell r="S252" t="str">
            <v/>
          </cell>
          <cell r="T252">
            <v>15</v>
          </cell>
          <cell r="U252">
            <v>1</v>
          </cell>
          <cell r="V252">
            <v>2</v>
          </cell>
          <cell r="W252">
            <v>3</v>
          </cell>
          <cell r="X252">
            <v>2</v>
          </cell>
          <cell r="Y252">
            <v>7</v>
          </cell>
          <cell r="Z252">
            <v>0</v>
          </cell>
          <cell r="AA252" t="str">
            <v/>
          </cell>
          <cell r="AB252">
            <v>15</v>
          </cell>
          <cell r="AC252">
            <v>2</v>
          </cell>
          <cell r="AD252" t="str">
            <v>TIDAK</v>
          </cell>
          <cell r="AE252" t="str">
            <v>TIDAK</v>
          </cell>
          <cell r="AF252">
            <v>15</v>
          </cell>
          <cell r="AG252">
            <v>1</v>
          </cell>
          <cell r="AH252" t="str">
            <v>SAPHIRE</v>
          </cell>
          <cell r="AI252">
            <v>0</v>
          </cell>
          <cell r="AJ252" t="str">
            <v>FALSE</v>
          </cell>
          <cell r="AK252">
            <v>0</v>
          </cell>
          <cell r="AL252">
            <v>45261</v>
          </cell>
          <cell r="AM252">
            <v>45701</v>
          </cell>
          <cell r="AN252">
            <v>1</v>
          </cell>
          <cell r="AO252">
            <v>15</v>
          </cell>
          <cell r="AP252" t="str">
            <v>-</v>
          </cell>
          <cell r="AQ252" t="str">
            <v>-</v>
          </cell>
          <cell r="AR252" t="str">
            <v>-</v>
          </cell>
          <cell r="AS252" t="str">
            <v>-</v>
          </cell>
          <cell r="AT252" t="str">
            <v>-</v>
          </cell>
          <cell r="AU252" t="str">
            <v>-</v>
          </cell>
          <cell r="AV252" t="str">
            <v/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 t="str">
            <v/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 t="str">
            <v/>
          </cell>
          <cell r="BN252">
            <v>0</v>
          </cell>
          <cell r="BO252" t="str">
            <v/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 t="str">
            <v/>
          </cell>
          <cell r="BV252">
            <v>0</v>
          </cell>
          <cell r="BW252">
            <v>7</v>
          </cell>
          <cell r="BX252" t="str">
            <v>DOWNGRADE</v>
          </cell>
          <cell r="BY252" t="str">
            <v>RESET</v>
          </cell>
        </row>
        <row r="253">
          <cell r="A253" t="str">
            <v>A1838</v>
          </cell>
          <cell r="B253" t="str">
            <v>Mita Listyana</v>
          </cell>
          <cell r="C253" t="str">
            <v>DELTA</v>
          </cell>
          <cell r="D253">
            <v>45079</v>
          </cell>
          <cell r="E253" t="str">
            <v>Jun-23</v>
          </cell>
          <cell r="F253" t="str">
            <v>-</v>
          </cell>
          <cell r="G253" t="str">
            <v>REGULER</v>
          </cell>
          <cell r="H253" t="str">
            <v>-</v>
          </cell>
          <cell r="I253" t="str">
            <v>-</v>
          </cell>
          <cell r="J253" t="str">
            <v>-</v>
          </cell>
          <cell r="K253" t="str">
            <v>-</v>
          </cell>
          <cell r="L253" t="str">
            <v>-</v>
          </cell>
          <cell r="M253">
            <v>0</v>
          </cell>
          <cell r="N253">
            <v>30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 t="str">
            <v/>
          </cell>
          <cell r="T253">
            <v>30</v>
          </cell>
          <cell r="U253">
            <v>0</v>
          </cell>
          <cell r="V253">
            <v>30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/>
          </cell>
          <cell r="AB253">
            <v>30</v>
          </cell>
          <cell r="AC253">
            <v>6</v>
          </cell>
          <cell r="AD253" t="str">
            <v>DOWNGRADE</v>
          </cell>
          <cell r="AE253" t="str">
            <v>RESET</v>
          </cell>
          <cell r="AF253">
            <v>0</v>
          </cell>
          <cell r="AG253">
            <v>2</v>
          </cell>
          <cell r="AH253" t="str">
            <v>SAPHIRE</v>
          </cell>
          <cell r="AI253">
            <v>0</v>
          </cell>
          <cell r="AJ253" t="str">
            <v>FALSE</v>
          </cell>
          <cell r="AK253">
            <v>0</v>
          </cell>
          <cell r="AL253">
            <v>45261</v>
          </cell>
          <cell r="AM253">
            <v>45701</v>
          </cell>
          <cell r="AN253">
            <v>1</v>
          </cell>
          <cell r="AO253">
            <v>0</v>
          </cell>
          <cell r="AP253" t="str">
            <v>-</v>
          </cell>
          <cell r="AQ253" t="str">
            <v>-</v>
          </cell>
          <cell r="AR253" t="str">
            <v>-</v>
          </cell>
          <cell r="AS253" t="str">
            <v>-</v>
          </cell>
          <cell r="AT253" t="str">
            <v>-</v>
          </cell>
          <cell r="AU253" t="str">
            <v>-</v>
          </cell>
          <cell r="AV253" t="str">
            <v/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 t="str">
            <v/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 t="str">
            <v/>
          </cell>
          <cell r="BN253">
            <v>0</v>
          </cell>
          <cell r="BO253" t="str">
            <v/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 t="str">
            <v/>
          </cell>
          <cell r="BV253">
            <v>0</v>
          </cell>
          <cell r="BW253">
            <v>7</v>
          </cell>
          <cell r="BX253" t="str">
            <v>DOWNGRADE</v>
          </cell>
          <cell r="BY253" t="str">
            <v>RESET</v>
          </cell>
        </row>
        <row r="254">
          <cell r="A254" t="str">
            <v>A3603</v>
          </cell>
          <cell r="B254" t="str">
            <v>Mongmong Matanari</v>
          </cell>
          <cell r="C254" t="str">
            <v>DELTA</v>
          </cell>
          <cell r="D254">
            <v>45323</v>
          </cell>
          <cell r="E254" t="str">
            <v>Feb-24</v>
          </cell>
          <cell r="F254" t="str">
            <v>-</v>
          </cell>
          <cell r="G254" t="str">
            <v>-</v>
          </cell>
          <cell r="H254" t="str">
            <v>REGULER</v>
          </cell>
          <cell r="I254" t="str">
            <v>REGULER</v>
          </cell>
          <cell r="J254" t="str">
            <v>REGULER</v>
          </cell>
          <cell r="K254" t="str">
            <v>REGULER</v>
          </cell>
          <cell r="L254" t="str">
            <v>-</v>
          </cell>
          <cell r="M254">
            <v>0</v>
          </cell>
          <cell r="N254">
            <v>0</v>
          </cell>
          <cell r="O254">
            <v>25</v>
          </cell>
          <cell r="P254">
            <v>15</v>
          </cell>
          <cell r="Q254">
            <v>10</v>
          </cell>
          <cell r="R254">
            <v>9</v>
          </cell>
          <cell r="S254" t="str">
            <v/>
          </cell>
          <cell r="T254">
            <v>59</v>
          </cell>
          <cell r="U254">
            <v>0</v>
          </cell>
          <cell r="V254">
            <v>0</v>
          </cell>
          <cell r="W254">
            <v>25</v>
          </cell>
          <cell r="X254">
            <v>15</v>
          </cell>
          <cell r="Y254">
            <v>10</v>
          </cell>
          <cell r="Z254">
            <v>9</v>
          </cell>
          <cell r="AA254" t="str">
            <v/>
          </cell>
          <cell r="AB254">
            <v>59</v>
          </cell>
          <cell r="AC254">
            <v>1</v>
          </cell>
          <cell r="AD254" t="str">
            <v>TIDAK</v>
          </cell>
          <cell r="AE254" t="str">
            <v>TIDAK</v>
          </cell>
          <cell r="AF254">
            <v>59</v>
          </cell>
          <cell r="AG254">
            <v>2</v>
          </cell>
          <cell r="AH254" t="str">
            <v>SAPHIRE</v>
          </cell>
          <cell r="AI254">
            <v>0</v>
          </cell>
          <cell r="AJ254" t="str">
            <v>FALSE</v>
          </cell>
          <cell r="AK254">
            <v>0</v>
          </cell>
          <cell r="AL254">
            <v>45261</v>
          </cell>
          <cell r="AM254">
            <v>45701</v>
          </cell>
          <cell r="AN254">
            <v>1</v>
          </cell>
          <cell r="AO254">
            <v>59</v>
          </cell>
          <cell r="AP254" t="str">
            <v>-</v>
          </cell>
          <cell r="AQ254" t="str">
            <v>-</v>
          </cell>
          <cell r="AR254" t="str">
            <v>REGULER</v>
          </cell>
          <cell r="AS254" t="str">
            <v>-</v>
          </cell>
          <cell r="AT254" t="str">
            <v>-</v>
          </cell>
          <cell r="AU254" t="str">
            <v>-</v>
          </cell>
          <cell r="AV254" t="str">
            <v/>
          </cell>
          <cell r="AW254">
            <v>0</v>
          </cell>
          <cell r="AX254">
            <v>6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6</v>
          </cell>
          <cell r="BD254">
            <v>0</v>
          </cell>
          <cell r="BE254">
            <v>0</v>
          </cell>
          <cell r="BF254">
            <v>0</v>
          </cell>
          <cell r="BG254" t="str">
            <v/>
          </cell>
          <cell r="BH254">
            <v>0</v>
          </cell>
          <cell r="BI254">
            <v>6</v>
          </cell>
          <cell r="BJ254">
            <v>0</v>
          </cell>
          <cell r="BK254">
            <v>0</v>
          </cell>
          <cell r="BL254">
            <v>0</v>
          </cell>
          <cell r="BM254" t="str">
            <v/>
          </cell>
          <cell r="BN254">
            <v>6</v>
          </cell>
          <cell r="BO254" t="str">
            <v/>
          </cell>
          <cell r="BP254">
            <v>0</v>
          </cell>
          <cell r="BQ254">
            <v>6</v>
          </cell>
          <cell r="BR254">
            <v>0</v>
          </cell>
          <cell r="BS254">
            <v>0</v>
          </cell>
          <cell r="BT254">
            <v>0</v>
          </cell>
          <cell r="BU254" t="str">
            <v/>
          </cell>
          <cell r="BV254">
            <v>6</v>
          </cell>
          <cell r="BW254">
            <v>6</v>
          </cell>
          <cell r="BX254" t="str">
            <v>DOWNGRADE</v>
          </cell>
          <cell r="BY254" t="str">
            <v>RESET</v>
          </cell>
        </row>
        <row r="255">
          <cell r="A255" t="str">
            <v>A3169</v>
          </cell>
          <cell r="B255" t="str">
            <v>Monita Januar</v>
          </cell>
          <cell r="C255" t="str">
            <v>DELTA</v>
          </cell>
          <cell r="D255">
            <v>45241</v>
          </cell>
          <cell r="E255" t="str">
            <v>Nov-23</v>
          </cell>
          <cell r="F255" t="str">
            <v>REGULER</v>
          </cell>
          <cell r="G255" t="str">
            <v>REGULER</v>
          </cell>
          <cell r="H255" t="str">
            <v>-</v>
          </cell>
          <cell r="I255" t="str">
            <v>REGULER</v>
          </cell>
          <cell r="J255" t="str">
            <v>REGULER</v>
          </cell>
          <cell r="K255" t="str">
            <v>-</v>
          </cell>
          <cell r="L255" t="str">
            <v>-</v>
          </cell>
          <cell r="M255">
            <v>2</v>
          </cell>
          <cell r="N255">
            <v>1</v>
          </cell>
          <cell r="O255">
            <v>0</v>
          </cell>
          <cell r="P255">
            <v>2</v>
          </cell>
          <cell r="Q255">
            <v>3</v>
          </cell>
          <cell r="R255">
            <v>0</v>
          </cell>
          <cell r="S255" t="str">
            <v/>
          </cell>
          <cell r="T255">
            <v>8</v>
          </cell>
          <cell r="U255">
            <v>2</v>
          </cell>
          <cell r="V255">
            <v>1</v>
          </cell>
          <cell r="W255">
            <v>0</v>
          </cell>
          <cell r="X255">
            <v>2</v>
          </cell>
          <cell r="Y255">
            <v>3</v>
          </cell>
          <cell r="Z255">
            <v>0</v>
          </cell>
          <cell r="AA255" t="str">
            <v/>
          </cell>
          <cell r="AB255">
            <v>8</v>
          </cell>
          <cell r="AC255">
            <v>3</v>
          </cell>
          <cell r="AD255" t="str">
            <v>DOWNGRADE</v>
          </cell>
          <cell r="AE255" t="str">
            <v>TIDAK</v>
          </cell>
          <cell r="AF255">
            <v>4</v>
          </cell>
          <cell r="AG255">
            <v>2</v>
          </cell>
          <cell r="AH255" t="str">
            <v>SAPHIRE</v>
          </cell>
          <cell r="AI255">
            <v>0</v>
          </cell>
          <cell r="AJ255" t="str">
            <v>FALSE</v>
          </cell>
          <cell r="AK255">
            <v>0</v>
          </cell>
          <cell r="AL255">
            <v>45261</v>
          </cell>
          <cell r="AM255">
            <v>45701</v>
          </cell>
          <cell r="AN255">
            <v>1</v>
          </cell>
          <cell r="AO255">
            <v>4</v>
          </cell>
          <cell r="AP255" t="str">
            <v>-</v>
          </cell>
          <cell r="AQ255" t="str">
            <v>-</v>
          </cell>
          <cell r="AR255" t="str">
            <v>-</v>
          </cell>
          <cell r="AS255" t="str">
            <v>-</v>
          </cell>
          <cell r="AT255" t="str">
            <v>-</v>
          </cell>
          <cell r="AU255" t="str">
            <v>-</v>
          </cell>
          <cell r="AV255" t="str">
            <v/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 t="str">
            <v/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 t="str">
            <v/>
          </cell>
          <cell r="BN255">
            <v>0</v>
          </cell>
          <cell r="BO255" t="str">
            <v/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 t="str">
            <v/>
          </cell>
          <cell r="BV255">
            <v>0</v>
          </cell>
          <cell r="BW255">
            <v>7</v>
          </cell>
          <cell r="BX255" t="str">
            <v>DOWNGRADE</v>
          </cell>
          <cell r="BY255" t="str">
            <v>RESET</v>
          </cell>
        </row>
        <row r="256">
          <cell r="A256">
            <v>92438</v>
          </cell>
          <cell r="B256" t="str">
            <v>Muftia Ariani L.</v>
          </cell>
          <cell r="C256" t="str">
            <v>DELTA</v>
          </cell>
          <cell r="D256">
            <v>44719</v>
          </cell>
          <cell r="E256" t="str">
            <v>Jun-22</v>
          </cell>
          <cell r="F256" t="str">
            <v>REGULER</v>
          </cell>
          <cell r="G256" t="str">
            <v>REGULER</v>
          </cell>
          <cell r="H256" t="str">
            <v>REGULER</v>
          </cell>
          <cell r="I256" t="str">
            <v>REGULER</v>
          </cell>
          <cell r="J256" t="str">
            <v>REGULER</v>
          </cell>
          <cell r="K256" t="str">
            <v>REGULER</v>
          </cell>
          <cell r="L256" t="str">
            <v>-</v>
          </cell>
          <cell r="M256">
            <v>15</v>
          </cell>
          <cell r="N256">
            <v>41</v>
          </cell>
          <cell r="O256">
            <v>37</v>
          </cell>
          <cell r="P256">
            <v>30</v>
          </cell>
          <cell r="Q256">
            <v>22</v>
          </cell>
          <cell r="R256">
            <v>19</v>
          </cell>
          <cell r="S256" t="str">
            <v/>
          </cell>
          <cell r="T256">
            <v>164</v>
          </cell>
          <cell r="U256">
            <v>15</v>
          </cell>
          <cell r="V256">
            <v>41</v>
          </cell>
          <cell r="W256">
            <v>37</v>
          </cell>
          <cell r="X256">
            <v>30</v>
          </cell>
          <cell r="Y256">
            <v>22</v>
          </cell>
          <cell r="Z256">
            <v>19</v>
          </cell>
          <cell r="AA256" t="str">
            <v/>
          </cell>
          <cell r="AB256">
            <v>164</v>
          </cell>
          <cell r="AC256">
            <v>1</v>
          </cell>
          <cell r="AD256" t="str">
            <v>TIDAK</v>
          </cell>
          <cell r="AE256" t="str">
            <v>TIDAK</v>
          </cell>
          <cell r="AF256">
            <v>164</v>
          </cell>
          <cell r="AG256">
            <v>2</v>
          </cell>
          <cell r="AH256" t="str">
            <v>SAPHIRE</v>
          </cell>
          <cell r="AI256">
            <v>0</v>
          </cell>
          <cell r="AJ256" t="str">
            <v>Y</v>
          </cell>
          <cell r="AK256">
            <v>0</v>
          </cell>
          <cell r="AL256">
            <v>45261</v>
          </cell>
          <cell r="AM256">
            <v>45701</v>
          </cell>
          <cell r="AN256">
            <v>1</v>
          </cell>
          <cell r="AO256">
            <v>164</v>
          </cell>
          <cell r="AP256" t="str">
            <v>-</v>
          </cell>
          <cell r="AQ256" t="str">
            <v>-</v>
          </cell>
          <cell r="AR256" t="str">
            <v>-</v>
          </cell>
          <cell r="AS256" t="str">
            <v>REGULER</v>
          </cell>
          <cell r="AT256" t="str">
            <v>REGULER</v>
          </cell>
          <cell r="AU256" t="str">
            <v>REGULER</v>
          </cell>
          <cell r="AV256" t="str">
            <v/>
          </cell>
          <cell r="AW256">
            <v>0</v>
          </cell>
          <cell r="AX256">
            <v>0</v>
          </cell>
          <cell r="AY256">
            <v>16</v>
          </cell>
          <cell r="AZ256">
            <v>31</v>
          </cell>
          <cell r="BA256">
            <v>30</v>
          </cell>
          <cell r="BB256">
            <v>0</v>
          </cell>
          <cell r="BC256">
            <v>0</v>
          </cell>
          <cell r="BD256">
            <v>16</v>
          </cell>
          <cell r="BE256">
            <v>31</v>
          </cell>
          <cell r="BF256">
            <v>30</v>
          </cell>
          <cell r="BG256" t="str">
            <v/>
          </cell>
          <cell r="BH256">
            <v>0</v>
          </cell>
          <cell r="BI256">
            <v>0</v>
          </cell>
          <cell r="BJ256">
            <v>16</v>
          </cell>
          <cell r="BK256">
            <v>31</v>
          </cell>
          <cell r="BL256">
            <v>30</v>
          </cell>
          <cell r="BM256">
            <v>15</v>
          </cell>
          <cell r="BN256">
            <v>92</v>
          </cell>
          <cell r="BO256" t="str">
            <v/>
          </cell>
          <cell r="BP256">
            <v>0</v>
          </cell>
          <cell r="BQ256">
            <v>0</v>
          </cell>
          <cell r="BR256">
            <v>16</v>
          </cell>
          <cell r="BS256">
            <v>31</v>
          </cell>
          <cell r="BT256">
            <v>30</v>
          </cell>
          <cell r="BU256">
            <v>15</v>
          </cell>
          <cell r="BV256">
            <v>92</v>
          </cell>
          <cell r="BW256">
            <v>3</v>
          </cell>
          <cell r="BX256" t="str">
            <v>DOWNGRADE</v>
          </cell>
          <cell r="BY256" t="str">
            <v>RESET</v>
          </cell>
        </row>
        <row r="257">
          <cell r="A257" t="str">
            <v>A1641</v>
          </cell>
          <cell r="B257" t="str">
            <v>Mughayatsyah</v>
          </cell>
          <cell r="C257" t="str">
            <v>DELTA</v>
          </cell>
          <cell r="D257">
            <v>44986</v>
          </cell>
          <cell r="E257" t="str">
            <v>Mar-23</v>
          </cell>
          <cell r="F257" t="str">
            <v>REGULER</v>
          </cell>
          <cell r="G257" t="str">
            <v>REGULER</v>
          </cell>
          <cell r="H257" t="str">
            <v>REGULER</v>
          </cell>
          <cell r="I257" t="str">
            <v>REGULER</v>
          </cell>
          <cell r="J257" t="str">
            <v>REGULER</v>
          </cell>
          <cell r="K257" t="str">
            <v>REGULER</v>
          </cell>
          <cell r="L257" t="str">
            <v>REGULER</v>
          </cell>
          <cell r="M257">
            <v>5</v>
          </cell>
          <cell r="N257">
            <v>1</v>
          </cell>
          <cell r="O257">
            <v>5</v>
          </cell>
          <cell r="P257">
            <v>34</v>
          </cell>
          <cell r="Q257">
            <v>27</v>
          </cell>
          <cell r="R257">
            <v>16</v>
          </cell>
          <cell r="S257">
            <v>8</v>
          </cell>
          <cell r="T257">
            <v>96</v>
          </cell>
          <cell r="U257">
            <v>5</v>
          </cell>
          <cell r="V257">
            <v>1</v>
          </cell>
          <cell r="W257">
            <v>5</v>
          </cell>
          <cell r="X257">
            <v>34</v>
          </cell>
          <cell r="Y257">
            <v>27</v>
          </cell>
          <cell r="Z257">
            <v>16</v>
          </cell>
          <cell r="AA257">
            <v>8</v>
          </cell>
          <cell r="AB257">
            <v>96</v>
          </cell>
          <cell r="AC257">
            <v>0</v>
          </cell>
          <cell r="AD257" t="str">
            <v>TIDAK</v>
          </cell>
          <cell r="AE257" t="str">
            <v>TIDAK</v>
          </cell>
          <cell r="AF257">
            <v>96</v>
          </cell>
          <cell r="AG257">
            <v>2</v>
          </cell>
          <cell r="AH257" t="str">
            <v>SAPHIRE</v>
          </cell>
          <cell r="AI257">
            <v>0</v>
          </cell>
          <cell r="AJ257" t="str">
            <v>Y</v>
          </cell>
          <cell r="AK257">
            <v>0</v>
          </cell>
          <cell r="AL257">
            <v>45261</v>
          </cell>
          <cell r="AM257">
            <v>45701</v>
          </cell>
          <cell r="AN257">
            <v>1</v>
          </cell>
          <cell r="AO257">
            <v>96</v>
          </cell>
          <cell r="AP257" t="str">
            <v>-</v>
          </cell>
          <cell r="AQ257" t="str">
            <v>-</v>
          </cell>
          <cell r="AR257" t="str">
            <v>REGULER</v>
          </cell>
          <cell r="AS257" t="str">
            <v>REGULER</v>
          </cell>
          <cell r="AT257" t="str">
            <v>REGULER</v>
          </cell>
          <cell r="AU257" t="str">
            <v>-</v>
          </cell>
          <cell r="AV257" t="str">
            <v/>
          </cell>
          <cell r="AW257">
            <v>29</v>
          </cell>
          <cell r="AX257">
            <v>32</v>
          </cell>
          <cell r="AY257">
            <v>29</v>
          </cell>
          <cell r="AZ257">
            <v>24</v>
          </cell>
          <cell r="BA257">
            <v>0</v>
          </cell>
          <cell r="BB257">
            <v>29</v>
          </cell>
          <cell r="BC257">
            <v>32</v>
          </cell>
          <cell r="BD257">
            <v>29</v>
          </cell>
          <cell r="BE257">
            <v>24</v>
          </cell>
          <cell r="BF257">
            <v>0</v>
          </cell>
          <cell r="BG257">
            <v>16</v>
          </cell>
          <cell r="BH257">
            <v>29</v>
          </cell>
          <cell r="BI257">
            <v>32</v>
          </cell>
          <cell r="BJ257">
            <v>29</v>
          </cell>
          <cell r="BK257">
            <v>24</v>
          </cell>
          <cell r="BL257">
            <v>0</v>
          </cell>
          <cell r="BM257" t="str">
            <v/>
          </cell>
          <cell r="BN257">
            <v>130</v>
          </cell>
          <cell r="BO257">
            <v>16</v>
          </cell>
          <cell r="BP257">
            <v>29</v>
          </cell>
          <cell r="BQ257">
            <v>32</v>
          </cell>
          <cell r="BR257">
            <v>29</v>
          </cell>
          <cell r="BS257">
            <v>24</v>
          </cell>
          <cell r="BT257">
            <v>0</v>
          </cell>
          <cell r="BU257" t="str">
            <v/>
          </cell>
          <cell r="BV257">
            <v>130</v>
          </cell>
          <cell r="BW257">
            <v>2</v>
          </cell>
          <cell r="BX257" t="str">
            <v>TIDAK</v>
          </cell>
          <cell r="BY257" t="str">
            <v>TIDAK</v>
          </cell>
        </row>
        <row r="258">
          <cell r="A258" t="str">
            <v>A3728</v>
          </cell>
          <cell r="B258" t="str">
            <v>Muhammad Ardian Setyo Kusumo</v>
          </cell>
          <cell r="C258" t="str">
            <v>DELTA</v>
          </cell>
          <cell r="D258">
            <v>45327</v>
          </cell>
          <cell r="E258" t="str">
            <v>Feb-24</v>
          </cell>
          <cell r="F258" t="str">
            <v>-</v>
          </cell>
          <cell r="G258" t="str">
            <v>-</v>
          </cell>
          <cell r="H258" t="str">
            <v>REGULER</v>
          </cell>
          <cell r="I258" t="str">
            <v>REGULER</v>
          </cell>
          <cell r="J258" t="str">
            <v>REGULER</v>
          </cell>
          <cell r="K258" t="str">
            <v>REGULER</v>
          </cell>
          <cell r="L258" t="str">
            <v>-</v>
          </cell>
          <cell r="M258">
            <v>0</v>
          </cell>
          <cell r="N258">
            <v>0</v>
          </cell>
          <cell r="O258">
            <v>29</v>
          </cell>
          <cell r="P258">
            <v>24</v>
          </cell>
          <cell r="Q258">
            <v>33</v>
          </cell>
          <cell r="R258">
            <v>1</v>
          </cell>
          <cell r="S258" t="str">
            <v/>
          </cell>
          <cell r="T258">
            <v>87</v>
          </cell>
          <cell r="U258">
            <v>0</v>
          </cell>
          <cell r="V258">
            <v>0</v>
          </cell>
          <cell r="W258">
            <v>29</v>
          </cell>
          <cell r="X258">
            <v>24</v>
          </cell>
          <cell r="Y258">
            <v>33</v>
          </cell>
          <cell r="Z258">
            <v>1</v>
          </cell>
          <cell r="AA258" t="str">
            <v/>
          </cell>
          <cell r="AB258">
            <v>87</v>
          </cell>
          <cell r="AC258">
            <v>1</v>
          </cell>
          <cell r="AD258" t="str">
            <v>TIDAK</v>
          </cell>
          <cell r="AE258" t="str">
            <v>TIDAK</v>
          </cell>
          <cell r="AF258">
            <v>87</v>
          </cell>
          <cell r="AG258">
            <v>2</v>
          </cell>
          <cell r="AH258" t="str">
            <v>SAPHIRE</v>
          </cell>
          <cell r="AI258">
            <v>0</v>
          </cell>
          <cell r="AJ258" t="str">
            <v>Y</v>
          </cell>
          <cell r="AK258">
            <v>0</v>
          </cell>
          <cell r="AL258">
            <v>45261</v>
          </cell>
          <cell r="AM258">
            <v>45701</v>
          </cell>
          <cell r="AN258">
            <v>1</v>
          </cell>
          <cell r="AO258">
            <v>87</v>
          </cell>
          <cell r="AP258" t="str">
            <v>-</v>
          </cell>
          <cell r="AQ258" t="str">
            <v>-</v>
          </cell>
          <cell r="AR258" t="str">
            <v>REGULER</v>
          </cell>
          <cell r="AS258" t="str">
            <v>REGULER</v>
          </cell>
          <cell r="AT258" t="str">
            <v>-</v>
          </cell>
          <cell r="AU258" t="str">
            <v>-</v>
          </cell>
          <cell r="AV258" t="str">
            <v/>
          </cell>
          <cell r="AW258">
            <v>40</v>
          </cell>
          <cell r="AX258">
            <v>34</v>
          </cell>
          <cell r="AY258">
            <v>23</v>
          </cell>
          <cell r="AZ258">
            <v>0</v>
          </cell>
          <cell r="BA258">
            <v>0</v>
          </cell>
          <cell r="BB258">
            <v>40</v>
          </cell>
          <cell r="BC258">
            <v>34</v>
          </cell>
          <cell r="BD258">
            <v>23</v>
          </cell>
          <cell r="BE258">
            <v>0</v>
          </cell>
          <cell r="BF258">
            <v>0</v>
          </cell>
          <cell r="BG258">
            <v>10</v>
          </cell>
          <cell r="BH258">
            <v>40</v>
          </cell>
          <cell r="BI258">
            <v>34</v>
          </cell>
          <cell r="BJ258">
            <v>23</v>
          </cell>
          <cell r="BK258">
            <v>0</v>
          </cell>
          <cell r="BL258">
            <v>0</v>
          </cell>
          <cell r="BM258">
            <v>1</v>
          </cell>
          <cell r="BN258">
            <v>108</v>
          </cell>
          <cell r="BO258">
            <v>10</v>
          </cell>
          <cell r="BP258">
            <v>40</v>
          </cell>
          <cell r="BQ258">
            <v>34</v>
          </cell>
          <cell r="BR258">
            <v>23</v>
          </cell>
          <cell r="BS258">
            <v>0</v>
          </cell>
          <cell r="BT258">
            <v>0</v>
          </cell>
          <cell r="BU258">
            <v>1</v>
          </cell>
          <cell r="BV258">
            <v>108</v>
          </cell>
          <cell r="BW258">
            <v>2</v>
          </cell>
          <cell r="BX258" t="str">
            <v>TIDAK</v>
          </cell>
          <cell r="BY258" t="str">
            <v>TIDAK</v>
          </cell>
        </row>
        <row r="259">
          <cell r="A259" t="str">
            <v>A1324</v>
          </cell>
          <cell r="B259" t="str">
            <v>Muhammad Aulia Khatami</v>
          </cell>
          <cell r="C259" t="str">
            <v>DELTA</v>
          </cell>
          <cell r="D259">
            <v>44961</v>
          </cell>
          <cell r="E259" t="str">
            <v>Feb-23</v>
          </cell>
          <cell r="F259" t="str">
            <v>REGULER</v>
          </cell>
          <cell r="G259" t="str">
            <v>REGULER</v>
          </cell>
          <cell r="H259" t="str">
            <v>-</v>
          </cell>
          <cell r="I259" t="str">
            <v>-</v>
          </cell>
          <cell r="J259" t="str">
            <v>-</v>
          </cell>
          <cell r="K259" t="str">
            <v>-</v>
          </cell>
          <cell r="L259" t="str">
            <v>-</v>
          </cell>
          <cell r="M259">
            <v>6</v>
          </cell>
          <cell r="N259">
            <v>13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 t="str">
            <v/>
          </cell>
          <cell r="T259">
            <v>19</v>
          </cell>
          <cell r="U259">
            <v>6</v>
          </cell>
          <cell r="V259">
            <v>13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 t="str">
            <v/>
          </cell>
          <cell r="AB259">
            <v>19</v>
          </cell>
          <cell r="AC259">
            <v>5</v>
          </cell>
          <cell r="AD259" t="str">
            <v>DOWNGRADE</v>
          </cell>
          <cell r="AE259" t="str">
            <v>RESET</v>
          </cell>
          <cell r="AF259">
            <v>0</v>
          </cell>
          <cell r="AG259">
            <v>2</v>
          </cell>
          <cell r="AH259" t="str">
            <v>SAPHIRE</v>
          </cell>
          <cell r="AI259">
            <v>0</v>
          </cell>
          <cell r="AJ259" t="str">
            <v>FALSE</v>
          </cell>
          <cell r="AK259">
            <v>0</v>
          </cell>
          <cell r="AL259">
            <v>45261</v>
          </cell>
          <cell r="AM259">
            <v>45701</v>
          </cell>
          <cell r="AN259">
            <v>1</v>
          </cell>
          <cell r="AO259">
            <v>0</v>
          </cell>
          <cell r="AP259" t="str">
            <v>-</v>
          </cell>
          <cell r="AQ259" t="str">
            <v>-</v>
          </cell>
          <cell r="AR259" t="str">
            <v>-</v>
          </cell>
          <cell r="AS259" t="str">
            <v>-</v>
          </cell>
          <cell r="AT259" t="str">
            <v>-</v>
          </cell>
          <cell r="AU259" t="str">
            <v>-</v>
          </cell>
          <cell r="AV259" t="str">
            <v/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 t="str">
            <v/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 t="str">
            <v/>
          </cell>
          <cell r="BN259">
            <v>0</v>
          </cell>
          <cell r="BO259" t="str">
            <v/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 t="str">
            <v/>
          </cell>
          <cell r="BV259">
            <v>0</v>
          </cell>
          <cell r="BW259">
            <v>7</v>
          </cell>
          <cell r="BX259" t="str">
            <v>DOWNGRADE</v>
          </cell>
          <cell r="BY259" t="str">
            <v>RESET</v>
          </cell>
        </row>
        <row r="260">
          <cell r="A260" t="str">
            <v>A3453</v>
          </cell>
          <cell r="B260" t="str">
            <v>Muhammad Azwar</v>
          </cell>
          <cell r="C260" t="str">
            <v>DELTA</v>
          </cell>
          <cell r="D260">
            <v>45318</v>
          </cell>
          <cell r="E260" t="str">
            <v>Jan-24</v>
          </cell>
          <cell r="F260" t="str">
            <v>-</v>
          </cell>
          <cell r="G260" t="str">
            <v>REGULER</v>
          </cell>
          <cell r="H260" t="str">
            <v>REGULER</v>
          </cell>
          <cell r="I260" t="str">
            <v>REGULER</v>
          </cell>
          <cell r="J260" t="str">
            <v>REGULER</v>
          </cell>
          <cell r="K260" t="str">
            <v>-</v>
          </cell>
          <cell r="L260" t="str">
            <v>-</v>
          </cell>
          <cell r="M260">
            <v>0</v>
          </cell>
          <cell r="N260">
            <v>3</v>
          </cell>
          <cell r="O260">
            <v>6</v>
          </cell>
          <cell r="P260">
            <v>2</v>
          </cell>
          <cell r="Q260">
            <v>11</v>
          </cell>
          <cell r="R260">
            <v>0</v>
          </cell>
          <cell r="S260" t="str">
            <v/>
          </cell>
          <cell r="T260">
            <v>22</v>
          </cell>
          <cell r="U260">
            <v>0</v>
          </cell>
          <cell r="V260">
            <v>3</v>
          </cell>
          <cell r="W260">
            <v>6</v>
          </cell>
          <cell r="X260">
            <v>2</v>
          </cell>
          <cell r="Y260">
            <v>11</v>
          </cell>
          <cell r="Z260">
            <v>0</v>
          </cell>
          <cell r="AA260" t="str">
            <v/>
          </cell>
          <cell r="AB260">
            <v>22</v>
          </cell>
          <cell r="AC260">
            <v>2</v>
          </cell>
          <cell r="AD260" t="str">
            <v>TIDAK</v>
          </cell>
          <cell r="AE260" t="str">
            <v>TIDAK</v>
          </cell>
          <cell r="AF260">
            <v>22</v>
          </cell>
          <cell r="AG260">
            <v>2</v>
          </cell>
          <cell r="AH260" t="str">
            <v>SAPHIRE</v>
          </cell>
          <cell r="AI260">
            <v>0</v>
          </cell>
          <cell r="AJ260" t="str">
            <v>FALSE</v>
          </cell>
          <cell r="AK260">
            <v>0</v>
          </cell>
          <cell r="AL260">
            <v>45261</v>
          </cell>
          <cell r="AM260">
            <v>45701</v>
          </cell>
          <cell r="AN260">
            <v>1</v>
          </cell>
          <cell r="AO260">
            <v>22</v>
          </cell>
          <cell r="AP260" t="str">
            <v>-</v>
          </cell>
          <cell r="AQ260" t="str">
            <v>-</v>
          </cell>
          <cell r="AR260" t="str">
            <v>-</v>
          </cell>
          <cell r="AS260" t="str">
            <v>-</v>
          </cell>
          <cell r="AT260" t="str">
            <v>-</v>
          </cell>
          <cell r="AU260" t="str">
            <v>-</v>
          </cell>
          <cell r="AV260" t="str">
            <v/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 t="str">
            <v/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 t="str">
            <v/>
          </cell>
          <cell r="BN260">
            <v>0</v>
          </cell>
          <cell r="BO260" t="str">
            <v/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 t="str">
            <v/>
          </cell>
          <cell r="BV260">
            <v>0</v>
          </cell>
          <cell r="BW260">
            <v>7</v>
          </cell>
          <cell r="BX260" t="str">
            <v>DOWNGRADE</v>
          </cell>
          <cell r="BY260" t="str">
            <v>RESET</v>
          </cell>
        </row>
        <row r="261">
          <cell r="A261" t="str">
            <v>A3785</v>
          </cell>
          <cell r="B261" t="str">
            <v>MUHAMMAD DAFA FEBRIANSYAH</v>
          </cell>
          <cell r="C261" t="str">
            <v>DELTA</v>
          </cell>
          <cell r="D261">
            <v>45418</v>
          </cell>
          <cell r="E261" t="str">
            <v>May-24</v>
          </cell>
          <cell r="F261" t="str">
            <v>-</v>
          </cell>
          <cell r="G261" t="str">
            <v>-</v>
          </cell>
          <cell r="H261" t="str">
            <v>-</v>
          </cell>
          <cell r="I261" t="str">
            <v>-</v>
          </cell>
          <cell r="J261" t="str">
            <v>-</v>
          </cell>
          <cell r="K261" t="str">
            <v>REGULER</v>
          </cell>
          <cell r="L261" t="str">
            <v>REGULER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25</v>
          </cell>
          <cell r="S261">
            <v>16</v>
          </cell>
          <cell r="T261">
            <v>41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25</v>
          </cell>
          <cell r="AA261">
            <v>16</v>
          </cell>
          <cell r="AB261">
            <v>41</v>
          </cell>
          <cell r="AC261">
            <v>0</v>
          </cell>
          <cell r="AD261" t="str">
            <v>TIDAK</v>
          </cell>
          <cell r="AE261" t="str">
            <v>TIDAK</v>
          </cell>
          <cell r="AF261">
            <v>41</v>
          </cell>
          <cell r="AG261">
            <v>2</v>
          </cell>
          <cell r="AH261" t="str">
            <v>SAPHIRE</v>
          </cell>
          <cell r="AI261">
            <v>0</v>
          </cell>
          <cell r="AJ261" t="str">
            <v>FALSE</v>
          </cell>
          <cell r="AK261">
            <v>0</v>
          </cell>
          <cell r="AL261">
            <v>45261</v>
          </cell>
          <cell r="AM261">
            <v>45701</v>
          </cell>
          <cell r="AN261">
            <v>1</v>
          </cell>
          <cell r="AO261">
            <v>41</v>
          </cell>
          <cell r="AP261" t="str">
            <v>-</v>
          </cell>
          <cell r="AQ261" t="str">
            <v>-</v>
          </cell>
          <cell r="AR261" t="str">
            <v>REGULER</v>
          </cell>
          <cell r="AS261" t="str">
            <v>REGULER</v>
          </cell>
          <cell r="AT261" t="str">
            <v>REGULER</v>
          </cell>
          <cell r="AU261" t="str">
            <v>REGULER</v>
          </cell>
          <cell r="AV261" t="str">
            <v/>
          </cell>
          <cell r="AW261">
            <v>7</v>
          </cell>
          <cell r="AX261">
            <v>37</v>
          </cell>
          <cell r="AY261">
            <v>31</v>
          </cell>
          <cell r="AZ261">
            <v>41</v>
          </cell>
          <cell r="BA261">
            <v>39</v>
          </cell>
          <cell r="BB261">
            <v>7</v>
          </cell>
          <cell r="BC261">
            <v>37</v>
          </cell>
          <cell r="BD261">
            <v>31</v>
          </cell>
          <cell r="BE261">
            <v>41</v>
          </cell>
          <cell r="BF261">
            <v>39</v>
          </cell>
          <cell r="BG261">
            <v>6</v>
          </cell>
          <cell r="BH261">
            <v>7</v>
          </cell>
          <cell r="BI261">
            <v>37</v>
          </cell>
          <cell r="BJ261">
            <v>31</v>
          </cell>
          <cell r="BK261">
            <v>41</v>
          </cell>
          <cell r="BL261">
            <v>39</v>
          </cell>
          <cell r="BM261">
            <v>18</v>
          </cell>
          <cell r="BN261">
            <v>179</v>
          </cell>
          <cell r="BO261">
            <v>6</v>
          </cell>
          <cell r="BP261">
            <v>7</v>
          </cell>
          <cell r="BQ261">
            <v>37</v>
          </cell>
          <cell r="BR261">
            <v>31</v>
          </cell>
          <cell r="BS261">
            <v>41</v>
          </cell>
          <cell r="BT261">
            <v>39</v>
          </cell>
          <cell r="BU261">
            <v>18</v>
          </cell>
          <cell r="BV261">
            <v>179</v>
          </cell>
          <cell r="BW261">
            <v>0</v>
          </cell>
          <cell r="BX261" t="str">
            <v>TIDAK</v>
          </cell>
          <cell r="BY261" t="str">
            <v>TIDAK</v>
          </cell>
        </row>
        <row r="262">
          <cell r="A262" t="str">
            <v>A0440</v>
          </cell>
          <cell r="B262" t="str">
            <v>Muhammad Hamzah</v>
          </cell>
          <cell r="C262" t="str">
            <v>DELTA</v>
          </cell>
          <cell r="D262">
            <v>44861</v>
          </cell>
          <cell r="E262" t="str">
            <v>Oct-22</v>
          </cell>
          <cell r="F262" t="str">
            <v>EKSKLUSIF</v>
          </cell>
          <cell r="G262" t="str">
            <v>EKSKLUSIF</v>
          </cell>
          <cell r="H262" t="str">
            <v>EKSKLUSIF</v>
          </cell>
          <cell r="I262" t="str">
            <v>EKSKLUSIF</v>
          </cell>
          <cell r="J262" t="str">
            <v>EKSKLUSIF</v>
          </cell>
          <cell r="K262" t="str">
            <v>EKSKLUSIF</v>
          </cell>
          <cell r="L262" t="str">
            <v>-</v>
          </cell>
          <cell r="M262">
            <v>21</v>
          </cell>
          <cell r="N262">
            <v>45</v>
          </cell>
          <cell r="O262">
            <v>40</v>
          </cell>
          <cell r="P262">
            <v>43</v>
          </cell>
          <cell r="Q262">
            <v>39</v>
          </cell>
          <cell r="R262">
            <v>41</v>
          </cell>
          <cell r="S262" t="str">
            <v/>
          </cell>
          <cell r="T262">
            <v>229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 t="str">
            <v/>
          </cell>
          <cell r="AB262">
            <v>0</v>
          </cell>
          <cell r="AC262">
            <v>1</v>
          </cell>
          <cell r="AD262" t="str">
            <v>TIDAK</v>
          </cell>
          <cell r="AE262" t="str">
            <v>TIDAK</v>
          </cell>
          <cell r="AF262">
            <v>0</v>
          </cell>
          <cell r="AG262">
            <v>2</v>
          </cell>
          <cell r="AH262" t="str">
            <v>SAPHIRE</v>
          </cell>
          <cell r="AI262">
            <v>0</v>
          </cell>
          <cell r="AJ262" t="str">
            <v>FALSE</v>
          </cell>
          <cell r="AK262">
            <v>0</v>
          </cell>
          <cell r="AL262">
            <v>45261</v>
          </cell>
          <cell r="AM262">
            <v>45701</v>
          </cell>
          <cell r="AN262">
            <v>1</v>
          </cell>
          <cell r="AO262">
            <v>0</v>
          </cell>
          <cell r="AP262" t="str">
            <v>-</v>
          </cell>
          <cell r="AQ262" t="str">
            <v>-</v>
          </cell>
          <cell r="AR262" t="str">
            <v>REGULER</v>
          </cell>
          <cell r="AS262" t="str">
            <v>REGULER</v>
          </cell>
          <cell r="AT262" t="str">
            <v>REGULER</v>
          </cell>
          <cell r="AU262" t="str">
            <v>REGULER</v>
          </cell>
          <cell r="AV262" t="str">
            <v/>
          </cell>
          <cell r="AW262">
            <v>0</v>
          </cell>
          <cell r="AX262">
            <v>24</v>
          </cell>
          <cell r="AY262">
            <v>42</v>
          </cell>
          <cell r="AZ262">
            <v>42</v>
          </cell>
          <cell r="BA262">
            <v>34</v>
          </cell>
          <cell r="BB262">
            <v>0</v>
          </cell>
          <cell r="BC262">
            <v>24</v>
          </cell>
          <cell r="BD262">
            <v>42</v>
          </cell>
          <cell r="BE262">
            <v>42</v>
          </cell>
          <cell r="BF262">
            <v>34</v>
          </cell>
          <cell r="BG262" t="str">
            <v/>
          </cell>
          <cell r="BH262">
            <v>0</v>
          </cell>
          <cell r="BI262">
            <v>24</v>
          </cell>
          <cell r="BJ262">
            <v>42</v>
          </cell>
          <cell r="BK262">
            <v>42</v>
          </cell>
          <cell r="BL262">
            <v>34</v>
          </cell>
          <cell r="BM262">
            <v>18</v>
          </cell>
          <cell r="BN262">
            <v>160</v>
          </cell>
          <cell r="BO262" t="str">
            <v/>
          </cell>
          <cell r="BP262">
            <v>0</v>
          </cell>
          <cell r="BQ262">
            <v>24</v>
          </cell>
          <cell r="BR262">
            <v>42</v>
          </cell>
          <cell r="BS262">
            <v>42</v>
          </cell>
          <cell r="BT262">
            <v>34</v>
          </cell>
          <cell r="BU262">
            <v>18</v>
          </cell>
          <cell r="BV262">
            <v>160</v>
          </cell>
          <cell r="BW262">
            <v>2</v>
          </cell>
          <cell r="BX262" t="str">
            <v>TIDAK</v>
          </cell>
          <cell r="BY262" t="str">
            <v>TIDAK</v>
          </cell>
        </row>
        <row r="263">
          <cell r="A263" t="str">
            <v>A1944</v>
          </cell>
          <cell r="B263" t="str">
            <v>Muhammad Hilmi Azzahidi</v>
          </cell>
          <cell r="C263" t="str">
            <v>DELTA</v>
          </cell>
          <cell r="D263">
            <v>45065</v>
          </cell>
          <cell r="E263" t="str">
            <v>May-23</v>
          </cell>
          <cell r="F263" t="str">
            <v>REGULER</v>
          </cell>
          <cell r="G263" t="str">
            <v>EKSKLUSIF</v>
          </cell>
          <cell r="H263" t="str">
            <v>EKSKLUSIF</v>
          </cell>
          <cell r="I263" t="str">
            <v>EKSKLUSIF</v>
          </cell>
          <cell r="J263" t="str">
            <v>REGULER</v>
          </cell>
          <cell r="K263" t="str">
            <v>REGULER</v>
          </cell>
          <cell r="L263" t="str">
            <v>EKSKLUSIF</v>
          </cell>
          <cell r="M263">
            <v>12</v>
          </cell>
          <cell r="N263">
            <v>46</v>
          </cell>
          <cell r="O263">
            <v>39</v>
          </cell>
          <cell r="P263">
            <v>41</v>
          </cell>
          <cell r="Q263">
            <v>6</v>
          </cell>
          <cell r="R263">
            <v>28</v>
          </cell>
          <cell r="S263">
            <v>21</v>
          </cell>
          <cell r="T263">
            <v>193</v>
          </cell>
          <cell r="U263">
            <v>12</v>
          </cell>
          <cell r="V263">
            <v>0</v>
          </cell>
          <cell r="W263">
            <v>0</v>
          </cell>
          <cell r="X263">
            <v>0</v>
          </cell>
          <cell r="Y263">
            <v>6</v>
          </cell>
          <cell r="Z263">
            <v>28</v>
          </cell>
          <cell r="AA263">
            <v>0</v>
          </cell>
          <cell r="AB263">
            <v>46</v>
          </cell>
          <cell r="AC263">
            <v>0</v>
          </cell>
          <cell r="AD263" t="str">
            <v>TIDAK</v>
          </cell>
          <cell r="AE263" t="str">
            <v>TIDAK</v>
          </cell>
          <cell r="AF263">
            <v>46</v>
          </cell>
          <cell r="AG263">
            <v>2</v>
          </cell>
          <cell r="AH263" t="str">
            <v>SAPHIRE</v>
          </cell>
          <cell r="AI263">
            <v>0</v>
          </cell>
          <cell r="AJ263" t="str">
            <v>FALSE</v>
          </cell>
          <cell r="AK263">
            <v>0</v>
          </cell>
          <cell r="AL263">
            <v>45261</v>
          </cell>
          <cell r="AM263">
            <v>45701</v>
          </cell>
          <cell r="AN263">
            <v>1</v>
          </cell>
          <cell r="AO263">
            <v>46</v>
          </cell>
          <cell r="AP263" t="str">
            <v>EKSKLUSIF</v>
          </cell>
          <cell r="AQ263" t="str">
            <v>-</v>
          </cell>
          <cell r="AR263" t="str">
            <v>EKSKLUSIF</v>
          </cell>
          <cell r="AS263" t="str">
            <v>EKSKLUSIF</v>
          </cell>
          <cell r="AT263" t="str">
            <v>EKSKLUSIF</v>
          </cell>
          <cell r="AU263" t="str">
            <v>EKSKLUSIF</v>
          </cell>
          <cell r="AV263" t="str">
            <v/>
          </cell>
          <cell r="AW263">
            <v>47</v>
          </cell>
          <cell r="AX263">
            <v>47</v>
          </cell>
          <cell r="AY263">
            <v>42</v>
          </cell>
          <cell r="AZ263">
            <v>47</v>
          </cell>
          <cell r="BA263">
            <v>42</v>
          </cell>
          <cell r="BB263">
            <v>47</v>
          </cell>
          <cell r="BC263">
            <v>47</v>
          </cell>
          <cell r="BD263">
            <v>42</v>
          </cell>
          <cell r="BE263">
            <v>47</v>
          </cell>
          <cell r="BF263">
            <v>42</v>
          </cell>
          <cell r="BG263">
            <v>20</v>
          </cell>
          <cell r="BH263">
            <v>47</v>
          </cell>
          <cell r="BI263">
            <v>47</v>
          </cell>
          <cell r="BJ263">
            <v>42</v>
          </cell>
          <cell r="BK263">
            <v>47</v>
          </cell>
          <cell r="BL263">
            <v>42</v>
          </cell>
          <cell r="BM263">
            <v>21</v>
          </cell>
          <cell r="BN263">
            <v>266</v>
          </cell>
          <cell r="BO263">
            <v>0</v>
          </cell>
          <cell r="BP263">
            <v>47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21</v>
          </cell>
          <cell r="BV263">
            <v>68</v>
          </cell>
          <cell r="BW263">
            <v>0</v>
          </cell>
          <cell r="BX263" t="str">
            <v>TIDAK</v>
          </cell>
          <cell r="BY263" t="str">
            <v>TIDAK</v>
          </cell>
        </row>
        <row r="264">
          <cell r="A264" t="str">
            <v>A0999</v>
          </cell>
          <cell r="B264" t="str">
            <v>Muhammad Luthfi Azis</v>
          </cell>
          <cell r="C264" t="str">
            <v>DELTA</v>
          </cell>
          <cell r="D264">
            <v>44932</v>
          </cell>
          <cell r="E264" t="str">
            <v>Jan-23</v>
          </cell>
          <cell r="F264" t="str">
            <v>EKSKLUSIF</v>
          </cell>
          <cell r="G264" t="str">
            <v>EKSKLUSIF</v>
          </cell>
          <cell r="H264" t="str">
            <v>EKSKLUSIF</v>
          </cell>
          <cell r="I264" t="str">
            <v>EKSKLUSIF</v>
          </cell>
          <cell r="J264" t="str">
            <v>EKSKLUSIF</v>
          </cell>
          <cell r="K264" t="str">
            <v>EKSKLUSIF</v>
          </cell>
          <cell r="L264" t="str">
            <v>EKSKLUSIF</v>
          </cell>
          <cell r="M264">
            <v>21</v>
          </cell>
          <cell r="N264">
            <v>47</v>
          </cell>
          <cell r="O264">
            <v>40</v>
          </cell>
          <cell r="P264">
            <v>41</v>
          </cell>
          <cell r="Q264">
            <v>39</v>
          </cell>
          <cell r="R264">
            <v>44</v>
          </cell>
          <cell r="S264">
            <v>21</v>
          </cell>
          <cell r="T264">
            <v>253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 t="str">
            <v>TIDAK</v>
          </cell>
          <cell r="AE264" t="str">
            <v>TIDAK</v>
          </cell>
          <cell r="AF264">
            <v>0</v>
          </cell>
          <cell r="AG264">
            <v>2</v>
          </cell>
          <cell r="AH264" t="str">
            <v>SAPHIRE</v>
          </cell>
          <cell r="AI264">
            <v>0</v>
          </cell>
          <cell r="AJ264" t="str">
            <v>FALSE</v>
          </cell>
          <cell r="AK264">
            <v>0</v>
          </cell>
          <cell r="AL264">
            <v>45261</v>
          </cell>
          <cell r="AM264">
            <v>45701</v>
          </cell>
          <cell r="AN264">
            <v>1</v>
          </cell>
          <cell r="AO264">
            <v>0</v>
          </cell>
          <cell r="AP264" t="str">
            <v>EKSKLUSIF</v>
          </cell>
          <cell r="AQ264" t="str">
            <v>-</v>
          </cell>
          <cell r="AR264" t="str">
            <v>EKSKLUSIF</v>
          </cell>
          <cell r="AS264" t="str">
            <v>EKSKLUSIF</v>
          </cell>
          <cell r="AT264" t="str">
            <v>EKSKLUSIF</v>
          </cell>
          <cell r="AU264" t="str">
            <v>EKSKLUSIF</v>
          </cell>
          <cell r="AV264" t="str">
            <v/>
          </cell>
          <cell r="AW264">
            <v>49</v>
          </cell>
          <cell r="AX264">
            <v>48</v>
          </cell>
          <cell r="AY264">
            <v>45</v>
          </cell>
          <cell r="AZ264">
            <v>50</v>
          </cell>
          <cell r="BA264">
            <v>45</v>
          </cell>
          <cell r="BB264">
            <v>49</v>
          </cell>
          <cell r="BC264">
            <v>48</v>
          </cell>
          <cell r="BD264">
            <v>45</v>
          </cell>
          <cell r="BE264">
            <v>50</v>
          </cell>
          <cell r="BF264">
            <v>45</v>
          </cell>
          <cell r="BG264">
            <v>19</v>
          </cell>
          <cell r="BH264">
            <v>49</v>
          </cell>
          <cell r="BI264">
            <v>48</v>
          </cell>
          <cell r="BJ264">
            <v>45</v>
          </cell>
          <cell r="BK264">
            <v>50</v>
          </cell>
          <cell r="BL264">
            <v>45</v>
          </cell>
          <cell r="BM264">
            <v>22</v>
          </cell>
          <cell r="BN264">
            <v>278</v>
          </cell>
          <cell r="BO264">
            <v>0</v>
          </cell>
          <cell r="BP264">
            <v>49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22</v>
          </cell>
          <cell r="BV264">
            <v>71</v>
          </cell>
          <cell r="BW264">
            <v>0</v>
          </cell>
          <cell r="BX264" t="str">
            <v>TIDAK</v>
          </cell>
          <cell r="BY264" t="str">
            <v>TIDAK</v>
          </cell>
        </row>
        <row r="265">
          <cell r="A265" t="str">
            <v>A3833</v>
          </cell>
          <cell r="B265" t="str">
            <v>Muhammad Subhan</v>
          </cell>
          <cell r="C265" t="str">
            <v>DELTA</v>
          </cell>
          <cell r="D265">
            <v>45349</v>
          </cell>
          <cell r="E265" t="str">
            <v>Feb-24</v>
          </cell>
          <cell r="F265" t="str">
            <v>-</v>
          </cell>
          <cell r="G265" t="str">
            <v>-</v>
          </cell>
          <cell r="H265" t="str">
            <v>REGULER</v>
          </cell>
          <cell r="I265" t="str">
            <v>REGULER</v>
          </cell>
          <cell r="J265" t="str">
            <v>REGULER</v>
          </cell>
          <cell r="K265" t="str">
            <v>REGULER</v>
          </cell>
          <cell r="L265" t="str">
            <v>REGULER</v>
          </cell>
          <cell r="M265">
            <v>0</v>
          </cell>
          <cell r="N265">
            <v>0</v>
          </cell>
          <cell r="O265">
            <v>3</v>
          </cell>
          <cell r="P265">
            <v>23</v>
          </cell>
          <cell r="Q265">
            <v>31</v>
          </cell>
          <cell r="R265">
            <v>36</v>
          </cell>
          <cell r="S265">
            <v>19</v>
          </cell>
          <cell r="T265">
            <v>112</v>
          </cell>
          <cell r="U265">
            <v>0</v>
          </cell>
          <cell r="V265">
            <v>0</v>
          </cell>
          <cell r="W265">
            <v>3</v>
          </cell>
          <cell r="X265">
            <v>23</v>
          </cell>
          <cell r="Y265">
            <v>31</v>
          </cell>
          <cell r="Z265">
            <v>36</v>
          </cell>
          <cell r="AA265">
            <v>19</v>
          </cell>
          <cell r="AB265">
            <v>112</v>
          </cell>
          <cell r="AC265">
            <v>0</v>
          </cell>
          <cell r="AD265" t="str">
            <v>TIDAK</v>
          </cell>
          <cell r="AE265" t="str">
            <v>TIDAK</v>
          </cell>
          <cell r="AF265">
            <v>112</v>
          </cell>
          <cell r="AG265">
            <v>2</v>
          </cell>
          <cell r="AH265" t="str">
            <v>SAPHIRE</v>
          </cell>
          <cell r="AI265">
            <v>0</v>
          </cell>
          <cell r="AJ265" t="str">
            <v>Y</v>
          </cell>
          <cell r="AK265">
            <v>0</v>
          </cell>
          <cell r="AL265">
            <v>45261</v>
          </cell>
          <cell r="AM265">
            <v>45701</v>
          </cell>
          <cell r="AN265">
            <v>1</v>
          </cell>
          <cell r="AO265">
            <v>112</v>
          </cell>
          <cell r="AP265" t="str">
            <v>-</v>
          </cell>
          <cell r="AQ265" t="str">
            <v>-</v>
          </cell>
          <cell r="AR265" t="str">
            <v>REGULER</v>
          </cell>
          <cell r="AS265" t="str">
            <v>REGULER</v>
          </cell>
          <cell r="AT265" t="str">
            <v>REGULER</v>
          </cell>
          <cell r="AU265" t="str">
            <v>REGULER</v>
          </cell>
          <cell r="AV265" t="str">
            <v/>
          </cell>
          <cell r="AW265">
            <v>41</v>
          </cell>
          <cell r="AX265">
            <v>42</v>
          </cell>
          <cell r="AY265">
            <v>35</v>
          </cell>
          <cell r="AZ265">
            <v>46</v>
          </cell>
          <cell r="BA265">
            <v>36</v>
          </cell>
          <cell r="BB265">
            <v>41</v>
          </cell>
          <cell r="BC265">
            <v>42</v>
          </cell>
          <cell r="BD265">
            <v>35</v>
          </cell>
          <cell r="BE265">
            <v>46</v>
          </cell>
          <cell r="BF265">
            <v>36</v>
          </cell>
          <cell r="BG265">
            <v>16</v>
          </cell>
          <cell r="BH265">
            <v>41</v>
          </cell>
          <cell r="BI265">
            <v>42</v>
          </cell>
          <cell r="BJ265">
            <v>35</v>
          </cell>
          <cell r="BK265">
            <v>46</v>
          </cell>
          <cell r="BL265">
            <v>36</v>
          </cell>
          <cell r="BM265">
            <v>22</v>
          </cell>
          <cell r="BN265">
            <v>238</v>
          </cell>
          <cell r="BO265">
            <v>16</v>
          </cell>
          <cell r="BP265">
            <v>41</v>
          </cell>
          <cell r="BQ265">
            <v>42</v>
          </cell>
          <cell r="BR265">
            <v>35</v>
          </cell>
          <cell r="BS265">
            <v>46</v>
          </cell>
          <cell r="BT265">
            <v>36</v>
          </cell>
          <cell r="BU265">
            <v>22</v>
          </cell>
          <cell r="BV265">
            <v>238</v>
          </cell>
          <cell r="BW265">
            <v>0</v>
          </cell>
          <cell r="BX265" t="str">
            <v>TIDAK</v>
          </cell>
          <cell r="BY265" t="str">
            <v>TIDAK</v>
          </cell>
        </row>
        <row r="266">
          <cell r="A266" t="str">
            <v>A2558</v>
          </cell>
          <cell r="B266" t="str">
            <v>Muhammad Veron</v>
          </cell>
          <cell r="C266" t="str">
            <v>DELTA</v>
          </cell>
          <cell r="D266">
            <v>45120</v>
          </cell>
          <cell r="E266" t="str">
            <v>Jul-23</v>
          </cell>
          <cell r="F266" t="str">
            <v>REGULER</v>
          </cell>
          <cell r="G266" t="str">
            <v>REGULER</v>
          </cell>
          <cell r="H266" t="str">
            <v>REGULER</v>
          </cell>
          <cell r="I266" t="str">
            <v>REGULER</v>
          </cell>
          <cell r="J266" t="str">
            <v>REGULER</v>
          </cell>
          <cell r="K266" t="str">
            <v>REGULER</v>
          </cell>
          <cell r="L266" t="str">
            <v>REGULER</v>
          </cell>
          <cell r="M266">
            <v>8</v>
          </cell>
          <cell r="N266">
            <v>23</v>
          </cell>
          <cell r="O266">
            <v>19</v>
          </cell>
          <cell r="P266">
            <v>23</v>
          </cell>
          <cell r="Q266">
            <v>37</v>
          </cell>
          <cell r="R266">
            <v>20</v>
          </cell>
          <cell r="S266">
            <v>11</v>
          </cell>
          <cell r="T266">
            <v>141</v>
          </cell>
          <cell r="U266">
            <v>8</v>
          </cell>
          <cell r="V266">
            <v>23</v>
          </cell>
          <cell r="W266">
            <v>19</v>
          </cell>
          <cell r="X266">
            <v>23</v>
          </cell>
          <cell r="Y266">
            <v>37</v>
          </cell>
          <cell r="Z266">
            <v>20</v>
          </cell>
          <cell r="AA266">
            <v>11</v>
          </cell>
          <cell r="AB266">
            <v>141</v>
          </cell>
          <cell r="AC266">
            <v>0</v>
          </cell>
          <cell r="AD266" t="str">
            <v>TIDAK</v>
          </cell>
          <cell r="AE266" t="str">
            <v>TIDAK</v>
          </cell>
          <cell r="AF266">
            <v>141</v>
          </cell>
          <cell r="AG266">
            <v>2</v>
          </cell>
          <cell r="AH266" t="str">
            <v>SAPHIRE</v>
          </cell>
          <cell r="AI266">
            <v>0</v>
          </cell>
          <cell r="AJ266" t="str">
            <v>Y</v>
          </cell>
          <cell r="AK266">
            <v>0</v>
          </cell>
          <cell r="AL266">
            <v>45261</v>
          </cell>
          <cell r="AM266">
            <v>45701</v>
          </cell>
          <cell r="AN266">
            <v>1</v>
          </cell>
          <cell r="AO266">
            <v>141</v>
          </cell>
          <cell r="AP266" t="str">
            <v>-</v>
          </cell>
          <cell r="AQ266" t="str">
            <v>-</v>
          </cell>
          <cell r="AR266" t="str">
            <v>REGULER</v>
          </cell>
          <cell r="AS266" t="str">
            <v>-</v>
          </cell>
          <cell r="AT266" t="str">
            <v>-</v>
          </cell>
          <cell r="AU266" t="str">
            <v>-</v>
          </cell>
          <cell r="AV266" t="str">
            <v/>
          </cell>
          <cell r="AW266">
            <v>39</v>
          </cell>
          <cell r="AX266">
            <v>20</v>
          </cell>
          <cell r="AY266">
            <v>0</v>
          </cell>
          <cell r="AZ266">
            <v>0</v>
          </cell>
          <cell r="BA266">
            <v>0</v>
          </cell>
          <cell r="BB266">
            <v>39</v>
          </cell>
          <cell r="BC266">
            <v>20</v>
          </cell>
          <cell r="BD266">
            <v>0</v>
          </cell>
          <cell r="BE266">
            <v>0</v>
          </cell>
          <cell r="BF266">
            <v>0</v>
          </cell>
          <cell r="BG266">
            <v>4</v>
          </cell>
          <cell r="BH266">
            <v>39</v>
          </cell>
          <cell r="BI266">
            <v>20</v>
          </cell>
          <cell r="BJ266">
            <v>0</v>
          </cell>
          <cell r="BK266">
            <v>0</v>
          </cell>
          <cell r="BL266">
            <v>0</v>
          </cell>
          <cell r="BM266" t="str">
            <v/>
          </cell>
          <cell r="BN266">
            <v>63</v>
          </cell>
          <cell r="BO266">
            <v>4</v>
          </cell>
          <cell r="BP266">
            <v>39</v>
          </cell>
          <cell r="BQ266">
            <v>20</v>
          </cell>
          <cell r="BR266">
            <v>0</v>
          </cell>
          <cell r="BS266">
            <v>0</v>
          </cell>
          <cell r="BT266">
            <v>0</v>
          </cell>
          <cell r="BU266" t="str">
            <v/>
          </cell>
          <cell r="BV266">
            <v>63</v>
          </cell>
          <cell r="BW266">
            <v>4</v>
          </cell>
          <cell r="BX266" t="str">
            <v>DOWNGRADE</v>
          </cell>
          <cell r="BY266" t="str">
            <v>RESET</v>
          </cell>
        </row>
        <row r="267">
          <cell r="A267" t="str">
            <v>A1762</v>
          </cell>
          <cell r="B267" t="str">
            <v>Mutahir Ali</v>
          </cell>
          <cell r="C267" t="str">
            <v>DELTA</v>
          </cell>
          <cell r="D267">
            <v>45033</v>
          </cell>
          <cell r="E267" t="str">
            <v>Apr-23</v>
          </cell>
          <cell r="F267" t="str">
            <v>REGULER</v>
          </cell>
          <cell r="G267" t="str">
            <v>REGULER</v>
          </cell>
          <cell r="H267" t="str">
            <v>REGULER</v>
          </cell>
          <cell r="I267" t="str">
            <v>EKSKLUSIF</v>
          </cell>
          <cell r="J267" t="str">
            <v>EKSKLUSIF</v>
          </cell>
          <cell r="K267" t="str">
            <v>EKSKLUSIF</v>
          </cell>
          <cell r="L267" t="str">
            <v>REGULER</v>
          </cell>
          <cell r="M267">
            <v>19</v>
          </cell>
          <cell r="N267">
            <v>18</v>
          </cell>
          <cell r="O267">
            <v>23</v>
          </cell>
          <cell r="P267">
            <v>41</v>
          </cell>
          <cell r="Q267">
            <v>39</v>
          </cell>
          <cell r="R267">
            <v>41</v>
          </cell>
          <cell r="S267">
            <v>19</v>
          </cell>
          <cell r="T267">
            <v>200</v>
          </cell>
          <cell r="U267">
            <v>19</v>
          </cell>
          <cell r="V267">
            <v>18</v>
          </cell>
          <cell r="W267">
            <v>23</v>
          </cell>
          <cell r="X267">
            <v>0</v>
          </cell>
          <cell r="Y267">
            <v>0</v>
          </cell>
          <cell r="Z267">
            <v>0</v>
          </cell>
          <cell r="AA267">
            <v>19</v>
          </cell>
          <cell r="AB267">
            <v>79</v>
          </cell>
          <cell r="AC267">
            <v>0</v>
          </cell>
          <cell r="AD267" t="str">
            <v>TIDAK</v>
          </cell>
          <cell r="AE267" t="str">
            <v>TIDAK</v>
          </cell>
          <cell r="AF267">
            <v>79</v>
          </cell>
          <cell r="AG267">
            <v>2</v>
          </cell>
          <cell r="AH267" t="str">
            <v>SAPHIRE</v>
          </cell>
          <cell r="AI267">
            <v>0</v>
          </cell>
          <cell r="AJ267" t="str">
            <v>Y</v>
          </cell>
          <cell r="AK267">
            <v>0</v>
          </cell>
          <cell r="AL267">
            <v>45261</v>
          </cell>
          <cell r="AM267">
            <v>45701</v>
          </cell>
          <cell r="AN267">
            <v>1</v>
          </cell>
          <cell r="AO267">
            <v>79</v>
          </cell>
          <cell r="AP267" t="str">
            <v>-</v>
          </cell>
          <cell r="AQ267" t="str">
            <v>-</v>
          </cell>
          <cell r="AR267" t="str">
            <v>REGULER</v>
          </cell>
          <cell r="AS267" t="str">
            <v>REGULER</v>
          </cell>
          <cell r="AT267" t="str">
            <v>REGULER</v>
          </cell>
          <cell r="AU267" t="str">
            <v>REGULER</v>
          </cell>
          <cell r="AV267" t="str">
            <v/>
          </cell>
          <cell r="AW267">
            <v>48</v>
          </cell>
          <cell r="AX267">
            <v>47</v>
          </cell>
          <cell r="AY267">
            <v>39</v>
          </cell>
          <cell r="AZ267">
            <v>44</v>
          </cell>
          <cell r="BA267">
            <v>45</v>
          </cell>
          <cell r="BB267">
            <v>48</v>
          </cell>
          <cell r="BC267">
            <v>47</v>
          </cell>
          <cell r="BD267">
            <v>39</v>
          </cell>
          <cell r="BE267">
            <v>44</v>
          </cell>
          <cell r="BF267">
            <v>45</v>
          </cell>
          <cell r="BG267">
            <v>16</v>
          </cell>
          <cell r="BH267">
            <v>48</v>
          </cell>
          <cell r="BI267">
            <v>47</v>
          </cell>
          <cell r="BJ267">
            <v>39</v>
          </cell>
          <cell r="BK267">
            <v>44</v>
          </cell>
          <cell r="BL267">
            <v>45</v>
          </cell>
          <cell r="BM267">
            <v>22</v>
          </cell>
          <cell r="BN267">
            <v>261</v>
          </cell>
          <cell r="BO267">
            <v>16</v>
          </cell>
          <cell r="BP267">
            <v>48</v>
          </cell>
          <cell r="BQ267">
            <v>47</v>
          </cell>
          <cell r="BR267">
            <v>39</v>
          </cell>
          <cell r="BS267">
            <v>44</v>
          </cell>
          <cell r="BT267">
            <v>45</v>
          </cell>
          <cell r="BU267">
            <v>22</v>
          </cell>
          <cell r="BV267">
            <v>261</v>
          </cell>
          <cell r="BW267">
            <v>0</v>
          </cell>
          <cell r="BX267" t="str">
            <v>TIDAK</v>
          </cell>
          <cell r="BY267" t="str">
            <v>TIDAK</v>
          </cell>
        </row>
        <row r="268">
          <cell r="A268" t="str">
            <v>A1777</v>
          </cell>
          <cell r="B268" t="str">
            <v>Mutiani Wulandari</v>
          </cell>
          <cell r="C268" t="str">
            <v>DELTA</v>
          </cell>
          <cell r="D268">
            <v>45036</v>
          </cell>
          <cell r="E268" t="str">
            <v>Apr-23</v>
          </cell>
          <cell r="F268" t="str">
            <v>REGULER</v>
          </cell>
          <cell r="G268" t="str">
            <v>REGULER</v>
          </cell>
          <cell r="H268" t="str">
            <v>REGULER</v>
          </cell>
          <cell r="I268" t="str">
            <v>REGULER</v>
          </cell>
          <cell r="J268" t="str">
            <v>REGULER</v>
          </cell>
          <cell r="K268" t="str">
            <v>-</v>
          </cell>
          <cell r="L268" t="str">
            <v>REGULER</v>
          </cell>
          <cell r="M268">
            <v>16</v>
          </cell>
          <cell r="N268">
            <v>16</v>
          </cell>
          <cell r="O268">
            <v>18</v>
          </cell>
          <cell r="P268">
            <v>32</v>
          </cell>
          <cell r="Q268">
            <v>15</v>
          </cell>
          <cell r="R268">
            <v>0</v>
          </cell>
          <cell r="S268">
            <v>15</v>
          </cell>
          <cell r="T268">
            <v>112</v>
          </cell>
          <cell r="U268">
            <v>16</v>
          </cell>
          <cell r="V268">
            <v>16</v>
          </cell>
          <cell r="W268">
            <v>18</v>
          </cell>
          <cell r="X268">
            <v>32</v>
          </cell>
          <cell r="Y268">
            <v>15</v>
          </cell>
          <cell r="Z268">
            <v>0</v>
          </cell>
          <cell r="AA268">
            <v>15</v>
          </cell>
          <cell r="AB268">
            <v>112</v>
          </cell>
          <cell r="AC268">
            <v>1</v>
          </cell>
          <cell r="AD268" t="str">
            <v>TIDAK</v>
          </cell>
          <cell r="AE268" t="str">
            <v>TIDAK</v>
          </cell>
          <cell r="AF268">
            <v>112</v>
          </cell>
          <cell r="AG268">
            <v>2</v>
          </cell>
          <cell r="AH268" t="str">
            <v>SAPHIRE</v>
          </cell>
          <cell r="AI268">
            <v>0</v>
          </cell>
          <cell r="AJ268" t="str">
            <v>Y</v>
          </cell>
          <cell r="AK268">
            <v>0</v>
          </cell>
          <cell r="AL268">
            <v>45261</v>
          </cell>
          <cell r="AM268">
            <v>45701</v>
          </cell>
          <cell r="AN268">
            <v>1</v>
          </cell>
          <cell r="AO268">
            <v>112</v>
          </cell>
          <cell r="AP268" t="str">
            <v>-</v>
          </cell>
          <cell r="AQ268" t="str">
            <v>-</v>
          </cell>
          <cell r="AR268" t="str">
            <v>REGULER</v>
          </cell>
          <cell r="AS268" t="str">
            <v>REGULER</v>
          </cell>
          <cell r="AT268" t="str">
            <v>REGULER</v>
          </cell>
          <cell r="AU268" t="str">
            <v>REGULER</v>
          </cell>
          <cell r="AV268" t="str">
            <v/>
          </cell>
          <cell r="AW268">
            <v>18</v>
          </cell>
          <cell r="AX268">
            <v>16</v>
          </cell>
          <cell r="AY268">
            <v>30</v>
          </cell>
          <cell r="AZ268">
            <v>15</v>
          </cell>
          <cell r="BA268">
            <v>19</v>
          </cell>
          <cell r="BB268">
            <v>18</v>
          </cell>
          <cell r="BC268">
            <v>16</v>
          </cell>
          <cell r="BD268">
            <v>30</v>
          </cell>
          <cell r="BE268">
            <v>15</v>
          </cell>
          <cell r="BF268">
            <v>19</v>
          </cell>
          <cell r="BG268">
            <v>16</v>
          </cell>
          <cell r="BH268">
            <v>18</v>
          </cell>
          <cell r="BI268">
            <v>16</v>
          </cell>
          <cell r="BJ268">
            <v>30</v>
          </cell>
          <cell r="BK268">
            <v>15</v>
          </cell>
          <cell r="BL268">
            <v>19</v>
          </cell>
          <cell r="BM268">
            <v>15</v>
          </cell>
          <cell r="BN268">
            <v>129</v>
          </cell>
          <cell r="BO268">
            <v>16</v>
          </cell>
          <cell r="BP268">
            <v>18</v>
          </cell>
          <cell r="BQ268">
            <v>16</v>
          </cell>
          <cell r="BR268">
            <v>30</v>
          </cell>
          <cell r="BS268">
            <v>15</v>
          </cell>
          <cell r="BT268">
            <v>19</v>
          </cell>
          <cell r="BU268">
            <v>15</v>
          </cell>
          <cell r="BV268">
            <v>129</v>
          </cell>
          <cell r="BW268">
            <v>0</v>
          </cell>
          <cell r="BX268" t="str">
            <v>TIDAK</v>
          </cell>
          <cell r="BY268" t="str">
            <v>TIDAK</v>
          </cell>
        </row>
        <row r="269">
          <cell r="A269" t="str">
            <v>A1329</v>
          </cell>
          <cell r="B269" t="str">
            <v>Nabila Hasna</v>
          </cell>
          <cell r="C269" t="str">
            <v>DELTA</v>
          </cell>
          <cell r="D269">
            <v>44958</v>
          </cell>
          <cell r="E269" t="str">
            <v>Feb-23</v>
          </cell>
          <cell r="F269" t="str">
            <v>EKSKLUSIF</v>
          </cell>
          <cell r="G269" t="str">
            <v>EKSKLUSIF</v>
          </cell>
          <cell r="H269" t="str">
            <v>EKSKLUSIF</v>
          </cell>
          <cell r="I269" t="str">
            <v>EKSKLUSIF</v>
          </cell>
          <cell r="J269" t="str">
            <v>EKSKLUSIF</v>
          </cell>
          <cell r="K269" t="str">
            <v>EKSKLUSIF</v>
          </cell>
          <cell r="L269" t="str">
            <v>EKSKLUSIF</v>
          </cell>
          <cell r="M269">
            <v>21</v>
          </cell>
          <cell r="N269">
            <v>46</v>
          </cell>
          <cell r="O269">
            <v>39</v>
          </cell>
          <cell r="P269">
            <v>42</v>
          </cell>
          <cell r="Q269">
            <v>38</v>
          </cell>
          <cell r="R269">
            <v>40</v>
          </cell>
          <cell r="S269">
            <v>20</v>
          </cell>
          <cell r="T269">
            <v>246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 t="str">
            <v>TIDAK</v>
          </cell>
          <cell r="AE269" t="str">
            <v>TIDAK</v>
          </cell>
          <cell r="AF269">
            <v>0</v>
          </cell>
          <cell r="AG269">
            <v>3</v>
          </cell>
          <cell r="AH269" t="str">
            <v>SAPHIRE</v>
          </cell>
          <cell r="AI269">
            <v>0</v>
          </cell>
          <cell r="AJ269" t="str">
            <v>FALSE</v>
          </cell>
          <cell r="AK269">
            <v>0</v>
          </cell>
          <cell r="AL269">
            <v>45261</v>
          </cell>
          <cell r="AM269">
            <v>45701</v>
          </cell>
          <cell r="AN269">
            <v>1</v>
          </cell>
          <cell r="AO269">
            <v>0</v>
          </cell>
          <cell r="AP269" t="str">
            <v>EKSKLUSIF</v>
          </cell>
          <cell r="AQ269" t="str">
            <v>-</v>
          </cell>
          <cell r="AR269" t="str">
            <v>EKSKLUSIF</v>
          </cell>
          <cell r="AS269" t="str">
            <v>EKSKLUSIF</v>
          </cell>
          <cell r="AT269" t="str">
            <v>EKSKLUSIF</v>
          </cell>
          <cell r="AU269" t="str">
            <v>EKSKLUSIF</v>
          </cell>
          <cell r="AV269" t="str">
            <v/>
          </cell>
          <cell r="AW269">
            <v>47</v>
          </cell>
          <cell r="AX269">
            <v>47</v>
          </cell>
          <cell r="AY269">
            <v>41</v>
          </cell>
          <cell r="AZ269">
            <v>46</v>
          </cell>
          <cell r="BA269">
            <v>43</v>
          </cell>
          <cell r="BB269">
            <v>47</v>
          </cell>
          <cell r="BC269">
            <v>47</v>
          </cell>
          <cell r="BD269">
            <v>41</v>
          </cell>
          <cell r="BE269">
            <v>46</v>
          </cell>
          <cell r="BF269">
            <v>43</v>
          </cell>
          <cell r="BG269">
            <v>18</v>
          </cell>
          <cell r="BH269">
            <v>47</v>
          </cell>
          <cell r="BI269">
            <v>47</v>
          </cell>
          <cell r="BJ269">
            <v>41</v>
          </cell>
          <cell r="BK269">
            <v>46</v>
          </cell>
          <cell r="BL269">
            <v>43</v>
          </cell>
          <cell r="BM269">
            <v>20</v>
          </cell>
          <cell r="BN269">
            <v>262</v>
          </cell>
          <cell r="BO269">
            <v>0</v>
          </cell>
          <cell r="BP269">
            <v>47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20</v>
          </cell>
          <cell r="BV269">
            <v>67</v>
          </cell>
          <cell r="BW269">
            <v>0</v>
          </cell>
          <cell r="BX269" t="str">
            <v>TIDAK</v>
          </cell>
          <cell r="BY269" t="str">
            <v>TIDAK</v>
          </cell>
        </row>
        <row r="270">
          <cell r="A270" t="str">
            <v>A1160</v>
          </cell>
          <cell r="B270" t="str">
            <v>Nafis Muslikhah</v>
          </cell>
          <cell r="C270" t="str">
            <v>DELTA</v>
          </cell>
          <cell r="D270">
            <v>44937</v>
          </cell>
          <cell r="E270" t="str">
            <v>Jan-23</v>
          </cell>
          <cell r="F270" t="str">
            <v>REGULER</v>
          </cell>
          <cell r="G270" t="str">
            <v>REGULER</v>
          </cell>
          <cell r="H270" t="str">
            <v>EKSKLUSIF</v>
          </cell>
          <cell r="I270" t="str">
            <v>EKSKLUSIF</v>
          </cell>
          <cell r="J270" t="str">
            <v>EKSKLUSIF</v>
          </cell>
          <cell r="K270" t="str">
            <v>REGULER</v>
          </cell>
          <cell r="L270" t="str">
            <v>REGULER</v>
          </cell>
          <cell r="M270">
            <v>19</v>
          </cell>
          <cell r="N270">
            <v>45</v>
          </cell>
          <cell r="O270">
            <v>41</v>
          </cell>
          <cell r="P270">
            <v>41</v>
          </cell>
          <cell r="Q270">
            <v>37</v>
          </cell>
          <cell r="R270">
            <v>34</v>
          </cell>
          <cell r="S270">
            <v>20</v>
          </cell>
          <cell r="T270">
            <v>237</v>
          </cell>
          <cell r="U270">
            <v>19</v>
          </cell>
          <cell r="V270">
            <v>45</v>
          </cell>
          <cell r="W270">
            <v>0</v>
          </cell>
          <cell r="X270">
            <v>0</v>
          </cell>
          <cell r="Y270">
            <v>0</v>
          </cell>
          <cell r="Z270">
            <v>34</v>
          </cell>
          <cell r="AA270">
            <v>20</v>
          </cell>
          <cell r="AB270">
            <v>118</v>
          </cell>
          <cell r="AC270">
            <v>0</v>
          </cell>
          <cell r="AD270" t="str">
            <v>TIDAK</v>
          </cell>
          <cell r="AE270" t="str">
            <v>TIDAK</v>
          </cell>
          <cell r="AF270">
            <v>118</v>
          </cell>
          <cell r="AG270">
            <v>2</v>
          </cell>
          <cell r="AH270" t="str">
            <v>SAPHIRE</v>
          </cell>
          <cell r="AI270">
            <v>0</v>
          </cell>
          <cell r="AJ270" t="str">
            <v>Y</v>
          </cell>
          <cell r="AK270">
            <v>0</v>
          </cell>
          <cell r="AL270">
            <v>45261</v>
          </cell>
          <cell r="AM270">
            <v>45701</v>
          </cell>
          <cell r="AN270">
            <v>1</v>
          </cell>
          <cell r="AO270">
            <v>118</v>
          </cell>
          <cell r="AP270" t="str">
            <v>-</v>
          </cell>
          <cell r="AQ270" t="str">
            <v>-</v>
          </cell>
          <cell r="AR270" t="str">
            <v>EKSKLUSIF</v>
          </cell>
          <cell r="AS270" t="str">
            <v>EKSKLUSIF</v>
          </cell>
          <cell r="AT270" t="str">
            <v>EKSKLUSIF</v>
          </cell>
          <cell r="AU270" t="str">
            <v>REGULER</v>
          </cell>
          <cell r="AV270" t="str">
            <v/>
          </cell>
          <cell r="AW270">
            <v>49</v>
          </cell>
          <cell r="AX270">
            <v>49</v>
          </cell>
          <cell r="AY270">
            <v>44</v>
          </cell>
          <cell r="AZ270">
            <v>49</v>
          </cell>
          <cell r="BA270">
            <v>34</v>
          </cell>
          <cell r="BB270">
            <v>49</v>
          </cell>
          <cell r="BC270">
            <v>49</v>
          </cell>
          <cell r="BD270">
            <v>44</v>
          </cell>
          <cell r="BE270">
            <v>49</v>
          </cell>
          <cell r="BF270">
            <v>34</v>
          </cell>
          <cell r="BG270">
            <v>20</v>
          </cell>
          <cell r="BH270">
            <v>49</v>
          </cell>
          <cell r="BI270">
            <v>49</v>
          </cell>
          <cell r="BJ270">
            <v>44</v>
          </cell>
          <cell r="BK270">
            <v>49</v>
          </cell>
          <cell r="BL270">
            <v>34</v>
          </cell>
          <cell r="BM270">
            <v>17</v>
          </cell>
          <cell r="BN270">
            <v>262</v>
          </cell>
          <cell r="BO270">
            <v>20</v>
          </cell>
          <cell r="BP270">
            <v>49</v>
          </cell>
          <cell r="BQ270">
            <v>0</v>
          </cell>
          <cell r="BR270">
            <v>0</v>
          </cell>
          <cell r="BS270">
            <v>0</v>
          </cell>
          <cell r="BT270">
            <v>34</v>
          </cell>
          <cell r="BU270">
            <v>17</v>
          </cell>
          <cell r="BV270">
            <v>120</v>
          </cell>
          <cell r="BW270">
            <v>0</v>
          </cell>
          <cell r="BX270" t="str">
            <v>TIDAK</v>
          </cell>
          <cell r="BY270" t="str">
            <v>TIDAK</v>
          </cell>
        </row>
        <row r="271">
          <cell r="A271" t="str">
            <v>A3553</v>
          </cell>
          <cell r="B271" t="str">
            <v>Natashya Suleman</v>
          </cell>
          <cell r="C271" t="str">
            <v>DELTA</v>
          </cell>
          <cell r="D271">
            <v>45316</v>
          </cell>
          <cell r="E271" t="str">
            <v>Jan-24</v>
          </cell>
          <cell r="F271" t="str">
            <v>-</v>
          </cell>
          <cell r="G271" t="str">
            <v>REGULER</v>
          </cell>
          <cell r="H271" t="str">
            <v>REGULER</v>
          </cell>
          <cell r="I271" t="str">
            <v>-</v>
          </cell>
          <cell r="J271" t="str">
            <v>REGULER</v>
          </cell>
          <cell r="K271" t="str">
            <v>-</v>
          </cell>
          <cell r="L271" t="str">
            <v>-</v>
          </cell>
          <cell r="M271">
            <v>0</v>
          </cell>
          <cell r="N271">
            <v>4</v>
          </cell>
          <cell r="O271">
            <v>9</v>
          </cell>
          <cell r="P271">
            <v>0</v>
          </cell>
          <cell r="Q271">
            <v>2</v>
          </cell>
          <cell r="R271">
            <v>0</v>
          </cell>
          <cell r="S271" t="str">
            <v/>
          </cell>
          <cell r="T271">
            <v>15</v>
          </cell>
          <cell r="U271">
            <v>0</v>
          </cell>
          <cell r="V271">
            <v>4</v>
          </cell>
          <cell r="W271">
            <v>9</v>
          </cell>
          <cell r="X271">
            <v>0</v>
          </cell>
          <cell r="Y271">
            <v>2</v>
          </cell>
          <cell r="Z271">
            <v>0</v>
          </cell>
          <cell r="AA271" t="str">
            <v/>
          </cell>
          <cell r="AB271">
            <v>15</v>
          </cell>
          <cell r="AC271">
            <v>3</v>
          </cell>
          <cell r="AD271" t="str">
            <v>DOWNGRADE</v>
          </cell>
          <cell r="AE271" t="str">
            <v>TIDAK</v>
          </cell>
          <cell r="AF271">
            <v>7.5</v>
          </cell>
          <cell r="AG271">
            <v>2</v>
          </cell>
          <cell r="AH271" t="str">
            <v>SAPHIRE</v>
          </cell>
          <cell r="AI271">
            <v>0</v>
          </cell>
          <cell r="AJ271" t="str">
            <v>FALSE</v>
          </cell>
          <cell r="AK271">
            <v>0</v>
          </cell>
          <cell r="AL271">
            <v>45261</v>
          </cell>
          <cell r="AM271">
            <v>45701</v>
          </cell>
          <cell r="AN271">
            <v>1</v>
          </cell>
          <cell r="AO271">
            <v>7.5</v>
          </cell>
          <cell r="AP271" t="str">
            <v>-</v>
          </cell>
          <cell r="AQ271" t="str">
            <v>-</v>
          </cell>
          <cell r="AR271" t="str">
            <v>-</v>
          </cell>
          <cell r="AS271" t="str">
            <v>-</v>
          </cell>
          <cell r="AT271" t="str">
            <v>-</v>
          </cell>
          <cell r="AU271" t="str">
            <v>-</v>
          </cell>
          <cell r="AV271" t="str">
            <v/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 t="str">
            <v/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 t="str">
            <v/>
          </cell>
          <cell r="BN271">
            <v>0</v>
          </cell>
          <cell r="BO271" t="str">
            <v/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 t="str">
            <v/>
          </cell>
          <cell r="BV271">
            <v>0</v>
          </cell>
          <cell r="BW271">
            <v>7</v>
          </cell>
          <cell r="BX271" t="str">
            <v>DOWNGRADE</v>
          </cell>
          <cell r="BY271" t="str">
            <v>RESET</v>
          </cell>
        </row>
        <row r="272">
          <cell r="A272" t="str">
            <v>A3840</v>
          </cell>
          <cell r="B272" t="str">
            <v>Nathania Putri</v>
          </cell>
          <cell r="C272" t="str">
            <v>DELTA</v>
          </cell>
          <cell r="D272">
            <v>45402</v>
          </cell>
          <cell r="E272" t="str">
            <v>Apr-24</v>
          </cell>
          <cell r="F272" t="str">
            <v>-</v>
          </cell>
          <cell r="G272" t="str">
            <v>-</v>
          </cell>
          <cell r="H272" t="str">
            <v>-</v>
          </cell>
          <cell r="I272" t="str">
            <v>-</v>
          </cell>
          <cell r="J272" t="str">
            <v>REGULER</v>
          </cell>
          <cell r="K272" t="str">
            <v>REGULER</v>
          </cell>
          <cell r="L272" t="str">
            <v>REGULER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5</v>
          </cell>
          <cell r="R272">
            <v>20</v>
          </cell>
          <cell r="S272">
            <v>8</v>
          </cell>
          <cell r="T272">
            <v>33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5</v>
          </cell>
          <cell r="Z272">
            <v>20</v>
          </cell>
          <cell r="AA272">
            <v>8</v>
          </cell>
          <cell r="AB272">
            <v>33</v>
          </cell>
          <cell r="AC272">
            <v>0</v>
          </cell>
          <cell r="AD272" t="str">
            <v>TIDAK</v>
          </cell>
          <cell r="AE272" t="str">
            <v>TIDAK</v>
          </cell>
          <cell r="AF272">
            <v>33</v>
          </cell>
          <cell r="AG272">
            <v>1</v>
          </cell>
          <cell r="AH272" t="str">
            <v>SAPHIRE</v>
          </cell>
          <cell r="AI272">
            <v>0</v>
          </cell>
          <cell r="AJ272" t="str">
            <v>FALSE</v>
          </cell>
          <cell r="AK272">
            <v>0</v>
          </cell>
          <cell r="AL272">
            <v>45261</v>
          </cell>
          <cell r="AM272">
            <v>45701</v>
          </cell>
          <cell r="AN272">
            <v>1</v>
          </cell>
          <cell r="AO272">
            <v>33</v>
          </cell>
          <cell r="AP272" t="str">
            <v>-</v>
          </cell>
          <cell r="AQ272" t="str">
            <v>-</v>
          </cell>
          <cell r="AR272" t="str">
            <v>REGULER</v>
          </cell>
          <cell r="AS272" t="str">
            <v>REGULER</v>
          </cell>
          <cell r="AT272" t="str">
            <v>REGULER</v>
          </cell>
          <cell r="AU272" t="str">
            <v>REGULER</v>
          </cell>
          <cell r="AV272" t="str">
            <v/>
          </cell>
          <cell r="AW272">
            <v>11</v>
          </cell>
          <cell r="AX272">
            <v>9</v>
          </cell>
          <cell r="AY272">
            <v>5</v>
          </cell>
          <cell r="AZ272">
            <v>5</v>
          </cell>
          <cell r="BA272">
            <v>8</v>
          </cell>
          <cell r="BB272">
            <v>11</v>
          </cell>
          <cell r="BC272">
            <v>9</v>
          </cell>
          <cell r="BD272">
            <v>5</v>
          </cell>
          <cell r="BE272">
            <v>5</v>
          </cell>
          <cell r="BF272">
            <v>8</v>
          </cell>
          <cell r="BG272">
            <v>13</v>
          </cell>
          <cell r="BH272">
            <v>11</v>
          </cell>
          <cell r="BI272">
            <v>9</v>
          </cell>
          <cell r="BJ272">
            <v>5</v>
          </cell>
          <cell r="BK272">
            <v>5</v>
          </cell>
          <cell r="BL272">
            <v>8</v>
          </cell>
          <cell r="BM272">
            <v>3</v>
          </cell>
          <cell r="BN272">
            <v>54</v>
          </cell>
          <cell r="BO272">
            <v>13</v>
          </cell>
          <cell r="BP272">
            <v>11</v>
          </cell>
          <cell r="BQ272">
            <v>9</v>
          </cell>
          <cell r="BR272">
            <v>5</v>
          </cell>
          <cell r="BS272">
            <v>5</v>
          </cell>
          <cell r="BT272">
            <v>8</v>
          </cell>
          <cell r="BU272">
            <v>3</v>
          </cell>
          <cell r="BV272">
            <v>54</v>
          </cell>
          <cell r="BW272">
            <v>0</v>
          </cell>
          <cell r="BX272" t="str">
            <v>TIDAK</v>
          </cell>
          <cell r="BY272" t="str">
            <v>TIDAK</v>
          </cell>
        </row>
        <row r="273">
          <cell r="A273" t="str">
            <v>A3229</v>
          </cell>
          <cell r="B273" t="str">
            <v>Naufal Nur Fajari</v>
          </cell>
          <cell r="C273" t="str">
            <v>DELTA</v>
          </cell>
          <cell r="D273">
            <v>45245</v>
          </cell>
          <cell r="E273" t="str">
            <v>Nov-23</v>
          </cell>
          <cell r="F273" t="str">
            <v>REGULER</v>
          </cell>
          <cell r="G273" t="str">
            <v>REGULER</v>
          </cell>
          <cell r="H273" t="str">
            <v>REGULER</v>
          </cell>
          <cell r="I273" t="str">
            <v>REGULER</v>
          </cell>
          <cell r="J273" t="str">
            <v>REGULER</v>
          </cell>
          <cell r="K273" t="str">
            <v>REGULER</v>
          </cell>
          <cell r="L273" t="str">
            <v>REGULER</v>
          </cell>
          <cell r="M273">
            <v>21</v>
          </cell>
          <cell r="N273">
            <v>46</v>
          </cell>
          <cell r="O273">
            <v>38</v>
          </cell>
          <cell r="P273">
            <v>40</v>
          </cell>
          <cell r="Q273">
            <v>33</v>
          </cell>
          <cell r="R273">
            <v>37</v>
          </cell>
          <cell r="S273">
            <v>22</v>
          </cell>
          <cell r="T273">
            <v>237</v>
          </cell>
          <cell r="U273">
            <v>21</v>
          </cell>
          <cell r="V273">
            <v>46</v>
          </cell>
          <cell r="W273">
            <v>38</v>
          </cell>
          <cell r="X273">
            <v>40</v>
          </cell>
          <cell r="Y273">
            <v>33</v>
          </cell>
          <cell r="Z273">
            <v>37</v>
          </cell>
          <cell r="AA273">
            <v>22</v>
          </cell>
          <cell r="AB273">
            <v>237</v>
          </cell>
          <cell r="AC273">
            <v>0</v>
          </cell>
          <cell r="AD273" t="str">
            <v>TIDAK</v>
          </cell>
          <cell r="AE273" t="str">
            <v>TIDAK</v>
          </cell>
          <cell r="AF273">
            <v>237</v>
          </cell>
          <cell r="AG273">
            <v>2</v>
          </cell>
          <cell r="AH273" t="str">
            <v>SAPHIRE</v>
          </cell>
          <cell r="AI273">
            <v>0</v>
          </cell>
          <cell r="AJ273" t="str">
            <v>Y</v>
          </cell>
          <cell r="AK273">
            <v>0</v>
          </cell>
          <cell r="AL273">
            <v>45261</v>
          </cell>
          <cell r="AM273">
            <v>45701</v>
          </cell>
          <cell r="AN273">
            <v>1</v>
          </cell>
          <cell r="AO273">
            <v>237</v>
          </cell>
          <cell r="AP273" t="str">
            <v>-</v>
          </cell>
          <cell r="AQ273" t="str">
            <v>-</v>
          </cell>
          <cell r="AR273" t="str">
            <v>-</v>
          </cell>
          <cell r="AS273" t="str">
            <v>-</v>
          </cell>
          <cell r="AT273" t="str">
            <v>-</v>
          </cell>
          <cell r="AU273" t="str">
            <v>-</v>
          </cell>
          <cell r="AV273" t="str">
            <v/>
          </cell>
          <cell r="AW273">
            <v>40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40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16</v>
          </cell>
          <cell r="BH273">
            <v>40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 t="str">
            <v/>
          </cell>
          <cell r="BN273">
            <v>56</v>
          </cell>
          <cell r="BO273">
            <v>16</v>
          </cell>
          <cell r="BP273">
            <v>40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 t="str">
            <v/>
          </cell>
          <cell r="BV273">
            <v>56</v>
          </cell>
          <cell r="BW273">
            <v>5</v>
          </cell>
          <cell r="BX273" t="str">
            <v>DOWNGRADE</v>
          </cell>
          <cell r="BY273" t="str">
            <v>RESET</v>
          </cell>
        </row>
        <row r="274">
          <cell r="A274" t="str">
            <v>A2953</v>
          </cell>
          <cell r="B274" t="str">
            <v>Nawangwulan Desikumala</v>
          </cell>
          <cell r="C274" t="str">
            <v>DELTA</v>
          </cell>
          <cell r="D274">
            <v>45190</v>
          </cell>
          <cell r="E274" t="str">
            <v>Sep-23</v>
          </cell>
          <cell r="F274" t="str">
            <v>REGULER</v>
          </cell>
          <cell r="G274" t="str">
            <v>REGULER</v>
          </cell>
          <cell r="H274" t="str">
            <v>EKSKLUSIF</v>
          </cell>
          <cell r="I274" t="str">
            <v>EKSKLUSIF</v>
          </cell>
          <cell r="J274" t="str">
            <v>EKSKLUSIF</v>
          </cell>
          <cell r="K274" t="str">
            <v>EKSKLUSIF</v>
          </cell>
          <cell r="L274" t="str">
            <v>EKSKLUSIF</v>
          </cell>
          <cell r="M274">
            <v>20</v>
          </cell>
          <cell r="N274">
            <v>41</v>
          </cell>
          <cell r="O274">
            <v>42</v>
          </cell>
          <cell r="P274">
            <v>42</v>
          </cell>
          <cell r="Q274">
            <v>36</v>
          </cell>
          <cell r="R274">
            <v>40</v>
          </cell>
          <cell r="S274">
            <v>22</v>
          </cell>
          <cell r="T274">
            <v>243</v>
          </cell>
          <cell r="U274">
            <v>20</v>
          </cell>
          <cell r="V274">
            <v>41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61</v>
          </cell>
          <cell r="AC274">
            <v>0</v>
          </cell>
          <cell r="AD274" t="str">
            <v>TIDAK</v>
          </cell>
          <cell r="AE274" t="str">
            <v>TIDAK</v>
          </cell>
          <cell r="AF274">
            <v>61</v>
          </cell>
          <cell r="AG274">
            <v>2</v>
          </cell>
          <cell r="AH274" t="str">
            <v>SAPHIRE</v>
          </cell>
          <cell r="AI274">
            <v>0</v>
          </cell>
          <cell r="AJ274" t="str">
            <v>FALSE</v>
          </cell>
          <cell r="AK274">
            <v>0</v>
          </cell>
          <cell r="AL274">
            <v>45261</v>
          </cell>
          <cell r="AM274">
            <v>45701</v>
          </cell>
          <cell r="AN274">
            <v>1</v>
          </cell>
          <cell r="AO274">
            <v>61</v>
          </cell>
          <cell r="AP274" t="str">
            <v>EKSKLUSIF</v>
          </cell>
          <cell r="AQ274" t="str">
            <v>-</v>
          </cell>
          <cell r="AR274" t="str">
            <v>EKSKLUSIF</v>
          </cell>
          <cell r="AS274" t="str">
            <v>EKSKLUSIF</v>
          </cell>
          <cell r="AT274" t="str">
            <v>EKSKLUSIF</v>
          </cell>
          <cell r="AU274" t="str">
            <v>EKSKLUSIF</v>
          </cell>
          <cell r="AV274" t="str">
            <v/>
          </cell>
          <cell r="AW274">
            <v>49</v>
          </cell>
          <cell r="AX274">
            <v>49</v>
          </cell>
          <cell r="AY274">
            <v>44</v>
          </cell>
          <cell r="AZ274">
            <v>50</v>
          </cell>
          <cell r="BA274">
            <v>46</v>
          </cell>
          <cell r="BB274">
            <v>49</v>
          </cell>
          <cell r="BC274">
            <v>49</v>
          </cell>
          <cell r="BD274">
            <v>44</v>
          </cell>
          <cell r="BE274">
            <v>50</v>
          </cell>
          <cell r="BF274">
            <v>46</v>
          </cell>
          <cell r="BG274">
            <v>20</v>
          </cell>
          <cell r="BH274">
            <v>49</v>
          </cell>
          <cell r="BI274">
            <v>49</v>
          </cell>
          <cell r="BJ274">
            <v>44</v>
          </cell>
          <cell r="BK274">
            <v>50</v>
          </cell>
          <cell r="BL274">
            <v>46</v>
          </cell>
          <cell r="BM274">
            <v>22</v>
          </cell>
          <cell r="BN274">
            <v>280</v>
          </cell>
          <cell r="BO274">
            <v>0</v>
          </cell>
          <cell r="BP274">
            <v>49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22</v>
          </cell>
          <cell r="BV274">
            <v>71</v>
          </cell>
          <cell r="BW274">
            <v>0</v>
          </cell>
          <cell r="BX274" t="str">
            <v>TIDAK</v>
          </cell>
          <cell r="BY274" t="str">
            <v>TIDAK</v>
          </cell>
        </row>
        <row r="275">
          <cell r="A275">
            <v>92731</v>
          </cell>
          <cell r="B275" t="str">
            <v>Neti Setyowati</v>
          </cell>
          <cell r="C275" t="str">
            <v>DELTA</v>
          </cell>
          <cell r="D275">
            <v>44774</v>
          </cell>
          <cell r="E275" t="str">
            <v>Aug-22</v>
          </cell>
          <cell r="F275" t="str">
            <v>EKSKLUSIF</v>
          </cell>
          <cell r="G275" t="str">
            <v>EKSKLUSIF</v>
          </cell>
          <cell r="H275" t="str">
            <v>EKSKLUSIF</v>
          </cell>
          <cell r="I275" t="str">
            <v>EKSKLUSIF</v>
          </cell>
          <cell r="J275" t="str">
            <v>REGULER</v>
          </cell>
          <cell r="K275" t="str">
            <v>EKSKLUSIF</v>
          </cell>
          <cell r="L275" t="str">
            <v>EKSKLUSIF</v>
          </cell>
          <cell r="M275">
            <v>22</v>
          </cell>
          <cell r="N275">
            <v>45</v>
          </cell>
          <cell r="O275">
            <v>40</v>
          </cell>
          <cell r="P275">
            <v>41</v>
          </cell>
          <cell r="Q275">
            <v>30</v>
          </cell>
          <cell r="R275">
            <v>44</v>
          </cell>
          <cell r="S275">
            <v>23</v>
          </cell>
          <cell r="T275">
            <v>245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30</v>
          </cell>
          <cell r="Z275">
            <v>0</v>
          </cell>
          <cell r="AA275">
            <v>0</v>
          </cell>
          <cell r="AB275">
            <v>30</v>
          </cell>
          <cell r="AC275">
            <v>0</v>
          </cell>
          <cell r="AD275" t="str">
            <v>TIDAK</v>
          </cell>
          <cell r="AE275" t="str">
            <v>TIDAK</v>
          </cell>
          <cell r="AF275">
            <v>30</v>
          </cell>
          <cell r="AG275">
            <v>2</v>
          </cell>
          <cell r="AH275" t="str">
            <v>SAPHIRE</v>
          </cell>
          <cell r="AI275">
            <v>0</v>
          </cell>
          <cell r="AJ275" t="str">
            <v>FALSE</v>
          </cell>
          <cell r="AK275">
            <v>0</v>
          </cell>
          <cell r="AL275">
            <v>45261</v>
          </cell>
          <cell r="AM275">
            <v>45701</v>
          </cell>
          <cell r="AN275">
            <v>1</v>
          </cell>
          <cell r="AO275">
            <v>30</v>
          </cell>
          <cell r="AP275" t="str">
            <v>EKSKLUSIF</v>
          </cell>
          <cell r="AQ275" t="str">
            <v>-</v>
          </cell>
          <cell r="AR275" t="str">
            <v>-</v>
          </cell>
          <cell r="AS275" t="str">
            <v>-</v>
          </cell>
          <cell r="AT275" t="str">
            <v>-</v>
          </cell>
          <cell r="AU275" t="str">
            <v>-</v>
          </cell>
          <cell r="AV275" t="str">
            <v/>
          </cell>
          <cell r="AW275">
            <v>18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18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20</v>
          </cell>
          <cell r="BH275">
            <v>18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 t="str">
            <v/>
          </cell>
          <cell r="BN275">
            <v>38</v>
          </cell>
          <cell r="BO275">
            <v>0</v>
          </cell>
          <cell r="BP275">
            <v>18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 t="str">
            <v/>
          </cell>
          <cell r="BV275">
            <v>18</v>
          </cell>
          <cell r="BW275">
            <v>5</v>
          </cell>
          <cell r="BX275" t="str">
            <v>DOWNGRADE</v>
          </cell>
          <cell r="BY275" t="str">
            <v>RESET</v>
          </cell>
        </row>
        <row r="276">
          <cell r="A276" t="str">
            <v>A1758</v>
          </cell>
          <cell r="B276" t="str">
            <v>Ni Putu Ayu Regita Wirantini</v>
          </cell>
          <cell r="C276" t="str">
            <v>DELTA</v>
          </cell>
          <cell r="D276">
            <v>45124</v>
          </cell>
          <cell r="E276" t="str">
            <v>Jul-23</v>
          </cell>
          <cell r="F276" t="str">
            <v>REGULER</v>
          </cell>
          <cell r="G276" t="str">
            <v>REGULER</v>
          </cell>
          <cell r="H276" t="str">
            <v>REGULER</v>
          </cell>
          <cell r="I276" t="str">
            <v>-</v>
          </cell>
          <cell r="J276" t="str">
            <v>REGULER</v>
          </cell>
          <cell r="K276" t="str">
            <v>-</v>
          </cell>
          <cell r="L276" t="str">
            <v>-</v>
          </cell>
          <cell r="M276">
            <v>0</v>
          </cell>
          <cell r="N276">
            <v>16</v>
          </cell>
          <cell r="O276">
            <v>15</v>
          </cell>
          <cell r="P276">
            <v>0</v>
          </cell>
          <cell r="Q276">
            <v>16</v>
          </cell>
          <cell r="R276">
            <v>0</v>
          </cell>
          <cell r="S276" t="str">
            <v/>
          </cell>
          <cell r="T276">
            <v>47</v>
          </cell>
          <cell r="U276">
            <v>0</v>
          </cell>
          <cell r="V276">
            <v>16</v>
          </cell>
          <cell r="W276">
            <v>15</v>
          </cell>
          <cell r="X276">
            <v>0</v>
          </cell>
          <cell r="Y276">
            <v>16</v>
          </cell>
          <cell r="Z276">
            <v>0</v>
          </cell>
          <cell r="AA276" t="str">
            <v/>
          </cell>
          <cell r="AB276">
            <v>47</v>
          </cell>
          <cell r="AC276">
            <v>4</v>
          </cell>
          <cell r="AD276" t="str">
            <v>DOWNGRADE</v>
          </cell>
          <cell r="AE276" t="str">
            <v>TIDAK</v>
          </cell>
          <cell r="AF276">
            <v>23.5</v>
          </cell>
          <cell r="AG276">
            <v>2</v>
          </cell>
          <cell r="AH276" t="str">
            <v>SAPHIRE</v>
          </cell>
          <cell r="AI276">
            <v>0</v>
          </cell>
          <cell r="AJ276" t="str">
            <v>FALSE</v>
          </cell>
          <cell r="AK276">
            <v>0</v>
          </cell>
          <cell r="AL276">
            <v>45261</v>
          </cell>
          <cell r="AM276">
            <v>45701</v>
          </cell>
          <cell r="AN276">
            <v>1</v>
          </cell>
          <cell r="AO276">
            <v>23.5</v>
          </cell>
          <cell r="AP276" t="str">
            <v>-</v>
          </cell>
          <cell r="AQ276" t="str">
            <v>-</v>
          </cell>
          <cell r="AR276" t="str">
            <v>-</v>
          </cell>
          <cell r="AS276" t="str">
            <v>-</v>
          </cell>
          <cell r="AT276" t="str">
            <v>-</v>
          </cell>
          <cell r="AU276" t="str">
            <v>-</v>
          </cell>
          <cell r="AV276" t="str">
            <v/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 t="str">
            <v/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 t="str">
            <v/>
          </cell>
          <cell r="BN276">
            <v>0</v>
          </cell>
          <cell r="BO276" t="str">
            <v/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 t="str">
            <v/>
          </cell>
          <cell r="BV276">
            <v>0</v>
          </cell>
          <cell r="BW276">
            <v>7</v>
          </cell>
          <cell r="BX276" t="str">
            <v>DOWNGRADE</v>
          </cell>
          <cell r="BY276" t="str">
            <v>RESET</v>
          </cell>
        </row>
        <row r="277">
          <cell r="A277" t="str">
            <v>A1096</v>
          </cell>
          <cell r="B277" t="str">
            <v>Nila Haqiqi</v>
          </cell>
          <cell r="C277" t="str">
            <v>DELTA</v>
          </cell>
          <cell r="D277">
            <v>44973</v>
          </cell>
          <cell r="E277" t="str">
            <v>Feb-23</v>
          </cell>
          <cell r="F277" t="str">
            <v>EKSKLUSIF</v>
          </cell>
          <cell r="G277" t="str">
            <v>EKSKLUSIF</v>
          </cell>
          <cell r="H277" t="str">
            <v>EKSKLUSIF</v>
          </cell>
          <cell r="I277" t="str">
            <v>EKSKLUSIF</v>
          </cell>
          <cell r="J277" t="str">
            <v>EKSKLUSIF</v>
          </cell>
          <cell r="K277" t="str">
            <v>EKSKLUSIF</v>
          </cell>
          <cell r="L277" t="str">
            <v>EKSKLUSIF</v>
          </cell>
          <cell r="M277">
            <v>20</v>
          </cell>
          <cell r="N277">
            <v>46</v>
          </cell>
          <cell r="O277">
            <v>40</v>
          </cell>
          <cell r="P277">
            <v>41</v>
          </cell>
          <cell r="Q277">
            <v>37</v>
          </cell>
          <cell r="R277">
            <v>41</v>
          </cell>
          <cell r="S277">
            <v>22</v>
          </cell>
          <cell r="T277">
            <v>247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 t="str">
            <v>TIDAK</v>
          </cell>
          <cell r="AE277" t="str">
            <v>TIDAK</v>
          </cell>
          <cell r="AF277">
            <v>0</v>
          </cell>
          <cell r="AG277">
            <v>2</v>
          </cell>
          <cell r="AH277" t="str">
            <v>SAPHIRE</v>
          </cell>
          <cell r="AI277">
            <v>0</v>
          </cell>
          <cell r="AJ277" t="str">
            <v>FALSE</v>
          </cell>
          <cell r="AK277">
            <v>0</v>
          </cell>
          <cell r="AL277">
            <v>45261</v>
          </cell>
          <cell r="AM277">
            <v>45701</v>
          </cell>
          <cell r="AN277">
            <v>1</v>
          </cell>
          <cell r="AO277">
            <v>0</v>
          </cell>
          <cell r="AP277" t="str">
            <v>EKSKLUSIF</v>
          </cell>
          <cell r="AQ277" t="str">
            <v>-</v>
          </cell>
          <cell r="AR277" t="str">
            <v>EKSKLUSIF</v>
          </cell>
          <cell r="AS277" t="str">
            <v>EKSKLUSIF</v>
          </cell>
          <cell r="AT277" t="str">
            <v>EKSKLUSIF</v>
          </cell>
          <cell r="AU277" t="str">
            <v>EKSKLUSIF</v>
          </cell>
          <cell r="AV277" t="str">
            <v/>
          </cell>
          <cell r="AW277">
            <v>48</v>
          </cell>
          <cell r="AX277">
            <v>48</v>
          </cell>
          <cell r="AY277">
            <v>43</v>
          </cell>
          <cell r="AZ277">
            <v>46</v>
          </cell>
          <cell r="BA277">
            <v>44</v>
          </cell>
          <cell r="BB277">
            <v>48</v>
          </cell>
          <cell r="BC277">
            <v>48</v>
          </cell>
          <cell r="BD277">
            <v>43</v>
          </cell>
          <cell r="BE277">
            <v>46</v>
          </cell>
          <cell r="BF277">
            <v>44</v>
          </cell>
          <cell r="BG277">
            <v>19</v>
          </cell>
          <cell r="BH277">
            <v>48</v>
          </cell>
          <cell r="BI277">
            <v>48</v>
          </cell>
          <cell r="BJ277">
            <v>43</v>
          </cell>
          <cell r="BK277">
            <v>46</v>
          </cell>
          <cell r="BL277">
            <v>44</v>
          </cell>
          <cell r="BM277">
            <v>21</v>
          </cell>
          <cell r="BN277">
            <v>269</v>
          </cell>
          <cell r="BO277">
            <v>0</v>
          </cell>
          <cell r="BP277">
            <v>48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21</v>
          </cell>
          <cell r="BV277">
            <v>69</v>
          </cell>
          <cell r="BW277">
            <v>0</v>
          </cell>
          <cell r="BX277" t="str">
            <v>TIDAK</v>
          </cell>
          <cell r="BY277" t="str">
            <v>TIDAK</v>
          </cell>
        </row>
        <row r="278">
          <cell r="A278" t="str">
            <v>A1140</v>
          </cell>
          <cell r="B278" t="str">
            <v>Nilawati Laia</v>
          </cell>
          <cell r="C278" t="str">
            <v>DELTA</v>
          </cell>
          <cell r="D278">
            <v>44977</v>
          </cell>
          <cell r="E278" t="str">
            <v>Feb-23</v>
          </cell>
          <cell r="F278" t="str">
            <v>EKSKLUSIF</v>
          </cell>
          <cell r="G278" t="str">
            <v>EKSKLUSIF</v>
          </cell>
          <cell r="H278" t="str">
            <v>EKSKLUSIF</v>
          </cell>
          <cell r="I278" t="str">
            <v>EKSKLUSIF</v>
          </cell>
          <cell r="J278" t="str">
            <v>EKSKLUSIF</v>
          </cell>
          <cell r="K278" t="str">
            <v>EKSKLUSIF</v>
          </cell>
          <cell r="L278" t="str">
            <v>EKSKLUSIF</v>
          </cell>
          <cell r="M278">
            <v>21</v>
          </cell>
          <cell r="N278">
            <v>46</v>
          </cell>
          <cell r="O278">
            <v>41</v>
          </cell>
          <cell r="P278">
            <v>41</v>
          </cell>
          <cell r="Q278">
            <v>38</v>
          </cell>
          <cell r="R278">
            <v>42</v>
          </cell>
          <cell r="S278">
            <v>21</v>
          </cell>
          <cell r="T278">
            <v>250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 t="str">
            <v>TIDAK</v>
          </cell>
          <cell r="AE278" t="str">
            <v>TIDAK</v>
          </cell>
          <cell r="AF278">
            <v>0</v>
          </cell>
          <cell r="AG278">
            <v>2</v>
          </cell>
          <cell r="AH278" t="str">
            <v>SAPHIRE</v>
          </cell>
          <cell r="AI278">
            <v>0</v>
          </cell>
          <cell r="AJ278" t="str">
            <v>FALSE</v>
          </cell>
          <cell r="AK278">
            <v>0</v>
          </cell>
          <cell r="AL278">
            <v>45261</v>
          </cell>
          <cell r="AM278">
            <v>45701</v>
          </cell>
          <cell r="AN278">
            <v>1</v>
          </cell>
          <cell r="AO278">
            <v>0</v>
          </cell>
          <cell r="AP278" t="str">
            <v>EKSKLUSIF</v>
          </cell>
          <cell r="AQ278" t="str">
            <v>-</v>
          </cell>
          <cell r="AR278" t="str">
            <v>-</v>
          </cell>
          <cell r="AS278" t="str">
            <v>-</v>
          </cell>
          <cell r="AT278" t="str">
            <v>-</v>
          </cell>
          <cell r="AU278" t="str">
            <v>-</v>
          </cell>
          <cell r="AV278" t="str">
            <v/>
          </cell>
          <cell r="AW278">
            <v>50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50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19</v>
          </cell>
          <cell r="BH278">
            <v>50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 t="str">
            <v/>
          </cell>
          <cell r="BN278">
            <v>69</v>
          </cell>
          <cell r="BO278">
            <v>0</v>
          </cell>
          <cell r="BP278">
            <v>50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 t="str">
            <v/>
          </cell>
          <cell r="BV278">
            <v>50</v>
          </cell>
          <cell r="BW278">
            <v>5</v>
          </cell>
          <cell r="BX278" t="str">
            <v>DOWNGRADE</v>
          </cell>
          <cell r="BY278" t="str">
            <v>RESET</v>
          </cell>
        </row>
        <row r="279">
          <cell r="A279" t="str">
            <v>A3545</v>
          </cell>
          <cell r="B279" t="str">
            <v>Ninik Rizqi Zunarisma</v>
          </cell>
          <cell r="C279" t="str">
            <v>DELTA</v>
          </cell>
          <cell r="D279">
            <v>45322</v>
          </cell>
          <cell r="E279" t="str">
            <v>Jan-24</v>
          </cell>
          <cell r="F279" t="str">
            <v>-</v>
          </cell>
          <cell r="G279" t="str">
            <v>REGULER</v>
          </cell>
          <cell r="H279" t="str">
            <v>REGULER</v>
          </cell>
          <cell r="I279" t="str">
            <v>REGULER</v>
          </cell>
          <cell r="J279" t="str">
            <v>-</v>
          </cell>
          <cell r="K279" t="str">
            <v>-</v>
          </cell>
          <cell r="L279" t="str">
            <v>-</v>
          </cell>
          <cell r="M279">
            <v>0</v>
          </cell>
          <cell r="N279">
            <v>1</v>
          </cell>
          <cell r="O279">
            <v>5</v>
          </cell>
          <cell r="P279">
            <v>1</v>
          </cell>
          <cell r="Q279">
            <v>0</v>
          </cell>
          <cell r="R279">
            <v>0</v>
          </cell>
          <cell r="S279" t="str">
            <v/>
          </cell>
          <cell r="T279">
            <v>7</v>
          </cell>
          <cell r="U279">
            <v>0</v>
          </cell>
          <cell r="V279">
            <v>1</v>
          </cell>
          <cell r="W279">
            <v>5</v>
          </cell>
          <cell r="X279">
            <v>1</v>
          </cell>
          <cell r="Y279">
            <v>0</v>
          </cell>
          <cell r="Z279">
            <v>0</v>
          </cell>
          <cell r="AA279" t="str">
            <v/>
          </cell>
          <cell r="AB279">
            <v>7</v>
          </cell>
          <cell r="AC279">
            <v>3</v>
          </cell>
          <cell r="AD279" t="str">
            <v>DOWNGRADE</v>
          </cell>
          <cell r="AE279" t="str">
            <v>RESET</v>
          </cell>
          <cell r="AF279">
            <v>0</v>
          </cell>
          <cell r="AG279">
            <v>1</v>
          </cell>
          <cell r="AH279" t="str">
            <v>SAPHIRE</v>
          </cell>
          <cell r="AI279">
            <v>0</v>
          </cell>
          <cell r="AJ279" t="str">
            <v>FALSE</v>
          </cell>
          <cell r="AK279">
            <v>0</v>
          </cell>
          <cell r="AL279">
            <v>45261</v>
          </cell>
          <cell r="AM279">
            <v>45701</v>
          </cell>
          <cell r="AN279">
            <v>1</v>
          </cell>
          <cell r="AO279">
            <v>0</v>
          </cell>
          <cell r="AP279" t="str">
            <v>-</v>
          </cell>
          <cell r="AQ279" t="str">
            <v>-</v>
          </cell>
          <cell r="AR279" t="str">
            <v>-</v>
          </cell>
          <cell r="AS279" t="str">
            <v>-</v>
          </cell>
          <cell r="AT279" t="str">
            <v>-</v>
          </cell>
          <cell r="AU279" t="str">
            <v>-</v>
          </cell>
          <cell r="AV279" t="str">
            <v/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 t="str">
            <v/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 t="str">
            <v/>
          </cell>
          <cell r="BN279">
            <v>0</v>
          </cell>
          <cell r="BO279" t="str">
            <v/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 t="str">
            <v/>
          </cell>
          <cell r="BV279">
            <v>0</v>
          </cell>
          <cell r="BW279">
            <v>7</v>
          </cell>
          <cell r="BX279" t="str">
            <v>DOWNGRADE</v>
          </cell>
          <cell r="BY279" t="str">
            <v>RESET</v>
          </cell>
        </row>
        <row r="280">
          <cell r="A280" t="str">
            <v>A3358</v>
          </cell>
          <cell r="B280" t="str">
            <v>Novia Putriana Kusumawati</v>
          </cell>
          <cell r="C280" t="str">
            <v>DELTA</v>
          </cell>
          <cell r="D280">
            <v>45276</v>
          </cell>
          <cell r="E280" t="str">
            <v>Dec-23</v>
          </cell>
          <cell r="F280" t="str">
            <v>REGULER</v>
          </cell>
          <cell r="G280" t="str">
            <v>REGULER</v>
          </cell>
          <cell r="H280" t="str">
            <v>REGULER</v>
          </cell>
          <cell r="I280" t="str">
            <v>REGULER</v>
          </cell>
          <cell r="J280" t="str">
            <v>REGULER</v>
          </cell>
          <cell r="K280" t="str">
            <v>REGULER</v>
          </cell>
          <cell r="L280" t="str">
            <v>-</v>
          </cell>
          <cell r="M280">
            <v>3</v>
          </cell>
          <cell r="N280">
            <v>24</v>
          </cell>
          <cell r="O280">
            <v>25</v>
          </cell>
          <cell r="P280">
            <v>22</v>
          </cell>
          <cell r="Q280">
            <v>12</v>
          </cell>
          <cell r="R280">
            <v>23</v>
          </cell>
          <cell r="S280" t="str">
            <v/>
          </cell>
          <cell r="T280">
            <v>109</v>
          </cell>
          <cell r="U280">
            <v>3</v>
          </cell>
          <cell r="V280">
            <v>24</v>
          </cell>
          <cell r="W280">
            <v>25</v>
          </cell>
          <cell r="X280">
            <v>22</v>
          </cell>
          <cell r="Y280">
            <v>12</v>
          </cell>
          <cell r="Z280">
            <v>23</v>
          </cell>
          <cell r="AA280" t="str">
            <v/>
          </cell>
          <cell r="AB280">
            <v>109</v>
          </cell>
          <cell r="AC280">
            <v>1</v>
          </cell>
          <cell r="AD280" t="str">
            <v>TIDAK</v>
          </cell>
          <cell r="AE280" t="str">
            <v>TIDAK</v>
          </cell>
          <cell r="AF280">
            <v>109</v>
          </cell>
          <cell r="AG280">
            <v>2</v>
          </cell>
          <cell r="AH280" t="str">
            <v>SAPHIRE</v>
          </cell>
          <cell r="AI280">
            <v>0</v>
          </cell>
          <cell r="AJ280" t="str">
            <v>Y</v>
          </cell>
          <cell r="AK280">
            <v>0</v>
          </cell>
          <cell r="AL280">
            <v>45261</v>
          </cell>
          <cell r="AM280">
            <v>45701</v>
          </cell>
          <cell r="AN280">
            <v>1</v>
          </cell>
          <cell r="AO280">
            <v>109</v>
          </cell>
          <cell r="AP280" t="str">
            <v>-</v>
          </cell>
          <cell r="AQ280" t="str">
            <v>-</v>
          </cell>
          <cell r="AR280" t="str">
            <v>REGULER</v>
          </cell>
          <cell r="AS280" t="str">
            <v>REGULER</v>
          </cell>
          <cell r="AT280" t="str">
            <v>REGULER</v>
          </cell>
          <cell r="AU280" t="str">
            <v>REGULER</v>
          </cell>
          <cell r="AV280" t="str">
            <v/>
          </cell>
          <cell r="AW280">
            <v>22</v>
          </cell>
          <cell r="AX280">
            <v>22</v>
          </cell>
          <cell r="AY280">
            <v>15</v>
          </cell>
          <cell r="AZ280">
            <v>22</v>
          </cell>
          <cell r="BA280">
            <v>21</v>
          </cell>
          <cell r="BB280">
            <v>22</v>
          </cell>
          <cell r="BC280">
            <v>22</v>
          </cell>
          <cell r="BD280">
            <v>15</v>
          </cell>
          <cell r="BE280">
            <v>22</v>
          </cell>
          <cell r="BF280">
            <v>21</v>
          </cell>
          <cell r="BG280">
            <v>15</v>
          </cell>
          <cell r="BH280">
            <v>22</v>
          </cell>
          <cell r="BI280">
            <v>22</v>
          </cell>
          <cell r="BJ280">
            <v>15</v>
          </cell>
          <cell r="BK280">
            <v>22</v>
          </cell>
          <cell r="BL280">
            <v>21</v>
          </cell>
          <cell r="BM280">
            <v>6</v>
          </cell>
          <cell r="BN280">
            <v>123</v>
          </cell>
          <cell r="BO280">
            <v>15</v>
          </cell>
          <cell r="BP280">
            <v>22</v>
          </cell>
          <cell r="BQ280">
            <v>22</v>
          </cell>
          <cell r="BR280">
            <v>15</v>
          </cell>
          <cell r="BS280">
            <v>22</v>
          </cell>
          <cell r="BT280">
            <v>21</v>
          </cell>
          <cell r="BU280">
            <v>6</v>
          </cell>
          <cell r="BV280">
            <v>123</v>
          </cell>
          <cell r="BW280">
            <v>0</v>
          </cell>
          <cell r="BX280" t="str">
            <v>TIDAK</v>
          </cell>
          <cell r="BY280" t="str">
            <v>TIDAK</v>
          </cell>
        </row>
        <row r="281">
          <cell r="A281" t="str">
            <v>A1348</v>
          </cell>
          <cell r="B281" t="str">
            <v>Nur Hidayah</v>
          </cell>
          <cell r="C281" t="str">
            <v>DELTA</v>
          </cell>
          <cell r="D281">
            <v>44985</v>
          </cell>
          <cell r="E281" t="str">
            <v>Feb-23</v>
          </cell>
          <cell r="F281" t="str">
            <v>REGULER</v>
          </cell>
          <cell r="G281" t="str">
            <v>REGULER</v>
          </cell>
          <cell r="H281" t="str">
            <v>REGULER</v>
          </cell>
          <cell r="I281" t="str">
            <v>REGULER</v>
          </cell>
          <cell r="J281" t="str">
            <v>-</v>
          </cell>
          <cell r="K281" t="str">
            <v>-</v>
          </cell>
          <cell r="L281" t="str">
            <v>-</v>
          </cell>
          <cell r="M281">
            <v>20</v>
          </cell>
          <cell r="N281">
            <v>44</v>
          </cell>
          <cell r="O281">
            <v>22</v>
          </cell>
          <cell r="P281">
            <v>22</v>
          </cell>
          <cell r="Q281">
            <v>0</v>
          </cell>
          <cell r="R281">
            <v>0</v>
          </cell>
          <cell r="S281" t="str">
            <v/>
          </cell>
          <cell r="T281">
            <v>108</v>
          </cell>
          <cell r="U281">
            <v>20</v>
          </cell>
          <cell r="V281">
            <v>44</v>
          </cell>
          <cell r="W281">
            <v>22</v>
          </cell>
          <cell r="X281">
            <v>22</v>
          </cell>
          <cell r="Y281">
            <v>0</v>
          </cell>
          <cell r="Z281">
            <v>0</v>
          </cell>
          <cell r="AA281" t="str">
            <v/>
          </cell>
          <cell r="AB281">
            <v>108</v>
          </cell>
          <cell r="AC281">
            <v>3</v>
          </cell>
          <cell r="AD281" t="str">
            <v>DOWNGRADE</v>
          </cell>
          <cell r="AE281" t="str">
            <v>RESET</v>
          </cell>
          <cell r="AF281">
            <v>0</v>
          </cell>
          <cell r="AG281">
            <v>2</v>
          </cell>
          <cell r="AH281" t="str">
            <v>SAPHIRE</v>
          </cell>
          <cell r="AI281">
            <v>0</v>
          </cell>
          <cell r="AJ281" t="str">
            <v>FALSE</v>
          </cell>
          <cell r="AK281">
            <v>0</v>
          </cell>
          <cell r="AL281">
            <v>45261</v>
          </cell>
          <cell r="AM281">
            <v>45701</v>
          </cell>
          <cell r="AN281">
            <v>1</v>
          </cell>
          <cell r="AO281">
            <v>0</v>
          </cell>
          <cell r="AP281" t="str">
            <v>-</v>
          </cell>
          <cell r="AQ281" t="str">
            <v>-</v>
          </cell>
          <cell r="AR281" t="str">
            <v>-</v>
          </cell>
          <cell r="AS281" t="str">
            <v>-</v>
          </cell>
          <cell r="AT281" t="str">
            <v>-</v>
          </cell>
          <cell r="AU281" t="str">
            <v>-</v>
          </cell>
          <cell r="AV281" t="str">
            <v/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 t="str">
            <v/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 t="str">
            <v/>
          </cell>
          <cell r="BN281">
            <v>0</v>
          </cell>
          <cell r="BO281" t="str">
            <v/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 t="str">
            <v/>
          </cell>
          <cell r="BV281">
            <v>0</v>
          </cell>
          <cell r="BW281">
            <v>7</v>
          </cell>
          <cell r="BX281" t="str">
            <v>DOWNGRADE</v>
          </cell>
          <cell r="BY281" t="str">
            <v>RESET</v>
          </cell>
        </row>
        <row r="282">
          <cell r="A282" t="str">
            <v>A0725</v>
          </cell>
          <cell r="B282" t="str">
            <v>Nur Khasanah</v>
          </cell>
          <cell r="C282" t="str">
            <v>DELTA</v>
          </cell>
          <cell r="D282">
            <v>44898</v>
          </cell>
          <cell r="E282" t="str">
            <v>Dec-22</v>
          </cell>
          <cell r="F282" t="str">
            <v>REGULER</v>
          </cell>
          <cell r="G282" t="str">
            <v>REGULER</v>
          </cell>
          <cell r="H282" t="str">
            <v>-</v>
          </cell>
          <cell r="I282" t="str">
            <v>REGULER</v>
          </cell>
          <cell r="J282" t="str">
            <v>REGULER</v>
          </cell>
          <cell r="K282" t="str">
            <v>REGULER</v>
          </cell>
          <cell r="L282" t="str">
            <v>EKSKLUSIF</v>
          </cell>
          <cell r="M282">
            <v>15</v>
          </cell>
          <cell r="N282">
            <v>39</v>
          </cell>
          <cell r="O282">
            <v>0</v>
          </cell>
          <cell r="P282">
            <v>21</v>
          </cell>
          <cell r="Q282">
            <v>31</v>
          </cell>
          <cell r="R282">
            <v>3</v>
          </cell>
          <cell r="S282">
            <v>22</v>
          </cell>
          <cell r="T282">
            <v>131</v>
          </cell>
          <cell r="U282">
            <v>15</v>
          </cell>
          <cell r="V282">
            <v>39</v>
          </cell>
          <cell r="W282">
            <v>0</v>
          </cell>
          <cell r="X282">
            <v>21</v>
          </cell>
          <cell r="Y282">
            <v>31</v>
          </cell>
          <cell r="Z282">
            <v>3</v>
          </cell>
          <cell r="AA282">
            <v>0</v>
          </cell>
          <cell r="AB282">
            <v>109</v>
          </cell>
          <cell r="AC282">
            <v>1</v>
          </cell>
          <cell r="AD282" t="str">
            <v>TIDAK</v>
          </cell>
          <cell r="AE282" t="str">
            <v>TIDAK</v>
          </cell>
          <cell r="AF282">
            <v>109</v>
          </cell>
          <cell r="AG282">
            <v>2</v>
          </cell>
          <cell r="AH282" t="str">
            <v>SAPHIRE</v>
          </cell>
          <cell r="AI282">
            <v>0</v>
          </cell>
          <cell r="AJ282" t="str">
            <v>Y</v>
          </cell>
          <cell r="AK282">
            <v>0</v>
          </cell>
          <cell r="AL282">
            <v>45261</v>
          </cell>
          <cell r="AM282">
            <v>45701</v>
          </cell>
          <cell r="AN282">
            <v>1</v>
          </cell>
          <cell r="AO282">
            <v>109</v>
          </cell>
          <cell r="AP282" t="str">
            <v>EKSKLUSIF</v>
          </cell>
          <cell r="AQ282" t="str">
            <v>-</v>
          </cell>
          <cell r="AR282" t="str">
            <v>EKSKLUSIF</v>
          </cell>
          <cell r="AS282" t="str">
            <v>EKSKLUSIF</v>
          </cell>
          <cell r="AT282" t="str">
            <v>EKSKLUSIF</v>
          </cell>
          <cell r="AU282" t="str">
            <v>EKSKLUSIF</v>
          </cell>
          <cell r="AV282" t="str">
            <v/>
          </cell>
          <cell r="AW282">
            <v>47</v>
          </cell>
          <cell r="AX282">
            <v>47</v>
          </cell>
          <cell r="AY282">
            <v>43</v>
          </cell>
          <cell r="AZ282">
            <v>47</v>
          </cell>
          <cell r="BA282">
            <v>44</v>
          </cell>
          <cell r="BB282">
            <v>47</v>
          </cell>
          <cell r="BC282">
            <v>47</v>
          </cell>
          <cell r="BD282">
            <v>43</v>
          </cell>
          <cell r="BE282">
            <v>47</v>
          </cell>
          <cell r="BF282">
            <v>44</v>
          </cell>
          <cell r="BG282">
            <v>20</v>
          </cell>
          <cell r="BH282">
            <v>47</v>
          </cell>
          <cell r="BI282">
            <v>47</v>
          </cell>
          <cell r="BJ282">
            <v>43</v>
          </cell>
          <cell r="BK282">
            <v>47</v>
          </cell>
          <cell r="BL282">
            <v>44</v>
          </cell>
          <cell r="BM282">
            <v>21</v>
          </cell>
          <cell r="BN282">
            <v>269</v>
          </cell>
          <cell r="BO282">
            <v>0</v>
          </cell>
          <cell r="BP282">
            <v>47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21</v>
          </cell>
          <cell r="BV282">
            <v>68</v>
          </cell>
          <cell r="BW282">
            <v>0</v>
          </cell>
          <cell r="BX282" t="str">
            <v>TIDAK</v>
          </cell>
          <cell r="BY282" t="str">
            <v>TIDAK</v>
          </cell>
        </row>
        <row r="283">
          <cell r="A283" t="str">
            <v>A1651</v>
          </cell>
          <cell r="B283" t="str">
            <v>Nur Romadani Fitriana</v>
          </cell>
          <cell r="C283" t="str">
            <v>DELTA</v>
          </cell>
          <cell r="D283">
            <v>44992</v>
          </cell>
          <cell r="E283" t="str">
            <v>Mar-23</v>
          </cell>
          <cell r="F283" t="str">
            <v>REGULER</v>
          </cell>
          <cell r="G283" t="str">
            <v>EKSKLUSIF</v>
          </cell>
          <cell r="H283" t="str">
            <v>EKSKLUSIF</v>
          </cell>
          <cell r="I283" t="str">
            <v>EKSKLUSIF</v>
          </cell>
          <cell r="J283" t="str">
            <v>EKSKLUSIF</v>
          </cell>
          <cell r="K283" t="str">
            <v>EKSKLUSIF</v>
          </cell>
          <cell r="L283" t="str">
            <v>EKSKLUSIF</v>
          </cell>
          <cell r="M283">
            <v>22</v>
          </cell>
          <cell r="N283">
            <v>45</v>
          </cell>
          <cell r="O283">
            <v>40</v>
          </cell>
          <cell r="P283">
            <v>40</v>
          </cell>
          <cell r="Q283">
            <v>37</v>
          </cell>
          <cell r="R283">
            <v>41</v>
          </cell>
          <cell r="S283">
            <v>20</v>
          </cell>
          <cell r="T283">
            <v>245</v>
          </cell>
          <cell r="U283">
            <v>22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22</v>
          </cell>
          <cell r="AC283">
            <v>0</v>
          </cell>
          <cell r="AD283" t="str">
            <v>TIDAK</v>
          </cell>
          <cell r="AE283" t="str">
            <v>TIDAK</v>
          </cell>
          <cell r="AF283">
            <v>22</v>
          </cell>
          <cell r="AG283">
            <v>2</v>
          </cell>
          <cell r="AH283" t="str">
            <v>SAPHIRE</v>
          </cell>
          <cell r="AI283">
            <v>0</v>
          </cell>
          <cell r="AJ283" t="str">
            <v>FALSE</v>
          </cell>
          <cell r="AK283">
            <v>0</v>
          </cell>
          <cell r="AL283">
            <v>45261</v>
          </cell>
          <cell r="AM283">
            <v>45701</v>
          </cell>
          <cell r="AN283">
            <v>1</v>
          </cell>
          <cell r="AO283">
            <v>22</v>
          </cell>
          <cell r="AP283" t="str">
            <v>EKSKLUSIF</v>
          </cell>
          <cell r="AQ283" t="str">
            <v>-</v>
          </cell>
          <cell r="AR283" t="str">
            <v>EKSKLUSIF</v>
          </cell>
          <cell r="AS283" t="str">
            <v>REGULER</v>
          </cell>
          <cell r="AT283" t="str">
            <v>REGULER</v>
          </cell>
          <cell r="AU283" t="str">
            <v>EKSKLUSIF</v>
          </cell>
          <cell r="AV283" t="str">
            <v/>
          </cell>
          <cell r="AW283">
            <v>36</v>
          </cell>
          <cell r="AX283">
            <v>43</v>
          </cell>
          <cell r="AY283">
            <v>30</v>
          </cell>
          <cell r="AZ283">
            <v>34</v>
          </cell>
          <cell r="BA283">
            <v>43</v>
          </cell>
          <cell r="BB283">
            <v>36</v>
          </cell>
          <cell r="BC283">
            <v>43</v>
          </cell>
          <cell r="BD283">
            <v>30</v>
          </cell>
          <cell r="BE283">
            <v>34</v>
          </cell>
          <cell r="BF283">
            <v>43</v>
          </cell>
          <cell r="BG283">
            <v>20</v>
          </cell>
          <cell r="BH283">
            <v>36</v>
          </cell>
          <cell r="BI283">
            <v>43</v>
          </cell>
          <cell r="BJ283">
            <v>30</v>
          </cell>
          <cell r="BK283">
            <v>34</v>
          </cell>
          <cell r="BL283">
            <v>43</v>
          </cell>
          <cell r="BM283">
            <v>20</v>
          </cell>
          <cell r="BN283">
            <v>226</v>
          </cell>
          <cell r="BO283">
            <v>0</v>
          </cell>
          <cell r="BP283">
            <v>36</v>
          </cell>
          <cell r="BQ283">
            <v>0</v>
          </cell>
          <cell r="BR283">
            <v>30</v>
          </cell>
          <cell r="BS283">
            <v>34</v>
          </cell>
          <cell r="BT283">
            <v>0</v>
          </cell>
          <cell r="BU283">
            <v>20</v>
          </cell>
          <cell r="BV283">
            <v>120</v>
          </cell>
          <cell r="BW283">
            <v>0</v>
          </cell>
          <cell r="BX283" t="str">
            <v>TIDAK</v>
          </cell>
          <cell r="BY283" t="str">
            <v>TIDAK</v>
          </cell>
        </row>
        <row r="284">
          <cell r="A284" t="str">
            <v>A1360</v>
          </cell>
          <cell r="B284" t="str">
            <v>Nurputranto Laksono</v>
          </cell>
          <cell r="C284" t="str">
            <v>DELTA</v>
          </cell>
          <cell r="D284">
            <v>44961</v>
          </cell>
          <cell r="E284" t="str">
            <v>Feb-23</v>
          </cell>
          <cell r="F284" t="str">
            <v>REGULER</v>
          </cell>
          <cell r="G284" t="str">
            <v>REGULER</v>
          </cell>
          <cell r="H284" t="str">
            <v>REGULER</v>
          </cell>
          <cell r="I284" t="str">
            <v>REGULER</v>
          </cell>
          <cell r="J284" t="str">
            <v>REGULER</v>
          </cell>
          <cell r="K284" t="str">
            <v>REGULER</v>
          </cell>
          <cell r="L284" t="str">
            <v>REGULER</v>
          </cell>
          <cell r="M284">
            <v>16</v>
          </cell>
          <cell r="N284">
            <v>29</v>
          </cell>
          <cell r="O284">
            <v>35</v>
          </cell>
          <cell r="P284">
            <v>28</v>
          </cell>
          <cell r="Q284">
            <v>36</v>
          </cell>
          <cell r="R284">
            <v>36</v>
          </cell>
          <cell r="S284">
            <v>21</v>
          </cell>
          <cell r="T284">
            <v>201</v>
          </cell>
          <cell r="U284">
            <v>16</v>
          </cell>
          <cell r="V284">
            <v>29</v>
          </cell>
          <cell r="W284">
            <v>35</v>
          </cell>
          <cell r="X284">
            <v>28</v>
          </cell>
          <cell r="Y284">
            <v>36</v>
          </cell>
          <cell r="Z284">
            <v>36</v>
          </cell>
          <cell r="AA284">
            <v>21</v>
          </cell>
          <cell r="AB284">
            <v>201</v>
          </cell>
          <cell r="AC284">
            <v>0</v>
          </cell>
          <cell r="AD284" t="str">
            <v>TIDAK</v>
          </cell>
          <cell r="AE284" t="str">
            <v>TIDAK</v>
          </cell>
          <cell r="AF284">
            <v>201</v>
          </cell>
          <cell r="AG284">
            <v>2</v>
          </cell>
          <cell r="AH284" t="str">
            <v>SAPHIRE</v>
          </cell>
          <cell r="AI284">
            <v>0</v>
          </cell>
          <cell r="AJ284" t="str">
            <v>Y</v>
          </cell>
          <cell r="AK284">
            <v>0</v>
          </cell>
          <cell r="AL284">
            <v>45261</v>
          </cell>
          <cell r="AM284">
            <v>45701</v>
          </cell>
          <cell r="AN284">
            <v>1</v>
          </cell>
          <cell r="AO284">
            <v>201</v>
          </cell>
          <cell r="AP284" t="str">
            <v>-</v>
          </cell>
          <cell r="AQ284" t="str">
            <v>-</v>
          </cell>
          <cell r="AR284" t="str">
            <v>REGULER</v>
          </cell>
          <cell r="AS284" t="str">
            <v>-</v>
          </cell>
          <cell r="AT284" t="str">
            <v>REGULER</v>
          </cell>
          <cell r="AU284" t="str">
            <v>REGULER</v>
          </cell>
          <cell r="AV284" t="str">
            <v/>
          </cell>
          <cell r="AW284">
            <v>20</v>
          </cell>
          <cell r="AX284">
            <v>11</v>
          </cell>
          <cell r="AY284">
            <v>0</v>
          </cell>
          <cell r="AZ284">
            <v>17</v>
          </cell>
          <cell r="BA284">
            <v>34</v>
          </cell>
          <cell r="BB284">
            <v>20</v>
          </cell>
          <cell r="BC284">
            <v>11</v>
          </cell>
          <cell r="BD284">
            <v>0</v>
          </cell>
          <cell r="BE284">
            <v>17</v>
          </cell>
          <cell r="BF284">
            <v>34</v>
          </cell>
          <cell r="BG284">
            <v>17</v>
          </cell>
          <cell r="BH284">
            <v>20</v>
          </cell>
          <cell r="BI284">
            <v>11</v>
          </cell>
          <cell r="BJ284">
            <v>0</v>
          </cell>
          <cell r="BK284">
            <v>17</v>
          </cell>
          <cell r="BL284">
            <v>34</v>
          </cell>
          <cell r="BM284">
            <v>21</v>
          </cell>
          <cell r="BN284">
            <v>120</v>
          </cell>
          <cell r="BO284">
            <v>17</v>
          </cell>
          <cell r="BP284">
            <v>20</v>
          </cell>
          <cell r="BQ284">
            <v>11</v>
          </cell>
          <cell r="BR284">
            <v>0</v>
          </cell>
          <cell r="BS284">
            <v>17</v>
          </cell>
          <cell r="BT284">
            <v>34</v>
          </cell>
          <cell r="BU284">
            <v>21</v>
          </cell>
          <cell r="BV284">
            <v>120</v>
          </cell>
          <cell r="BW284">
            <v>1</v>
          </cell>
          <cell r="BX284" t="str">
            <v>TIDAK</v>
          </cell>
          <cell r="BY284" t="str">
            <v>TIDAK</v>
          </cell>
        </row>
        <row r="285">
          <cell r="A285" t="str">
            <v>A2885</v>
          </cell>
          <cell r="B285" t="str">
            <v>Nurul Wahyuning Tyas</v>
          </cell>
          <cell r="C285" t="str">
            <v>DELTA</v>
          </cell>
          <cell r="D285">
            <v>45201</v>
          </cell>
          <cell r="E285" t="str">
            <v>Oct-23</v>
          </cell>
          <cell r="F285" t="str">
            <v>REGULER</v>
          </cell>
          <cell r="G285" t="str">
            <v>REGULER</v>
          </cell>
          <cell r="H285" t="str">
            <v>REGULER</v>
          </cell>
          <cell r="I285" t="str">
            <v>REGULER</v>
          </cell>
          <cell r="J285" t="str">
            <v>-</v>
          </cell>
          <cell r="K285" t="str">
            <v>-</v>
          </cell>
          <cell r="L285" t="str">
            <v>-</v>
          </cell>
          <cell r="M285">
            <v>0</v>
          </cell>
          <cell r="N285">
            <v>3</v>
          </cell>
          <cell r="O285">
            <v>1</v>
          </cell>
          <cell r="P285">
            <v>1</v>
          </cell>
          <cell r="Q285">
            <v>0</v>
          </cell>
          <cell r="R285">
            <v>0</v>
          </cell>
          <cell r="S285" t="str">
            <v/>
          </cell>
          <cell r="T285">
            <v>5</v>
          </cell>
          <cell r="U285">
            <v>0</v>
          </cell>
          <cell r="V285">
            <v>3</v>
          </cell>
          <cell r="W285">
            <v>1</v>
          </cell>
          <cell r="X285">
            <v>1</v>
          </cell>
          <cell r="Y285">
            <v>0</v>
          </cell>
          <cell r="Z285">
            <v>0</v>
          </cell>
          <cell r="AA285" t="str">
            <v/>
          </cell>
          <cell r="AB285">
            <v>5</v>
          </cell>
          <cell r="AC285">
            <v>4</v>
          </cell>
          <cell r="AD285" t="str">
            <v>DOWNGRADE</v>
          </cell>
          <cell r="AE285" t="str">
            <v>RESET</v>
          </cell>
          <cell r="AF285">
            <v>0</v>
          </cell>
          <cell r="AG285">
            <v>0</v>
          </cell>
          <cell r="AH285" t="str">
            <v>SAPHIRE</v>
          </cell>
          <cell r="AI285">
            <v>0</v>
          </cell>
          <cell r="AJ285" t="str">
            <v>FALSE</v>
          </cell>
          <cell r="AK285">
            <v>0</v>
          </cell>
          <cell r="AL285">
            <v>45261</v>
          </cell>
          <cell r="AM285">
            <v>45701</v>
          </cell>
          <cell r="AN285">
            <v>1</v>
          </cell>
          <cell r="AO285">
            <v>0</v>
          </cell>
          <cell r="AP285" t="str">
            <v>-</v>
          </cell>
          <cell r="AQ285" t="str">
            <v>-</v>
          </cell>
          <cell r="AR285" t="str">
            <v>-</v>
          </cell>
          <cell r="AS285" t="str">
            <v>-</v>
          </cell>
          <cell r="AT285" t="str">
            <v>-</v>
          </cell>
          <cell r="AU285" t="str">
            <v>-</v>
          </cell>
          <cell r="AV285" t="str">
            <v/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 t="str">
            <v/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 t="str">
            <v/>
          </cell>
          <cell r="BN285">
            <v>0</v>
          </cell>
          <cell r="BO285" t="str">
            <v/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 t="str">
            <v/>
          </cell>
          <cell r="BV285">
            <v>0</v>
          </cell>
          <cell r="BW285">
            <v>7</v>
          </cell>
          <cell r="BX285" t="str">
            <v>DOWNGRADE</v>
          </cell>
          <cell r="BY285" t="str">
            <v>RESET</v>
          </cell>
        </row>
        <row r="286">
          <cell r="A286" t="str">
            <v>A3172</v>
          </cell>
          <cell r="B286" t="str">
            <v>Nuryani Nuryani</v>
          </cell>
          <cell r="C286" t="str">
            <v>DELTA</v>
          </cell>
          <cell r="D286">
            <v>45223</v>
          </cell>
          <cell r="E286" t="str">
            <v>Oct-23</v>
          </cell>
          <cell r="F286" t="str">
            <v>REGULER</v>
          </cell>
          <cell r="G286" t="str">
            <v>REGULER</v>
          </cell>
          <cell r="H286" t="str">
            <v>REGULER</v>
          </cell>
          <cell r="I286" t="str">
            <v>REGULER</v>
          </cell>
          <cell r="J286" t="str">
            <v>REGULER</v>
          </cell>
          <cell r="K286" t="str">
            <v>REGULER</v>
          </cell>
          <cell r="L286" t="str">
            <v>EKSKLUSIF</v>
          </cell>
          <cell r="M286">
            <v>19</v>
          </cell>
          <cell r="N286">
            <v>15</v>
          </cell>
          <cell r="O286">
            <v>30</v>
          </cell>
          <cell r="P286">
            <v>36</v>
          </cell>
          <cell r="Q286">
            <v>30</v>
          </cell>
          <cell r="R286">
            <v>1</v>
          </cell>
          <cell r="S286">
            <v>22</v>
          </cell>
          <cell r="T286">
            <v>153</v>
          </cell>
          <cell r="U286">
            <v>19</v>
          </cell>
          <cell r="V286">
            <v>15</v>
          </cell>
          <cell r="W286">
            <v>30</v>
          </cell>
          <cell r="X286">
            <v>36</v>
          </cell>
          <cell r="Y286">
            <v>30</v>
          </cell>
          <cell r="Z286">
            <v>1</v>
          </cell>
          <cell r="AA286">
            <v>0</v>
          </cell>
          <cell r="AB286">
            <v>131</v>
          </cell>
          <cell r="AC286">
            <v>0</v>
          </cell>
          <cell r="AD286" t="str">
            <v>TIDAK</v>
          </cell>
          <cell r="AE286" t="str">
            <v>TIDAK</v>
          </cell>
          <cell r="AF286">
            <v>131</v>
          </cell>
          <cell r="AG286">
            <v>2</v>
          </cell>
          <cell r="AH286" t="str">
            <v>SAPHIRE</v>
          </cell>
          <cell r="AI286">
            <v>0</v>
          </cell>
          <cell r="AJ286" t="str">
            <v>Y</v>
          </cell>
          <cell r="AK286">
            <v>0</v>
          </cell>
          <cell r="AL286">
            <v>45261</v>
          </cell>
          <cell r="AM286">
            <v>45701</v>
          </cell>
          <cell r="AN286">
            <v>1</v>
          </cell>
          <cell r="AO286">
            <v>131</v>
          </cell>
          <cell r="AP286" t="str">
            <v>EKSKLUSIF</v>
          </cell>
          <cell r="AQ286" t="str">
            <v>-</v>
          </cell>
          <cell r="AR286" t="str">
            <v>EKSKLUSIF</v>
          </cell>
          <cell r="AS286" t="str">
            <v>EKSKLUSIF</v>
          </cell>
          <cell r="AT286" t="str">
            <v>EKSKLUSIF</v>
          </cell>
          <cell r="AU286" t="str">
            <v>EKSKLUSIF</v>
          </cell>
          <cell r="AV286" t="str">
            <v/>
          </cell>
          <cell r="AW286">
            <v>46</v>
          </cell>
          <cell r="AX286">
            <v>48</v>
          </cell>
          <cell r="AY286">
            <v>42</v>
          </cell>
          <cell r="AZ286">
            <v>49</v>
          </cell>
          <cell r="BA286">
            <v>44</v>
          </cell>
          <cell r="BB286">
            <v>46</v>
          </cell>
          <cell r="BC286">
            <v>48</v>
          </cell>
          <cell r="BD286">
            <v>42</v>
          </cell>
          <cell r="BE286">
            <v>49</v>
          </cell>
          <cell r="BF286">
            <v>44</v>
          </cell>
          <cell r="BG286">
            <v>19</v>
          </cell>
          <cell r="BH286">
            <v>46</v>
          </cell>
          <cell r="BI286">
            <v>48</v>
          </cell>
          <cell r="BJ286">
            <v>42</v>
          </cell>
          <cell r="BK286">
            <v>49</v>
          </cell>
          <cell r="BL286">
            <v>44</v>
          </cell>
          <cell r="BM286">
            <v>22</v>
          </cell>
          <cell r="BN286">
            <v>270</v>
          </cell>
          <cell r="BO286">
            <v>0</v>
          </cell>
          <cell r="BP286">
            <v>46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22</v>
          </cell>
          <cell r="BV286">
            <v>68</v>
          </cell>
          <cell r="BW286">
            <v>0</v>
          </cell>
          <cell r="BX286" t="str">
            <v>TIDAK</v>
          </cell>
          <cell r="BY286" t="str">
            <v>TIDAK</v>
          </cell>
        </row>
        <row r="287">
          <cell r="A287" t="str">
            <v>A1118</v>
          </cell>
          <cell r="B287" t="str">
            <v>Oksa Andriardina</v>
          </cell>
          <cell r="C287" t="str">
            <v>DELTA</v>
          </cell>
          <cell r="D287">
            <v>44933</v>
          </cell>
          <cell r="E287" t="str">
            <v>Jan-23</v>
          </cell>
          <cell r="F287" t="str">
            <v>REGULER</v>
          </cell>
          <cell r="G287" t="str">
            <v>EKSKLUSIF</v>
          </cell>
          <cell r="H287" t="str">
            <v>EKSKLUSIF</v>
          </cell>
          <cell r="I287" t="str">
            <v>EKSKLUSIF</v>
          </cell>
          <cell r="J287" t="str">
            <v>EKSKLUSIF</v>
          </cell>
          <cell r="K287" t="str">
            <v>EKSKLUSIF</v>
          </cell>
          <cell r="L287" t="str">
            <v>EKSKLUSIF</v>
          </cell>
          <cell r="M287">
            <v>15</v>
          </cell>
          <cell r="N287">
            <v>45</v>
          </cell>
          <cell r="O287">
            <v>41</v>
          </cell>
          <cell r="P287">
            <v>42</v>
          </cell>
          <cell r="Q287">
            <v>37</v>
          </cell>
          <cell r="R287">
            <v>41</v>
          </cell>
          <cell r="S287">
            <v>21</v>
          </cell>
          <cell r="T287">
            <v>242</v>
          </cell>
          <cell r="U287">
            <v>15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15</v>
          </cell>
          <cell r="AC287">
            <v>0</v>
          </cell>
          <cell r="AD287" t="str">
            <v>TIDAK</v>
          </cell>
          <cell r="AE287" t="str">
            <v>TIDAK</v>
          </cell>
          <cell r="AF287">
            <v>15</v>
          </cell>
          <cell r="AG287">
            <v>2</v>
          </cell>
          <cell r="AH287" t="str">
            <v>SAPHIRE</v>
          </cell>
          <cell r="AI287">
            <v>0</v>
          </cell>
          <cell r="AJ287" t="str">
            <v>FALSE</v>
          </cell>
          <cell r="AK287">
            <v>0</v>
          </cell>
          <cell r="AL287">
            <v>45261</v>
          </cell>
          <cell r="AM287">
            <v>45701</v>
          </cell>
          <cell r="AN287">
            <v>1</v>
          </cell>
          <cell r="AO287">
            <v>15</v>
          </cell>
          <cell r="AP287" t="str">
            <v>-</v>
          </cell>
          <cell r="AQ287" t="str">
            <v>-</v>
          </cell>
          <cell r="AR287" t="str">
            <v>EKSKLUSIF</v>
          </cell>
          <cell r="AS287" t="str">
            <v>EKSKLUSIF</v>
          </cell>
          <cell r="AT287" t="str">
            <v>REGULER</v>
          </cell>
          <cell r="AU287" t="str">
            <v>REGULER</v>
          </cell>
          <cell r="AV287" t="str">
            <v/>
          </cell>
          <cell r="AW287">
            <v>47</v>
          </cell>
          <cell r="AX287">
            <v>45</v>
          </cell>
          <cell r="AY287">
            <v>41</v>
          </cell>
          <cell r="AZ287">
            <v>31</v>
          </cell>
          <cell r="BA287">
            <v>17</v>
          </cell>
          <cell r="BB287">
            <v>47</v>
          </cell>
          <cell r="BC287">
            <v>45</v>
          </cell>
          <cell r="BD287">
            <v>41</v>
          </cell>
          <cell r="BE287">
            <v>31</v>
          </cell>
          <cell r="BF287">
            <v>17</v>
          </cell>
          <cell r="BG287">
            <v>19</v>
          </cell>
          <cell r="BH287">
            <v>47</v>
          </cell>
          <cell r="BI287">
            <v>45</v>
          </cell>
          <cell r="BJ287">
            <v>41</v>
          </cell>
          <cell r="BK287">
            <v>31</v>
          </cell>
          <cell r="BL287">
            <v>17</v>
          </cell>
          <cell r="BM287">
            <v>20</v>
          </cell>
          <cell r="BN287">
            <v>220</v>
          </cell>
          <cell r="BO287">
            <v>19</v>
          </cell>
          <cell r="BP287">
            <v>47</v>
          </cell>
          <cell r="BQ287">
            <v>0</v>
          </cell>
          <cell r="BR287">
            <v>0</v>
          </cell>
          <cell r="BS287">
            <v>31</v>
          </cell>
          <cell r="BT287">
            <v>17</v>
          </cell>
          <cell r="BU287">
            <v>20</v>
          </cell>
          <cell r="BV287">
            <v>134</v>
          </cell>
          <cell r="BW287">
            <v>0</v>
          </cell>
          <cell r="BX287" t="str">
            <v>TIDAK</v>
          </cell>
          <cell r="BY287" t="str">
            <v>TIDAK</v>
          </cell>
        </row>
        <row r="288">
          <cell r="A288" t="str">
            <v>A3296</v>
          </cell>
          <cell r="B288" t="str">
            <v>Olivia Arum Wardani</v>
          </cell>
          <cell r="C288" t="str">
            <v>DELTA</v>
          </cell>
          <cell r="D288">
            <v>45258</v>
          </cell>
          <cell r="E288" t="str">
            <v>Nov-23</v>
          </cell>
          <cell r="F288" t="str">
            <v>REGULER</v>
          </cell>
          <cell r="G288" t="str">
            <v>REGULER</v>
          </cell>
          <cell r="H288" t="str">
            <v>-</v>
          </cell>
          <cell r="I288" t="str">
            <v>-</v>
          </cell>
          <cell r="J288" t="str">
            <v>-</v>
          </cell>
          <cell r="K288" t="str">
            <v>-</v>
          </cell>
          <cell r="L288" t="str">
            <v>-</v>
          </cell>
          <cell r="M288">
            <v>19</v>
          </cell>
          <cell r="N288">
            <v>5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 t="str">
            <v/>
          </cell>
          <cell r="T288">
            <v>24</v>
          </cell>
          <cell r="U288">
            <v>19</v>
          </cell>
          <cell r="V288">
            <v>5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 t="str">
            <v/>
          </cell>
          <cell r="AB288">
            <v>24</v>
          </cell>
          <cell r="AC288">
            <v>5</v>
          </cell>
          <cell r="AD288" t="str">
            <v>DOWNGRADE</v>
          </cell>
          <cell r="AE288" t="str">
            <v>RESET</v>
          </cell>
          <cell r="AF288">
            <v>0</v>
          </cell>
          <cell r="AG288">
            <v>2</v>
          </cell>
          <cell r="AH288" t="str">
            <v>SAPHIRE</v>
          </cell>
          <cell r="AI288">
            <v>0</v>
          </cell>
          <cell r="AJ288" t="str">
            <v>FALSE</v>
          </cell>
          <cell r="AK288">
            <v>0</v>
          </cell>
          <cell r="AL288">
            <v>45261</v>
          </cell>
          <cell r="AM288">
            <v>45701</v>
          </cell>
          <cell r="AN288">
            <v>1</v>
          </cell>
          <cell r="AO288">
            <v>0</v>
          </cell>
          <cell r="AP288" t="str">
            <v>-</v>
          </cell>
          <cell r="AQ288" t="str">
            <v>-</v>
          </cell>
          <cell r="AR288" t="str">
            <v>-</v>
          </cell>
          <cell r="AS288" t="str">
            <v>-</v>
          </cell>
          <cell r="AT288" t="str">
            <v>-</v>
          </cell>
          <cell r="AU288" t="str">
            <v>-</v>
          </cell>
          <cell r="AV288" t="str">
            <v/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 t="str">
            <v/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 t="str">
            <v/>
          </cell>
          <cell r="BN288">
            <v>0</v>
          </cell>
          <cell r="BO288" t="str">
            <v/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 t="str">
            <v/>
          </cell>
          <cell r="BV288">
            <v>0</v>
          </cell>
          <cell r="BW288">
            <v>7</v>
          </cell>
          <cell r="BX288" t="str">
            <v>DOWNGRADE</v>
          </cell>
          <cell r="BY288" t="str">
            <v>RESET</v>
          </cell>
        </row>
        <row r="289">
          <cell r="A289">
            <v>92585</v>
          </cell>
          <cell r="B289" t="str">
            <v>Olyviara Prasetyo Andini</v>
          </cell>
          <cell r="C289" t="str">
            <v>DELTA</v>
          </cell>
          <cell r="D289" t="str">
            <v>Juli 2022</v>
          </cell>
          <cell r="E289" t="str">
            <v>Juli 2022</v>
          </cell>
          <cell r="F289" t="str">
            <v>EKSKLUSIF</v>
          </cell>
          <cell r="G289" t="str">
            <v>REGULER</v>
          </cell>
          <cell r="H289" t="str">
            <v>-</v>
          </cell>
          <cell r="I289" t="str">
            <v>-</v>
          </cell>
          <cell r="J289" t="str">
            <v>-</v>
          </cell>
          <cell r="K289" t="str">
            <v>-</v>
          </cell>
          <cell r="L289" t="str">
            <v>-</v>
          </cell>
          <cell r="M289">
            <v>22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 t="str">
            <v/>
          </cell>
          <cell r="T289">
            <v>22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 t="str">
            <v/>
          </cell>
          <cell r="AB289">
            <v>0</v>
          </cell>
          <cell r="AC289">
            <v>6</v>
          </cell>
          <cell r="AD289" t="str">
            <v>DOWNGRADE</v>
          </cell>
          <cell r="AE289" t="str">
            <v>RESET</v>
          </cell>
          <cell r="AF289">
            <v>0</v>
          </cell>
          <cell r="AG289">
            <v>2</v>
          </cell>
          <cell r="AH289" t="str">
            <v>SAPHIRE</v>
          </cell>
          <cell r="AI289">
            <v>0</v>
          </cell>
          <cell r="AJ289" t="str">
            <v>FALSE</v>
          </cell>
          <cell r="AK289">
            <v>0</v>
          </cell>
          <cell r="AL289">
            <v>45261</v>
          </cell>
          <cell r="AM289">
            <v>45701</v>
          </cell>
          <cell r="AN289">
            <v>1</v>
          </cell>
          <cell r="AO289">
            <v>0</v>
          </cell>
          <cell r="AP289" t="str">
            <v>-</v>
          </cell>
          <cell r="AQ289" t="str">
            <v>-</v>
          </cell>
          <cell r="AR289" t="str">
            <v>-</v>
          </cell>
          <cell r="AS289" t="str">
            <v>-</v>
          </cell>
          <cell r="AT289" t="str">
            <v>-</v>
          </cell>
          <cell r="AU289" t="str">
            <v>-</v>
          </cell>
          <cell r="AV289" t="str">
            <v/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 t="str">
            <v/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 t="str">
            <v/>
          </cell>
          <cell r="BN289">
            <v>0</v>
          </cell>
          <cell r="BO289" t="str">
            <v/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 t="str">
            <v/>
          </cell>
          <cell r="BV289">
            <v>0</v>
          </cell>
          <cell r="BW289">
            <v>7</v>
          </cell>
          <cell r="BX289" t="str">
            <v>DOWNGRADE</v>
          </cell>
          <cell r="BY289" t="str">
            <v>RESET</v>
          </cell>
        </row>
        <row r="290">
          <cell r="A290" t="str">
            <v>A1280</v>
          </cell>
          <cell r="B290" t="str">
            <v>Paskha Aprilianingsih Aprilianingsih</v>
          </cell>
          <cell r="C290" t="str">
            <v>DELTA</v>
          </cell>
          <cell r="D290">
            <v>44967</v>
          </cell>
          <cell r="E290" t="str">
            <v>Feb-23</v>
          </cell>
          <cell r="F290" t="str">
            <v>EKSKLUSIF</v>
          </cell>
          <cell r="G290" t="str">
            <v>EKSKLUSIF</v>
          </cell>
          <cell r="H290" t="str">
            <v>EKSKLUSIF</v>
          </cell>
          <cell r="I290" t="str">
            <v>EKSKLUSIF</v>
          </cell>
          <cell r="J290" t="str">
            <v>EKSKLUSIF</v>
          </cell>
          <cell r="K290" t="str">
            <v>EKSKLUSIF</v>
          </cell>
          <cell r="L290" t="str">
            <v>EKSKLUSIF</v>
          </cell>
          <cell r="M290">
            <v>21</v>
          </cell>
          <cell r="N290">
            <v>47</v>
          </cell>
          <cell r="O290">
            <v>40</v>
          </cell>
          <cell r="P290">
            <v>42</v>
          </cell>
          <cell r="Q290">
            <v>38</v>
          </cell>
          <cell r="R290">
            <v>43</v>
          </cell>
          <cell r="S290">
            <v>21</v>
          </cell>
          <cell r="T290">
            <v>252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 t="str">
            <v>TIDAK</v>
          </cell>
          <cell r="AE290" t="str">
            <v>TIDAK</v>
          </cell>
          <cell r="AF290">
            <v>0</v>
          </cell>
          <cell r="AG290">
            <v>2</v>
          </cell>
          <cell r="AH290" t="str">
            <v>SAPHIRE</v>
          </cell>
          <cell r="AI290">
            <v>0</v>
          </cell>
          <cell r="AJ290" t="str">
            <v>FALSE</v>
          </cell>
          <cell r="AK290">
            <v>0</v>
          </cell>
          <cell r="AL290">
            <v>45261</v>
          </cell>
          <cell r="AM290">
            <v>45701</v>
          </cell>
          <cell r="AN290">
            <v>1</v>
          </cell>
          <cell r="AO290">
            <v>0</v>
          </cell>
          <cell r="AP290" t="str">
            <v>-</v>
          </cell>
          <cell r="AQ290" t="str">
            <v>-</v>
          </cell>
          <cell r="AR290" t="str">
            <v>EKSKLUSIF</v>
          </cell>
          <cell r="AS290" t="str">
            <v>EKSKLUSIF</v>
          </cell>
          <cell r="AT290" t="str">
            <v>EKSKLUSIF</v>
          </cell>
          <cell r="AU290" t="str">
            <v>EKSKLUSIF</v>
          </cell>
          <cell r="AV290" t="str">
            <v/>
          </cell>
          <cell r="AW290">
            <v>50</v>
          </cell>
          <cell r="AX290">
            <v>49</v>
          </cell>
          <cell r="AY290">
            <v>43</v>
          </cell>
          <cell r="AZ290">
            <v>49</v>
          </cell>
          <cell r="BA290">
            <v>46</v>
          </cell>
          <cell r="BB290">
            <v>50</v>
          </cell>
          <cell r="BC290">
            <v>49</v>
          </cell>
          <cell r="BD290">
            <v>43</v>
          </cell>
          <cell r="BE290">
            <v>49</v>
          </cell>
          <cell r="BF290">
            <v>46</v>
          </cell>
          <cell r="BG290">
            <v>20</v>
          </cell>
          <cell r="BH290">
            <v>50</v>
          </cell>
          <cell r="BI290">
            <v>49</v>
          </cell>
          <cell r="BJ290">
            <v>43</v>
          </cell>
          <cell r="BK290">
            <v>49</v>
          </cell>
          <cell r="BL290">
            <v>46</v>
          </cell>
          <cell r="BM290">
            <v>22</v>
          </cell>
          <cell r="BN290">
            <v>279</v>
          </cell>
          <cell r="BO290">
            <v>20</v>
          </cell>
          <cell r="BP290">
            <v>50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22</v>
          </cell>
          <cell r="BV290">
            <v>92</v>
          </cell>
          <cell r="BW290">
            <v>0</v>
          </cell>
          <cell r="BX290" t="str">
            <v>TIDAK</v>
          </cell>
          <cell r="BY290" t="str">
            <v>TIDAK</v>
          </cell>
        </row>
        <row r="291">
          <cell r="A291" t="str">
            <v>A3403</v>
          </cell>
          <cell r="B291" t="str">
            <v>Pinkan Ndaru Dewantari</v>
          </cell>
          <cell r="C291" t="str">
            <v>DELTA</v>
          </cell>
          <cell r="D291">
            <v>45281</v>
          </cell>
          <cell r="E291" t="str">
            <v>Dec-23</v>
          </cell>
          <cell r="F291" t="str">
            <v>REGULER</v>
          </cell>
          <cell r="G291" t="str">
            <v>REGULER</v>
          </cell>
          <cell r="H291" t="str">
            <v>REGULER</v>
          </cell>
          <cell r="I291" t="str">
            <v>REGULER</v>
          </cell>
          <cell r="J291" t="str">
            <v>REGULER</v>
          </cell>
          <cell r="K291" t="str">
            <v>REGULER</v>
          </cell>
          <cell r="L291" t="str">
            <v>REGULER</v>
          </cell>
          <cell r="M291">
            <v>13</v>
          </cell>
          <cell r="N291">
            <v>24</v>
          </cell>
          <cell r="O291">
            <v>32</v>
          </cell>
          <cell r="P291">
            <v>31</v>
          </cell>
          <cell r="Q291">
            <v>34</v>
          </cell>
          <cell r="R291">
            <v>35</v>
          </cell>
          <cell r="S291">
            <v>18</v>
          </cell>
          <cell r="T291">
            <v>187</v>
          </cell>
          <cell r="U291">
            <v>13</v>
          </cell>
          <cell r="V291">
            <v>24</v>
          </cell>
          <cell r="W291">
            <v>32</v>
          </cell>
          <cell r="X291">
            <v>31</v>
          </cell>
          <cell r="Y291">
            <v>34</v>
          </cell>
          <cell r="Z291">
            <v>35</v>
          </cell>
          <cell r="AA291">
            <v>18</v>
          </cell>
          <cell r="AB291">
            <v>187</v>
          </cell>
          <cell r="AC291">
            <v>0</v>
          </cell>
          <cell r="AD291" t="str">
            <v>TIDAK</v>
          </cell>
          <cell r="AE291" t="str">
            <v>TIDAK</v>
          </cell>
          <cell r="AF291">
            <v>187</v>
          </cell>
          <cell r="AG291">
            <v>2</v>
          </cell>
          <cell r="AH291" t="str">
            <v>SAPHIRE</v>
          </cell>
          <cell r="AI291">
            <v>0</v>
          </cell>
          <cell r="AJ291" t="str">
            <v>Y</v>
          </cell>
          <cell r="AK291">
            <v>0</v>
          </cell>
          <cell r="AL291">
            <v>45261</v>
          </cell>
          <cell r="AM291">
            <v>45701</v>
          </cell>
          <cell r="AN291">
            <v>1</v>
          </cell>
          <cell r="AO291">
            <v>187</v>
          </cell>
          <cell r="AP291" t="str">
            <v>-</v>
          </cell>
          <cell r="AQ291" t="str">
            <v>-</v>
          </cell>
          <cell r="AR291" t="str">
            <v>REGULER</v>
          </cell>
          <cell r="AS291" t="str">
            <v>REGULER</v>
          </cell>
          <cell r="AT291" t="str">
            <v>REGULER</v>
          </cell>
          <cell r="AU291" t="str">
            <v>REGULER</v>
          </cell>
          <cell r="AV291" t="str">
            <v/>
          </cell>
          <cell r="AW291">
            <v>38</v>
          </cell>
          <cell r="AX291">
            <v>37</v>
          </cell>
          <cell r="AY291">
            <v>35</v>
          </cell>
          <cell r="AZ291">
            <v>36</v>
          </cell>
          <cell r="BA291">
            <v>36</v>
          </cell>
          <cell r="BB291">
            <v>38</v>
          </cell>
          <cell r="BC291">
            <v>37</v>
          </cell>
          <cell r="BD291">
            <v>35</v>
          </cell>
          <cell r="BE291">
            <v>36</v>
          </cell>
          <cell r="BF291">
            <v>36</v>
          </cell>
          <cell r="BG291">
            <v>16</v>
          </cell>
          <cell r="BH291">
            <v>38</v>
          </cell>
          <cell r="BI291">
            <v>37</v>
          </cell>
          <cell r="BJ291">
            <v>35</v>
          </cell>
          <cell r="BK291">
            <v>36</v>
          </cell>
          <cell r="BL291">
            <v>36</v>
          </cell>
          <cell r="BM291">
            <v>16</v>
          </cell>
          <cell r="BN291">
            <v>214</v>
          </cell>
          <cell r="BO291">
            <v>16</v>
          </cell>
          <cell r="BP291">
            <v>38</v>
          </cell>
          <cell r="BQ291">
            <v>37</v>
          </cell>
          <cell r="BR291">
            <v>35</v>
          </cell>
          <cell r="BS291">
            <v>36</v>
          </cell>
          <cell r="BT291">
            <v>36</v>
          </cell>
          <cell r="BU291">
            <v>16</v>
          </cell>
          <cell r="BV291">
            <v>214</v>
          </cell>
          <cell r="BW291">
            <v>0</v>
          </cell>
          <cell r="BX291" t="str">
            <v>TIDAK</v>
          </cell>
          <cell r="BY291" t="str">
            <v>TIDAK</v>
          </cell>
        </row>
        <row r="292">
          <cell r="A292">
            <v>92642</v>
          </cell>
          <cell r="B292" t="str">
            <v>Prahesti Kusumaningrum</v>
          </cell>
          <cell r="C292" t="str">
            <v>DELTA</v>
          </cell>
          <cell r="D292">
            <v>44862</v>
          </cell>
          <cell r="E292" t="str">
            <v>Oct-22</v>
          </cell>
          <cell r="F292" t="str">
            <v>REGULER</v>
          </cell>
          <cell r="G292" t="str">
            <v>REGULER</v>
          </cell>
          <cell r="H292" t="str">
            <v>REGULER</v>
          </cell>
          <cell r="I292" t="str">
            <v>REGULER</v>
          </cell>
          <cell r="J292" t="str">
            <v>REGULER</v>
          </cell>
          <cell r="K292" t="str">
            <v>REGULER</v>
          </cell>
          <cell r="L292" t="str">
            <v>REGULER</v>
          </cell>
          <cell r="M292">
            <v>0</v>
          </cell>
          <cell r="N292">
            <v>23</v>
          </cell>
          <cell r="O292">
            <v>17</v>
          </cell>
          <cell r="P292">
            <v>15</v>
          </cell>
          <cell r="Q292">
            <v>4</v>
          </cell>
          <cell r="R292">
            <v>8</v>
          </cell>
          <cell r="S292">
            <v>4</v>
          </cell>
          <cell r="T292">
            <v>71</v>
          </cell>
          <cell r="U292">
            <v>0</v>
          </cell>
          <cell r="V292">
            <v>23</v>
          </cell>
          <cell r="W292">
            <v>17</v>
          </cell>
          <cell r="X292">
            <v>15</v>
          </cell>
          <cell r="Y292">
            <v>4</v>
          </cell>
          <cell r="Z292">
            <v>8</v>
          </cell>
          <cell r="AA292">
            <v>4</v>
          </cell>
          <cell r="AB292">
            <v>71</v>
          </cell>
          <cell r="AC292">
            <v>1</v>
          </cell>
          <cell r="AD292" t="str">
            <v>TIDAK</v>
          </cell>
          <cell r="AE292" t="str">
            <v>TIDAK</v>
          </cell>
          <cell r="AF292">
            <v>71</v>
          </cell>
          <cell r="AG292">
            <v>2</v>
          </cell>
          <cell r="AH292" t="str">
            <v>SAPHIRE</v>
          </cell>
          <cell r="AI292">
            <v>0</v>
          </cell>
          <cell r="AJ292" t="str">
            <v>Y</v>
          </cell>
          <cell r="AK292">
            <v>0</v>
          </cell>
          <cell r="AL292">
            <v>45261</v>
          </cell>
          <cell r="AM292">
            <v>45701</v>
          </cell>
          <cell r="AN292">
            <v>1</v>
          </cell>
          <cell r="AO292">
            <v>71</v>
          </cell>
          <cell r="AP292" t="str">
            <v>-</v>
          </cell>
          <cell r="AQ292" t="str">
            <v>-</v>
          </cell>
          <cell r="AR292" t="str">
            <v>REGULER</v>
          </cell>
          <cell r="AS292" t="str">
            <v>-</v>
          </cell>
          <cell r="AT292" t="str">
            <v>-</v>
          </cell>
          <cell r="AU292" t="str">
            <v>-</v>
          </cell>
          <cell r="AV292" t="str">
            <v/>
          </cell>
          <cell r="AW292">
            <v>10</v>
          </cell>
          <cell r="AX292">
            <v>8</v>
          </cell>
          <cell r="AY292">
            <v>0</v>
          </cell>
          <cell r="AZ292">
            <v>0</v>
          </cell>
          <cell r="BA292">
            <v>0</v>
          </cell>
          <cell r="BB292">
            <v>10</v>
          </cell>
          <cell r="BC292">
            <v>8</v>
          </cell>
          <cell r="BD292">
            <v>0</v>
          </cell>
          <cell r="BE292">
            <v>0</v>
          </cell>
          <cell r="BF292">
            <v>0</v>
          </cell>
          <cell r="BG292" t="str">
            <v/>
          </cell>
          <cell r="BH292">
            <v>10</v>
          </cell>
          <cell r="BI292">
            <v>8</v>
          </cell>
          <cell r="BJ292">
            <v>0</v>
          </cell>
          <cell r="BK292">
            <v>0</v>
          </cell>
          <cell r="BL292">
            <v>0</v>
          </cell>
          <cell r="BM292" t="str">
            <v/>
          </cell>
          <cell r="BN292">
            <v>18</v>
          </cell>
          <cell r="BO292" t="str">
            <v/>
          </cell>
          <cell r="BP292">
            <v>10</v>
          </cell>
          <cell r="BQ292">
            <v>8</v>
          </cell>
          <cell r="BR292">
            <v>0</v>
          </cell>
          <cell r="BS292">
            <v>0</v>
          </cell>
          <cell r="BT292">
            <v>0</v>
          </cell>
          <cell r="BU292" t="str">
            <v/>
          </cell>
          <cell r="BV292">
            <v>18</v>
          </cell>
          <cell r="BW292">
            <v>5</v>
          </cell>
          <cell r="BX292" t="str">
            <v>DOWNGRADE</v>
          </cell>
          <cell r="BY292" t="str">
            <v>RESET</v>
          </cell>
        </row>
        <row r="293">
          <cell r="A293" t="str">
            <v>A3540</v>
          </cell>
          <cell r="B293" t="str">
            <v>Prasojo Ngesti Wibowo</v>
          </cell>
          <cell r="C293" t="str">
            <v>DELTA</v>
          </cell>
          <cell r="D293">
            <v>45328</v>
          </cell>
          <cell r="E293" t="str">
            <v>Feb-24</v>
          </cell>
          <cell r="F293" t="str">
            <v>-</v>
          </cell>
          <cell r="G293" t="str">
            <v>-</v>
          </cell>
          <cell r="H293" t="str">
            <v>REGULER</v>
          </cell>
          <cell r="I293" t="str">
            <v>REGULER</v>
          </cell>
          <cell r="J293" t="str">
            <v>REGULER</v>
          </cell>
          <cell r="K293" t="str">
            <v>REGULER</v>
          </cell>
          <cell r="L293" t="str">
            <v>REGULER</v>
          </cell>
          <cell r="M293">
            <v>0</v>
          </cell>
          <cell r="N293">
            <v>0</v>
          </cell>
          <cell r="O293">
            <v>11</v>
          </cell>
          <cell r="P293">
            <v>25</v>
          </cell>
          <cell r="Q293">
            <v>22</v>
          </cell>
          <cell r="R293">
            <v>11</v>
          </cell>
          <cell r="S293">
            <v>17</v>
          </cell>
          <cell r="T293">
            <v>86</v>
          </cell>
          <cell r="U293">
            <v>0</v>
          </cell>
          <cell r="V293">
            <v>0</v>
          </cell>
          <cell r="W293">
            <v>11</v>
          </cell>
          <cell r="X293">
            <v>25</v>
          </cell>
          <cell r="Y293">
            <v>22</v>
          </cell>
          <cell r="Z293">
            <v>11</v>
          </cell>
          <cell r="AA293">
            <v>17</v>
          </cell>
          <cell r="AB293">
            <v>86</v>
          </cell>
          <cell r="AC293">
            <v>0</v>
          </cell>
          <cell r="AD293" t="str">
            <v>TIDAK</v>
          </cell>
          <cell r="AE293" t="str">
            <v>TIDAK</v>
          </cell>
          <cell r="AF293">
            <v>86</v>
          </cell>
          <cell r="AG293">
            <v>2</v>
          </cell>
          <cell r="AH293" t="str">
            <v>SAPHIRE</v>
          </cell>
          <cell r="AI293">
            <v>0</v>
          </cell>
          <cell r="AJ293" t="str">
            <v>Y</v>
          </cell>
          <cell r="AK293">
            <v>0</v>
          </cell>
          <cell r="AL293">
            <v>45261</v>
          </cell>
          <cell r="AM293">
            <v>45701</v>
          </cell>
          <cell r="AN293">
            <v>1</v>
          </cell>
          <cell r="AO293">
            <v>86</v>
          </cell>
          <cell r="AP293" t="str">
            <v>-</v>
          </cell>
          <cell r="AQ293" t="str">
            <v>-</v>
          </cell>
          <cell r="AR293" t="str">
            <v>REGULER</v>
          </cell>
          <cell r="AS293" t="str">
            <v>REGULER</v>
          </cell>
          <cell r="AT293" t="str">
            <v>REGULER</v>
          </cell>
          <cell r="AU293" t="str">
            <v>REGULER</v>
          </cell>
          <cell r="AV293" t="str">
            <v/>
          </cell>
          <cell r="AW293">
            <v>41</v>
          </cell>
          <cell r="AX293">
            <v>40</v>
          </cell>
          <cell r="AY293">
            <v>33</v>
          </cell>
          <cell r="AZ293">
            <v>38</v>
          </cell>
          <cell r="BA293">
            <v>25</v>
          </cell>
          <cell r="BB293">
            <v>41</v>
          </cell>
          <cell r="BC293">
            <v>40</v>
          </cell>
          <cell r="BD293">
            <v>33</v>
          </cell>
          <cell r="BE293">
            <v>38</v>
          </cell>
          <cell r="BF293">
            <v>25</v>
          </cell>
          <cell r="BG293">
            <v>19</v>
          </cell>
          <cell r="BH293">
            <v>41</v>
          </cell>
          <cell r="BI293">
            <v>40</v>
          </cell>
          <cell r="BJ293">
            <v>33</v>
          </cell>
          <cell r="BK293">
            <v>38</v>
          </cell>
          <cell r="BL293">
            <v>25</v>
          </cell>
          <cell r="BM293" t="str">
            <v/>
          </cell>
          <cell r="BN293">
            <v>196</v>
          </cell>
          <cell r="BO293">
            <v>19</v>
          </cell>
          <cell r="BP293">
            <v>41</v>
          </cell>
          <cell r="BQ293">
            <v>40</v>
          </cell>
          <cell r="BR293">
            <v>33</v>
          </cell>
          <cell r="BS293">
            <v>38</v>
          </cell>
          <cell r="BT293">
            <v>25</v>
          </cell>
          <cell r="BU293" t="str">
            <v/>
          </cell>
          <cell r="BV293">
            <v>196</v>
          </cell>
          <cell r="BW293">
            <v>1</v>
          </cell>
          <cell r="BX293" t="str">
            <v>TIDAK</v>
          </cell>
          <cell r="BY293" t="str">
            <v>TIDAK</v>
          </cell>
        </row>
        <row r="294">
          <cell r="A294" t="str">
            <v>A3476</v>
          </cell>
          <cell r="B294" t="str">
            <v>Prilla Imadiana Fajrin</v>
          </cell>
          <cell r="C294" t="str">
            <v>DELTA</v>
          </cell>
          <cell r="D294">
            <v>45296</v>
          </cell>
          <cell r="E294" t="str">
            <v>Jan-24</v>
          </cell>
          <cell r="F294" t="str">
            <v>-</v>
          </cell>
          <cell r="G294" t="str">
            <v>REGULER</v>
          </cell>
          <cell r="H294" t="str">
            <v>REGULER</v>
          </cell>
          <cell r="I294" t="str">
            <v>REGULER</v>
          </cell>
          <cell r="J294" t="str">
            <v>REGULER</v>
          </cell>
          <cell r="K294" t="str">
            <v>REGULER</v>
          </cell>
          <cell r="L294" t="str">
            <v>EKSKLUSIF</v>
          </cell>
          <cell r="M294">
            <v>0</v>
          </cell>
          <cell r="N294">
            <v>18</v>
          </cell>
          <cell r="O294">
            <v>26</v>
          </cell>
          <cell r="P294">
            <v>30</v>
          </cell>
          <cell r="Q294">
            <v>36</v>
          </cell>
          <cell r="R294">
            <v>19</v>
          </cell>
          <cell r="S294">
            <v>22</v>
          </cell>
          <cell r="T294">
            <v>151</v>
          </cell>
          <cell r="U294">
            <v>0</v>
          </cell>
          <cell r="V294">
            <v>18</v>
          </cell>
          <cell r="W294">
            <v>26</v>
          </cell>
          <cell r="X294">
            <v>30</v>
          </cell>
          <cell r="Y294">
            <v>36</v>
          </cell>
          <cell r="Z294">
            <v>19</v>
          </cell>
          <cell r="AA294">
            <v>0</v>
          </cell>
          <cell r="AB294">
            <v>129</v>
          </cell>
          <cell r="AC294">
            <v>0</v>
          </cell>
          <cell r="AD294" t="str">
            <v>TIDAK</v>
          </cell>
          <cell r="AE294" t="str">
            <v>TIDAK</v>
          </cell>
          <cell r="AF294">
            <v>129</v>
          </cell>
          <cell r="AG294">
            <v>2</v>
          </cell>
          <cell r="AH294" t="str">
            <v>SAPHIRE</v>
          </cell>
          <cell r="AI294">
            <v>0</v>
          </cell>
          <cell r="AJ294" t="str">
            <v>Y</v>
          </cell>
          <cell r="AK294">
            <v>0</v>
          </cell>
          <cell r="AL294">
            <v>45261</v>
          </cell>
          <cell r="AM294">
            <v>45701</v>
          </cell>
          <cell r="AN294">
            <v>1</v>
          </cell>
          <cell r="AO294">
            <v>129</v>
          </cell>
          <cell r="AP294" t="str">
            <v>EKSKLUSIF</v>
          </cell>
          <cell r="AQ294" t="str">
            <v>-</v>
          </cell>
          <cell r="AR294" t="str">
            <v>EKSKLUSIF</v>
          </cell>
          <cell r="AS294" t="str">
            <v>EKSKLUSIF</v>
          </cell>
          <cell r="AT294" t="str">
            <v>EKSKLUSIF</v>
          </cell>
          <cell r="AU294" t="str">
            <v>EKSKLUSIF</v>
          </cell>
          <cell r="AV294" t="str">
            <v/>
          </cell>
          <cell r="AW294">
            <v>50</v>
          </cell>
          <cell r="AX294">
            <v>48</v>
          </cell>
          <cell r="AY294">
            <v>42</v>
          </cell>
          <cell r="AZ294">
            <v>46</v>
          </cell>
          <cell r="BA294">
            <v>42</v>
          </cell>
          <cell r="BB294">
            <v>50</v>
          </cell>
          <cell r="BC294">
            <v>48</v>
          </cell>
          <cell r="BD294">
            <v>42</v>
          </cell>
          <cell r="BE294">
            <v>46</v>
          </cell>
          <cell r="BF294">
            <v>42</v>
          </cell>
          <cell r="BG294">
            <v>20</v>
          </cell>
          <cell r="BH294">
            <v>50</v>
          </cell>
          <cell r="BI294">
            <v>48</v>
          </cell>
          <cell r="BJ294">
            <v>42</v>
          </cell>
          <cell r="BK294">
            <v>46</v>
          </cell>
          <cell r="BL294">
            <v>42</v>
          </cell>
          <cell r="BM294">
            <v>20</v>
          </cell>
          <cell r="BN294">
            <v>268</v>
          </cell>
          <cell r="BO294">
            <v>0</v>
          </cell>
          <cell r="BP294">
            <v>50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20</v>
          </cell>
          <cell r="BV294">
            <v>70</v>
          </cell>
          <cell r="BW294">
            <v>0</v>
          </cell>
          <cell r="BX294" t="str">
            <v>TIDAK</v>
          </cell>
          <cell r="BY294" t="str">
            <v>TIDAK</v>
          </cell>
        </row>
        <row r="295">
          <cell r="A295" t="str">
            <v>A1653</v>
          </cell>
          <cell r="B295" t="str">
            <v>Purwa Birawa</v>
          </cell>
          <cell r="C295" t="str">
            <v>DELTA</v>
          </cell>
          <cell r="D295">
            <v>44986</v>
          </cell>
          <cell r="E295" t="str">
            <v>Mar-23</v>
          </cell>
          <cell r="F295" t="str">
            <v>REGULER</v>
          </cell>
          <cell r="G295" t="str">
            <v>REGULER</v>
          </cell>
          <cell r="H295" t="str">
            <v>REGULER</v>
          </cell>
          <cell r="I295" t="str">
            <v>REGULER</v>
          </cell>
          <cell r="J295" t="str">
            <v>REGULER</v>
          </cell>
          <cell r="K295" t="str">
            <v>-</v>
          </cell>
          <cell r="L295" t="str">
            <v>-</v>
          </cell>
          <cell r="M295">
            <v>14</v>
          </cell>
          <cell r="N295">
            <v>34</v>
          </cell>
          <cell r="O295">
            <v>18</v>
          </cell>
          <cell r="P295">
            <v>26</v>
          </cell>
          <cell r="Q295">
            <v>4</v>
          </cell>
          <cell r="R295">
            <v>0</v>
          </cell>
          <cell r="S295" t="str">
            <v/>
          </cell>
          <cell r="T295">
            <v>96</v>
          </cell>
          <cell r="U295">
            <v>14</v>
          </cell>
          <cell r="V295">
            <v>34</v>
          </cell>
          <cell r="W295">
            <v>18</v>
          </cell>
          <cell r="X295">
            <v>26</v>
          </cell>
          <cell r="Y295">
            <v>4</v>
          </cell>
          <cell r="Z295">
            <v>0</v>
          </cell>
          <cell r="AA295" t="str">
            <v/>
          </cell>
          <cell r="AB295">
            <v>96</v>
          </cell>
          <cell r="AC295">
            <v>2</v>
          </cell>
          <cell r="AD295" t="str">
            <v>TIDAK</v>
          </cell>
          <cell r="AE295" t="str">
            <v>TIDAK</v>
          </cell>
          <cell r="AF295">
            <v>96</v>
          </cell>
          <cell r="AG295">
            <v>2</v>
          </cell>
          <cell r="AH295" t="str">
            <v>SAPHIRE</v>
          </cell>
          <cell r="AI295">
            <v>0</v>
          </cell>
          <cell r="AJ295" t="str">
            <v>Y</v>
          </cell>
          <cell r="AK295">
            <v>0</v>
          </cell>
          <cell r="AL295">
            <v>45261</v>
          </cell>
          <cell r="AM295">
            <v>45701</v>
          </cell>
          <cell r="AN295">
            <v>1</v>
          </cell>
          <cell r="AO295">
            <v>96</v>
          </cell>
          <cell r="AP295" t="str">
            <v>-</v>
          </cell>
          <cell r="AQ295" t="str">
            <v>-</v>
          </cell>
          <cell r="AR295" t="str">
            <v>-</v>
          </cell>
          <cell r="AS295" t="str">
            <v>-</v>
          </cell>
          <cell r="AT295" t="str">
            <v>-</v>
          </cell>
          <cell r="AU295" t="str">
            <v>-</v>
          </cell>
          <cell r="AV295" t="str">
            <v/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 t="str">
            <v/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 t="str">
            <v/>
          </cell>
          <cell r="BN295">
            <v>0</v>
          </cell>
          <cell r="BO295" t="str">
            <v/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 t="str">
            <v/>
          </cell>
          <cell r="BV295">
            <v>0</v>
          </cell>
          <cell r="BW295">
            <v>7</v>
          </cell>
          <cell r="BX295" t="str">
            <v>DOWNGRADE</v>
          </cell>
          <cell r="BY295" t="str">
            <v>RESET</v>
          </cell>
        </row>
        <row r="296">
          <cell r="A296" t="str">
            <v>A3743</v>
          </cell>
          <cell r="B296" t="str">
            <v>Putri Ramadhani</v>
          </cell>
          <cell r="C296" t="str">
            <v>DELTA</v>
          </cell>
          <cell r="D296">
            <v>45352</v>
          </cell>
          <cell r="E296" t="str">
            <v>Mar-24</v>
          </cell>
          <cell r="F296" t="str">
            <v>-</v>
          </cell>
          <cell r="G296" t="str">
            <v>-</v>
          </cell>
          <cell r="H296" t="str">
            <v>-</v>
          </cell>
          <cell r="I296" t="str">
            <v>REGULER</v>
          </cell>
          <cell r="J296" t="str">
            <v>REGULER</v>
          </cell>
          <cell r="K296" t="str">
            <v>REGULER</v>
          </cell>
          <cell r="L296" t="str">
            <v>REGULER</v>
          </cell>
          <cell r="M296">
            <v>0</v>
          </cell>
          <cell r="N296">
            <v>0</v>
          </cell>
          <cell r="O296">
            <v>0</v>
          </cell>
          <cell r="P296">
            <v>33</v>
          </cell>
          <cell r="Q296">
            <v>38</v>
          </cell>
          <cell r="R296">
            <v>44</v>
          </cell>
          <cell r="S296">
            <v>22</v>
          </cell>
          <cell r="T296">
            <v>137</v>
          </cell>
          <cell r="U296">
            <v>0</v>
          </cell>
          <cell r="V296">
            <v>0</v>
          </cell>
          <cell r="W296">
            <v>0</v>
          </cell>
          <cell r="X296">
            <v>33</v>
          </cell>
          <cell r="Y296">
            <v>38</v>
          </cell>
          <cell r="Z296">
            <v>44</v>
          </cell>
          <cell r="AA296">
            <v>22</v>
          </cell>
          <cell r="AB296">
            <v>137</v>
          </cell>
          <cell r="AC296">
            <v>0</v>
          </cell>
          <cell r="AD296" t="str">
            <v>TIDAK</v>
          </cell>
          <cell r="AE296" t="str">
            <v>TIDAK</v>
          </cell>
          <cell r="AF296">
            <v>137</v>
          </cell>
          <cell r="AG296">
            <v>2</v>
          </cell>
          <cell r="AH296" t="str">
            <v>SAPHIRE</v>
          </cell>
          <cell r="AI296">
            <v>0</v>
          </cell>
          <cell r="AJ296" t="str">
            <v>Y</v>
          </cell>
          <cell r="AK296">
            <v>0</v>
          </cell>
          <cell r="AL296">
            <v>45261</v>
          </cell>
          <cell r="AM296">
            <v>45701</v>
          </cell>
          <cell r="AN296">
            <v>1</v>
          </cell>
          <cell r="AO296">
            <v>137</v>
          </cell>
          <cell r="AP296" t="str">
            <v>-</v>
          </cell>
          <cell r="AQ296" t="str">
            <v>-</v>
          </cell>
          <cell r="AR296" t="str">
            <v>REGULER</v>
          </cell>
          <cell r="AS296" t="str">
            <v>EKSKLUSIF</v>
          </cell>
          <cell r="AT296" t="str">
            <v>EKSKLUSIF</v>
          </cell>
          <cell r="AU296" t="str">
            <v>EKSKLUSIF</v>
          </cell>
          <cell r="AV296" t="str">
            <v/>
          </cell>
          <cell r="AW296">
            <v>41</v>
          </cell>
          <cell r="AX296">
            <v>42</v>
          </cell>
          <cell r="AY296">
            <v>43</v>
          </cell>
          <cell r="AZ296">
            <v>47</v>
          </cell>
          <cell r="BA296">
            <v>44</v>
          </cell>
          <cell r="BB296">
            <v>41</v>
          </cell>
          <cell r="BC296">
            <v>42</v>
          </cell>
          <cell r="BD296">
            <v>43</v>
          </cell>
          <cell r="BE296">
            <v>47</v>
          </cell>
          <cell r="BF296">
            <v>44</v>
          </cell>
          <cell r="BG296">
            <v>20</v>
          </cell>
          <cell r="BH296">
            <v>41</v>
          </cell>
          <cell r="BI296">
            <v>42</v>
          </cell>
          <cell r="BJ296">
            <v>43</v>
          </cell>
          <cell r="BK296">
            <v>47</v>
          </cell>
          <cell r="BL296">
            <v>44</v>
          </cell>
          <cell r="BM296">
            <v>20</v>
          </cell>
          <cell r="BN296">
            <v>257</v>
          </cell>
          <cell r="BO296">
            <v>20</v>
          </cell>
          <cell r="BP296">
            <v>41</v>
          </cell>
          <cell r="BQ296">
            <v>42</v>
          </cell>
          <cell r="BR296">
            <v>0</v>
          </cell>
          <cell r="BS296">
            <v>0</v>
          </cell>
          <cell r="BT296">
            <v>0</v>
          </cell>
          <cell r="BU296">
            <v>20</v>
          </cell>
          <cell r="BV296">
            <v>123</v>
          </cell>
          <cell r="BW296">
            <v>0</v>
          </cell>
          <cell r="BX296" t="str">
            <v>TIDAK</v>
          </cell>
          <cell r="BY296" t="str">
            <v>TIDAK</v>
          </cell>
        </row>
        <row r="297">
          <cell r="A297" t="str">
            <v>A2504</v>
          </cell>
          <cell r="B297" t="str">
            <v>Rachma Anindita Tasya Dewi</v>
          </cell>
          <cell r="C297" t="str">
            <v>DELTA</v>
          </cell>
          <cell r="D297">
            <v>45110</v>
          </cell>
          <cell r="E297" t="str">
            <v>Jul-23</v>
          </cell>
          <cell r="F297" t="str">
            <v>EKSKLUSIF</v>
          </cell>
          <cell r="G297" t="str">
            <v>EKSKLUSIF</v>
          </cell>
          <cell r="H297" t="str">
            <v>EKSKLUSIF</v>
          </cell>
          <cell r="I297" t="str">
            <v>EKSKLUSIF</v>
          </cell>
          <cell r="J297" t="str">
            <v>EKSKLUSIF</v>
          </cell>
          <cell r="K297" t="str">
            <v>EKSKLUSIF</v>
          </cell>
          <cell r="L297" t="str">
            <v>EKSKLUSIF</v>
          </cell>
          <cell r="M297">
            <v>20</v>
          </cell>
          <cell r="N297">
            <v>47</v>
          </cell>
          <cell r="O297">
            <v>40</v>
          </cell>
          <cell r="P297">
            <v>29</v>
          </cell>
          <cell r="Q297">
            <v>38</v>
          </cell>
          <cell r="R297">
            <v>42</v>
          </cell>
          <cell r="S297">
            <v>20</v>
          </cell>
          <cell r="T297">
            <v>236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 t="str">
            <v>TIDAK</v>
          </cell>
          <cell r="AE297" t="str">
            <v>TIDAK</v>
          </cell>
          <cell r="AF297">
            <v>0</v>
          </cell>
          <cell r="AG297">
            <v>2</v>
          </cell>
          <cell r="AH297" t="str">
            <v>SAPHIRE</v>
          </cell>
          <cell r="AI297">
            <v>0</v>
          </cell>
          <cell r="AJ297" t="str">
            <v>FALSE</v>
          </cell>
          <cell r="AK297">
            <v>0</v>
          </cell>
          <cell r="AL297">
            <v>45261</v>
          </cell>
          <cell r="AM297">
            <v>45701</v>
          </cell>
          <cell r="AN297">
            <v>1</v>
          </cell>
          <cell r="AO297">
            <v>0</v>
          </cell>
          <cell r="AP297" t="str">
            <v>EKSKLUSIF</v>
          </cell>
          <cell r="AQ297" t="str">
            <v>-</v>
          </cell>
          <cell r="AR297" t="str">
            <v>REGULER</v>
          </cell>
          <cell r="AS297" t="str">
            <v>EKSKLUSIF</v>
          </cell>
          <cell r="AT297" t="str">
            <v>EKSKLUSIF</v>
          </cell>
          <cell r="AU297" t="str">
            <v>REGULER</v>
          </cell>
          <cell r="AV297" t="str">
            <v/>
          </cell>
          <cell r="AW297">
            <v>49</v>
          </cell>
          <cell r="AX297">
            <v>32</v>
          </cell>
          <cell r="AY297">
            <v>41</v>
          </cell>
          <cell r="AZ297">
            <v>47</v>
          </cell>
          <cell r="BA297">
            <v>31</v>
          </cell>
          <cell r="BB297">
            <v>49</v>
          </cell>
          <cell r="BC297">
            <v>32</v>
          </cell>
          <cell r="BD297">
            <v>41</v>
          </cell>
          <cell r="BE297">
            <v>47</v>
          </cell>
          <cell r="BF297">
            <v>31</v>
          </cell>
          <cell r="BG297">
            <v>20</v>
          </cell>
          <cell r="BH297">
            <v>49</v>
          </cell>
          <cell r="BI297">
            <v>32</v>
          </cell>
          <cell r="BJ297">
            <v>41</v>
          </cell>
          <cell r="BK297">
            <v>47</v>
          </cell>
          <cell r="BL297">
            <v>31</v>
          </cell>
          <cell r="BM297" t="str">
            <v/>
          </cell>
          <cell r="BN297">
            <v>220</v>
          </cell>
          <cell r="BO297">
            <v>0</v>
          </cell>
          <cell r="BP297">
            <v>49</v>
          </cell>
          <cell r="BQ297">
            <v>32</v>
          </cell>
          <cell r="BR297">
            <v>0</v>
          </cell>
          <cell r="BS297">
            <v>0</v>
          </cell>
          <cell r="BT297">
            <v>31</v>
          </cell>
          <cell r="BU297" t="str">
            <v/>
          </cell>
          <cell r="BV297">
            <v>112</v>
          </cell>
          <cell r="BW297">
            <v>1</v>
          </cell>
          <cell r="BX297" t="str">
            <v>TIDAK</v>
          </cell>
          <cell r="BY297" t="str">
            <v>TIDAK</v>
          </cell>
        </row>
        <row r="298">
          <cell r="A298" t="str">
            <v>A0692</v>
          </cell>
          <cell r="B298" t="str">
            <v>Rahmat Albhikz</v>
          </cell>
          <cell r="C298" t="str">
            <v>DELTA</v>
          </cell>
          <cell r="D298">
            <v>44897</v>
          </cell>
          <cell r="E298" t="str">
            <v>Dec-22</v>
          </cell>
          <cell r="F298" t="str">
            <v>REGULER</v>
          </cell>
          <cell r="G298" t="str">
            <v>EKSKLUSIF</v>
          </cell>
          <cell r="H298" t="str">
            <v>EKSKLUSIF</v>
          </cell>
          <cell r="I298" t="str">
            <v>EKSKLUSIF</v>
          </cell>
          <cell r="J298" t="str">
            <v>-</v>
          </cell>
          <cell r="K298" t="str">
            <v>-</v>
          </cell>
          <cell r="L298" t="str">
            <v>-</v>
          </cell>
          <cell r="M298">
            <v>16</v>
          </cell>
          <cell r="N298">
            <v>46</v>
          </cell>
          <cell r="O298">
            <v>40</v>
          </cell>
          <cell r="P298">
            <v>43</v>
          </cell>
          <cell r="Q298">
            <v>0</v>
          </cell>
          <cell r="R298">
            <v>0</v>
          </cell>
          <cell r="S298" t="str">
            <v/>
          </cell>
          <cell r="T298">
            <v>145</v>
          </cell>
          <cell r="U298">
            <v>16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 t="str">
            <v/>
          </cell>
          <cell r="AB298">
            <v>16</v>
          </cell>
          <cell r="AC298">
            <v>3</v>
          </cell>
          <cell r="AD298" t="str">
            <v>DOWNGRADE</v>
          </cell>
          <cell r="AE298" t="str">
            <v>RESET</v>
          </cell>
          <cell r="AF298">
            <v>0</v>
          </cell>
          <cell r="AG298">
            <v>2</v>
          </cell>
          <cell r="AH298" t="str">
            <v>SAPHIRE</v>
          </cell>
          <cell r="AI298">
            <v>0</v>
          </cell>
          <cell r="AJ298" t="str">
            <v>FALSE</v>
          </cell>
          <cell r="AK298">
            <v>0</v>
          </cell>
          <cell r="AL298">
            <v>45261</v>
          </cell>
          <cell r="AM298">
            <v>45701</v>
          </cell>
          <cell r="AN298">
            <v>1</v>
          </cell>
          <cell r="AO298">
            <v>0</v>
          </cell>
          <cell r="AP298" t="str">
            <v>-</v>
          </cell>
          <cell r="AQ298" t="str">
            <v>-</v>
          </cell>
          <cell r="AR298" t="str">
            <v>-</v>
          </cell>
          <cell r="AS298" t="str">
            <v>-</v>
          </cell>
          <cell r="AT298" t="str">
            <v>-</v>
          </cell>
          <cell r="AU298" t="str">
            <v>-</v>
          </cell>
          <cell r="AV298" t="str">
            <v/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 t="str">
            <v/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 t="str">
            <v/>
          </cell>
          <cell r="BN298">
            <v>0</v>
          </cell>
          <cell r="BO298" t="str">
            <v/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 t="str">
            <v/>
          </cell>
          <cell r="BV298">
            <v>0</v>
          </cell>
          <cell r="BW298">
            <v>7</v>
          </cell>
          <cell r="BX298" t="str">
            <v>DOWNGRADE</v>
          </cell>
          <cell r="BY298" t="str">
            <v>RESET</v>
          </cell>
        </row>
        <row r="299">
          <cell r="A299" t="str">
            <v>A3622</v>
          </cell>
          <cell r="B299" t="str">
            <v>Ravellina Naia Safitri</v>
          </cell>
          <cell r="C299" t="str">
            <v>DELTA</v>
          </cell>
          <cell r="D299">
            <v>45322</v>
          </cell>
          <cell r="E299" t="str">
            <v>Jan-24</v>
          </cell>
          <cell r="F299" t="str">
            <v>-</v>
          </cell>
          <cell r="G299" t="str">
            <v>REGULER</v>
          </cell>
          <cell r="H299" t="str">
            <v>REGULER</v>
          </cell>
          <cell r="I299" t="str">
            <v>-</v>
          </cell>
          <cell r="J299" t="str">
            <v>REGULER</v>
          </cell>
          <cell r="K299" t="str">
            <v>-</v>
          </cell>
          <cell r="L299" t="str">
            <v>-</v>
          </cell>
          <cell r="M299">
            <v>0</v>
          </cell>
          <cell r="N299">
            <v>1</v>
          </cell>
          <cell r="O299">
            <v>14</v>
          </cell>
          <cell r="P299">
            <v>0</v>
          </cell>
          <cell r="Q299">
            <v>2</v>
          </cell>
          <cell r="R299">
            <v>0</v>
          </cell>
          <cell r="S299" t="str">
            <v/>
          </cell>
          <cell r="T299">
            <v>17</v>
          </cell>
          <cell r="U299">
            <v>0</v>
          </cell>
          <cell r="V299">
            <v>1</v>
          </cell>
          <cell r="W299">
            <v>14</v>
          </cell>
          <cell r="X299">
            <v>0</v>
          </cell>
          <cell r="Y299">
            <v>2</v>
          </cell>
          <cell r="Z299">
            <v>0</v>
          </cell>
          <cell r="AA299" t="str">
            <v/>
          </cell>
          <cell r="AB299">
            <v>17</v>
          </cell>
          <cell r="AC299">
            <v>3</v>
          </cell>
          <cell r="AD299" t="str">
            <v>DOWNGRADE</v>
          </cell>
          <cell r="AE299" t="str">
            <v>TIDAK</v>
          </cell>
          <cell r="AF299">
            <v>8.5</v>
          </cell>
          <cell r="AG299">
            <v>2</v>
          </cell>
          <cell r="AH299" t="str">
            <v>SAPHIRE</v>
          </cell>
          <cell r="AI299">
            <v>0</v>
          </cell>
          <cell r="AJ299" t="str">
            <v>FALSE</v>
          </cell>
          <cell r="AK299">
            <v>0</v>
          </cell>
          <cell r="AL299">
            <v>45261</v>
          </cell>
          <cell r="AM299">
            <v>45701</v>
          </cell>
          <cell r="AN299">
            <v>1</v>
          </cell>
          <cell r="AO299">
            <v>8.5</v>
          </cell>
          <cell r="AP299" t="str">
            <v>-</v>
          </cell>
          <cell r="AQ299" t="str">
            <v>-</v>
          </cell>
          <cell r="AR299" t="str">
            <v>REGULER</v>
          </cell>
          <cell r="AS299" t="str">
            <v>REGULER</v>
          </cell>
          <cell r="AT299" t="str">
            <v>-</v>
          </cell>
          <cell r="AU299" t="str">
            <v>REGULER</v>
          </cell>
          <cell r="AV299" t="str">
            <v/>
          </cell>
          <cell r="AW299">
            <v>42</v>
          </cell>
          <cell r="AX299">
            <v>15</v>
          </cell>
          <cell r="AY299">
            <v>4</v>
          </cell>
          <cell r="AZ299">
            <v>0</v>
          </cell>
          <cell r="BA299">
            <v>1</v>
          </cell>
          <cell r="BB299">
            <v>42</v>
          </cell>
          <cell r="BC299">
            <v>15</v>
          </cell>
          <cell r="BD299">
            <v>4</v>
          </cell>
          <cell r="BE299">
            <v>0</v>
          </cell>
          <cell r="BF299">
            <v>1</v>
          </cell>
          <cell r="BG299" t="str">
            <v/>
          </cell>
          <cell r="BH299">
            <v>42</v>
          </cell>
          <cell r="BI299">
            <v>15</v>
          </cell>
          <cell r="BJ299">
            <v>4</v>
          </cell>
          <cell r="BK299">
            <v>0</v>
          </cell>
          <cell r="BL299">
            <v>1</v>
          </cell>
          <cell r="BM299">
            <v>2</v>
          </cell>
          <cell r="BN299">
            <v>64</v>
          </cell>
          <cell r="BO299" t="str">
            <v/>
          </cell>
          <cell r="BP299">
            <v>42</v>
          </cell>
          <cell r="BQ299">
            <v>15</v>
          </cell>
          <cell r="BR299">
            <v>4</v>
          </cell>
          <cell r="BS299">
            <v>0</v>
          </cell>
          <cell r="BT299">
            <v>1</v>
          </cell>
          <cell r="BU299">
            <v>2</v>
          </cell>
          <cell r="BV299">
            <v>64</v>
          </cell>
          <cell r="BW299">
            <v>2</v>
          </cell>
          <cell r="BX299" t="str">
            <v>TIDAK</v>
          </cell>
          <cell r="BY299" t="str">
            <v>TIDAK</v>
          </cell>
        </row>
        <row r="300">
          <cell r="A300" t="str">
            <v>A0597</v>
          </cell>
          <cell r="B300" t="str">
            <v>Rehlitna Rejekinta</v>
          </cell>
          <cell r="C300" t="str">
            <v>DELTA</v>
          </cell>
          <cell r="D300">
            <v>44938</v>
          </cell>
          <cell r="E300" t="str">
            <v>Jan-23</v>
          </cell>
          <cell r="F300" t="str">
            <v>REGULER</v>
          </cell>
          <cell r="G300" t="str">
            <v>-</v>
          </cell>
          <cell r="H300" t="str">
            <v>-</v>
          </cell>
          <cell r="I300" t="str">
            <v>REGULER</v>
          </cell>
          <cell r="J300" t="str">
            <v>REGULER</v>
          </cell>
          <cell r="K300" t="str">
            <v>-</v>
          </cell>
          <cell r="L300" t="str">
            <v>REGULER</v>
          </cell>
          <cell r="M300">
            <v>1</v>
          </cell>
          <cell r="N300">
            <v>0</v>
          </cell>
          <cell r="O300">
            <v>0</v>
          </cell>
          <cell r="P300">
            <v>3</v>
          </cell>
          <cell r="Q300">
            <v>10</v>
          </cell>
          <cell r="R300">
            <v>0</v>
          </cell>
          <cell r="S300">
            <v>1</v>
          </cell>
          <cell r="T300">
            <v>15</v>
          </cell>
          <cell r="U300">
            <v>1</v>
          </cell>
          <cell r="V300">
            <v>0</v>
          </cell>
          <cell r="W300">
            <v>0</v>
          </cell>
          <cell r="X300">
            <v>3</v>
          </cell>
          <cell r="Y300">
            <v>10</v>
          </cell>
          <cell r="Z300">
            <v>0</v>
          </cell>
          <cell r="AA300">
            <v>1</v>
          </cell>
          <cell r="AB300">
            <v>15</v>
          </cell>
          <cell r="AC300">
            <v>3</v>
          </cell>
          <cell r="AD300" t="str">
            <v>DOWNGRADE</v>
          </cell>
          <cell r="AE300" t="str">
            <v>TIDAK</v>
          </cell>
          <cell r="AF300">
            <v>7.5</v>
          </cell>
          <cell r="AG300">
            <v>2</v>
          </cell>
          <cell r="AH300" t="str">
            <v>SAPHIRE</v>
          </cell>
          <cell r="AI300">
            <v>0</v>
          </cell>
          <cell r="AJ300" t="str">
            <v>FALSE</v>
          </cell>
          <cell r="AK300">
            <v>0</v>
          </cell>
          <cell r="AL300">
            <v>45261</v>
          </cell>
          <cell r="AM300">
            <v>45701</v>
          </cell>
          <cell r="AN300">
            <v>1</v>
          </cell>
          <cell r="AO300">
            <v>7.5</v>
          </cell>
          <cell r="AP300" t="str">
            <v>-</v>
          </cell>
          <cell r="AQ300" t="str">
            <v>-</v>
          </cell>
          <cell r="AR300" t="str">
            <v>REGULER</v>
          </cell>
          <cell r="AS300" t="str">
            <v>REGULER</v>
          </cell>
          <cell r="AT300" t="str">
            <v>REGULER</v>
          </cell>
          <cell r="AU300" t="str">
            <v>REGULER</v>
          </cell>
          <cell r="AV300" t="str">
            <v/>
          </cell>
          <cell r="AW300">
            <v>0</v>
          </cell>
          <cell r="AX300">
            <v>47</v>
          </cell>
          <cell r="AY300">
            <v>34</v>
          </cell>
          <cell r="AZ300">
            <v>40</v>
          </cell>
          <cell r="BA300">
            <v>33</v>
          </cell>
          <cell r="BB300">
            <v>0</v>
          </cell>
          <cell r="BC300">
            <v>47</v>
          </cell>
          <cell r="BD300">
            <v>34</v>
          </cell>
          <cell r="BE300">
            <v>40</v>
          </cell>
          <cell r="BF300">
            <v>33</v>
          </cell>
          <cell r="BG300" t="str">
            <v/>
          </cell>
          <cell r="BH300">
            <v>0</v>
          </cell>
          <cell r="BI300">
            <v>47</v>
          </cell>
          <cell r="BJ300">
            <v>34</v>
          </cell>
          <cell r="BK300">
            <v>40</v>
          </cell>
          <cell r="BL300">
            <v>33</v>
          </cell>
          <cell r="BM300">
            <v>6</v>
          </cell>
          <cell r="BN300">
            <v>160</v>
          </cell>
          <cell r="BO300" t="str">
            <v/>
          </cell>
          <cell r="BP300">
            <v>0</v>
          </cell>
          <cell r="BQ300">
            <v>47</v>
          </cell>
          <cell r="BR300">
            <v>34</v>
          </cell>
          <cell r="BS300">
            <v>40</v>
          </cell>
          <cell r="BT300">
            <v>33</v>
          </cell>
          <cell r="BU300">
            <v>6</v>
          </cell>
          <cell r="BV300">
            <v>160</v>
          </cell>
          <cell r="BW300">
            <v>2</v>
          </cell>
          <cell r="BX300" t="str">
            <v>TIDAK</v>
          </cell>
          <cell r="BY300" t="str">
            <v>TIDAK</v>
          </cell>
        </row>
        <row r="301">
          <cell r="A301" t="str">
            <v>A3988</v>
          </cell>
          <cell r="B301" t="str">
            <v>RHANI SILVIA SIMAMORA</v>
          </cell>
          <cell r="C301" t="str">
            <v>DELTA</v>
          </cell>
          <cell r="D301">
            <v>45414</v>
          </cell>
          <cell r="E301" t="str">
            <v>May-24</v>
          </cell>
          <cell r="F301" t="str">
            <v>-</v>
          </cell>
          <cell r="G301" t="str">
            <v>-</v>
          </cell>
          <cell r="H301" t="str">
            <v>-</v>
          </cell>
          <cell r="I301" t="str">
            <v>-</v>
          </cell>
          <cell r="J301" t="str">
            <v>-</v>
          </cell>
          <cell r="K301" t="str">
            <v>REGULER</v>
          </cell>
          <cell r="L301" t="str">
            <v>REGULER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18</v>
          </cell>
          <cell r="S301">
            <v>15</v>
          </cell>
          <cell r="T301">
            <v>33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18</v>
          </cell>
          <cell r="AA301">
            <v>15</v>
          </cell>
          <cell r="AB301">
            <v>33</v>
          </cell>
          <cell r="AC301">
            <v>0</v>
          </cell>
          <cell r="AD301" t="str">
            <v>TIDAK</v>
          </cell>
          <cell r="AE301" t="str">
            <v>TIDAK</v>
          </cell>
          <cell r="AF301">
            <v>33</v>
          </cell>
          <cell r="AG301">
            <v>2</v>
          </cell>
          <cell r="AH301" t="str">
            <v>SAPHIRE</v>
          </cell>
          <cell r="AI301">
            <v>0</v>
          </cell>
          <cell r="AJ301" t="str">
            <v>FALSE</v>
          </cell>
          <cell r="AK301">
            <v>0</v>
          </cell>
          <cell r="AL301">
            <v>45261</v>
          </cell>
          <cell r="AM301">
            <v>45701</v>
          </cell>
          <cell r="AN301">
            <v>1</v>
          </cell>
          <cell r="AO301">
            <v>33</v>
          </cell>
          <cell r="AP301" t="str">
            <v>-</v>
          </cell>
          <cell r="AQ301" t="str">
            <v>-</v>
          </cell>
          <cell r="AR301" t="str">
            <v>REGULER</v>
          </cell>
          <cell r="AS301" t="str">
            <v>REGULER</v>
          </cell>
          <cell r="AT301" t="str">
            <v>REGULER</v>
          </cell>
          <cell r="AU301" t="str">
            <v>REGULER</v>
          </cell>
          <cell r="AV301" t="str">
            <v/>
          </cell>
          <cell r="AW301">
            <v>31</v>
          </cell>
          <cell r="AX301">
            <v>44</v>
          </cell>
          <cell r="AY301">
            <v>39</v>
          </cell>
          <cell r="AZ301">
            <v>37</v>
          </cell>
          <cell r="BA301">
            <v>15</v>
          </cell>
          <cell r="BB301">
            <v>31</v>
          </cell>
          <cell r="BC301">
            <v>44</v>
          </cell>
          <cell r="BD301">
            <v>39</v>
          </cell>
          <cell r="BE301">
            <v>37</v>
          </cell>
          <cell r="BF301">
            <v>15</v>
          </cell>
          <cell r="BG301">
            <v>4</v>
          </cell>
          <cell r="BH301">
            <v>31</v>
          </cell>
          <cell r="BI301">
            <v>44</v>
          </cell>
          <cell r="BJ301">
            <v>39</v>
          </cell>
          <cell r="BK301">
            <v>37</v>
          </cell>
          <cell r="BL301">
            <v>15</v>
          </cell>
          <cell r="BM301" t="str">
            <v/>
          </cell>
          <cell r="BN301">
            <v>170</v>
          </cell>
          <cell r="BO301">
            <v>4</v>
          </cell>
          <cell r="BP301">
            <v>31</v>
          </cell>
          <cell r="BQ301">
            <v>44</v>
          </cell>
          <cell r="BR301">
            <v>39</v>
          </cell>
          <cell r="BS301">
            <v>37</v>
          </cell>
          <cell r="BT301">
            <v>15</v>
          </cell>
          <cell r="BU301" t="str">
            <v/>
          </cell>
          <cell r="BV301">
            <v>170</v>
          </cell>
          <cell r="BW301">
            <v>1</v>
          </cell>
          <cell r="BX301" t="str">
            <v>TIDAK</v>
          </cell>
          <cell r="BY301" t="str">
            <v>TIDAK</v>
          </cell>
        </row>
        <row r="302">
          <cell r="A302" t="str">
            <v>A0977</v>
          </cell>
          <cell r="B302" t="str">
            <v>Ria Arianti</v>
          </cell>
          <cell r="C302" t="str">
            <v>DELTA</v>
          </cell>
          <cell r="D302">
            <v>44931</v>
          </cell>
          <cell r="E302" t="str">
            <v>Jan-23</v>
          </cell>
          <cell r="F302" t="str">
            <v>EKSKLUSIF</v>
          </cell>
          <cell r="G302" t="str">
            <v>EKSKLUSIF</v>
          </cell>
          <cell r="H302" t="str">
            <v>EKSKLUSIF</v>
          </cell>
          <cell r="I302" t="str">
            <v>EKSKLUSIF</v>
          </cell>
          <cell r="J302" t="str">
            <v>EKSKLUSIF</v>
          </cell>
          <cell r="K302" t="str">
            <v>EKSKLUSIF</v>
          </cell>
          <cell r="L302" t="str">
            <v>EKSKLUSIF</v>
          </cell>
          <cell r="M302">
            <v>22</v>
          </cell>
          <cell r="N302">
            <v>47</v>
          </cell>
          <cell r="O302">
            <v>42</v>
          </cell>
          <cell r="P302">
            <v>43</v>
          </cell>
          <cell r="Q302">
            <v>38</v>
          </cell>
          <cell r="R302">
            <v>43</v>
          </cell>
          <cell r="S302">
            <v>22</v>
          </cell>
          <cell r="T302">
            <v>257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 t="str">
            <v>TIDAK</v>
          </cell>
          <cell r="AE302" t="str">
            <v>TIDAK</v>
          </cell>
          <cell r="AF302">
            <v>0</v>
          </cell>
          <cell r="AG302">
            <v>3</v>
          </cell>
          <cell r="AH302" t="str">
            <v>SAPHIRE</v>
          </cell>
          <cell r="AI302">
            <v>0</v>
          </cell>
          <cell r="AJ302" t="str">
            <v>FALSE</v>
          </cell>
          <cell r="AK302">
            <v>0</v>
          </cell>
          <cell r="AL302">
            <v>45261</v>
          </cell>
          <cell r="AM302">
            <v>45701</v>
          </cell>
          <cell r="AN302">
            <v>1</v>
          </cell>
          <cell r="AO302">
            <v>0</v>
          </cell>
          <cell r="AP302" t="str">
            <v>EKSKLUSIF</v>
          </cell>
          <cell r="AQ302" t="str">
            <v>-</v>
          </cell>
          <cell r="AR302" t="str">
            <v>REGULER</v>
          </cell>
          <cell r="AS302" t="str">
            <v>EKSKLUSIF</v>
          </cell>
          <cell r="AT302" t="str">
            <v>EKSKLUSIF</v>
          </cell>
          <cell r="AU302" t="str">
            <v>EKSKLUSIF</v>
          </cell>
          <cell r="AV302" t="str">
            <v/>
          </cell>
          <cell r="AW302">
            <v>50</v>
          </cell>
          <cell r="AX302">
            <v>19</v>
          </cell>
          <cell r="AY302">
            <v>44</v>
          </cell>
          <cell r="AZ302">
            <v>48</v>
          </cell>
          <cell r="BA302">
            <v>46</v>
          </cell>
          <cell r="BB302">
            <v>50</v>
          </cell>
          <cell r="BC302">
            <v>19</v>
          </cell>
          <cell r="BD302">
            <v>44</v>
          </cell>
          <cell r="BE302">
            <v>48</v>
          </cell>
          <cell r="BF302">
            <v>46</v>
          </cell>
          <cell r="BG302">
            <v>19</v>
          </cell>
          <cell r="BH302">
            <v>50</v>
          </cell>
          <cell r="BI302">
            <v>19</v>
          </cell>
          <cell r="BJ302">
            <v>44</v>
          </cell>
          <cell r="BK302">
            <v>48</v>
          </cell>
          <cell r="BL302">
            <v>46</v>
          </cell>
          <cell r="BM302">
            <v>22</v>
          </cell>
          <cell r="BN302">
            <v>248</v>
          </cell>
          <cell r="BO302">
            <v>0</v>
          </cell>
          <cell r="BP302">
            <v>50</v>
          </cell>
          <cell r="BQ302">
            <v>19</v>
          </cell>
          <cell r="BR302">
            <v>0</v>
          </cell>
          <cell r="BS302">
            <v>0</v>
          </cell>
          <cell r="BT302">
            <v>0</v>
          </cell>
          <cell r="BU302">
            <v>22</v>
          </cell>
          <cell r="BV302">
            <v>91</v>
          </cell>
          <cell r="BW302">
            <v>0</v>
          </cell>
          <cell r="BX302" t="str">
            <v>TIDAK</v>
          </cell>
          <cell r="BY302" t="str">
            <v>TIDAK</v>
          </cell>
        </row>
        <row r="303">
          <cell r="A303" t="str">
            <v>A1648</v>
          </cell>
          <cell r="B303" t="str">
            <v>Ria Nuri</v>
          </cell>
          <cell r="C303" t="str">
            <v>DELTA</v>
          </cell>
          <cell r="D303">
            <v>44992</v>
          </cell>
          <cell r="E303" t="str">
            <v>Mar-23</v>
          </cell>
          <cell r="F303" t="str">
            <v>REGULER</v>
          </cell>
          <cell r="G303" t="str">
            <v>REGULER</v>
          </cell>
          <cell r="H303" t="str">
            <v>-</v>
          </cell>
          <cell r="I303" t="str">
            <v>REGULER</v>
          </cell>
          <cell r="J303" t="str">
            <v>REGULER</v>
          </cell>
          <cell r="K303" t="str">
            <v>REGULER</v>
          </cell>
          <cell r="L303" t="str">
            <v>-</v>
          </cell>
          <cell r="M303">
            <v>17</v>
          </cell>
          <cell r="N303">
            <v>32</v>
          </cell>
          <cell r="O303">
            <v>0</v>
          </cell>
          <cell r="P303">
            <v>34</v>
          </cell>
          <cell r="Q303">
            <v>15</v>
          </cell>
          <cell r="R303">
            <v>6</v>
          </cell>
          <cell r="S303" t="str">
            <v/>
          </cell>
          <cell r="T303">
            <v>104</v>
          </cell>
          <cell r="U303">
            <v>17</v>
          </cell>
          <cell r="V303">
            <v>32</v>
          </cell>
          <cell r="W303">
            <v>0</v>
          </cell>
          <cell r="X303">
            <v>34</v>
          </cell>
          <cell r="Y303">
            <v>15</v>
          </cell>
          <cell r="Z303">
            <v>6</v>
          </cell>
          <cell r="AA303" t="str">
            <v/>
          </cell>
          <cell r="AB303">
            <v>104</v>
          </cell>
          <cell r="AC303">
            <v>2</v>
          </cell>
          <cell r="AD303" t="str">
            <v>TIDAK</v>
          </cell>
          <cell r="AE303" t="str">
            <v>TIDAK</v>
          </cell>
          <cell r="AF303">
            <v>104</v>
          </cell>
          <cell r="AG303">
            <v>2</v>
          </cell>
          <cell r="AH303" t="str">
            <v>SAPHIRE</v>
          </cell>
          <cell r="AI303">
            <v>0</v>
          </cell>
          <cell r="AJ303" t="str">
            <v>Y</v>
          </cell>
          <cell r="AK303">
            <v>0</v>
          </cell>
          <cell r="AL303">
            <v>45261</v>
          </cell>
          <cell r="AM303">
            <v>45701</v>
          </cell>
          <cell r="AN303">
            <v>1</v>
          </cell>
          <cell r="AO303">
            <v>104</v>
          </cell>
          <cell r="AP303" t="str">
            <v>-</v>
          </cell>
          <cell r="AQ303" t="str">
            <v>-</v>
          </cell>
          <cell r="AR303" t="str">
            <v>REGULER</v>
          </cell>
          <cell r="AS303" t="str">
            <v>-</v>
          </cell>
          <cell r="AT303" t="str">
            <v>-</v>
          </cell>
          <cell r="AU303" t="str">
            <v>-</v>
          </cell>
          <cell r="AV303" t="str">
            <v/>
          </cell>
          <cell r="AW303">
            <v>0</v>
          </cell>
          <cell r="AX303">
            <v>1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1</v>
          </cell>
          <cell r="BD303">
            <v>0</v>
          </cell>
          <cell r="BE303">
            <v>0</v>
          </cell>
          <cell r="BF303">
            <v>0</v>
          </cell>
          <cell r="BG303" t="str">
            <v/>
          </cell>
          <cell r="BH303">
            <v>0</v>
          </cell>
          <cell r="BI303">
            <v>1</v>
          </cell>
          <cell r="BJ303">
            <v>0</v>
          </cell>
          <cell r="BK303">
            <v>0</v>
          </cell>
          <cell r="BL303">
            <v>0</v>
          </cell>
          <cell r="BM303" t="str">
            <v/>
          </cell>
          <cell r="BN303">
            <v>1</v>
          </cell>
          <cell r="BO303" t="str">
            <v/>
          </cell>
          <cell r="BP303">
            <v>0</v>
          </cell>
          <cell r="BQ303">
            <v>1</v>
          </cell>
          <cell r="BR303">
            <v>0</v>
          </cell>
          <cell r="BS303">
            <v>0</v>
          </cell>
          <cell r="BT303">
            <v>0</v>
          </cell>
          <cell r="BU303" t="str">
            <v/>
          </cell>
          <cell r="BV303">
            <v>1</v>
          </cell>
          <cell r="BW303">
            <v>6</v>
          </cell>
          <cell r="BX303" t="str">
            <v>DOWNGRADE</v>
          </cell>
          <cell r="BY303" t="str">
            <v>RESET</v>
          </cell>
        </row>
        <row r="304">
          <cell r="A304" t="str">
            <v>A1340</v>
          </cell>
          <cell r="B304" t="str">
            <v>Rievaldo Yoga Pratama</v>
          </cell>
          <cell r="C304" t="str">
            <v>DELTA</v>
          </cell>
          <cell r="D304">
            <v>44979</v>
          </cell>
          <cell r="E304" t="str">
            <v>Feb-23</v>
          </cell>
          <cell r="F304" t="str">
            <v>EKSKLUSIF</v>
          </cell>
          <cell r="G304" t="str">
            <v>EKSKLUSIF</v>
          </cell>
          <cell r="H304" t="str">
            <v>REGULER</v>
          </cell>
          <cell r="I304" t="str">
            <v>REGULER</v>
          </cell>
          <cell r="J304" t="str">
            <v>-</v>
          </cell>
          <cell r="K304" t="str">
            <v>EKSKLUSIF</v>
          </cell>
          <cell r="L304" t="str">
            <v>EKSKLUSIF</v>
          </cell>
          <cell r="M304">
            <v>20</v>
          </cell>
          <cell r="N304">
            <v>44</v>
          </cell>
          <cell r="O304">
            <v>15</v>
          </cell>
          <cell r="P304">
            <v>15</v>
          </cell>
          <cell r="Q304">
            <v>0</v>
          </cell>
          <cell r="R304">
            <v>44</v>
          </cell>
          <cell r="S304">
            <v>22</v>
          </cell>
          <cell r="T304">
            <v>160</v>
          </cell>
          <cell r="U304">
            <v>0</v>
          </cell>
          <cell r="V304">
            <v>0</v>
          </cell>
          <cell r="W304">
            <v>15</v>
          </cell>
          <cell r="X304">
            <v>15</v>
          </cell>
          <cell r="Y304">
            <v>0</v>
          </cell>
          <cell r="Z304">
            <v>0</v>
          </cell>
          <cell r="AA304">
            <v>0</v>
          </cell>
          <cell r="AB304">
            <v>30</v>
          </cell>
          <cell r="AC304">
            <v>1</v>
          </cell>
          <cell r="AD304" t="str">
            <v>TIDAK</v>
          </cell>
          <cell r="AE304" t="str">
            <v>TIDAK</v>
          </cell>
          <cell r="AF304">
            <v>30</v>
          </cell>
          <cell r="AG304">
            <v>2</v>
          </cell>
          <cell r="AH304" t="str">
            <v>SAPHIRE</v>
          </cell>
          <cell r="AI304">
            <v>0</v>
          </cell>
          <cell r="AJ304" t="str">
            <v>FALSE</v>
          </cell>
          <cell r="AK304">
            <v>0</v>
          </cell>
          <cell r="AL304">
            <v>45261</v>
          </cell>
          <cell r="AM304">
            <v>45701</v>
          </cell>
          <cell r="AN304">
            <v>1</v>
          </cell>
          <cell r="AO304">
            <v>30</v>
          </cell>
          <cell r="AP304" t="str">
            <v>EKSKLUSIF</v>
          </cell>
          <cell r="AQ304" t="str">
            <v>-</v>
          </cell>
          <cell r="AR304" t="str">
            <v>REGULER</v>
          </cell>
          <cell r="AS304" t="str">
            <v>REGULER</v>
          </cell>
          <cell r="AT304" t="str">
            <v>-</v>
          </cell>
          <cell r="AU304" t="str">
            <v>-</v>
          </cell>
          <cell r="AV304" t="str">
            <v/>
          </cell>
          <cell r="AW304">
            <v>50</v>
          </cell>
          <cell r="AX304">
            <v>44</v>
          </cell>
          <cell r="AY304">
            <v>20</v>
          </cell>
          <cell r="AZ304">
            <v>0</v>
          </cell>
          <cell r="BA304">
            <v>0</v>
          </cell>
          <cell r="BB304">
            <v>50</v>
          </cell>
          <cell r="BC304">
            <v>44</v>
          </cell>
          <cell r="BD304">
            <v>20</v>
          </cell>
          <cell r="BE304">
            <v>0</v>
          </cell>
          <cell r="BF304">
            <v>0</v>
          </cell>
          <cell r="BG304">
            <v>19</v>
          </cell>
          <cell r="BH304">
            <v>50</v>
          </cell>
          <cell r="BI304">
            <v>44</v>
          </cell>
          <cell r="BJ304">
            <v>20</v>
          </cell>
          <cell r="BK304">
            <v>0</v>
          </cell>
          <cell r="BL304">
            <v>0</v>
          </cell>
          <cell r="BM304" t="str">
            <v/>
          </cell>
          <cell r="BN304">
            <v>133</v>
          </cell>
          <cell r="BO304">
            <v>0</v>
          </cell>
          <cell r="BP304">
            <v>50</v>
          </cell>
          <cell r="BQ304">
            <v>44</v>
          </cell>
          <cell r="BR304">
            <v>20</v>
          </cell>
          <cell r="BS304">
            <v>0</v>
          </cell>
          <cell r="BT304">
            <v>0</v>
          </cell>
          <cell r="BU304" t="str">
            <v/>
          </cell>
          <cell r="BV304">
            <v>114</v>
          </cell>
          <cell r="BW304">
            <v>3</v>
          </cell>
          <cell r="BX304" t="str">
            <v>DOWNGRADE</v>
          </cell>
          <cell r="BY304" t="str">
            <v>RESET</v>
          </cell>
        </row>
        <row r="305">
          <cell r="A305" t="str">
            <v>A3533</v>
          </cell>
          <cell r="B305" t="str">
            <v>Rifka Nur Annisa</v>
          </cell>
          <cell r="C305" t="str">
            <v>DELTA</v>
          </cell>
          <cell r="D305">
            <v>45323</v>
          </cell>
          <cell r="E305" t="str">
            <v>Feb-24</v>
          </cell>
          <cell r="F305" t="str">
            <v>-</v>
          </cell>
          <cell r="G305" t="str">
            <v>-</v>
          </cell>
          <cell r="H305" t="str">
            <v>REGULER</v>
          </cell>
          <cell r="I305" t="str">
            <v>REGULER</v>
          </cell>
          <cell r="J305" t="str">
            <v>REGULER</v>
          </cell>
          <cell r="K305" t="str">
            <v>REGULER</v>
          </cell>
          <cell r="L305" t="str">
            <v>REGULER</v>
          </cell>
          <cell r="M305">
            <v>0</v>
          </cell>
          <cell r="N305">
            <v>0</v>
          </cell>
          <cell r="O305">
            <v>21</v>
          </cell>
          <cell r="P305">
            <v>33</v>
          </cell>
          <cell r="Q305">
            <v>32</v>
          </cell>
          <cell r="R305">
            <v>35</v>
          </cell>
          <cell r="S305">
            <v>18</v>
          </cell>
          <cell r="T305">
            <v>139</v>
          </cell>
          <cell r="U305">
            <v>0</v>
          </cell>
          <cell r="V305">
            <v>0</v>
          </cell>
          <cell r="W305">
            <v>21</v>
          </cell>
          <cell r="X305">
            <v>33</v>
          </cell>
          <cell r="Y305">
            <v>32</v>
          </cell>
          <cell r="Z305">
            <v>35</v>
          </cell>
          <cell r="AA305">
            <v>18</v>
          </cell>
          <cell r="AB305">
            <v>139</v>
          </cell>
          <cell r="AC305">
            <v>0</v>
          </cell>
          <cell r="AD305" t="str">
            <v>TIDAK</v>
          </cell>
          <cell r="AE305" t="str">
            <v>TIDAK</v>
          </cell>
          <cell r="AF305">
            <v>139</v>
          </cell>
          <cell r="AG305">
            <v>2</v>
          </cell>
          <cell r="AH305" t="str">
            <v>SAPHIRE</v>
          </cell>
          <cell r="AI305">
            <v>0</v>
          </cell>
          <cell r="AJ305" t="str">
            <v>Y</v>
          </cell>
          <cell r="AK305">
            <v>0</v>
          </cell>
          <cell r="AL305">
            <v>45261</v>
          </cell>
          <cell r="AM305">
            <v>45701</v>
          </cell>
          <cell r="AN305">
            <v>1</v>
          </cell>
          <cell r="AO305">
            <v>139</v>
          </cell>
          <cell r="AP305" t="str">
            <v>-</v>
          </cell>
          <cell r="AQ305" t="str">
            <v>-</v>
          </cell>
          <cell r="AR305" t="str">
            <v>REGULER</v>
          </cell>
          <cell r="AS305" t="str">
            <v>REGULER</v>
          </cell>
          <cell r="AT305" t="str">
            <v>-</v>
          </cell>
          <cell r="AU305" t="str">
            <v>-</v>
          </cell>
          <cell r="AV305" t="str">
            <v/>
          </cell>
          <cell r="AW305">
            <v>26</v>
          </cell>
          <cell r="AX305">
            <v>25</v>
          </cell>
          <cell r="AY305">
            <v>16</v>
          </cell>
          <cell r="AZ305">
            <v>0</v>
          </cell>
          <cell r="BA305">
            <v>0</v>
          </cell>
          <cell r="BB305">
            <v>26</v>
          </cell>
          <cell r="BC305">
            <v>25</v>
          </cell>
          <cell r="BD305">
            <v>16</v>
          </cell>
          <cell r="BE305">
            <v>0</v>
          </cell>
          <cell r="BF305">
            <v>0</v>
          </cell>
          <cell r="BG305">
            <v>16</v>
          </cell>
          <cell r="BH305">
            <v>26</v>
          </cell>
          <cell r="BI305">
            <v>25</v>
          </cell>
          <cell r="BJ305">
            <v>16</v>
          </cell>
          <cell r="BK305">
            <v>0</v>
          </cell>
          <cell r="BL305">
            <v>0</v>
          </cell>
          <cell r="BM305" t="str">
            <v/>
          </cell>
          <cell r="BN305">
            <v>83</v>
          </cell>
          <cell r="BO305">
            <v>16</v>
          </cell>
          <cell r="BP305">
            <v>26</v>
          </cell>
          <cell r="BQ305">
            <v>25</v>
          </cell>
          <cell r="BR305">
            <v>16</v>
          </cell>
          <cell r="BS305">
            <v>0</v>
          </cell>
          <cell r="BT305">
            <v>0</v>
          </cell>
          <cell r="BU305" t="str">
            <v/>
          </cell>
          <cell r="BV305">
            <v>83</v>
          </cell>
          <cell r="BW305">
            <v>3</v>
          </cell>
          <cell r="BX305" t="str">
            <v>DOWNGRADE</v>
          </cell>
          <cell r="BY305" t="str">
            <v>RESET</v>
          </cell>
        </row>
        <row r="306">
          <cell r="A306" t="str">
            <v>A2511</v>
          </cell>
          <cell r="B306" t="str">
            <v>Risky Mutiara Dyah Ayu Wisnu W Wardhani</v>
          </cell>
          <cell r="C306" t="str">
            <v>DELTA</v>
          </cell>
          <cell r="D306">
            <v>45079</v>
          </cell>
          <cell r="E306" t="str">
            <v>Jun-23</v>
          </cell>
          <cell r="F306" t="str">
            <v>EKSKLUSIF</v>
          </cell>
          <cell r="G306" t="str">
            <v>REGULER</v>
          </cell>
          <cell r="H306" t="str">
            <v>REGULER</v>
          </cell>
          <cell r="I306" t="str">
            <v>REGULER</v>
          </cell>
          <cell r="J306" t="str">
            <v>REGULER</v>
          </cell>
          <cell r="K306" t="str">
            <v>-</v>
          </cell>
          <cell r="L306" t="str">
            <v>-</v>
          </cell>
          <cell r="M306">
            <v>18</v>
          </cell>
          <cell r="N306">
            <v>5</v>
          </cell>
          <cell r="O306">
            <v>15</v>
          </cell>
          <cell r="P306">
            <v>5</v>
          </cell>
          <cell r="Q306">
            <v>2</v>
          </cell>
          <cell r="R306">
            <v>0</v>
          </cell>
          <cell r="S306" t="str">
            <v/>
          </cell>
          <cell r="T306">
            <v>45</v>
          </cell>
          <cell r="U306">
            <v>0</v>
          </cell>
          <cell r="V306">
            <v>5</v>
          </cell>
          <cell r="W306">
            <v>15</v>
          </cell>
          <cell r="X306">
            <v>5</v>
          </cell>
          <cell r="Y306">
            <v>2</v>
          </cell>
          <cell r="Z306">
            <v>0</v>
          </cell>
          <cell r="AA306" t="str">
            <v/>
          </cell>
          <cell r="AB306">
            <v>27</v>
          </cell>
          <cell r="AC306">
            <v>2</v>
          </cell>
          <cell r="AD306" t="str">
            <v>TIDAK</v>
          </cell>
          <cell r="AE306" t="str">
            <v>TIDAK</v>
          </cell>
          <cell r="AF306">
            <v>27</v>
          </cell>
          <cell r="AG306">
            <v>2</v>
          </cell>
          <cell r="AH306" t="str">
            <v>SAPHIRE</v>
          </cell>
          <cell r="AI306">
            <v>0</v>
          </cell>
          <cell r="AJ306" t="str">
            <v>FALSE</v>
          </cell>
          <cell r="AK306">
            <v>0</v>
          </cell>
          <cell r="AL306">
            <v>45261</v>
          </cell>
          <cell r="AM306">
            <v>45701</v>
          </cell>
          <cell r="AN306">
            <v>1</v>
          </cell>
          <cell r="AO306">
            <v>27</v>
          </cell>
          <cell r="AP306" t="str">
            <v>-</v>
          </cell>
          <cell r="AQ306" t="str">
            <v>-</v>
          </cell>
          <cell r="AR306" t="str">
            <v>-</v>
          </cell>
          <cell r="AS306" t="str">
            <v>-</v>
          </cell>
          <cell r="AT306" t="str">
            <v>-</v>
          </cell>
          <cell r="AU306" t="str">
            <v>-</v>
          </cell>
          <cell r="AV306" t="str">
            <v/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 t="str">
            <v/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 t="str">
            <v/>
          </cell>
          <cell r="BN306">
            <v>0</v>
          </cell>
          <cell r="BO306" t="str">
            <v/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 t="str">
            <v/>
          </cell>
          <cell r="BV306">
            <v>0</v>
          </cell>
          <cell r="BW306">
            <v>7</v>
          </cell>
          <cell r="BX306" t="str">
            <v>DOWNGRADE</v>
          </cell>
          <cell r="BY306" t="str">
            <v>RESET</v>
          </cell>
        </row>
        <row r="307">
          <cell r="A307" t="str">
            <v>A3905</v>
          </cell>
          <cell r="B307" t="str">
            <v>Rismawaty</v>
          </cell>
          <cell r="C307" t="str">
            <v>DELTA</v>
          </cell>
          <cell r="D307">
            <v>45412</v>
          </cell>
          <cell r="E307" t="str">
            <v>Apr-24</v>
          </cell>
          <cell r="F307" t="str">
            <v>-</v>
          </cell>
          <cell r="G307" t="str">
            <v>-</v>
          </cell>
          <cell r="H307" t="str">
            <v>-</v>
          </cell>
          <cell r="I307" t="str">
            <v>-</v>
          </cell>
          <cell r="J307" t="str">
            <v>REGULER</v>
          </cell>
          <cell r="K307" t="str">
            <v>REGULER</v>
          </cell>
          <cell r="L307" t="str">
            <v>REGULER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1</v>
          </cell>
          <cell r="R307">
            <v>2</v>
          </cell>
          <cell r="S307">
            <v>17</v>
          </cell>
          <cell r="T307">
            <v>20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1</v>
          </cell>
          <cell r="Z307">
            <v>2</v>
          </cell>
          <cell r="AA307">
            <v>17</v>
          </cell>
          <cell r="AB307">
            <v>20</v>
          </cell>
          <cell r="AC307">
            <v>0</v>
          </cell>
          <cell r="AD307" t="str">
            <v>TIDAK</v>
          </cell>
          <cell r="AE307" t="str">
            <v>TIDAK</v>
          </cell>
          <cell r="AF307">
            <v>20</v>
          </cell>
          <cell r="AG307">
            <v>2</v>
          </cell>
          <cell r="AH307" t="str">
            <v>SAPHIRE</v>
          </cell>
          <cell r="AI307">
            <v>0</v>
          </cell>
          <cell r="AJ307" t="str">
            <v>FALSE</v>
          </cell>
          <cell r="AK307">
            <v>0</v>
          </cell>
          <cell r="AL307">
            <v>45261</v>
          </cell>
          <cell r="AM307">
            <v>45701</v>
          </cell>
          <cell r="AN307">
            <v>1</v>
          </cell>
          <cell r="AO307">
            <v>20</v>
          </cell>
          <cell r="AP307" t="str">
            <v>-</v>
          </cell>
          <cell r="AQ307" t="str">
            <v>-</v>
          </cell>
          <cell r="AR307" t="str">
            <v>REGULER</v>
          </cell>
          <cell r="AS307" t="str">
            <v>REGULER</v>
          </cell>
          <cell r="AT307" t="str">
            <v>REGULER</v>
          </cell>
          <cell r="AU307" t="str">
            <v>REGULER</v>
          </cell>
          <cell r="AV307" t="str">
            <v/>
          </cell>
          <cell r="AW307">
            <v>36</v>
          </cell>
          <cell r="AX307">
            <v>42</v>
          </cell>
          <cell r="AY307">
            <v>38</v>
          </cell>
          <cell r="AZ307">
            <v>42</v>
          </cell>
          <cell r="BA307">
            <v>39</v>
          </cell>
          <cell r="BB307">
            <v>36</v>
          </cell>
          <cell r="BC307">
            <v>42</v>
          </cell>
          <cell r="BD307">
            <v>38</v>
          </cell>
          <cell r="BE307">
            <v>42</v>
          </cell>
          <cell r="BF307">
            <v>39</v>
          </cell>
          <cell r="BG307">
            <v>12</v>
          </cell>
          <cell r="BH307">
            <v>36</v>
          </cell>
          <cell r="BI307">
            <v>42</v>
          </cell>
          <cell r="BJ307">
            <v>38</v>
          </cell>
          <cell r="BK307">
            <v>42</v>
          </cell>
          <cell r="BL307">
            <v>39</v>
          </cell>
          <cell r="BM307">
            <v>19</v>
          </cell>
          <cell r="BN307">
            <v>228</v>
          </cell>
          <cell r="BO307">
            <v>12</v>
          </cell>
          <cell r="BP307">
            <v>36</v>
          </cell>
          <cell r="BQ307">
            <v>42</v>
          </cell>
          <cell r="BR307">
            <v>38</v>
          </cell>
          <cell r="BS307">
            <v>42</v>
          </cell>
          <cell r="BT307">
            <v>39</v>
          </cell>
          <cell r="BU307">
            <v>19</v>
          </cell>
          <cell r="BV307">
            <v>228</v>
          </cell>
          <cell r="BW307">
            <v>0</v>
          </cell>
          <cell r="BX307" t="str">
            <v>TIDAK</v>
          </cell>
          <cell r="BY307" t="str">
            <v>TIDAK</v>
          </cell>
        </row>
        <row r="308">
          <cell r="A308" t="str">
            <v>A0879</v>
          </cell>
          <cell r="B308" t="str">
            <v>Risza Anggun Dwi Ariananda</v>
          </cell>
          <cell r="C308" t="str">
            <v>DELTA</v>
          </cell>
          <cell r="D308">
            <v>44931</v>
          </cell>
          <cell r="E308" t="str">
            <v>Jan-23</v>
          </cell>
          <cell r="F308" t="str">
            <v>EKSKLUSIF</v>
          </cell>
          <cell r="G308" t="str">
            <v>EKSKLUSIF</v>
          </cell>
          <cell r="H308" t="str">
            <v>EKSKLUSIF</v>
          </cell>
          <cell r="I308" t="str">
            <v>EKSKLUSIF</v>
          </cell>
          <cell r="J308" t="str">
            <v>EKSKLUSIF</v>
          </cell>
          <cell r="K308" t="str">
            <v>EKSKLUSIF</v>
          </cell>
          <cell r="L308" t="str">
            <v>EKSKLUSIF</v>
          </cell>
          <cell r="M308">
            <v>21</v>
          </cell>
          <cell r="N308">
            <v>46</v>
          </cell>
          <cell r="O308">
            <v>42</v>
          </cell>
          <cell r="P308">
            <v>44</v>
          </cell>
          <cell r="Q308">
            <v>38</v>
          </cell>
          <cell r="R308">
            <v>43</v>
          </cell>
          <cell r="S308">
            <v>22</v>
          </cell>
          <cell r="T308">
            <v>256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 t="str">
            <v>TIDAK</v>
          </cell>
          <cell r="AE308" t="str">
            <v>TIDAK</v>
          </cell>
          <cell r="AF308">
            <v>0</v>
          </cell>
          <cell r="AG308">
            <v>2</v>
          </cell>
          <cell r="AH308" t="str">
            <v>SAPHIRE</v>
          </cell>
          <cell r="AI308">
            <v>0</v>
          </cell>
          <cell r="AJ308" t="str">
            <v>FALSE</v>
          </cell>
          <cell r="AK308">
            <v>0</v>
          </cell>
          <cell r="AL308">
            <v>45261</v>
          </cell>
          <cell r="AM308">
            <v>45701</v>
          </cell>
          <cell r="AN308">
            <v>1</v>
          </cell>
          <cell r="AO308">
            <v>0</v>
          </cell>
          <cell r="AP308" t="str">
            <v>EKSKLUSIF</v>
          </cell>
          <cell r="AQ308" t="str">
            <v>-</v>
          </cell>
          <cell r="AR308" t="str">
            <v>EKSKLUSIF</v>
          </cell>
          <cell r="AS308" t="str">
            <v>EKSKLUSIF</v>
          </cell>
          <cell r="AT308" t="str">
            <v>EKSKLUSIF</v>
          </cell>
          <cell r="AU308" t="str">
            <v>EKSKLUSIF</v>
          </cell>
          <cell r="AV308" t="str">
            <v/>
          </cell>
          <cell r="AW308">
            <v>50</v>
          </cell>
          <cell r="AX308">
            <v>47</v>
          </cell>
          <cell r="AY308">
            <v>43</v>
          </cell>
          <cell r="AZ308">
            <v>47</v>
          </cell>
          <cell r="BA308">
            <v>44</v>
          </cell>
          <cell r="BB308">
            <v>50</v>
          </cell>
          <cell r="BC308">
            <v>47</v>
          </cell>
          <cell r="BD308">
            <v>43</v>
          </cell>
          <cell r="BE308">
            <v>47</v>
          </cell>
          <cell r="BF308">
            <v>44</v>
          </cell>
          <cell r="BG308">
            <v>19</v>
          </cell>
          <cell r="BH308">
            <v>50</v>
          </cell>
          <cell r="BI308">
            <v>47</v>
          </cell>
          <cell r="BJ308">
            <v>43</v>
          </cell>
          <cell r="BK308">
            <v>47</v>
          </cell>
          <cell r="BL308">
            <v>44</v>
          </cell>
          <cell r="BM308">
            <v>21</v>
          </cell>
          <cell r="BN308">
            <v>271</v>
          </cell>
          <cell r="BO308">
            <v>0</v>
          </cell>
          <cell r="BP308">
            <v>50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21</v>
          </cell>
          <cell r="BV308">
            <v>71</v>
          </cell>
          <cell r="BW308">
            <v>0</v>
          </cell>
          <cell r="BX308" t="str">
            <v>TIDAK</v>
          </cell>
          <cell r="BY308" t="str">
            <v>TIDAK</v>
          </cell>
        </row>
        <row r="309">
          <cell r="A309" t="str">
            <v>A0225</v>
          </cell>
          <cell r="B309" t="str">
            <v>Rizal Saputra</v>
          </cell>
          <cell r="C309" t="str">
            <v>DELTA</v>
          </cell>
          <cell r="D309">
            <v>44866</v>
          </cell>
          <cell r="E309" t="str">
            <v>Nov-22</v>
          </cell>
          <cell r="F309" t="str">
            <v>EKSKLUSIF</v>
          </cell>
          <cell r="G309" t="str">
            <v>EKSKLUSIF</v>
          </cell>
          <cell r="H309" t="str">
            <v>EKSKLUSIF</v>
          </cell>
          <cell r="I309" t="str">
            <v>EKSKLUSIF</v>
          </cell>
          <cell r="J309" t="str">
            <v>EKSKLUSIF</v>
          </cell>
          <cell r="K309" t="str">
            <v>EKSKLUSIF</v>
          </cell>
          <cell r="L309" t="str">
            <v>EKSKLUSIF</v>
          </cell>
          <cell r="M309">
            <v>22</v>
          </cell>
          <cell r="N309">
            <v>47</v>
          </cell>
          <cell r="O309">
            <v>42</v>
          </cell>
          <cell r="P309">
            <v>44</v>
          </cell>
          <cell r="Q309">
            <v>39</v>
          </cell>
          <cell r="R309">
            <v>42</v>
          </cell>
          <cell r="S309">
            <v>22</v>
          </cell>
          <cell r="T309">
            <v>258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 t="str">
            <v>TIDAK</v>
          </cell>
          <cell r="AE309" t="str">
            <v>TIDAK</v>
          </cell>
          <cell r="AF309">
            <v>0</v>
          </cell>
          <cell r="AG309">
            <v>2</v>
          </cell>
          <cell r="AH309" t="str">
            <v>SAPHIRE</v>
          </cell>
          <cell r="AI309">
            <v>0</v>
          </cell>
          <cell r="AJ309" t="str">
            <v>FALSE</v>
          </cell>
          <cell r="AK309">
            <v>0</v>
          </cell>
          <cell r="AL309">
            <v>45261</v>
          </cell>
          <cell r="AM309">
            <v>45701</v>
          </cell>
          <cell r="AN309">
            <v>1</v>
          </cell>
          <cell r="AO309">
            <v>0</v>
          </cell>
          <cell r="AP309" t="str">
            <v>EKSKLUSIF</v>
          </cell>
          <cell r="AQ309" t="str">
            <v>-</v>
          </cell>
          <cell r="AR309" t="str">
            <v>EKSKLUSIF</v>
          </cell>
          <cell r="AS309" t="str">
            <v>EKSKLUSIF</v>
          </cell>
          <cell r="AT309" t="str">
            <v>EKSKLUSIF</v>
          </cell>
          <cell r="AU309" t="str">
            <v>REGULER</v>
          </cell>
          <cell r="AV309" t="str">
            <v/>
          </cell>
          <cell r="AW309">
            <v>50</v>
          </cell>
          <cell r="AX309">
            <v>49</v>
          </cell>
          <cell r="AY309">
            <v>43</v>
          </cell>
          <cell r="AZ309">
            <v>47</v>
          </cell>
          <cell r="BA309">
            <v>40</v>
          </cell>
          <cell r="BB309">
            <v>50</v>
          </cell>
          <cell r="BC309">
            <v>49</v>
          </cell>
          <cell r="BD309">
            <v>43</v>
          </cell>
          <cell r="BE309">
            <v>47</v>
          </cell>
          <cell r="BF309">
            <v>40</v>
          </cell>
          <cell r="BG309">
            <v>20</v>
          </cell>
          <cell r="BH309">
            <v>50</v>
          </cell>
          <cell r="BI309">
            <v>49</v>
          </cell>
          <cell r="BJ309">
            <v>43</v>
          </cell>
          <cell r="BK309">
            <v>47</v>
          </cell>
          <cell r="BL309">
            <v>40</v>
          </cell>
          <cell r="BM309">
            <v>20</v>
          </cell>
          <cell r="BN309">
            <v>269</v>
          </cell>
          <cell r="BO309">
            <v>0</v>
          </cell>
          <cell r="BP309">
            <v>50</v>
          </cell>
          <cell r="BQ309">
            <v>0</v>
          </cell>
          <cell r="BR309">
            <v>0</v>
          </cell>
          <cell r="BS309">
            <v>0</v>
          </cell>
          <cell r="BT309">
            <v>40</v>
          </cell>
          <cell r="BU309">
            <v>20</v>
          </cell>
          <cell r="BV309">
            <v>110</v>
          </cell>
          <cell r="BW309">
            <v>0</v>
          </cell>
          <cell r="BX309" t="str">
            <v>TIDAK</v>
          </cell>
          <cell r="BY309" t="str">
            <v>TIDAK</v>
          </cell>
        </row>
        <row r="310">
          <cell r="A310" t="str">
            <v>A2418</v>
          </cell>
          <cell r="B310" t="str">
            <v>Rizka Maulia Rokhmah</v>
          </cell>
          <cell r="C310" t="str">
            <v>DELTA</v>
          </cell>
          <cell r="D310">
            <v>45156</v>
          </cell>
          <cell r="E310" t="str">
            <v>Aug-23</v>
          </cell>
          <cell r="F310" t="str">
            <v>REGULER</v>
          </cell>
          <cell r="G310" t="str">
            <v>REGULER</v>
          </cell>
          <cell r="H310" t="str">
            <v>REGULER</v>
          </cell>
          <cell r="I310" t="str">
            <v>REGULER</v>
          </cell>
          <cell r="J310" t="str">
            <v>REGULER</v>
          </cell>
          <cell r="K310" t="str">
            <v>REGULER</v>
          </cell>
          <cell r="L310" t="str">
            <v>REGULER</v>
          </cell>
          <cell r="M310">
            <v>4</v>
          </cell>
          <cell r="N310">
            <v>12</v>
          </cell>
          <cell r="O310">
            <v>1</v>
          </cell>
          <cell r="P310">
            <v>8</v>
          </cell>
          <cell r="Q310">
            <v>30</v>
          </cell>
          <cell r="R310">
            <v>38</v>
          </cell>
          <cell r="S310">
            <v>21</v>
          </cell>
          <cell r="T310">
            <v>114</v>
          </cell>
          <cell r="U310">
            <v>4</v>
          </cell>
          <cell r="V310">
            <v>12</v>
          </cell>
          <cell r="W310">
            <v>1</v>
          </cell>
          <cell r="X310">
            <v>8</v>
          </cell>
          <cell r="Y310">
            <v>30</v>
          </cell>
          <cell r="Z310">
            <v>38</v>
          </cell>
          <cell r="AA310">
            <v>21</v>
          </cell>
          <cell r="AB310">
            <v>114</v>
          </cell>
          <cell r="AC310">
            <v>0</v>
          </cell>
          <cell r="AD310" t="str">
            <v>TIDAK</v>
          </cell>
          <cell r="AE310" t="str">
            <v>TIDAK</v>
          </cell>
          <cell r="AF310">
            <v>114</v>
          </cell>
          <cell r="AG310">
            <v>2</v>
          </cell>
          <cell r="AH310" t="str">
            <v>SAPHIRE</v>
          </cell>
          <cell r="AI310">
            <v>0</v>
          </cell>
          <cell r="AJ310" t="str">
            <v>Y</v>
          </cell>
          <cell r="AK310">
            <v>0</v>
          </cell>
          <cell r="AL310">
            <v>45261</v>
          </cell>
          <cell r="AM310">
            <v>45701</v>
          </cell>
          <cell r="AN310">
            <v>1</v>
          </cell>
          <cell r="AO310">
            <v>114</v>
          </cell>
          <cell r="AP310" t="str">
            <v>-</v>
          </cell>
          <cell r="AQ310" t="str">
            <v>-</v>
          </cell>
          <cell r="AR310" t="str">
            <v>REGULER</v>
          </cell>
          <cell r="AS310" t="str">
            <v>REGULER</v>
          </cell>
          <cell r="AT310" t="str">
            <v>REGULER</v>
          </cell>
          <cell r="AU310" t="str">
            <v>REGULER</v>
          </cell>
          <cell r="AV310" t="str">
            <v/>
          </cell>
          <cell r="AW310">
            <v>33</v>
          </cell>
          <cell r="AX310">
            <v>42</v>
          </cell>
          <cell r="AY310">
            <v>24</v>
          </cell>
          <cell r="AZ310">
            <v>23</v>
          </cell>
          <cell r="BA310">
            <v>25</v>
          </cell>
          <cell r="BB310">
            <v>33</v>
          </cell>
          <cell r="BC310">
            <v>42</v>
          </cell>
          <cell r="BD310">
            <v>24</v>
          </cell>
          <cell r="BE310">
            <v>23</v>
          </cell>
          <cell r="BF310">
            <v>25</v>
          </cell>
          <cell r="BG310">
            <v>15</v>
          </cell>
          <cell r="BH310">
            <v>33</v>
          </cell>
          <cell r="BI310">
            <v>42</v>
          </cell>
          <cell r="BJ310">
            <v>24</v>
          </cell>
          <cell r="BK310">
            <v>23</v>
          </cell>
          <cell r="BL310">
            <v>25</v>
          </cell>
          <cell r="BM310">
            <v>16</v>
          </cell>
          <cell r="BN310">
            <v>178</v>
          </cell>
          <cell r="BO310">
            <v>15</v>
          </cell>
          <cell r="BP310">
            <v>33</v>
          </cell>
          <cell r="BQ310">
            <v>42</v>
          </cell>
          <cell r="BR310">
            <v>24</v>
          </cell>
          <cell r="BS310">
            <v>23</v>
          </cell>
          <cell r="BT310">
            <v>25</v>
          </cell>
          <cell r="BU310">
            <v>16</v>
          </cell>
          <cell r="BV310">
            <v>178</v>
          </cell>
          <cell r="BW310">
            <v>0</v>
          </cell>
          <cell r="BX310" t="str">
            <v>TIDAK</v>
          </cell>
          <cell r="BY310" t="str">
            <v>TIDAK</v>
          </cell>
        </row>
        <row r="311">
          <cell r="A311" t="str">
            <v>A3448</v>
          </cell>
          <cell r="B311" t="str">
            <v>Rizky Armi Agustin</v>
          </cell>
          <cell r="C311" t="str">
            <v>DELTA</v>
          </cell>
          <cell r="D311">
            <v>45328</v>
          </cell>
          <cell r="E311" t="str">
            <v>Feb-24</v>
          </cell>
          <cell r="F311" t="str">
            <v>-</v>
          </cell>
          <cell r="G311" t="str">
            <v>-</v>
          </cell>
          <cell r="H311" t="str">
            <v>REGULER</v>
          </cell>
          <cell r="I311" t="str">
            <v>-</v>
          </cell>
          <cell r="J311" t="str">
            <v>-</v>
          </cell>
          <cell r="K311" t="str">
            <v>-</v>
          </cell>
          <cell r="L311" t="str">
            <v>-</v>
          </cell>
          <cell r="M311">
            <v>0</v>
          </cell>
          <cell r="N311">
            <v>0</v>
          </cell>
          <cell r="O311">
            <v>6</v>
          </cell>
          <cell r="P311">
            <v>0</v>
          </cell>
          <cell r="Q311">
            <v>0</v>
          </cell>
          <cell r="R311">
            <v>0</v>
          </cell>
          <cell r="S311" t="str">
            <v/>
          </cell>
          <cell r="T311">
            <v>6</v>
          </cell>
          <cell r="U311">
            <v>0</v>
          </cell>
          <cell r="V311">
            <v>0</v>
          </cell>
          <cell r="W311">
            <v>6</v>
          </cell>
          <cell r="X311">
            <v>0</v>
          </cell>
          <cell r="Y311">
            <v>0</v>
          </cell>
          <cell r="Z311">
            <v>0</v>
          </cell>
          <cell r="AA311" t="str">
            <v/>
          </cell>
          <cell r="AB311">
            <v>6</v>
          </cell>
          <cell r="AC311">
            <v>4</v>
          </cell>
          <cell r="AD311" t="str">
            <v>DOWNGRADE</v>
          </cell>
          <cell r="AE311" t="str">
            <v>RESET</v>
          </cell>
          <cell r="AF311">
            <v>0</v>
          </cell>
          <cell r="AG311">
            <v>2</v>
          </cell>
          <cell r="AH311" t="str">
            <v>SAPHIRE</v>
          </cell>
          <cell r="AI311">
            <v>0</v>
          </cell>
          <cell r="AJ311" t="str">
            <v>FALSE</v>
          </cell>
          <cell r="AK311">
            <v>0</v>
          </cell>
          <cell r="AL311">
            <v>45261</v>
          </cell>
          <cell r="AM311">
            <v>45701</v>
          </cell>
          <cell r="AN311">
            <v>1</v>
          </cell>
          <cell r="AO311">
            <v>0</v>
          </cell>
          <cell r="AP311" t="str">
            <v>-</v>
          </cell>
          <cell r="AQ311" t="str">
            <v>-</v>
          </cell>
          <cell r="AR311" t="str">
            <v>-</v>
          </cell>
          <cell r="AS311" t="str">
            <v>-</v>
          </cell>
          <cell r="AT311" t="str">
            <v>-</v>
          </cell>
          <cell r="AU311" t="str">
            <v>-</v>
          </cell>
          <cell r="AV311" t="str">
            <v/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 t="str">
            <v/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 t="str">
            <v/>
          </cell>
          <cell r="BN311">
            <v>0</v>
          </cell>
          <cell r="BO311" t="str">
            <v/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 t="str">
            <v/>
          </cell>
          <cell r="BV311">
            <v>0</v>
          </cell>
          <cell r="BW311">
            <v>7</v>
          </cell>
          <cell r="BX311" t="str">
            <v>DOWNGRADE</v>
          </cell>
          <cell r="BY311" t="str">
            <v>RESET</v>
          </cell>
        </row>
        <row r="312">
          <cell r="A312" t="str">
            <v>A3534</v>
          </cell>
          <cell r="B312" t="str">
            <v>Rizna Novalinda Wardana</v>
          </cell>
          <cell r="C312" t="str">
            <v>DELTA</v>
          </cell>
          <cell r="D312">
            <v>45341</v>
          </cell>
          <cell r="E312" t="str">
            <v>Feb-24</v>
          </cell>
          <cell r="F312" t="str">
            <v>-</v>
          </cell>
          <cell r="G312" t="str">
            <v>-</v>
          </cell>
          <cell r="H312" t="str">
            <v>REGULER</v>
          </cell>
          <cell r="I312" t="str">
            <v>REGULER</v>
          </cell>
          <cell r="J312" t="str">
            <v>REGULER</v>
          </cell>
          <cell r="K312" t="str">
            <v>REGULER</v>
          </cell>
          <cell r="L312" t="str">
            <v>-</v>
          </cell>
          <cell r="M312">
            <v>0</v>
          </cell>
          <cell r="N312">
            <v>0</v>
          </cell>
          <cell r="O312">
            <v>10</v>
          </cell>
          <cell r="P312">
            <v>5</v>
          </cell>
          <cell r="Q312">
            <v>9</v>
          </cell>
          <cell r="R312">
            <v>21</v>
          </cell>
          <cell r="S312" t="str">
            <v/>
          </cell>
          <cell r="T312">
            <v>45</v>
          </cell>
          <cell r="U312">
            <v>0</v>
          </cell>
          <cell r="V312">
            <v>0</v>
          </cell>
          <cell r="W312">
            <v>10</v>
          </cell>
          <cell r="X312">
            <v>5</v>
          </cell>
          <cell r="Y312">
            <v>9</v>
          </cell>
          <cell r="Z312">
            <v>21</v>
          </cell>
          <cell r="AA312" t="str">
            <v/>
          </cell>
          <cell r="AB312">
            <v>45</v>
          </cell>
          <cell r="AC312">
            <v>1</v>
          </cell>
          <cell r="AD312" t="str">
            <v>TIDAK</v>
          </cell>
          <cell r="AE312" t="str">
            <v>TIDAK</v>
          </cell>
          <cell r="AF312">
            <v>45</v>
          </cell>
          <cell r="AG312">
            <v>2</v>
          </cell>
          <cell r="AH312" t="str">
            <v>SAPHIRE</v>
          </cell>
          <cell r="AI312">
            <v>0</v>
          </cell>
          <cell r="AJ312" t="str">
            <v>FALSE</v>
          </cell>
          <cell r="AK312">
            <v>0</v>
          </cell>
          <cell r="AL312">
            <v>45261</v>
          </cell>
          <cell r="AM312">
            <v>45701</v>
          </cell>
          <cell r="AN312">
            <v>1</v>
          </cell>
          <cell r="AO312">
            <v>45</v>
          </cell>
          <cell r="AP312" t="str">
            <v>-</v>
          </cell>
          <cell r="AQ312" t="str">
            <v>-</v>
          </cell>
          <cell r="AR312" t="str">
            <v>REGULER</v>
          </cell>
          <cell r="AS312" t="str">
            <v>REGULER</v>
          </cell>
          <cell r="AT312" t="str">
            <v>REGULER</v>
          </cell>
          <cell r="AU312" t="str">
            <v>REGULER</v>
          </cell>
          <cell r="AV312" t="str">
            <v/>
          </cell>
          <cell r="AW312">
            <v>23</v>
          </cell>
          <cell r="AX312">
            <v>15</v>
          </cell>
          <cell r="AY312">
            <v>21</v>
          </cell>
          <cell r="AZ312">
            <v>23</v>
          </cell>
          <cell r="BA312">
            <v>35</v>
          </cell>
          <cell r="BB312">
            <v>23</v>
          </cell>
          <cell r="BC312">
            <v>15</v>
          </cell>
          <cell r="BD312">
            <v>21</v>
          </cell>
          <cell r="BE312">
            <v>23</v>
          </cell>
          <cell r="BF312">
            <v>35</v>
          </cell>
          <cell r="BG312">
            <v>3</v>
          </cell>
          <cell r="BH312">
            <v>23</v>
          </cell>
          <cell r="BI312">
            <v>15</v>
          </cell>
          <cell r="BJ312">
            <v>21</v>
          </cell>
          <cell r="BK312">
            <v>23</v>
          </cell>
          <cell r="BL312">
            <v>35</v>
          </cell>
          <cell r="BM312">
            <v>5</v>
          </cell>
          <cell r="BN312">
            <v>125</v>
          </cell>
          <cell r="BO312">
            <v>3</v>
          </cell>
          <cell r="BP312">
            <v>23</v>
          </cell>
          <cell r="BQ312">
            <v>15</v>
          </cell>
          <cell r="BR312">
            <v>21</v>
          </cell>
          <cell r="BS312">
            <v>23</v>
          </cell>
          <cell r="BT312">
            <v>35</v>
          </cell>
          <cell r="BU312">
            <v>5</v>
          </cell>
          <cell r="BV312">
            <v>125</v>
          </cell>
          <cell r="BW312">
            <v>0</v>
          </cell>
          <cell r="BX312" t="str">
            <v>TIDAK</v>
          </cell>
          <cell r="BY312" t="str">
            <v>TIDAK</v>
          </cell>
        </row>
        <row r="313">
          <cell r="A313" t="str">
            <v>A3941</v>
          </cell>
          <cell r="B313" t="str">
            <v>RIZQI LANOVA</v>
          </cell>
          <cell r="C313" t="str">
            <v>DELTA</v>
          </cell>
          <cell r="D313">
            <v>45415</v>
          </cell>
          <cell r="E313" t="str">
            <v>May-24</v>
          </cell>
          <cell r="F313" t="str">
            <v>-</v>
          </cell>
          <cell r="G313" t="str">
            <v>-</v>
          </cell>
          <cell r="H313" t="str">
            <v>-</v>
          </cell>
          <cell r="I313" t="str">
            <v>-</v>
          </cell>
          <cell r="J313" t="str">
            <v>-</v>
          </cell>
          <cell r="K313" t="str">
            <v>REGULER</v>
          </cell>
          <cell r="L313" t="str">
            <v>REGULER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32</v>
          </cell>
          <cell r="S313">
            <v>8</v>
          </cell>
          <cell r="T313">
            <v>40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32</v>
          </cell>
          <cell r="AA313">
            <v>8</v>
          </cell>
          <cell r="AB313">
            <v>40</v>
          </cell>
          <cell r="AC313">
            <v>0</v>
          </cell>
          <cell r="AD313" t="str">
            <v>TIDAK</v>
          </cell>
          <cell r="AE313" t="str">
            <v>TIDAK</v>
          </cell>
          <cell r="AF313">
            <v>40</v>
          </cell>
          <cell r="AG313">
            <v>2</v>
          </cell>
          <cell r="AH313" t="str">
            <v>SAPHIRE</v>
          </cell>
          <cell r="AI313">
            <v>0</v>
          </cell>
          <cell r="AJ313" t="str">
            <v>FALSE</v>
          </cell>
          <cell r="AK313">
            <v>0</v>
          </cell>
          <cell r="AL313">
            <v>45261</v>
          </cell>
          <cell r="AM313">
            <v>45701</v>
          </cell>
          <cell r="AN313">
            <v>1</v>
          </cell>
          <cell r="AO313">
            <v>40</v>
          </cell>
          <cell r="AP313" t="str">
            <v>-</v>
          </cell>
          <cell r="AQ313" t="str">
            <v>-</v>
          </cell>
          <cell r="AR313" t="str">
            <v>REGULER</v>
          </cell>
          <cell r="AS313" t="str">
            <v>REGULER</v>
          </cell>
          <cell r="AT313" t="str">
            <v>REGULER</v>
          </cell>
          <cell r="AU313" t="str">
            <v>REGULER</v>
          </cell>
          <cell r="AV313" t="str">
            <v/>
          </cell>
          <cell r="AW313">
            <v>44</v>
          </cell>
          <cell r="AX313">
            <v>46</v>
          </cell>
          <cell r="AY313">
            <v>37</v>
          </cell>
          <cell r="AZ313">
            <v>37</v>
          </cell>
          <cell r="BA313">
            <v>40</v>
          </cell>
          <cell r="BB313">
            <v>44</v>
          </cell>
          <cell r="BC313">
            <v>46</v>
          </cell>
          <cell r="BD313">
            <v>37</v>
          </cell>
          <cell r="BE313">
            <v>37</v>
          </cell>
          <cell r="BF313">
            <v>40</v>
          </cell>
          <cell r="BG313">
            <v>15</v>
          </cell>
          <cell r="BH313">
            <v>44</v>
          </cell>
          <cell r="BI313">
            <v>46</v>
          </cell>
          <cell r="BJ313">
            <v>37</v>
          </cell>
          <cell r="BK313">
            <v>37</v>
          </cell>
          <cell r="BL313">
            <v>40</v>
          </cell>
          <cell r="BM313">
            <v>16</v>
          </cell>
          <cell r="BN313">
            <v>235</v>
          </cell>
          <cell r="BO313">
            <v>15</v>
          </cell>
          <cell r="BP313">
            <v>44</v>
          </cell>
          <cell r="BQ313">
            <v>46</v>
          </cell>
          <cell r="BR313">
            <v>37</v>
          </cell>
          <cell r="BS313">
            <v>37</v>
          </cell>
          <cell r="BT313">
            <v>40</v>
          </cell>
          <cell r="BU313">
            <v>16</v>
          </cell>
          <cell r="BV313">
            <v>235</v>
          </cell>
          <cell r="BW313">
            <v>0</v>
          </cell>
          <cell r="BX313" t="str">
            <v>TIDAK</v>
          </cell>
          <cell r="BY313" t="str">
            <v>TIDAK</v>
          </cell>
        </row>
        <row r="314">
          <cell r="A314" t="str">
            <v>A2894</v>
          </cell>
          <cell r="B314" t="str">
            <v>Rofi Muiz Rosyida</v>
          </cell>
          <cell r="C314" t="str">
            <v>DELTA</v>
          </cell>
          <cell r="D314">
            <v>45190</v>
          </cell>
          <cell r="E314" t="str">
            <v>Sep-23</v>
          </cell>
          <cell r="F314" t="str">
            <v>REGULER</v>
          </cell>
          <cell r="G314" t="str">
            <v>-</v>
          </cell>
          <cell r="H314" t="str">
            <v>-</v>
          </cell>
          <cell r="I314" t="str">
            <v>-</v>
          </cell>
          <cell r="J314" t="str">
            <v>-</v>
          </cell>
          <cell r="K314" t="str">
            <v>-</v>
          </cell>
          <cell r="L314" t="str">
            <v>-</v>
          </cell>
          <cell r="M314">
            <v>1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1</v>
          </cell>
          <cell r="U314">
            <v>1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1</v>
          </cell>
          <cell r="AC314">
            <v>6</v>
          </cell>
          <cell r="AD314" t="str">
            <v>DOWNGRADE</v>
          </cell>
          <cell r="AE314" t="str">
            <v>RESET</v>
          </cell>
          <cell r="AF314">
            <v>0</v>
          </cell>
          <cell r="AG314">
            <v>3</v>
          </cell>
          <cell r="AH314" t="str">
            <v>SAPHIRE</v>
          </cell>
          <cell r="AI314">
            <v>0</v>
          </cell>
          <cell r="AJ314" t="str">
            <v>FALSE</v>
          </cell>
          <cell r="AK314">
            <v>0</v>
          </cell>
          <cell r="AL314">
            <v>45261</v>
          </cell>
          <cell r="AM314">
            <v>45701</v>
          </cell>
          <cell r="AN314">
            <v>1</v>
          </cell>
          <cell r="AO314">
            <v>0</v>
          </cell>
          <cell r="AP314" t="str">
            <v>-</v>
          </cell>
          <cell r="AQ314" t="str">
            <v>-</v>
          </cell>
          <cell r="AR314" t="str">
            <v>-</v>
          </cell>
          <cell r="AS314" t="str">
            <v>-</v>
          </cell>
          <cell r="AT314" t="str">
            <v>-</v>
          </cell>
          <cell r="AU314" t="str">
            <v>-</v>
          </cell>
          <cell r="AV314" t="str">
            <v/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 t="str">
            <v/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 t="str">
            <v/>
          </cell>
          <cell r="BN314">
            <v>0</v>
          </cell>
          <cell r="BO314" t="str">
            <v/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 t="str">
            <v/>
          </cell>
          <cell r="BV314">
            <v>0</v>
          </cell>
          <cell r="BW314">
            <v>7</v>
          </cell>
          <cell r="BX314" t="str">
            <v>DOWNGRADE</v>
          </cell>
          <cell r="BY314" t="str">
            <v>RESET</v>
          </cell>
        </row>
        <row r="315">
          <cell r="A315" t="str">
            <v>A2322</v>
          </cell>
          <cell r="B315" t="str">
            <v>Rosi Novi Lutfitasari</v>
          </cell>
          <cell r="C315" t="str">
            <v>DELTA</v>
          </cell>
          <cell r="D315">
            <v>45079</v>
          </cell>
          <cell r="E315" t="str">
            <v>Jun-23</v>
          </cell>
          <cell r="F315" t="str">
            <v>EKSKLUSIF</v>
          </cell>
          <cell r="G315" t="str">
            <v>EKSKLUSIF</v>
          </cell>
          <cell r="H315" t="str">
            <v>EKSKLUSIF</v>
          </cell>
          <cell r="I315" t="str">
            <v>EKSKLUSIF</v>
          </cell>
          <cell r="J315" t="str">
            <v>EKSKLUSIF</v>
          </cell>
          <cell r="K315" t="str">
            <v>EKSKLUSIF</v>
          </cell>
          <cell r="L315" t="str">
            <v>EKSKLUSIF</v>
          </cell>
          <cell r="M315">
            <v>15</v>
          </cell>
          <cell r="N315">
            <v>45</v>
          </cell>
          <cell r="O315">
            <v>39</v>
          </cell>
          <cell r="P315">
            <v>42</v>
          </cell>
          <cell r="Q315">
            <v>38</v>
          </cell>
          <cell r="R315">
            <v>43</v>
          </cell>
          <cell r="S315">
            <v>20</v>
          </cell>
          <cell r="T315">
            <v>242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 t="str">
            <v>TIDAK</v>
          </cell>
          <cell r="AE315" t="str">
            <v>TIDAK</v>
          </cell>
          <cell r="AF315">
            <v>0</v>
          </cell>
          <cell r="AG315">
            <v>2</v>
          </cell>
          <cell r="AH315" t="str">
            <v>SAPHIRE</v>
          </cell>
          <cell r="AI315">
            <v>0</v>
          </cell>
          <cell r="AJ315" t="str">
            <v>FALSE</v>
          </cell>
          <cell r="AK315">
            <v>0</v>
          </cell>
          <cell r="AL315">
            <v>45261</v>
          </cell>
          <cell r="AM315">
            <v>45701</v>
          </cell>
          <cell r="AN315">
            <v>1</v>
          </cell>
          <cell r="AO315">
            <v>0</v>
          </cell>
          <cell r="AP315" t="str">
            <v>EKSKLUSIF</v>
          </cell>
          <cell r="AQ315" t="str">
            <v>-</v>
          </cell>
          <cell r="AR315" t="str">
            <v>EKSKLUSIF</v>
          </cell>
          <cell r="AS315" t="str">
            <v>EKSKLUSIF</v>
          </cell>
          <cell r="AT315" t="str">
            <v>EKSKLUSIF</v>
          </cell>
          <cell r="AU315" t="str">
            <v>EKSKLUSIF</v>
          </cell>
          <cell r="AV315" t="str">
            <v/>
          </cell>
          <cell r="AW315">
            <v>49</v>
          </cell>
          <cell r="AX315">
            <v>47</v>
          </cell>
          <cell r="AY315">
            <v>40</v>
          </cell>
          <cell r="AZ315">
            <v>46</v>
          </cell>
          <cell r="BA315">
            <v>42</v>
          </cell>
          <cell r="BB315">
            <v>49</v>
          </cell>
          <cell r="BC315">
            <v>47</v>
          </cell>
          <cell r="BD315">
            <v>40</v>
          </cell>
          <cell r="BE315">
            <v>46</v>
          </cell>
          <cell r="BF315">
            <v>42</v>
          </cell>
          <cell r="BG315">
            <v>20</v>
          </cell>
          <cell r="BH315">
            <v>49</v>
          </cell>
          <cell r="BI315">
            <v>47</v>
          </cell>
          <cell r="BJ315">
            <v>40</v>
          </cell>
          <cell r="BK315">
            <v>46</v>
          </cell>
          <cell r="BL315">
            <v>42</v>
          </cell>
          <cell r="BM315">
            <v>19</v>
          </cell>
          <cell r="BN315">
            <v>263</v>
          </cell>
          <cell r="BO315">
            <v>0</v>
          </cell>
          <cell r="BP315">
            <v>49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19</v>
          </cell>
          <cell r="BV315">
            <v>68</v>
          </cell>
          <cell r="BW315">
            <v>0</v>
          </cell>
          <cell r="BX315" t="str">
            <v>TIDAK</v>
          </cell>
          <cell r="BY315" t="str">
            <v>TIDAK</v>
          </cell>
        </row>
        <row r="316">
          <cell r="A316">
            <v>92539</v>
          </cell>
          <cell r="B316" t="str">
            <v>Rosiana</v>
          </cell>
          <cell r="C316" t="str">
            <v>DELTA</v>
          </cell>
          <cell r="D316">
            <v>44746</v>
          </cell>
          <cell r="E316" t="str">
            <v>Jul-22</v>
          </cell>
          <cell r="F316" t="str">
            <v>EKSKLUSIF</v>
          </cell>
          <cell r="G316" t="str">
            <v>EKSKLUSIF</v>
          </cell>
          <cell r="H316" t="str">
            <v>EKSKLUSIF</v>
          </cell>
          <cell r="I316" t="str">
            <v>EKSKLUSIF</v>
          </cell>
          <cell r="J316" t="str">
            <v>EKSKLUSIF</v>
          </cell>
          <cell r="K316" t="str">
            <v>EKSKLUSIF</v>
          </cell>
          <cell r="L316" t="str">
            <v>EKSKLUSIF</v>
          </cell>
          <cell r="M316">
            <v>20</v>
          </cell>
          <cell r="N316">
            <v>48</v>
          </cell>
          <cell r="O316">
            <v>42</v>
          </cell>
          <cell r="P316">
            <v>42</v>
          </cell>
          <cell r="Q316">
            <v>39</v>
          </cell>
          <cell r="R316">
            <v>43</v>
          </cell>
          <cell r="S316">
            <v>21</v>
          </cell>
          <cell r="T316">
            <v>255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 t="str">
            <v>TIDAK</v>
          </cell>
          <cell r="AE316" t="str">
            <v>TIDAK</v>
          </cell>
          <cell r="AF316">
            <v>0</v>
          </cell>
          <cell r="AG316">
            <v>2</v>
          </cell>
          <cell r="AH316" t="str">
            <v>SAPHIRE</v>
          </cell>
          <cell r="AI316">
            <v>0</v>
          </cell>
          <cell r="AJ316" t="str">
            <v>FALSE</v>
          </cell>
          <cell r="AK316">
            <v>0</v>
          </cell>
          <cell r="AL316">
            <v>45261</v>
          </cell>
          <cell r="AM316">
            <v>45701</v>
          </cell>
          <cell r="AN316">
            <v>1</v>
          </cell>
          <cell r="AO316">
            <v>0</v>
          </cell>
          <cell r="AP316" t="str">
            <v>EKSKLUSIF</v>
          </cell>
          <cell r="AQ316" t="str">
            <v>-</v>
          </cell>
          <cell r="AR316" t="str">
            <v>EKSKLUSIF</v>
          </cell>
          <cell r="AS316" t="str">
            <v>EKSKLUSIF</v>
          </cell>
          <cell r="AT316" t="str">
            <v>EKSKLUSIF</v>
          </cell>
          <cell r="AU316" t="str">
            <v>EKSKLUSIF</v>
          </cell>
          <cell r="AV316" t="str">
            <v/>
          </cell>
          <cell r="AW316">
            <v>50</v>
          </cell>
          <cell r="AX316">
            <v>49</v>
          </cell>
          <cell r="AY316">
            <v>44</v>
          </cell>
          <cell r="AZ316">
            <v>48</v>
          </cell>
          <cell r="BA316">
            <v>46</v>
          </cell>
          <cell r="BB316">
            <v>50</v>
          </cell>
          <cell r="BC316">
            <v>49</v>
          </cell>
          <cell r="BD316">
            <v>44</v>
          </cell>
          <cell r="BE316">
            <v>48</v>
          </cell>
          <cell r="BF316">
            <v>46</v>
          </cell>
          <cell r="BG316">
            <v>20</v>
          </cell>
          <cell r="BH316">
            <v>50</v>
          </cell>
          <cell r="BI316">
            <v>49</v>
          </cell>
          <cell r="BJ316">
            <v>44</v>
          </cell>
          <cell r="BK316">
            <v>48</v>
          </cell>
          <cell r="BL316">
            <v>46</v>
          </cell>
          <cell r="BM316">
            <v>23</v>
          </cell>
          <cell r="BN316">
            <v>280</v>
          </cell>
          <cell r="BO316">
            <v>0</v>
          </cell>
          <cell r="BP316">
            <v>50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23</v>
          </cell>
          <cell r="BV316">
            <v>73</v>
          </cell>
          <cell r="BW316">
            <v>0</v>
          </cell>
          <cell r="BX316" t="str">
            <v>TIDAK</v>
          </cell>
          <cell r="BY316" t="str">
            <v>TIDAK</v>
          </cell>
        </row>
        <row r="317">
          <cell r="A317" t="str">
            <v>A2523</v>
          </cell>
          <cell r="B317" t="str">
            <v>Rossa Azizah</v>
          </cell>
          <cell r="C317" t="str">
            <v>DELTA</v>
          </cell>
          <cell r="D317">
            <v>45195</v>
          </cell>
          <cell r="E317" t="str">
            <v>Sep-23</v>
          </cell>
          <cell r="F317" t="str">
            <v>REGULER</v>
          </cell>
          <cell r="G317" t="str">
            <v>REGULER</v>
          </cell>
          <cell r="H317" t="str">
            <v>-</v>
          </cell>
          <cell r="I317" t="str">
            <v>-</v>
          </cell>
          <cell r="J317" t="str">
            <v>-</v>
          </cell>
          <cell r="K317" t="str">
            <v>-</v>
          </cell>
          <cell r="L317" t="str">
            <v>-</v>
          </cell>
          <cell r="M317">
            <v>3</v>
          </cell>
          <cell r="N317">
            <v>12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 t="str">
            <v/>
          </cell>
          <cell r="T317">
            <v>15</v>
          </cell>
          <cell r="U317">
            <v>3</v>
          </cell>
          <cell r="V317">
            <v>12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/>
          </cell>
          <cell r="AB317">
            <v>15</v>
          </cell>
          <cell r="AC317">
            <v>5</v>
          </cell>
          <cell r="AD317" t="str">
            <v>DOWNGRADE</v>
          </cell>
          <cell r="AE317" t="str">
            <v>RESET</v>
          </cell>
          <cell r="AF317">
            <v>0</v>
          </cell>
          <cell r="AG317">
            <v>2</v>
          </cell>
          <cell r="AH317" t="str">
            <v>SAPHIRE</v>
          </cell>
          <cell r="AI317">
            <v>0</v>
          </cell>
          <cell r="AJ317" t="str">
            <v>FALSE</v>
          </cell>
          <cell r="AK317">
            <v>0</v>
          </cell>
          <cell r="AL317">
            <v>45261</v>
          </cell>
          <cell r="AM317">
            <v>45701</v>
          </cell>
          <cell r="AN317">
            <v>1</v>
          </cell>
          <cell r="AO317">
            <v>0</v>
          </cell>
          <cell r="AP317" t="str">
            <v>-</v>
          </cell>
          <cell r="AQ317" t="str">
            <v>-</v>
          </cell>
          <cell r="AR317" t="str">
            <v>-</v>
          </cell>
          <cell r="AS317" t="str">
            <v>-</v>
          </cell>
          <cell r="AT317" t="str">
            <v>-</v>
          </cell>
          <cell r="AU317" t="str">
            <v>-</v>
          </cell>
          <cell r="AV317" t="str">
            <v/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 t="str">
            <v/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 t="str">
            <v/>
          </cell>
          <cell r="BN317">
            <v>0</v>
          </cell>
          <cell r="BO317" t="str">
            <v/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 t="str">
            <v/>
          </cell>
          <cell r="BV317">
            <v>0</v>
          </cell>
          <cell r="BW317">
            <v>7</v>
          </cell>
          <cell r="BX317" t="str">
            <v>DOWNGRADE</v>
          </cell>
          <cell r="BY317" t="str">
            <v>RESET</v>
          </cell>
        </row>
        <row r="318">
          <cell r="A318" t="str">
            <v>A3614</v>
          </cell>
          <cell r="B318" t="str">
            <v>Salfa Hasna</v>
          </cell>
          <cell r="C318" t="str">
            <v>DELTA</v>
          </cell>
          <cell r="D318">
            <v>45329</v>
          </cell>
          <cell r="E318" t="str">
            <v>Feb-24</v>
          </cell>
          <cell r="F318" t="str">
            <v>-</v>
          </cell>
          <cell r="G318" t="str">
            <v>-</v>
          </cell>
          <cell r="H318" t="str">
            <v>REGULER</v>
          </cell>
          <cell r="I318" t="str">
            <v>-</v>
          </cell>
          <cell r="J318" t="str">
            <v>-</v>
          </cell>
          <cell r="K318" t="str">
            <v>-</v>
          </cell>
          <cell r="L318" t="str">
            <v>-</v>
          </cell>
          <cell r="M318">
            <v>0</v>
          </cell>
          <cell r="N318">
            <v>0</v>
          </cell>
          <cell r="O318">
            <v>20</v>
          </cell>
          <cell r="P318">
            <v>0</v>
          </cell>
          <cell r="Q318">
            <v>0</v>
          </cell>
          <cell r="R318">
            <v>0</v>
          </cell>
          <cell r="S318" t="str">
            <v/>
          </cell>
          <cell r="T318">
            <v>20</v>
          </cell>
          <cell r="U318">
            <v>0</v>
          </cell>
          <cell r="V318">
            <v>0</v>
          </cell>
          <cell r="W318">
            <v>20</v>
          </cell>
          <cell r="X318">
            <v>0</v>
          </cell>
          <cell r="Y318">
            <v>0</v>
          </cell>
          <cell r="Z318">
            <v>0</v>
          </cell>
          <cell r="AA318" t="str">
            <v/>
          </cell>
          <cell r="AB318">
            <v>20</v>
          </cell>
          <cell r="AC318">
            <v>4</v>
          </cell>
          <cell r="AD318" t="str">
            <v>DOWNGRADE</v>
          </cell>
          <cell r="AE318" t="str">
            <v>RESET</v>
          </cell>
          <cell r="AF318">
            <v>0</v>
          </cell>
          <cell r="AG318">
            <v>2</v>
          </cell>
          <cell r="AH318" t="str">
            <v>SAPHIRE</v>
          </cell>
          <cell r="AI318">
            <v>0</v>
          </cell>
          <cell r="AJ318" t="str">
            <v>FALSE</v>
          </cell>
          <cell r="AK318">
            <v>0</v>
          </cell>
          <cell r="AL318">
            <v>45261</v>
          </cell>
          <cell r="AM318">
            <v>45701</v>
          </cell>
          <cell r="AN318">
            <v>1</v>
          </cell>
          <cell r="AO318">
            <v>0</v>
          </cell>
          <cell r="AP318" t="str">
            <v>-</v>
          </cell>
          <cell r="AQ318" t="str">
            <v>-</v>
          </cell>
          <cell r="AR318" t="str">
            <v>-</v>
          </cell>
          <cell r="AS318" t="str">
            <v>-</v>
          </cell>
          <cell r="AT318" t="str">
            <v>-</v>
          </cell>
          <cell r="AU318" t="str">
            <v>-</v>
          </cell>
          <cell r="AV318" t="str">
            <v/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 t="str">
            <v/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 t="str">
            <v/>
          </cell>
          <cell r="BN318">
            <v>0</v>
          </cell>
          <cell r="BO318" t="str">
            <v/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 t="str">
            <v/>
          </cell>
          <cell r="BV318">
            <v>0</v>
          </cell>
          <cell r="BW318">
            <v>7</v>
          </cell>
          <cell r="BX318" t="str">
            <v>DOWNGRADE</v>
          </cell>
          <cell r="BY318" t="str">
            <v>RESET</v>
          </cell>
        </row>
        <row r="319">
          <cell r="A319" t="str">
            <v>A1854</v>
          </cell>
          <cell r="B319" t="str">
            <v>Salsabila Oktavimadiana</v>
          </cell>
          <cell r="C319" t="str">
            <v>DELTA</v>
          </cell>
          <cell r="D319">
            <v>45033</v>
          </cell>
          <cell r="E319" t="str">
            <v>Apr-23</v>
          </cell>
          <cell r="F319" t="str">
            <v>EKSKLUSIF</v>
          </cell>
          <cell r="G319" t="str">
            <v>EKSKLUSIF</v>
          </cell>
          <cell r="H319" t="str">
            <v>EKSKLUSIF</v>
          </cell>
          <cell r="I319" t="str">
            <v>EKSKLUSIF</v>
          </cell>
          <cell r="J319" t="str">
            <v>EKSKLUSIF</v>
          </cell>
          <cell r="K319" t="str">
            <v>EKSKLUSIF</v>
          </cell>
          <cell r="L319" t="str">
            <v>EKSKLUSIF</v>
          </cell>
          <cell r="M319">
            <v>20</v>
          </cell>
          <cell r="N319">
            <v>44</v>
          </cell>
          <cell r="O319">
            <v>41</v>
          </cell>
          <cell r="P319">
            <v>43</v>
          </cell>
          <cell r="Q319">
            <v>36</v>
          </cell>
          <cell r="R319">
            <v>40</v>
          </cell>
          <cell r="S319">
            <v>20</v>
          </cell>
          <cell r="T319">
            <v>244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 t="str">
            <v>TIDAK</v>
          </cell>
          <cell r="AE319" t="str">
            <v>TIDAK</v>
          </cell>
          <cell r="AF319">
            <v>0</v>
          </cell>
          <cell r="AG319">
            <v>2</v>
          </cell>
          <cell r="AH319" t="str">
            <v>SAPHIRE</v>
          </cell>
          <cell r="AI319">
            <v>0</v>
          </cell>
          <cell r="AJ319" t="str">
            <v>FALSE</v>
          </cell>
          <cell r="AK319">
            <v>0</v>
          </cell>
          <cell r="AL319">
            <v>45261</v>
          </cell>
          <cell r="AM319">
            <v>45701</v>
          </cell>
          <cell r="AN319">
            <v>1</v>
          </cell>
          <cell r="AO319">
            <v>0</v>
          </cell>
          <cell r="AP319" t="str">
            <v>EKSKLUSIF</v>
          </cell>
          <cell r="AQ319" t="str">
            <v>-</v>
          </cell>
          <cell r="AR319" t="str">
            <v>EKSKLUSIF</v>
          </cell>
          <cell r="AS319" t="str">
            <v>EKSKLUSIF</v>
          </cell>
          <cell r="AT319" t="str">
            <v>EKSKLUSIF</v>
          </cell>
          <cell r="AU319" t="str">
            <v>EKSKLUSIF</v>
          </cell>
          <cell r="AV319" t="str">
            <v/>
          </cell>
          <cell r="AW319">
            <v>48</v>
          </cell>
          <cell r="AX319">
            <v>47</v>
          </cell>
          <cell r="AY319">
            <v>40</v>
          </cell>
          <cell r="AZ319">
            <v>46</v>
          </cell>
          <cell r="BA319">
            <v>44</v>
          </cell>
          <cell r="BB319">
            <v>48</v>
          </cell>
          <cell r="BC319">
            <v>47</v>
          </cell>
          <cell r="BD319">
            <v>40</v>
          </cell>
          <cell r="BE319">
            <v>46</v>
          </cell>
          <cell r="BF319">
            <v>44</v>
          </cell>
          <cell r="BG319">
            <v>19</v>
          </cell>
          <cell r="BH319">
            <v>48</v>
          </cell>
          <cell r="BI319">
            <v>47</v>
          </cell>
          <cell r="BJ319">
            <v>40</v>
          </cell>
          <cell r="BK319">
            <v>46</v>
          </cell>
          <cell r="BL319">
            <v>44</v>
          </cell>
          <cell r="BM319">
            <v>20</v>
          </cell>
          <cell r="BN319">
            <v>264</v>
          </cell>
          <cell r="BO319">
            <v>0</v>
          </cell>
          <cell r="BP319">
            <v>48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20</v>
          </cell>
          <cell r="BV319">
            <v>68</v>
          </cell>
          <cell r="BW319">
            <v>0</v>
          </cell>
          <cell r="BX319" t="str">
            <v>TIDAK</v>
          </cell>
          <cell r="BY319" t="str">
            <v>TIDAK</v>
          </cell>
        </row>
        <row r="320">
          <cell r="A320" t="str">
            <v>A3992</v>
          </cell>
          <cell r="B320" t="str">
            <v>SARWATUL KARIMAH</v>
          </cell>
          <cell r="C320" t="str">
            <v>DELTA</v>
          </cell>
          <cell r="D320">
            <v>45415</v>
          </cell>
          <cell r="E320" t="str">
            <v>May-24</v>
          </cell>
          <cell r="F320" t="str">
            <v>-</v>
          </cell>
          <cell r="G320" t="str">
            <v>-</v>
          </cell>
          <cell r="H320" t="str">
            <v>-</v>
          </cell>
          <cell r="I320" t="str">
            <v>-</v>
          </cell>
          <cell r="J320" t="str">
            <v>-</v>
          </cell>
          <cell r="K320" t="str">
            <v>REGULER</v>
          </cell>
          <cell r="L320" t="str">
            <v>REGULER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12</v>
          </cell>
          <cell r="S320">
            <v>5</v>
          </cell>
          <cell r="T320">
            <v>17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12</v>
          </cell>
          <cell r="AA320">
            <v>5</v>
          </cell>
          <cell r="AB320">
            <v>17</v>
          </cell>
          <cell r="AC320">
            <v>0</v>
          </cell>
          <cell r="AD320" t="str">
            <v>TIDAK</v>
          </cell>
          <cell r="AE320" t="str">
            <v>TIDAK</v>
          </cell>
          <cell r="AF320">
            <v>17</v>
          </cell>
          <cell r="AG320">
            <v>0</v>
          </cell>
          <cell r="AH320" t="str">
            <v>SAPHIRE</v>
          </cell>
          <cell r="AI320">
            <v>0</v>
          </cell>
          <cell r="AJ320" t="str">
            <v>FALSE</v>
          </cell>
          <cell r="AK320">
            <v>0</v>
          </cell>
          <cell r="AL320">
            <v>45261</v>
          </cell>
          <cell r="AM320">
            <v>45701</v>
          </cell>
          <cell r="AN320">
            <v>1</v>
          </cell>
          <cell r="AO320">
            <v>17</v>
          </cell>
          <cell r="AP320" t="str">
            <v>-</v>
          </cell>
          <cell r="AQ320" t="str">
            <v>-</v>
          </cell>
          <cell r="AR320" t="str">
            <v>REGULER</v>
          </cell>
          <cell r="AS320" t="str">
            <v>REGULER</v>
          </cell>
          <cell r="AT320" t="str">
            <v>REGULER</v>
          </cell>
          <cell r="AU320" t="str">
            <v>REGULER</v>
          </cell>
          <cell r="AV320" t="str">
            <v/>
          </cell>
          <cell r="AW320">
            <v>38</v>
          </cell>
          <cell r="AX320">
            <v>34</v>
          </cell>
          <cell r="AY320">
            <v>34</v>
          </cell>
          <cell r="AZ320">
            <v>38</v>
          </cell>
          <cell r="BA320">
            <v>32</v>
          </cell>
          <cell r="BB320">
            <v>38</v>
          </cell>
          <cell r="BC320">
            <v>34</v>
          </cell>
          <cell r="BD320">
            <v>34</v>
          </cell>
          <cell r="BE320">
            <v>38</v>
          </cell>
          <cell r="BF320">
            <v>32</v>
          </cell>
          <cell r="BG320">
            <v>8</v>
          </cell>
          <cell r="BH320">
            <v>38</v>
          </cell>
          <cell r="BI320">
            <v>34</v>
          </cell>
          <cell r="BJ320">
            <v>34</v>
          </cell>
          <cell r="BK320">
            <v>38</v>
          </cell>
          <cell r="BL320">
            <v>32</v>
          </cell>
          <cell r="BM320">
            <v>6</v>
          </cell>
          <cell r="BN320">
            <v>190</v>
          </cell>
          <cell r="BO320">
            <v>8</v>
          </cell>
          <cell r="BP320">
            <v>38</v>
          </cell>
          <cell r="BQ320">
            <v>34</v>
          </cell>
          <cell r="BR320">
            <v>34</v>
          </cell>
          <cell r="BS320">
            <v>38</v>
          </cell>
          <cell r="BT320">
            <v>32</v>
          </cell>
          <cell r="BU320">
            <v>6</v>
          </cell>
          <cell r="BV320">
            <v>190</v>
          </cell>
          <cell r="BW320">
            <v>0</v>
          </cell>
          <cell r="BX320" t="str">
            <v>TIDAK</v>
          </cell>
          <cell r="BY320" t="str">
            <v>TIDAK</v>
          </cell>
        </row>
        <row r="321">
          <cell r="A321" t="str">
            <v>A3406</v>
          </cell>
          <cell r="B321" t="str">
            <v>Septi Munte</v>
          </cell>
          <cell r="C321" t="str">
            <v>DELTA</v>
          </cell>
          <cell r="D321">
            <v>45261</v>
          </cell>
          <cell r="E321" t="str">
            <v>Dec-23</v>
          </cell>
          <cell r="F321" t="str">
            <v>REGULER</v>
          </cell>
          <cell r="G321" t="str">
            <v>REGULER</v>
          </cell>
          <cell r="H321" t="str">
            <v>REGULER</v>
          </cell>
          <cell r="I321" t="str">
            <v>REGULER</v>
          </cell>
          <cell r="J321" t="str">
            <v>REGULER</v>
          </cell>
          <cell r="K321" t="str">
            <v>EKSKLUSIF</v>
          </cell>
          <cell r="L321" t="str">
            <v>EKSKLUSIF</v>
          </cell>
          <cell r="M321">
            <v>16</v>
          </cell>
          <cell r="N321">
            <v>30</v>
          </cell>
          <cell r="O321">
            <v>31</v>
          </cell>
          <cell r="P321">
            <v>34</v>
          </cell>
          <cell r="Q321">
            <v>37</v>
          </cell>
          <cell r="R321">
            <v>42</v>
          </cell>
          <cell r="S321">
            <v>21</v>
          </cell>
          <cell r="T321">
            <v>211</v>
          </cell>
          <cell r="U321">
            <v>16</v>
          </cell>
          <cell r="V321">
            <v>30</v>
          </cell>
          <cell r="W321">
            <v>31</v>
          </cell>
          <cell r="X321">
            <v>34</v>
          </cell>
          <cell r="Y321">
            <v>37</v>
          </cell>
          <cell r="Z321">
            <v>0</v>
          </cell>
          <cell r="AA321">
            <v>0</v>
          </cell>
          <cell r="AB321">
            <v>148</v>
          </cell>
          <cell r="AC321">
            <v>0</v>
          </cell>
          <cell r="AD321" t="str">
            <v>TIDAK</v>
          </cell>
          <cell r="AE321" t="str">
            <v>TIDAK</v>
          </cell>
          <cell r="AF321">
            <v>148</v>
          </cell>
          <cell r="AG321">
            <v>2</v>
          </cell>
          <cell r="AH321" t="str">
            <v>SAPHIRE</v>
          </cell>
          <cell r="AI321">
            <v>0</v>
          </cell>
          <cell r="AJ321" t="str">
            <v>Y</v>
          </cell>
          <cell r="AK321">
            <v>0</v>
          </cell>
          <cell r="AL321">
            <v>45261</v>
          </cell>
          <cell r="AM321">
            <v>45701</v>
          </cell>
          <cell r="AN321">
            <v>1</v>
          </cell>
          <cell r="AO321">
            <v>148</v>
          </cell>
          <cell r="AP321" t="str">
            <v>EKSKLUSIF</v>
          </cell>
          <cell r="AQ321" t="str">
            <v>-</v>
          </cell>
          <cell r="AR321" t="str">
            <v>EKSKLUSIF</v>
          </cell>
          <cell r="AS321" t="str">
            <v>EKSKLUSIF</v>
          </cell>
          <cell r="AT321" t="str">
            <v>EKSKLUSIF</v>
          </cell>
          <cell r="AU321" t="str">
            <v>EKSKLUSIF</v>
          </cell>
          <cell r="AV321" t="str">
            <v/>
          </cell>
          <cell r="AW321">
            <v>49</v>
          </cell>
          <cell r="AX321">
            <v>46</v>
          </cell>
          <cell r="AY321">
            <v>41</v>
          </cell>
          <cell r="AZ321">
            <v>48</v>
          </cell>
          <cell r="BA321">
            <v>45</v>
          </cell>
          <cell r="BB321">
            <v>49</v>
          </cell>
          <cell r="BC321">
            <v>46</v>
          </cell>
          <cell r="BD321">
            <v>41</v>
          </cell>
          <cell r="BE321">
            <v>48</v>
          </cell>
          <cell r="BF321">
            <v>45</v>
          </cell>
          <cell r="BG321">
            <v>18</v>
          </cell>
          <cell r="BH321">
            <v>49</v>
          </cell>
          <cell r="BI321">
            <v>46</v>
          </cell>
          <cell r="BJ321">
            <v>41</v>
          </cell>
          <cell r="BK321">
            <v>48</v>
          </cell>
          <cell r="BL321">
            <v>45</v>
          </cell>
          <cell r="BM321">
            <v>22</v>
          </cell>
          <cell r="BN321">
            <v>269</v>
          </cell>
          <cell r="BO321">
            <v>0</v>
          </cell>
          <cell r="BP321">
            <v>49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22</v>
          </cell>
          <cell r="BV321">
            <v>71</v>
          </cell>
          <cell r="BW321">
            <v>0</v>
          </cell>
          <cell r="BX321" t="str">
            <v>TIDAK</v>
          </cell>
          <cell r="BY321" t="str">
            <v>TIDAK</v>
          </cell>
        </row>
        <row r="322">
          <cell r="A322" t="str">
            <v>A3475</v>
          </cell>
          <cell r="B322" t="str">
            <v>Septiana Dwi Lestari Purbaningrum</v>
          </cell>
          <cell r="C322" t="str">
            <v>DELTA</v>
          </cell>
          <cell r="D322">
            <v>45308</v>
          </cell>
          <cell r="E322" t="str">
            <v>Jan-24</v>
          </cell>
          <cell r="F322" t="str">
            <v>-</v>
          </cell>
          <cell r="G322" t="str">
            <v>REGULER</v>
          </cell>
          <cell r="H322" t="str">
            <v>REGULER</v>
          </cell>
          <cell r="I322" t="str">
            <v>REGULER</v>
          </cell>
          <cell r="J322" t="str">
            <v>REGULER</v>
          </cell>
          <cell r="K322" t="str">
            <v>REGULER</v>
          </cell>
          <cell r="L322" t="str">
            <v>REGULER</v>
          </cell>
          <cell r="M322">
            <v>0</v>
          </cell>
          <cell r="N322">
            <v>5</v>
          </cell>
          <cell r="O322">
            <v>34</v>
          </cell>
          <cell r="P322">
            <v>32</v>
          </cell>
          <cell r="Q322">
            <v>11</v>
          </cell>
          <cell r="R322">
            <v>6</v>
          </cell>
          <cell r="S322">
            <v>13</v>
          </cell>
          <cell r="T322">
            <v>101</v>
          </cell>
          <cell r="U322">
            <v>0</v>
          </cell>
          <cell r="V322">
            <v>5</v>
          </cell>
          <cell r="W322">
            <v>34</v>
          </cell>
          <cell r="X322">
            <v>32</v>
          </cell>
          <cell r="Y322">
            <v>11</v>
          </cell>
          <cell r="Z322">
            <v>6</v>
          </cell>
          <cell r="AA322">
            <v>13</v>
          </cell>
          <cell r="AB322">
            <v>101</v>
          </cell>
          <cell r="AC322">
            <v>0</v>
          </cell>
          <cell r="AD322" t="str">
            <v>TIDAK</v>
          </cell>
          <cell r="AE322" t="str">
            <v>TIDAK</v>
          </cell>
          <cell r="AF322">
            <v>101</v>
          </cell>
          <cell r="AG322">
            <v>2</v>
          </cell>
          <cell r="AH322" t="str">
            <v>SAPHIRE</v>
          </cell>
          <cell r="AI322">
            <v>0</v>
          </cell>
          <cell r="AJ322" t="str">
            <v>Y</v>
          </cell>
          <cell r="AK322">
            <v>0</v>
          </cell>
          <cell r="AL322">
            <v>45261</v>
          </cell>
          <cell r="AM322">
            <v>45701</v>
          </cell>
          <cell r="AN322">
            <v>1</v>
          </cell>
          <cell r="AO322">
            <v>101</v>
          </cell>
          <cell r="AP322" t="str">
            <v>-</v>
          </cell>
          <cell r="AQ322" t="str">
            <v>-</v>
          </cell>
          <cell r="AR322" t="str">
            <v>REGULER</v>
          </cell>
          <cell r="AS322" t="str">
            <v>REGULER</v>
          </cell>
          <cell r="AT322" t="str">
            <v>REGULER</v>
          </cell>
          <cell r="AU322" t="str">
            <v>REGULER</v>
          </cell>
          <cell r="AV322" t="str">
            <v/>
          </cell>
          <cell r="AW322">
            <v>32</v>
          </cell>
          <cell r="AX322">
            <v>35</v>
          </cell>
          <cell r="AY322">
            <v>16</v>
          </cell>
          <cell r="AZ322">
            <v>15</v>
          </cell>
          <cell r="BA322">
            <v>31</v>
          </cell>
          <cell r="BB322">
            <v>32</v>
          </cell>
          <cell r="BC322">
            <v>35</v>
          </cell>
          <cell r="BD322">
            <v>16</v>
          </cell>
          <cell r="BE322">
            <v>15</v>
          </cell>
          <cell r="BF322">
            <v>31</v>
          </cell>
          <cell r="BG322">
            <v>15</v>
          </cell>
          <cell r="BH322">
            <v>32</v>
          </cell>
          <cell r="BI322">
            <v>35</v>
          </cell>
          <cell r="BJ322">
            <v>16</v>
          </cell>
          <cell r="BK322">
            <v>15</v>
          </cell>
          <cell r="BL322">
            <v>31</v>
          </cell>
          <cell r="BM322">
            <v>17</v>
          </cell>
          <cell r="BN322">
            <v>161</v>
          </cell>
          <cell r="BO322">
            <v>15</v>
          </cell>
          <cell r="BP322">
            <v>32</v>
          </cell>
          <cell r="BQ322">
            <v>35</v>
          </cell>
          <cell r="BR322">
            <v>16</v>
          </cell>
          <cell r="BS322">
            <v>15</v>
          </cell>
          <cell r="BT322">
            <v>31</v>
          </cell>
          <cell r="BU322">
            <v>17</v>
          </cell>
          <cell r="BV322">
            <v>161</v>
          </cell>
          <cell r="BW322">
            <v>0</v>
          </cell>
          <cell r="BX322" t="str">
            <v>TIDAK</v>
          </cell>
          <cell r="BY322" t="str">
            <v>TIDAK</v>
          </cell>
        </row>
        <row r="323">
          <cell r="A323" t="str">
            <v>A0867</v>
          </cell>
          <cell r="B323" t="str">
            <v>Shabrina Dian Farah Fauzia</v>
          </cell>
          <cell r="C323" t="str">
            <v>DELTA</v>
          </cell>
          <cell r="D323">
            <v>44923</v>
          </cell>
          <cell r="E323" t="str">
            <v>Dec-22</v>
          </cell>
          <cell r="F323" t="str">
            <v>REGULER</v>
          </cell>
          <cell r="G323" t="str">
            <v>REGULER</v>
          </cell>
          <cell r="H323" t="str">
            <v>REGULER</v>
          </cell>
          <cell r="I323" t="str">
            <v>REGULER</v>
          </cell>
          <cell r="J323" t="str">
            <v>-</v>
          </cell>
          <cell r="K323" t="str">
            <v>-</v>
          </cell>
          <cell r="L323" t="str">
            <v>-</v>
          </cell>
          <cell r="M323">
            <v>18</v>
          </cell>
          <cell r="N323">
            <v>19</v>
          </cell>
          <cell r="O323">
            <v>32</v>
          </cell>
          <cell r="P323">
            <v>19</v>
          </cell>
          <cell r="Q323">
            <v>0</v>
          </cell>
          <cell r="R323">
            <v>0</v>
          </cell>
          <cell r="S323" t="str">
            <v/>
          </cell>
          <cell r="T323">
            <v>88</v>
          </cell>
          <cell r="U323">
            <v>18</v>
          </cell>
          <cell r="V323">
            <v>19</v>
          </cell>
          <cell r="W323">
            <v>32</v>
          </cell>
          <cell r="X323">
            <v>19</v>
          </cell>
          <cell r="Y323">
            <v>0</v>
          </cell>
          <cell r="Z323">
            <v>0</v>
          </cell>
          <cell r="AA323" t="str">
            <v/>
          </cell>
          <cell r="AB323">
            <v>88</v>
          </cell>
          <cell r="AC323">
            <v>3</v>
          </cell>
          <cell r="AD323" t="str">
            <v>DOWNGRADE</v>
          </cell>
          <cell r="AE323" t="str">
            <v>RESET</v>
          </cell>
          <cell r="AF323">
            <v>0</v>
          </cell>
          <cell r="AG323">
            <v>2</v>
          </cell>
          <cell r="AH323" t="str">
            <v>SAPHIRE</v>
          </cell>
          <cell r="AI323">
            <v>0</v>
          </cell>
          <cell r="AJ323" t="str">
            <v>FALSE</v>
          </cell>
          <cell r="AK323">
            <v>0</v>
          </cell>
          <cell r="AL323">
            <v>45261</v>
          </cell>
          <cell r="AM323">
            <v>45701</v>
          </cell>
          <cell r="AN323">
            <v>1</v>
          </cell>
          <cell r="AO323">
            <v>0</v>
          </cell>
          <cell r="AP323" t="str">
            <v>-</v>
          </cell>
          <cell r="AQ323" t="str">
            <v>-</v>
          </cell>
          <cell r="AR323" t="str">
            <v>REGULER</v>
          </cell>
          <cell r="AS323" t="str">
            <v>REGULER</v>
          </cell>
          <cell r="AT323" t="str">
            <v>REGULER</v>
          </cell>
          <cell r="AU323" t="str">
            <v>REGULER</v>
          </cell>
          <cell r="AV323" t="str">
            <v/>
          </cell>
          <cell r="AW323">
            <v>0</v>
          </cell>
          <cell r="AX323">
            <v>21</v>
          </cell>
          <cell r="AY323">
            <v>30</v>
          </cell>
          <cell r="AZ323">
            <v>27</v>
          </cell>
          <cell r="BA323">
            <v>12</v>
          </cell>
          <cell r="BB323">
            <v>0</v>
          </cell>
          <cell r="BC323">
            <v>21</v>
          </cell>
          <cell r="BD323">
            <v>30</v>
          </cell>
          <cell r="BE323">
            <v>27</v>
          </cell>
          <cell r="BF323">
            <v>12</v>
          </cell>
          <cell r="BG323" t="str">
            <v/>
          </cell>
          <cell r="BH323">
            <v>0</v>
          </cell>
          <cell r="BI323">
            <v>21</v>
          </cell>
          <cell r="BJ323">
            <v>30</v>
          </cell>
          <cell r="BK323">
            <v>27</v>
          </cell>
          <cell r="BL323">
            <v>12</v>
          </cell>
          <cell r="BM323" t="str">
            <v/>
          </cell>
          <cell r="BN323">
            <v>90</v>
          </cell>
          <cell r="BO323" t="str">
            <v/>
          </cell>
          <cell r="BP323">
            <v>0</v>
          </cell>
          <cell r="BQ323">
            <v>21</v>
          </cell>
          <cell r="BR323">
            <v>30</v>
          </cell>
          <cell r="BS323">
            <v>27</v>
          </cell>
          <cell r="BT323">
            <v>12</v>
          </cell>
          <cell r="BU323" t="str">
            <v/>
          </cell>
          <cell r="BV323">
            <v>90</v>
          </cell>
          <cell r="BW323">
            <v>3</v>
          </cell>
          <cell r="BX323" t="str">
            <v>DOWNGRADE</v>
          </cell>
          <cell r="BY323" t="str">
            <v>TIDAK</v>
          </cell>
        </row>
        <row r="324">
          <cell r="A324" t="str">
            <v>A3940</v>
          </cell>
          <cell r="B324" t="str">
            <v>SHEFIRA SITOHANG</v>
          </cell>
          <cell r="C324" t="str">
            <v>DELTA</v>
          </cell>
          <cell r="D324">
            <v>45426</v>
          </cell>
          <cell r="E324" t="str">
            <v>May-24</v>
          </cell>
          <cell r="F324" t="str">
            <v>-</v>
          </cell>
          <cell r="G324" t="str">
            <v>-</v>
          </cell>
          <cell r="H324" t="str">
            <v>-</v>
          </cell>
          <cell r="I324" t="str">
            <v>-</v>
          </cell>
          <cell r="J324" t="str">
            <v>-</v>
          </cell>
          <cell r="K324" t="str">
            <v>REGULER</v>
          </cell>
          <cell r="L324" t="str">
            <v>-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1</v>
          </cell>
          <cell r="S324" t="str">
            <v/>
          </cell>
          <cell r="T324">
            <v>1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1</v>
          </cell>
          <cell r="AA324" t="str">
            <v/>
          </cell>
          <cell r="AB324">
            <v>1</v>
          </cell>
          <cell r="AC324">
            <v>1</v>
          </cell>
          <cell r="AD324" t="str">
            <v>TIDAK</v>
          </cell>
          <cell r="AE324" t="str">
            <v>TIDAK</v>
          </cell>
          <cell r="AF324">
            <v>1</v>
          </cell>
          <cell r="AG324">
            <v>2</v>
          </cell>
          <cell r="AH324" t="str">
            <v>SAPHIRE</v>
          </cell>
          <cell r="AI324">
            <v>0</v>
          </cell>
          <cell r="AJ324" t="str">
            <v>FALSE</v>
          </cell>
          <cell r="AK324">
            <v>0</v>
          </cell>
          <cell r="AL324">
            <v>45261</v>
          </cell>
          <cell r="AM324">
            <v>45701</v>
          </cell>
          <cell r="AN324">
            <v>1</v>
          </cell>
          <cell r="AO324">
            <v>1</v>
          </cell>
          <cell r="AP324" t="str">
            <v>-</v>
          </cell>
          <cell r="AQ324" t="str">
            <v>-</v>
          </cell>
          <cell r="AR324" t="str">
            <v>-</v>
          </cell>
          <cell r="AS324" t="str">
            <v>-</v>
          </cell>
          <cell r="AT324" t="str">
            <v>-</v>
          </cell>
          <cell r="AU324" t="str">
            <v>-</v>
          </cell>
          <cell r="AV324" t="str">
            <v/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 t="str">
            <v/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 t="str">
            <v/>
          </cell>
          <cell r="BN324">
            <v>0</v>
          </cell>
          <cell r="BO324" t="str">
            <v/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 t="str">
            <v/>
          </cell>
          <cell r="BV324">
            <v>0</v>
          </cell>
          <cell r="BW324">
            <v>7</v>
          </cell>
          <cell r="BX324" t="str">
            <v>DOWNGRADE</v>
          </cell>
          <cell r="BY324" t="str">
            <v>RESET</v>
          </cell>
        </row>
        <row r="325">
          <cell r="A325" t="str">
            <v>A3547</v>
          </cell>
          <cell r="B325" t="str">
            <v>Sheravina Nadanti</v>
          </cell>
          <cell r="C325" t="str">
            <v>DELTA</v>
          </cell>
          <cell r="D325">
            <v>45322</v>
          </cell>
          <cell r="E325" t="str">
            <v>Jan-24</v>
          </cell>
          <cell r="F325" t="str">
            <v>-</v>
          </cell>
          <cell r="G325" t="str">
            <v>REGULER</v>
          </cell>
          <cell r="H325" t="str">
            <v>REGULER</v>
          </cell>
          <cell r="I325" t="str">
            <v>REGULER</v>
          </cell>
          <cell r="J325" t="str">
            <v>REGULER</v>
          </cell>
          <cell r="K325" t="str">
            <v>REGULER</v>
          </cell>
          <cell r="L325" t="str">
            <v>REGULER</v>
          </cell>
          <cell r="M325">
            <v>0</v>
          </cell>
          <cell r="N325">
            <v>1</v>
          </cell>
          <cell r="O325">
            <v>26</v>
          </cell>
          <cell r="P325">
            <v>36</v>
          </cell>
          <cell r="Q325">
            <v>34</v>
          </cell>
          <cell r="R325">
            <v>36</v>
          </cell>
          <cell r="S325">
            <v>17</v>
          </cell>
          <cell r="T325">
            <v>150</v>
          </cell>
          <cell r="U325">
            <v>0</v>
          </cell>
          <cell r="V325">
            <v>1</v>
          </cell>
          <cell r="W325">
            <v>26</v>
          </cell>
          <cell r="X325">
            <v>36</v>
          </cell>
          <cell r="Y325">
            <v>34</v>
          </cell>
          <cell r="Z325">
            <v>36</v>
          </cell>
          <cell r="AA325">
            <v>17</v>
          </cell>
          <cell r="AB325">
            <v>150</v>
          </cell>
          <cell r="AC325">
            <v>0</v>
          </cell>
          <cell r="AD325" t="str">
            <v>TIDAK</v>
          </cell>
          <cell r="AE325" t="str">
            <v>TIDAK</v>
          </cell>
          <cell r="AF325">
            <v>150</v>
          </cell>
          <cell r="AG325">
            <v>2</v>
          </cell>
          <cell r="AH325" t="str">
            <v>SAPHIRE</v>
          </cell>
          <cell r="AI325">
            <v>0</v>
          </cell>
          <cell r="AJ325" t="str">
            <v>Y</v>
          </cell>
          <cell r="AK325">
            <v>0</v>
          </cell>
          <cell r="AL325">
            <v>45261</v>
          </cell>
          <cell r="AM325">
            <v>45701</v>
          </cell>
          <cell r="AN325">
            <v>1</v>
          </cell>
          <cell r="AO325">
            <v>150</v>
          </cell>
          <cell r="AP325" t="str">
            <v>-</v>
          </cell>
          <cell r="AQ325" t="str">
            <v>-</v>
          </cell>
          <cell r="AR325" t="str">
            <v>REGULER</v>
          </cell>
          <cell r="AS325" t="str">
            <v>REGULER</v>
          </cell>
          <cell r="AT325" t="str">
            <v>REGULER</v>
          </cell>
          <cell r="AU325" t="str">
            <v>REGULER</v>
          </cell>
          <cell r="AV325" t="str">
            <v/>
          </cell>
          <cell r="AW325">
            <v>36</v>
          </cell>
          <cell r="AX325">
            <v>29</v>
          </cell>
          <cell r="AY325">
            <v>19</v>
          </cell>
          <cell r="AZ325">
            <v>27</v>
          </cell>
          <cell r="BA325">
            <v>33</v>
          </cell>
          <cell r="BB325">
            <v>36</v>
          </cell>
          <cell r="BC325">
            <v>29</v>
          </cell>
          <cell r="BD325">
            <v>19</v>
          </cell>
          <cell r="BE325">
            <v>27</v>
          </cell>
          <cell r="BF325">
            <v>33</v>
          </cell>
          <cell r="BG325">
            <v>17</v>
          </cell>
          <cell r="BH325">
            <v>36</v>
          </cell>
          <cell r="BI325">
            <v>29</v>
          </cell>
          <cell r="BJ325">
            <v>19</v>
          </cell>
          <cell r="BK325">
            <v>27</v>
          </cell>
          <cell r="BL325">
            <v>33</v>
          </cell>
          <cell r="BM325">
            <v>15</v>
          </cell>
          <cell r="BN325">
            <v>176</v>
          </cell>
          <cell r="BO325">
            <v>17</v>
          </cell>
          <cell r="BP325">
            <v>36</v>
          </cell>
          <cell r="BQ325">
            <v>29</v>
          </cell>
          <cell r="BR325">
            <v>19</v>
          </cell>
          <cell r="BS325">
            <v>27</v>
          </cell>
          <cell r="BT325">
            <v>33</v>
          </cell>
          <cell r="BU325">
            <v>15</v>
          </cell>
          <cell r="BV325">
            <v>176</v>
          </cell>
          <cell r="BW325">
            <v>0</v>
          </cell>
          <cell r="BX325" t="str">
            <v>TIDAK</v>
          </cell>
          <cell r="BY325" t="str">
            <v>TIDAK</v>
          </cell>
        </row>
        <row r="326">
          <cell r="A326" t="str">
            <v>A2859</v>
          </cell>
          <cell r="B326" t="str">
            <v>Shofa Amalia</v>
          </cell>
          <cell r="C326" t="str">
            <v>DELTA</v>
          </cell>
          <cell r="D326">
            <v>45171</v>
          </cell>
          <cell r="E326" t="str">
            <v>Sep-23</v>
          </cell>
          <cell r="F326" t="str">
            <v>REGULER</v>
          </cell>
          <cell r="G326" t="str">
            <v>-</v>
          </cell>
          <cell r="H326" t="str">
            <v>REGULER</v>
          </cell>
          <cell r="I326" t="str">
            <v>-</v>
          </cell>
          <cell r="J326" t="str">
            <v>-</v>
          </cell>
          <cell r="K326" t="str">
            <v>-</v>
          </cell>
          <cell r="L326" t="str">
            <v>-</v>
          </cell>
          <cell r="M326">
            <v>15</v>
          </cell>
          <cell r="N326">
            <v>0</v>
          </cell>
          <cell r="O326">
            <v>1</v>
          </cell>
          <cell r="P326">
            <v>0</v>
          </cell>
          <cell r="Q326">
            <v>0</v>
          </cell>
          <cell r="R326">
            <v>0</v>
          </cell>
          <cell r="S326" t="str">
            <v/>
          </cell>
          <cell r="T326">
            <v>16</v>
          </cell>
          <cell r="U326">
            <v>15</v>
          </cell>
          <cell r="V326">
            <v>0</v>
          </cell>
          <cell r="W326">
            <v>1</v>
          </cell>
          <cell r="X326">
            <v>0</v>
          </cell>
          <cell r="Y326">
            <v>0</v>
          </cell>
          <cell r="Z326">
            <v>0</v>
          </cell>
          <cell r="AA326" t="str">
            <v/>
          </cell>
          <cell r="AB326">
            <v>16</v>
          </cell>
          <cell r="AC326">
            <v>5</v>
          </cell>
          <cell r="AD326" t="str">
            <v>DOWNGRADE</v>
          </cell>
          <cell r="AE326" t="str">
            <v>RESET</v>
          </cell>
          <cell r="AF326">
            <v>0</v>
          </cell>
          <cell r="AG326">
            <v>2</v>
          </cell>
          <cell r="AH326" t="str">
            <v>SAPHIRE</v>
          </cell>
          <cell r="AI326">
            <v>0</v>
          </cell>
          <cell r="AJ326" t="str">
            <v>FALSE</v>
          </cell>
          <cell r="AK326">
            <v>0</v>
          </cell>
          <cell r="AL326">
            <v>45261</v>
          </cell>
          <cell r="AM326">
            <v>45701</v>
          </cell>
          <cell r="AN326">
            <v>1</v>
          </cell>
          <cell r="AO326">
            <v>0</v>
          </cell>
          <cell r="AP326" t="str">
            <v>-</v>
          </cell>
          <cell r="AQ326" t="str">
            <v>-</v>
          </cell>
          <cell r="AR326" t="str">
            <v>-</v>
          </cell>
          <cell r="AS326" t="str">
            <v>-</v>
          </cell>
          <cell r="AT326" t="str">
            <v>-</v>
          </cell>
          <cell r="AU326" t="str">
            <v>-</v>
          </cell>
          <cell r="AV326" t="str">
            <v/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 t="str">
            <v/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 t="str">
            <v/>
          </cell>
          <cell r="BN326">
            <v>0</v>
          </cell>
          <cell r="BO326" t="str">
            <v/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 t="str">
            <v/>
          </cell>
          <cell r="BV326">
            <v>0</v>
          </cell>
          <cell r="BW326">
            <v>7</v>
          </cell>
          <cell r="BX326" t="str">
            <v>DOWNGRADE</v>
          </cell>
          <cell r="BY326" t="str">
            <v>RESET</v>
          </cell>
        </row>
        <row r="327">
          <cell r="A327" t="str">
            <v>A0271</v>
          </cell>
          <cell r="B327" t="str">
            <v>Silvi Dilla Wahyuna</v>
          </cell>
          <cell r="C327" t="str">
            <v>DELTA</v>
          </cell>
          <cell r="D327">
            <v>45328</v>
          </cell>
          <cell r="E327" t="str">
            <v>Feb-24</v>
          </cell>
          <cell r="F327" t="str">
            <v>-</v>
          </cell>
          <cell r="G327" t="str">
            <v>-</v>
          </cell>
          <cell r="H327" t="str">
            <v>REGULER</v>
          </cell>
          <cell r="I327" t="str">
            <v>-</v>
          </cell>
          <cell r="J327" t="str">
            <v>-</v>
          </cell>
          <cell r="K327" t="str">
            <v>-</v>
          </cell>
          <cell r="L327" t="str">
            <v>-</v>
          </cell>
          <cell r="M327">
            <v>0</v>
          </cell>
          <cell r="N327">
            <v>0</v>
          </cell>
          <cell r="O327">
            <v>6</v>
          </cell>
          <cell r="P327">
            <v>0</v>
          </cell>
          <cell r="Q327">
            <v>0</v>
          </cell>
          <cell r="R327">
            <v>0</v>
          </cell>
          <cell r="S327" t="str">
            <v/>
          </cell>
          <cell r="T327">
            <v>6</v>
          </cell>
          <cell r="U327">
            <v>0</v>
          </cell>
          <cell r="V327">
            <v>0</v>
          </cell>
          <cell r="W327">
            <v>6</v>
          </cell>
          <cell r="X327">
            <v>0</v>
          </cell>
          <cell r="Y327">
            <v>0</v>
          </cell>
          <cell r="Z327">
            <v>0</v>
          </cell>
          <cell r="AA327" t="str">
            <v/>
          </cell>
          <cell r="AB327">
            <v>6</v>
          </cell>
          <cell r="AC327">
            <v>4</v>
          </cell>
          <cell r="AD327" t="str">
            <v>DOWNGRADE</v>
          </cell>
          <cell r="AE327" t="str">
            <v>RESET</v>
          </cell>
          <cell r="AF327">
            <v>0</v>
          </cell>
          <cell r="AG327">
            <v>0</v>
          </cell>
          <cell r="AH327" t="str">
            <v>SAPHIRE</v>
          </cell>
          <cell r="AI327">
            <v>0</v>
          </cell>
          <cell r="AJ327" t="str">
            <v>FALSE</v>
          </cell>
          <cell r="AK327">
            <v>0</v>
          </cell>
          <cell r="AL327">
            <v>45261</v>
          </cell>
          <cell r="AM327">
            <v>45701</v>
          </cell>
          <cell r="AN327">
            <v>1</v>
          </cell>
          <cell r="AO327">
            <v>0</v>
          </cell>
          <cell r="AP327" t="str">
            <v>-</v>
          </cell>
          <cell r="AQ327" t="str">
            <v>-</v>
          </cell>
          <cell r="AR327" t="str">
            <v>-</v>
          </cell>
          <cell r="AS327" t="str">
            <v>-</v>
          </cell>
          <cell r="AT327" t="str">
            <v>-</v>
          </cell>
          <cell r="AU327" t="str">
            <v>-</v>
          </cell>
          <cell r="AV327" t="str">
            <v/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 t="str">
            <v/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 t="str">
            <v/>
          </cell>
          <cell r="BN327">
            <v>0</v>
          </cell>
          <cell r="BO327" t="str">
            <v/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 t="str">
            <v/>
          </cell>
          <cell r="BV327">
            <v>0</v>
          </cell>
          <cell r="BW327">
            <v>7</v>
          </cell>
          <cell r="BX327" t="str">
            <v>DOWNGRADE</v>
          </cell>
          <cell r="BY327" t="str">
            <v>RESET</v>
          </cell>
        </row>
        <row r="328">
          <cell r="A328" t="str">
            <v>A1276</v>
          </cell>
          <cell r="B328" t="str">
            <v>Sindi Arlinda Dewi</v>
          </cell>
          <cell r="C328" t="str">
            <v>DELTA</v>
          </cell>
          <cell r="D328">
            <v>44977</v>
          </cell>
          <cell r="E328" t="str">
            <v>Feb-23</v>
          </cell>
          <cell r="F328" t="str">
            <v>EKSKLUSIF</v>
          </cell>
          <cell r="G328" t="str">
            <v>EKSKLUSIF</v>
          </cell>
          <cell r="H328" t="str">
            <v>EKSKLUSIF</v>
          </cell>
          <cell r="I328" t="str">
            <v>EKSKLUSIF</v>
          </cell>
          <cell r="J328" t="str">
            <v>EKSKLUSIF</v>
          </cell>
          <cell r="K328" t="str">
            <v>EKSKLUSIF</v>
          </cell>
          <cell r="L328" t="str">
            <v>EKSKLUSIF</v>
          </cell>
          <cell r="M328">
            <v>20</v>
          </cell>
          <cell r="N328">
            <v>47</v>
          </cell>
          <cell r="O328">
            <v>39</v>
          </cell>
          <cell r="P328">
            <v>42</v>
          </cell>
          <cell r="Q328">
            <v>38</v>
          </cell>
          <cell r="R328">
            <v>44</v>
          </cell>
          <cell r="S328">
            <v>21</v>
          </cell>
          <cell r="T328">
            <v>251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 t="str">
            <v>TIDAK</v>
          </cell>
          <cell r="AE328" t="str">
            <v>TIDAK</v>
          </cell>
          <cell r="AF328">
            <v>0</v>
          </cell>
          <cell r="AG328">
            <v>2</v>
          </cell>
          <cell r="AH328" t="str">
            <v>SAPHIRE</v>
          </cell>
          <cell r="AI328">
            <v>0</v>
          </cell>
          <cell r="AJ328" t="str">
            <v>FALSE</v>
          </cell>
          <cell r="AK328">
            <v>0</v>
          </cell>
          <cell r="AL328">
            <v>45261</v>
          </cell>
          <cell r="AM328">
            <v>45701</v>
          </cell>
          <cell r="AN328">
            <v>1</v>
          </cell>
          <cell r="AO328">
            <v>0</v>
          </cell>
          <cell r="AP328" t="str">
            <v>EKSKLUSIF</v>
          </cell>
          <cell r="AQ328" t="str">
            <v>-</v>
          </cell>
          <cell r="AR328" t="str">
            <v>EKSKLUSIF</v>
          </cell>
          <cell r="AS328" t="str">
            <v>EKSKLUSIF</v>
          </cell>
          <cell r="AT328" t="str">
            <v>EKSKLUSIF</v>
          </cell>
          <cell r="AU328" t="str">
            <v>EKSKLUSIF</v>
          </cell>
          <cell r="AV328" t="str">
            <v/>
          </cell>
          <cell r="AW328">
            <v>50</v>
          </cell>
          <cell r="AX328">
            <v>45</v>
          </cell>
          <cell r="AY328">
            <v>45</v>
          </cell>
          <cell r="AZ328">
            <v>48</v>
          </cell>
          <cell r="BA328">
            <v>46</v>
          </cell>
          <cell r="BB328">
            <v>50</v>
          </cell>
          <cell r="BC328">
            <v>45</v>
          </cell>
          <cell r="BD328">
            <v>45</v>
          </cell>
          <cell r="BE328">
            <v>48</v>
          </cell>
          <cell r="BF328">
            <v>46</v>
          </cell>
          <cell r="BG328">
            <v>20</v>
          </cell>
          <cell r="BH328">
            <v>50</v>
          </cell>
          <cell r="BI328">
            <v>45</v>
          </cell>
          <cell r="BJ328">
            <v>45</v>
          </cell>
          <cell r="BK328">
            <v>48</v>
          </cell>
          <cell r="BL328">
            <v>46</v>
          </cell>
          <cell r="BM328">
            <v>18</v>
          </cell>
          <cell r="BN328">
            <v>272</v>
          </cell>
          <cell r="BO328">
            <v>0</v>
          </cell>
          <cell r="BP328">
            <v>50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18</v>
          </cell>
          <cell r="BV328">
            <v>68</v>
          </cell>
          <cell r="BW328">
            <v>0</v>
          </cell>
          <cell r="BX328" t="str">
            <v>TIDAK</v>
          </cell>
          <cell r="BY328" t="str">
            <v>TIDAK</v>
          </cell>
        </row>
        <row r="329">
          <cell r="A329" t="str">
            <v>A0934</v>
          </cell>
          <cell r="B329" t="str">
            <v>Sindu Prathiwi</v>
          </cell>
          <cell r="C329" t="str">
            <v>DELTA</v>
          </cell>
          <cell r="D329">
            <v>44947</v>
          </cell>
          <cell r="E329" t="str">
            <v>Jan-23</v>
          </cell>
          <cell r="F329" t="str">
            <v>EKSKLUSIF</v>
          </cell>
          <cell r="G329" t="str">
            <v>REGULER</v>
          </cell>
          <cell r="H329" t="str">
            <v>REGULER</v>
          </cell>
          <cell r="I329" t="str">
            <v>REGULER</v>
          </cell>
          <cell r="J329" t="str">
            <v>REGULER</v>
          </cell>
          <cell r="K329" t="str">
            <v>REGULER</v>
          </cell>
          <cell r="L329" t="str">
            <v>REGULER</v>
          </cell>
          <cell r="M329">
            <v>18</v>
          </cell>
          <cell r="N329">
            <v>38</v>
          </cell>
          <cell r="O329">
            <v>25</v>
          </cell>
          <cell r="P329">
            <v>31</v>
          </cell>
          <cell r="Q329">
            <v>22</v>
          </cell>
          <cell r="R329">
            <v>33</v>
          </cell>
          <cell r="S329">
            <v>8</v>
          </cell>
          <cell r="T329">
            <v>175</v>
          </cell>
          <cell r="U329">
            <v>0</v>
          </cell>
          <cell r="V329">
            <v>38</v>
          </cell>
          <cell r="W329">
            <v>25</v>
          </cell>
          <cell r="X329">
            <v>31</v>
          </cell>
          <cell r="Y329">
            <v>22</v>
          </cell>
          <cell r="Z329">
            <v>33</v>
          </cell>
          <cell r="AA329">
            <v>8</v>
          </cell>
          <cell r="AB329">
            <v>157</v>
          </cell>
          <cell r="AC329">
            <v>0</v>
          </cell>
          <cell r="AD329" t="str">
            <v>TIDAK</v>
          </cell>
          <cell r="AE329" t="str">
            <v>TIDAK</v>
          </cell>
          <cell r="AF329">
            <v>157</v>
          </cell>
          <cell r="AG329">
            <v>2</v>
          </cell>
          <cell r="AH329" t="str">
            <v>SAPHIRE</v>
          </cell>
          <cell r="AI329">
            <v>0</v>
          </cell>
          <cell r="AJ329" t="str">
            <v>Y</v>
          </cell>
          <cell r="AK329">
            <v>0</v>
          </cell>
          <cell r="AL329">
            <v>45261</v>
          </cell>
          <cell r="AM329">
            <v>45701</v>
          </cell>
          <cell r="AN329">
            <v>1</v>
          </cell>
          <cell r="AO329">
            <v>157</v>
          </cell>
          <cell r="AP329" t="str">
            <v>-</v>
          </cell>
          <cell r="AQ329" t="str">
            <v>-</v>
          </cell>
          <cell r="AR329" t="str">
            <v>REGULER</v>
          </cell>
          <cell r="AS329" t="str">
            <v>REGULER</v>
          </cell>
          <cell r="AT329" t="str">
            <v>REGULER</v>
          </cell>
          <cell r="AU329" t="str">
            <v>REGULER</v>
          </cell>
          <cell r="AV329" t="str">
            <v/>
          </cell>
          <cell r="AW329">
            <v>32</v>
          </cell>
          <cell r="AX329">
            <v>34</v>
          </cell>
          <cell r="AY329">
            <v>31</v>
          </cell>
          <cell r="AZ329">
            <v>34</v>
          </cell>
          <cell r="BA329">
            <v>33</v>
          </cell>
          <cell r="BB329">
            <v>32</v>
          </cell>
          <cell r="BC329">
            <v>34</v>
          </cell>
          <cell r="BD329">
            <v>31</v>
          </cell>
          <cell r="BE329">
            <v>34</v>
          </cell>
          <cell r="BF329">
            <v>33</v>
          </cell>
          <cell r="BG329">
            <v>15</v>
          </cell>
          <cell r="BH329">
            <v>32</v>
          </cell>
          <cell r="BI329">
            <v>34</v>
          </cell>
          <cell r="BJ329">
            <v>31</v>
          </cell>
          <cell r="BK329">
            <v>34</v>
          </cell>
          <cell r="BL329">
            <v>33</v>
          </cell>
          <cell r="BM329">
            <v>16</v>
          </cell>
          <cell r="BN329">
            <v>195</v>
          </cell>
          <cell r="BO329">
            <v>15</v>
          </cell>
          <cell r="BP329">
            <v>32</v>
          </cell>
          <cell r="BQ329">
            <v>34</v>
          </cell>
          <cell r="BR329">
            <v>31</v>
          </cell>
          <cell r="BS329">
            <v>34</v>
          </cell>
          <cell r="BT329">
            <v>33</v>
          </cell>
          <cell r="BU329">
            <v>16</v>
          </cell>
          <cell r="BV329">
            <v>195</v>
          </cell>
          <cell r="BW329">
            <v>0</v>
          </cell>
          <cell r="BX329" t="str">
            <v>TIDAK</v>
          </cell>
          <cell r="BY329" t="str">
            <v>TIDAK</v>
          </cell>
        </row>
        <row r="330">
          <cell r="A330" t="str">
            <v>A3276</v>
          </cell>
          <cell r="B330" t="str">
            <v>Siti Lathifah</v>
          </cell>
          <cell r="C330" t="str">
            <v>DELTA</v>
          </cell>
          <cell r="D330">
            <v>45246</v>
          </cell>
          <cell r="E330" t="str">
            <v>Nov-23</v>
          </cell>
          <cell r="F330" t="str">
            <v>REGULER</v>
          </cell>
          <cell r="G330" t="str">
            <v>REGULER</v>
          </cell>
          <cell r="H330" t="str">
            <v>REGULER</v>
          </cell>
          <cell r="I330" t="str">
            <v>-</v>
          </cell>
          <cell r="J330" t="str">
            <v>-</v>
          </cell>
          <cell r="K330" t="str">
            <v>-</v>
          </cell>
          <cell r="L330" t="str">
            <v>-</v>
          </cell>
          <cell r="M330">
            <v>5</v>
          </cell>
          <cell r="N330">
            <v>11</v>
          </cell>
          <cell r="O330">
            <v>3</v>
          </cell>
          <cell r="P330">
            <v>0</v>
          </cell>
          <cell r="Q330">
            <v>0</v>
          </cell>
          <cell r="R330">
            <v>0</v>
          </cell>
          <cell r="S330" t="str">
            <v/>
          </cell>
          <cell r="T330">
            <v>19</v>
          </cell>
          <cell r="U330">
            <v>5</v>
          </cell>
          <cell r="V330">
            <v>11</v>
          </cell>
          <cell r="W330">
            <v>3</v>
          </cell>
          <cell r="X330">
            <v>0</v>
          </cell>
          <cell r="Y330">
            <v>0</v>
          </cell>
          <cell r="Z330">
            <v>0</v>
          </cell>
          <cell r="AA330" t="str">
            <v/>
          </cell>
          <cell r="AB330">
            <v>19</v>
          </cell>
          <cell r="AC330">
            <v>4</v>
          </cell>
          <cell r="AD330" t="str">
            <v>DOWNGRADE</v>
          </cell>
          <cell r="AE330" t="str">
            <v>RESET</v>
          </cell>
          <cell r="AF330">
            <v>0</v>
          </cell>
          <cell r="AG330">
            <v>2</v>
          </cell>
          <cell r="AH330" t="str">
            <v>SAPHIRE</v>
          </cell>
          <cell r="AI330">
            <v>0</v>
          </cell>
          <cell r="AJ330" t="str">
            <v>FALSE</v>
          </cell>
          <cell r="AK330">
            <v>0</v>
          </cell>
          <cell r="AL330">
            <v>45261</v>
          </cell>
          <cell r="AM330">
            <v>45701</v>
          </cell>
          <cell r="AN330">
            <v>1</v>
          </cell>
          <cell r="AO330">
            <v>0</v>
          </cell>
          <cell r="AP330" t="str">
            <v>-</v>
          </cell>
          <cell r="AQ330" t="str">
            <v>-</v>
          </cell>
          <cell r="AR330" t="str">
            <v>-</v>
          </cell>
          <cell r="AS330" t="str">
            <v>-</v>
          </cell>
          <cell r="AT330" t="str">
            <v>-</v>
          </cell>
          <cell r="AU330" t="str">
            <v>-</v>
          </cell>
          <cell r="AV330" t="str">
            <v/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 t="str">
            <v/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 t="str">
            <v/>
          </cell>
          <cell r="BN330">
            <v>0</v>
          </cell>
          <cell r="BO330" t="str">
            <v/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 t="str">
            <v/>
          </cell>
          <cell r="BV330">
            <v>0</v>
          </cell>
          <cell r="BW330">
            <v>7</v>
          </cell>
          <cell r="BX330" t="str">
            <v>DOWNGRADE</v>
          </cell>
          <cell r="BY330" t="str">
            <v>RESET</v>
          </cell>
        </row>
        <row r="331">
          <cell r="A331" t="str">
            <v>A0615</v>
          </cell>
          <cell r="B331" t="str">
            <v>Stefania Mey Sandra</v>
          </cell>
          <cell r="C331" t="str">
            <v>DELTA</v>
          </cell>
          <cell r="D331">
            <v>44880</v>
          </cell>
          <cell r="E331" t="str">
            <v>Nov-22</v>
          </cell>
          <cell r="F331" t="str">
            <v>REGULER</v>
          </cell>
          <cell r="G331" t="str">
            <v>REGULER</v>
          </cell>
          <cell r="H331" t="str">
            <v>REGULER</v>
          </cell>
          <cell r="I331" t="str">
            <v>REGULER</v>
          </cell>
          <cell r="J331" t="str">
            <v>REGULER</v>
          </cell>
          <cell r="K331" t="str">
            <v>REGULER</v>
          </cell>
          <cell r="L331" t="str">
            <v>REGULER</v>
          </cell>
          <cell r="M331">
            <v>7</v>
          </cell>
          <cell r="N331">
            <v>17</v>
          </cell>
          <cell r="O331">
            <v>19</v>
          </cell>
          <cell r="P331">
            <v>35</v>
          </cell>
          <cell r="Q331">
            <v>31</v>
          </cell>
          <cell r="R331">
            <v>39</v>
          </cell>
          <cell r="S331">
            <v>18</v>
          </cell>
          <cell r="T331">
            <v>166</v>
          </cell>
          <cell r="U331">
            <v>7</v>
          </cell>
          <cell r="V331">
            <v>17</v>
          </cell>
          <cell r="W331">
            <v>19</v>
          </cell>
          <cell r="X331">
            <v>35</v>
          </cell>
          <cell r="Y331">
            <v>31</v>
          </cell>
          <cell r="Z331">
            <v>39</v>
          </cell>
          <cell r="AA331">
            <v>18</v>
          </cell>
          <cell r="AB331">
            <v>166</v>
          </cell>
          <cell r="AC331">
            <v>0</v>
          </cell>
          <cell r="AD331" t="str">
            <v>TIDAK</v>
          </cell>
          <cell r="AE331" t="str">
            <v>TIDAK</v>
          </cell>
          <cell r="AF331">
            <v>166</v>
          </cell>
          <cell r="AG331">
            <v>2</v>
          </cell>
          <cell r="AH331" t="str">
            <v>SAPHIRE</v>
          </cell>
          <cell r="AI331">
            <v>0</v>
          </cell>
          <cell r="AJ331" t="str">
            <v>Y</v>
          </cell>
          <cell r="AK331">
            <v>0</v>
          </cell>
          <cell r="AL331">
            <v>45261</v>
          </cell>
          <cell r="AM331">
            <v>45701</v>
          </cell>
          <cell r="AN331">
            <v>1</v>
          </cell>
          <cell r="AO331">
            <v>166</v>
          </cell>
          <cell r="AP331" t="str">
            <v>-</v>
          </cell>
          <cell r="AQ331" t="str">
            <v>-</v>
          </cell>
          <cell r="AR331" t="str">
            <v>-</v>
          </cell>
          <cell r="AS331" t="str">
            <v>-</v>
          </cell>
          <cell r="AT331" t="str">
            <v>-</v>
          </cell>
          <cell r="AU331" t="str">
            <v>-</v>
          </cell>
          <cell r="AV331" t="str">
            <v/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19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 t="str">
            <v/>
          </cell>
          <cell r="BN331">
            <v>19</v>
          </cell>
          <cell r="BO331">
            <v>19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 t="str">
            <v/>
          </cell>
          <cell r="BV331">
            <v>19</v>
          </cell>
          <cell r="BW331">
            <v>6</v>
          </cell>
          <cell r="BX331" t="str">
            <v>DOWNGRADE</v>
          </cell>
          <cell r="BY331" t="str">
            <v>RESET</v>
          </cell>
        </row>
        <row r="332">
          <cell r="A332" t="str">
            <v>A3711</v>
          </cell>
          <cell r="B332" t="str">
            <v>Stephanus Deksa Leksono</v>
          </cell>
          <cell r="C332" t="str">
            <v>DELTA</v>
          </cell>
          <cell r="D332">
            <v>45323</v>
          </cell>
          <cell r="E332" t="str">
            <v>Feb-24</v>
          </cell>
          <cell r="F332" t="str">
            <v>-</v>
          </cell>
          <cell r="G332" t="str">
            <v>-</v>
          </cell>
          <cell r="H332" t="str">
            <v>REGULER</v>
          </cell>
          <cell r="I332" t="str">
            <v>-</v>
          </cell>
          <cell r="J332" t="str">
            <v>-</v>
          </cell>
          <cell r="K332" t="str">
            <v>-</v>
          </cell>
          <cell r="L332" t="str">
            <v>-</v>
          </cell>
          <cell r="M332">
            <v>0</v>
          </cell>
          <cell r="N332">
            <v>0</v>
          </cell>
          <cell r="O332">
            <v>14</v>
          </cell>
          <cell r="P332">
            <v>0</v>
          </cell>
          <cell r="Q332">
            <v>0</v>
          </cell>
          <cell r="R332">
            <v>0</v>
          </cell>
          <cell r="S332" t="str">
            <v/>
          </cell>
          <cell r="T332">
            <v>14</v>
          </cell>
          <cell r="U332">
            <v>0</v>
          </cell>
          <cell r="V332">
            <v>0</v>
          </cell>
          <cell r="W332">
            <v>14</v>
          </cell>
          <cell r="X332">
            <v>0</v>
          </cell>
          <cell r="Y332">
            <v>0</v>
          </cell>
          <cell r="Z332">
            <v>0</v>
          </cell>
          <cell r="AA332" t="str">
            <v/>
          </cell>
          <cell r="AB332">
            <v>14</v>
          </cell>
          <cell r="AC332">
            <v>4</v>
          </cell>
          <cell r="AD332" t="str">
            <v>DOWNGRADE</v>
          </cell>
          <cell r="AE332" t="str">
            <v>RESET</v>
          </cell>
          <cell r="AF332">
            <v>0</v>
          </cell>
          <cell r="AG332">
            <v>2</v>
          </cell>
          <cell r="AH332" t="str">
            <v>SAPHIRE</v>
          </cell>
          <cell r="AI332">
            <v>0</v>
          </cell>
          <cell r="AJ332" t="str">
            <v>FALSE</v>
          </cell>
          <cell r="AK332">
            <v>0</v>
          </cell>
          <cell r="AL332">
            <v>45261</v>
          </cell>
          <cell r="AM332">
            <v>45701</v>
          </cell>
          <cell r="AN332">
            <v>1</v>
          </cell>
          <cell r="AO332">
            <v>0</v>
          </cell>
          <cell r="AP332" t="str">
            <v>-</v>
          </cell>
          <cell r="AQ332" t="str">
            <v>-</v>
          </cell>
          <cell r="AR332" t="str">
            <v>-</v>
          </cell>
          <cell r="AS332" t="str">
            <v>-</v>
          </cell>
          <cell r="AT332" t="str">
            <v>-</v>
          </cell>
          <cell r="AU332" t="str">
            <v>-</v>
          </cell>
          <cell r="AV332" t="str">
            <v/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 t="str">
            <v/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 t="str">
            <v/>
          </cell>
          <cell r="BN332">
            <v>0</v>
          </cell>
          <cell r="BO332" t="str">
            <v/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 t="str">
            <v/>
          </cell>
          <cell r="BV332">
            <v>0</v>
          </cell>
          <cell r="BW332">
            <v>7</v>
          </cell>
          <cell r="BX332" t="str">
            <v>DOWNGRADE</v>
          </cell>
          <cell r="BY332" t="str">
            <v>RESET</v>
          </cell>
        </row>
        <row r="333">
          <cell r="A333" t="str">
            <v>A1893</v>
          </cell>
          <cell r="B333" t="str">
            <v>Syanne Aurellia Kawihardja</v>
          </cell>
          <cell r="C333" t="str">
            <v>DELTA</v>
          </cell>
          <cell r="D333">
            <v>45033</v>
          </cell>
          <cell r="E333" t="str">
            <v>Apr-23</v>
          </cell>
          <cell r="F333" t="str">
            <v>REGULER</v>
          </cell>
          <cell r="G333" t="str">
            <v>-</v>
          </cell>
          <cell r="H333" t="str">
            <v>REGULER</v>
          </cell>
          <cell r="I333" t="str">
            <v>REGULER</v>
          </cell>
          <cell r="J333" t="str">
            <v>REGULER</v>
          </cell>
          <cell r="K333" t="str">
            <v>REGULER</v>
          </cell>
          <cell r="L333" t="str">
            <v>REGULER</v>
          </cell>
          <cell r="M333">
            <v>0</v>
          </cell>
          <cell r="N333">
            <v>0</v>
          </cell>
          <cell r="O333">
            <v>15</v>
          </cell>
          <cell r="P333">
            <v>24</v>
          </cell>
          <cell r="Q333">
            <v>24</v>
          </cell>
          <cell r="R333">
            <v>31</v>
          </cell>
          <cell r="S333">
            <v>15</v>
          </cell>
          <cell r="T333">
            <v>109</v>
          </cell>
          <cell r="U333">
            <v>0</v>
          </cell>
          <cell r="V333">
            <v>0</v>
          </cell>
          <cell r="W333">
            <v>15</v>
          </cell>
          <cell r="X333">
            <v>24</v>
          </cell>
          <cell r="Y333">
            <v>24</v>
          </cell>
          <cell r="Z333">
            <v>31</v>
          </cell>
          <cell r="AA333">
            <v>15</v>
          </cell>
          <cell r="AB333">
            <v>109</v>
          </cell>
          <cell r="AC333">
            <v>2</v>
          </cell>
          <cell r="AD333" t="str">
            <v>TIDAK</v>
          </cell>
          <cell r="AE333" t="str">
            <v>TIDAK</v>
          </cell>
          <cell r="AF333">
            <v>109</v>
          </cell>
          <cell r="AG333">
            <v>2</v>
          </cell>
          <cell r="AH333" t="str">
            <v>SAPHIRE</v>
          </cell>
          <cell r="AI333">
            <v>0</v>
          </cell>
          <cell r="AJ333" t="str">
            <v>Y</v>
          </cell>
          <cell r="AK333">
            <v>0</v>
          </cell>
          <cell r="AL333">
            <v>45261</v>
          </cell>
          <cell r="AM333">
            <v>45701</v>
          </cell>
          <cell r="AN333">
            <v>1</v>
          </cell>
          <cell r="AO333">
            <v>109</v>
          </cell>
          <cell r="AP333" t="str">
            <v>-</v>
          </cell>
          <cell r="AQ333" t="str">
            <v>-</v>
          </cell>
          <cell r="AR333" t="str">
            <v>REGULER</v>
          </cell>
          <cell r="AS333" t="str">
            <v>REGULER</v>
          </cell>
          <cell r="AT333" t="str">
            <v>REGULER</v>
          </cell>
          <cell r="AU333" t="str">
            <v>REGULER</v>
          </cell>
          <cell r="AV333" t="str">
            <v/>
          </cell>
          <cell r="AW333">
            <v>31</v>
          </cell>
          <cell r="AX333">
            <v>31</v>
          </cell>
          <cell r="AY333">
            <v>25</v>
          </cell>
          <cell r="AZ333">
            <v>38</v>
          </cell>
          <cell r="BA333">
            <v>32</v>
          </cell>
          <cell r="BB333">
            <v>31</v>
          </cell>
          <cell r="BC333">
            <v>31</v>
          </cell>
          <cell r="BD333">
            <v>25</v>
          </cell>
          <cell r="BE333">
            <v>38</v>
          </cell>
          <cell r="BF333">
            <v>32</v>
          </cell>
          <cell r="BG333">
            <v>2</v>
          </cell>
          <cell r="BH333">
            <v>31</v>
          </cell>
          <cell r="BI333">
            <v>31</v>
          </cell>
          <cell r="BJ333">
            <v>25</v>
          </cell>
          <cell r="BK333">
            <v>38</v>
          </cell>
          <cell r="BL333">
            <v>32</v>
          </cell>
          <cell r="BM333">
            <v>16</v>
          </cell>
          <cell r="BN333">
            <v>175</v>
          </cell>
          <cell r="BO333">
            <v>2</v>
          </cell>
          <cell r="BP333">
            <v>31</v>
          </cell>
          <cell r="BQ333">
            <v>31</v>
          </cell>
          <cell r="BR333">
            <v>25</v>
          </cell>
          <cell r="BS333">
            <v>38</v>
          </cell>
          <cell r="BT333">
            <v>32</v>
          </cell>
          <cell r="BU333">
            <v>16</v>
          </cell>
          <cell r="BV333">
            <v>175</v>
          </cell>
          <cell r="BW333">
            <v>0</v>
          </cell>
          <cell r="BX333" t="str">
            <v>TIDAK</v>
          </cell>
          <cell r="BY333" t="str">
            <v>TIDAK</v>
          </cell>
        </row>
        <row r="334">
          <cell r="A334" t="str">
            <v>A3726</v>
          </cell>
          <cell r="B334" t="str">
            <v>Syariah Wahyu Utami</v>
          </cell>
          <cell r="C334" t="str">
            <v>DELTA</v>
          </cell>
          <cell r="D334">
            <v>45323</v>
          </cell>
          <cell r="E334" t="str">
            <v>Feb-24</v>
          </cell>
          <cell r="F334" t="str">
            <v>-</v>
          </cell>
          <cell r="G334" t="str">
            <v>-</v>
          </cell>
          <cell r="H334" t="str">
            <v>REGULER</v>
          </cell>
          <cell r="I334" t="str">
            <v>REGULER</v>
          </cell>
          <cell r="J334" t="str">
            <v>REGULER</v>
          </cell>
          <cell r="K334" t="str">
            <v>-</v>
          </cell>
          <cell r="L334" t="str">
            <v>-</v>
          </cell>
          <cell r="M334">
            <v>0</v>
          </cell>
          <cell r="N334">
            <v>0</v>
          </cell>
          <cell r="O334">
            <v>19</v>
          </cell>
          <cell r="P334">
            <v>20</v>
          </cell>
          <cell r="Q334">
            <v>25</v>
          </cell>
          <cell r="R334">
            <v>0</v>
          </cell>
          <cell r="S334" t="str">
            <v/>
          </cell>
          <cell r="T334">
            <v>64</v>
          </cell>
          <cell r="U334">
            <v>0</v>
          </cell>
          <cell r="V334">
            <v>0</v>
          </cell>
          <cell r="W334">
            <v>19</v>
          </cell>
          <cell r="X334">
            <v>20</v>
          </cell>
          <cell r="Y334">
            <v>25</v>
          </cell>
          <cell r="Z334">
            <v>0</v>
          </cell>
          <cell r="AA334" t="str">
            <v/>
          </cell>
          <cell r="AB334">
            <v>64</v>
          </cell>
          <cell r="AC334">
            <v>2</v>
          </cell>
          <cell r="AD334" t="str">
            <v>TIDAK</v>
          </cell>
          <cell r="AE334" t="str">
            <v>TIDAK</v>
          </cell>
          <cell r="AF334">
            <v>64</v>
          </cell>
          <cell r="AG334">
            <v>2</v>
          </cell>
          <cell r="AH334" t="str">
            <v>SAPHIRE</v>
          </cell>
          <cell r="AI334">
            <v>0</v>
          </cell>
          <cell r="AJ334" t="str">
            <v>FALSE</v>
          </cell>
          <cell r="AK334">
            <v>0</v>
          </cell>
          <cell r="AL334">
            <v>45261</v>
          </cell>
          <cell r="AM334">
            <v>45701</v>
          </cell>
          <cell r="AN334">
            <v>1</v>
          </cell>
          <cell r="AO334">
            <v>64</v>
          </cell>
          <cell r="AP334" t="str">
            <v>-</v>
          </cell>
          <cell r="AQ334" t="str">
            <v>-</v>
          </cell>
          <cell r="AR334" t="str">
            <v>REGULER</v>
          </cell>
          <cell r="AS334" t="str">
            <v>REGULER</v>
          </cell>
          <cell r="AT334" t="str">
            <v>-</v>
          </cell>
          <cell r="AU334" t="str">
            <v>-</v>
          </cell>
          <cell r="AV334" t="str">
            <v/>
          </cell>
          <cell r="AW334">
            <v>28</v>
          </cell>
          <cell r="AX334">
            <v>38</v>
          </cell>
          <cell r="AY334">
            <v>31</v>
          </cell>
          <cell r="AZ334">
            <v>0</v>
          </cell>
          <cell r="BA334">
            <v>0</v>
          </cell>
          <cell r="BB334">
            <v>28</v>
          </cell>
          <cell r="BC334">
            <v>38</v>
          </cell>
          <cell r="BD334">
            <v>31</v>
          </cell>
          <cell r="BE334">
            <v>0</v>
          </cell>
          <cell r="BF334">
            <v>0</v>
          </cell>
          <cell r="BG334" t="str">
            <v/>
          </cell>
          <cell r="BH334">
            <v>28</v>
          </cell>
          <cell r="BI334">
            <v>38</v>
          </cell>
          <cell r="BJ334">
            <v>31</v>
          </cell>
          <cell r="BK334">
            <v>0</v>
          </cell>
          <cell r="BL334">
            <v>0</v>
          </cell>
          <cell r="BM334" t="str">
            <v/>
          </cell>
          <cell r="BN334">
            <v>97</v>
          </cell>
          <cell r="BO334" t="str">
            <v/>
          </cell>
          <cell r="BP334">
            <v>28</v>
          </cell>
          <cell r="BQ334">
            <v>38</v>
          </cell>
          <cell r="BR334">
            <v>31</v>
          </cell>
          <cell r="BS334">
            <v>0</v>
          </cell>
          <cell r="BT334">
            <v>0</v>
          </cell>
          <cell r="BU334" t="str">
            <v/>
          </cell>
          <cell r="BV334">
            <v>97</v>
          </cell>
          <cell r="BW334">
            <v>4</v>
          </cell>
          <cell r="BX334" t="str">
            <v>DOWNGRADE</v>
          </cell>
          <cell r="BY334" t="str">
            <v>RESET</v>
          </cell>
        </row>
        <row r="335">
          <cell r="A335" t="str">
            <v>A3906</v>
          </cell>
          <cell r="B335" t="str">
            <v>Tarisa Dea Puspita</v>
          </cell>
          <cell r="C335" t="str">
            <v>DELTA</v>
          </cell>
          <cell r="D335">
            <v>45387</v>
          </cell>
          <cell r="E335" t="str">
            <v>Apr-24</v>
          </cell>
          <cell r="F335" t="str">
            <v>-</v>
          </cell>
          <cell r="G335" t="str">
            <v>-</v>
          </cell>
          <cell r="H335" t="str">
            <v>-</v>
          </cell>
          <cell r="I335" t="str">
            <v>-</v>
          </cell>
          <cell r="J335" t="str">
            <v>REGULER</v>
          </cell>
          <cell r="K335" t="str">
            <v>REGULER</v>
          </cell>
          <cell r="L335" t="str">
            <v>REGULER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5</v>
          </cell>
          <cell r="R335">
            <v>5</v>
          </cell>
          <cell r="S335">
            <v>3</v>
          </cell>
          <cell r="T335">
            <v>13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5</v>
          </cell>
          <cell r="Z335">
            <v>5</v>
          </cell>
          <cell r="AA335">
            <v>3</v>
          </cell>
          <cell r="AB335">
            <v>13</v>
          </cell>
          <cell r="AC335">
            <v>0</v>
          </cell>
          <cell r="AD335" t="str">
            <v>TIDAK</v>
          </cell>
          <cell r="AE335" t="str">
            <v>TIDAK</v>
          </cell>
          <cell r="AF335">
            <v>13</v>
          </cell>
          <cell r="AG335">
            <v>2</v>
          </cell>
          <cell r="AH335" t="str">
            <v>SAPHIRE</v>
          </cell>
          <cell r="AI335">
            <v>0</v>
          </cell>
          <cell r="AJ335" t="str">
            <v>FALSE</v>
          </cell>
          <cell r="AK335">
            <v>0</v>
          </cell>
          <cell r="AL335">
            <v>45261</v>
          </cell>
          <cell r="AM335">
            <v>45701</v>
          </cell>
          <cell r="AN335">
            <v>1</v>
          </cell>
          <cell r="AO335">
            <v>13</v>
          </cell>
          <cell r="AP335" t="str">
            <v>-</v>
          </cell>
          <cell r="AQ335" t="str">
            <v>-</v>
          </cell>
          <cell r="AR335" t="str">
            <v>REGULER</v>
          </cell>
          <cell r="AS335" t="str">
            <v>-</v>
          </cell>
          <cell r="AT335" t="str">
            <v>-</v>
          </cell>
          <cell r="AU335" t="str">
            <v>-</v>
          </cell>
          <cell r="AV335" t="str">
            <v/>
          </cell>
          <cell r="AW335">
            <v>5</v>
          </cell>
          <cell r="AX335">
            <v>1</v>
          </cell>
          <cell r="AY335">
            <v>0</v>
          </cell>
          <cell r="AZ335">
            <v>0</v>
          </cell>
          <cell r="BA335">
            <v>0</v>
          </cell>
          <cell r="BB335">
            <v>5</v>
          </cell>
          <cell r="BC335">
            <v>1</v>
          </cell>
          <cell r="BD335">
            <v>0</v>
          </cell>
          <cell r="BE335">
            <v>0</v>
          </cell>
          <cell r="BF335">
            <v>0</v>
          </cell>
          <cell r="BG335">
            <v>12</v>
          </cell>
          <cell r="BH335">
            <v>5</v>
          </cell>
          <cell r="BI335">
            <v>1</v>
          </cell>
          <cell r="BJ335">
            <v>0</v>
          </cell>
          <cell r="BK335">
            <v>0</v>
          </cell>
          <cell r="BL335">
            <v>0</v>
          </cell>
          <cell r="BM335" t="str">
            <v/>
          </cell>
          <cell r="BN335">
            <v>18</v>
          </cell>
          <cell r="BO335">
            <v>12</v>
          </cell>
          <cell r="BP335">
            <v>5</v>
          </cell>
          <cell r="BQ335">
            <v>1</v>
          </cell>
          <cell r="BR335">
            <v>0</v>
          </cell>
          <cell r="BS335">
            <v>0</v>
          </cell>
          <cell r="BT335">
            <v>0</v>
          </cell>
          <cell r="BU335" t="str">
            <v/>
          </cell>
          <cell r="BV335">
            <v>18</v>
          </cell>
          <cell r="BW335">
            <v>4</v>
          </cell>
          <cell r="BX335" t="str">
            <v>DOWNGRADE</v>
          </cell>
          <cell r="BY335" t="str">
            <v>RESET</v>
          </cell>
        </row>
        <row r="336">
          <cell r="A336" t="str">
            <v>A2414</v>
          </cell>
          <cell r="B336" t="str">
            <v>Taufik Trisnadi</v>
          </cell>
          <cell r="C336" t="str">
            <v>DELTA</v>
          </cell>
          <cell r="D336">
            <v>45082</v>
          </cell>
          <cell r="E336" t="str">
            <v>Jun-23</v>
          </cell>
          <cell r="F336" t="str">
            <v>REGULER</v>
          </cell>
          <cell r="G336" t="str">
            <v>REGULER</v>
          </cell>
          <cell r="H336" t="str">
            <v>REGULER</v>
          </cell>
          <cell r="I336" t="str">
            <v>REGULER</v>
          </cell>
          <cell r="J336" t="str">
            <v>REGULER</v>
          </cell>
          <cell r="K336" t="str">
            <v>REGULER</v>
          </cell>
          <cell r="L336" t="str">
            <v>-</v>
          </cell>
          <cell r="M336">
            <v>19</v>
          </cell>
          <cell r="N336">
            <v>15</v>
          </cell>
          <cell r="O336">
            <v>2</v>
          </cell>
          <cell r="P336">
            <v>16</v>
          </cell>
          <cell r="Q336">
            <v>3</v>
          </cell>
          <cell r="R336">
            <v>5</v>
          </cell>
          <cell r="S336" t="str">
            <v/>
          </cell>
          <cell r="T336">
            <v>60</v>
          </cell>
          <cell r="U336">
            <v>19</v>
          </cell>
          <cell r="V336">
            <v>15</v>
          </cell>
          <cell r="W336">
            <v>2</v>
          </cell>
          <cell r="X336">
            <v>16</v>
          </cell>
          <cell r="Y336">
            <v>3</v>
          </cell>
          <cell r="Z336">
            <v>5</v>
          </cell>
          <cell r="AA336" t="str">
            <v/>
          </cell>
          <cell r="AB336">
            <v>60</v>
          </cell>
          <cell r="AC336">
            <v>1</v>
          </cell>
          <cell r="AD336" t="str">
            <v>TIDAK</v>
          </cell>
          <cell r="AE336" t="str">
            <v>TIDAK</v>
          </cell>
          <cell r="AF336">
            <v>60</v>
          </cell>
          <cell r="AG336">
            <v>2</v>
          </cell>
          <cell r="AH336" t="str">
            <v>SAPHIRE</v>
          </cell>
          <cell r="AI336">
            <v>0</v>
          </cell>
          <cell r="AJ336" t="str">
            <v>FALSE</v>
          </cell>
          <cell r="AK336">
            <v>0</v>
          </cell>
          <cell r="AL336">
            <v>45261</v>
          </cell>
          <cell r="AM336">
            <v>45701</v>
          </cell>
          <cell r="AN336">
            <v>1</v>
          </cell>
          <cell r="AO336">
            <v>60</v>
          </cell>
          <cell r="AP336" t="str">
            <v>-</v>
          </cell>
          <cell r="AQ336" t="str">
            <v>-</v>
          </cell>
          <cell r="AR336" t="str">
            <v>-</v>
          </cell>
          <cell r="AS336" t="str">
            <v>-</v>
          </cell>
          <cell r="AT336" t="str">
            <v>-</v>
          </cell>
          <cell r="AU336" t="str">
            <v>-</v>
          </cell>
          <cell r="AV336" t="str">
            <v/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 t="str">
            <v/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 t="str">
            <v/>
          </cell>
          <cell r="BN336">
            <v>0</v>
          </cell>
          <cell r="BO336" t="str">
            <v/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 t="str">
            <v/>
          </cell>
          <cell r="BV336">
            <v>0</v>
          </cell>
          <cell r="BW336">
            <v>7</v>
          </cell>
          <cell r="BX336" t="str">
            <v>DOWNGRADE</v>
          </cell>
          <cell r="BY336" t="str">
            <v>RESET</v>
          </cell>
        </row>
        <row r="337">
          <cell r="A337" t="str">
            <v>A0751</v>
          </cell>
          <cell r="B337" t="str">
            <v>Tesalonika Br Surbakti</v>
          </cell>
          <cell r="C337" t="str">
            <v>DELTA</v>
          </cell>
          <cell r="D337">
            <v>44902</v>
          </cell>
          <cell r="E337" t="str">
            <v>Dec-22</v>
          </cell>
          <cell r="F337" t="str">
            <v>REGULER</v>
          </cell>
          <cell r="G337" t="str">
            <v>EKSKLUSIF</v>
          </cell>
          <cell r="H337" t="str">
            <v>-</v>
          </cell>
          <cell r="I337" t="str">
            <v>-</v>
          </cell>
          <cell r="J337" t="str">
            <v>-</v>
          </cell>
          <cell r="K337" t="str">
            <v>-</v>
          </cell>
          <cell r="L337" t="str">
            <v>-</v>
          </cell>
          <cell r="M337">
            <v>0</v>
          </cell>
          <cell r="N337">
            <v>40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 t="str">
            <v/>
          </cell>
          <cell r="T337">
            <v>40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/>
          </cell>
          <cell r="AB337">
            <v>0</v>
          </cell>
          <cell r="AC337">
            <v>6</v>
          </cell>
          <cell r="AD337" t="str">
            <v>DOWNGRADE</v>
          </cell>
          <cell r="AE337" t="str">
            <v>RESET</v>
          </cell>
          <cell r="AF337">
            <v>0</v>
          </cell>
          <cell r="AG337">
            <v>2</v>
          </cell>
          <cell r="AH337" t="str">
            <v>SAPHIRE</v>
          </cell>
          <cell r="AI337">
            <v>0</v>
          </cell>
          <cell r="AJ337" t="str">
            <v>FALSE</v>
          </cell>
          <cell r="AK337">
            <v>0</v>
          </cell>
          <cell r="AL337">
            <v>45261</v>
          </cell>
          <cell r="AM337">
            <v>45701</v>
          </cell>
          <cell r="AN337">
            <v>1</v>
          </cell>
          <cell r="AO337">
            <v>0</v>
          </cell>
          <cell r="AP337" t="str">
            <v>-</v>
          </cell>
          <cell r="AQ337" t="str">
            <v>-</v>
          </cell>
          <cell r="AR337" t="str">
            <v>-</v>
          </cell>
          <cell r="AS337" t="str">
            <v>-</v>
          </cell>
          <cell r="AT337" t="str">
            <v>-</v>
          </cell>
          <cell r="AU337" t="str">
            <v>-</v>
          </cell>
          <cell r="AV337" t="str">
            <v/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 t="str">
            <v/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 t="str">
            <v/>
          </cell>
          <cell r="BN337">
            <v>0</v>
          </cell>
          <cell r="BO337" t="str">
            <v/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 t="str">
            <v/>
          </cell>
          <cell r="BV337">
            <v>0</v>
          </cell>
          <cell r="BW337">
            <v>7</v>
          </cell>
          <cell r="BX337" t="str">
            <v>DOWNGRADE</v>
          </cell>
          <cell r="BY337" t="str">
            <v>RESET</v>
          </cell>
        </row>
        <row r="338">
          <cell r="A338" t="str">
            <v>A2510</v>
          </cell>
          <cell r="B338" t="str">
            <v>Thifal Khansa Nabila</v>
          </cell>
          <cell r="C338" t="str">
            <v>DELTA</v>
          </cell>
          <cell r="D338">
            <v>45113</v>
          </cell>
          <cell r="E338" t="str">
            <v>Jul-23</v>
          </cell>
          <cell r="F338" t="str">
            <v>REGULER</v>
          </cell>
          <cell r="G338" t="str">
            <v>REGULER</v>
          </cell>
          <cell r="H338" t="str">
            <v>REGULER</v>
          </cell>
          <cell r="I338" t="str">
            <v>REGULER</v>
          </cell>
          <cell r="J338" t="str">
            <v>-</v>
          </cell>
          <cell r="K338" t="str">
            <v>REGULER</v>
          </cell>
          <cell r="L338" t="str">
            <v>REGULER</v>
          </cell>
          <cell r="M338">
            <v>16</v>
          </cell>
          <cell r="N338">
            <v>21</v>
          </cell>
          <cell r="O338">
            <v>1</v>
          </cell>
          <cell r="P338">
            <v>11</v>
          </cell>
          <cell r="Q338">
            <v>0</v>
          </cell>
          <cell r="R338">
            <v>9</v>
          </cell>
          <cell r="S338">
            <v>5</v>
          </cell>
          <cell r="T338">
            <v>63</v>
          </cell>
          <cell r="U338">
            <v>16</v>
          </cell>
          <cell r="V338">
            <v>21</v>
          </cell>
          <cell r="W338">
            <v>1</v>
          </cell>
          <cell r="X338">
            <v>11</v>
          </cell>
          <cell r="Y338">
            <v>0</v>
          </cell>
          <cell r="Z338">
            <v>9</v>
          </cell>
          <cell r="AA338">
            <v>5</v>
          </cell>
          <cell r="AB338">
            <v>63</v>
          </cell>
          <cell r="AC338">
            <v>1</v>
          </cell>
          <cell r="AD338" t="str">
            <v>TIDAK</v>
          </cell>
          <cell r="AE338" t="str">
            <v>TIDAK</v>
          </cell>
          <cell r="AF338">
            <v>63</v>
          </cell>
          <cell r="AG338">
            <v>2</v>
          </cell>
          <cell r="AH338" t="str">
            <v>SAPHIRE</v>
          </cell>
          <cell r="AI338">
            <v>0</v>
          </cell>
          <cell r="AJ338" t="str">
            <v>FALSE</v>
          </cell>
          <cell r="AK338">
            <v>0</v>
          </cell>
          <cell r="AL338">
            <v>45261</v>
          </cell>
          <cell r="AM338">
            <v>45701</v>
          </cell>
          <cell r="AN338">
            <v>1</v>
          </cell>
          <cell r="AO338">
            <v>63</v>
          </cell>
          <cell r="AP338" t="str">
            <v>-</v>
          </cell>
          <cell r="AQ338" t="str">
            <v>-</v>
          </cell>
          <cell r="AR338" t="str">
            <v>REGULER</v>
          </cell>
          <cell r="AS338" t="str">
            <v>REGULER</v>
          </cell>
          <cell r="AT338" t="str">
            <v>REGULER</v>
          </cell>
          <cell r="AU338" t="str">
            <v>REGULER</v>
          </cell>
          <cell r="AV338" t="str">
            <v/>
          </cell>
          <cell r="AW338">
            <v>10</v>
          </cell>
          <cell r="AX338">
            <v>19</v>
          </cell>
          <cell r="AY338">
            <v>5</v>
          </cell>
          <cell r="AZ338">
            <v>3</v>
          </cell>
          <cell r="BA338">
            <v>1</v>
          </cell>
          <cell r="BB338">
            <v>10</v>
          </cell>
          <cell r="BC338">
            <v>19</v>
          </cell>
          <cell r="BD338">
            <v>5</v>
          </cell>
          <cell r="BE338">
            <v>3</v>
          </cell>
          <cell r="BF338">
            <v>1</v>
          </cell>
          <cell r="BG338">
            <v>6</v>
          </cell>
          <cell r="BH338">
            <v>10</v>
          </cell>
          <cell r="BI338">
            <v>19</v>
          </cell>
          <cell r="BJ338">
            <v>5</v>
          </cell>
          <cell r="BK338">
            <v>3</v>
          </cell>
          <cell r="BL338">
            <v>1</v>
          </cell>
          <cell r="BM338">
            <v>7</v>
          </cell>
          <cell r="BN338">
            <v>51</v>
          </cell>
          <cell r="BO338">
            <v>6</v>
          </cell>
          <cell r="BP338">
            <v>10</v>
          </cell>
          <cell r="BQ338">
            <v>19</v>
          </cell>
          <cell r="BR338">
            <v>5</v>
          </cell>
          <cell r="BS338">
            <v>3</v>
          </cell>
          <cell r="BT338">
            <v>1</v>
          </cell>
          <cell r="BU338">
            <v>7</v>
          </cell>
          <cell r="BV338">
            <v>51</v>
          </cell>
          <cell r="BW338">
            <v>0</v>
          </cell>
          <cell r="BX338" t="str">
            <v>TIDAK</v>
          </cell>
          <cell r="BY338" t="str">
            <v>TIDAK</v>
          </cell>
        </row>
        <row r="339">
          <cell r="A339" t="str">
            <v>A1755</v>
          </cell>
          <cell r="B339" t="str">
            <v>Tifani Adelia Syafitri</v>
          </cell>
          <cell r="C339" t="str">
            <v>DELTA</v>
          </cell>
          <cell r="D339">
            <v>45033</v>
          </cell>
          <cell r="E339" t="str">
            <v>Apr-23</v>
          </cell>
          <cell r="F339" t="str">
            <v>EKSKLUSIF</v>
          </cell>
          <cell r="G339" t="str">
            <v>EKSKLUSIF</v>
          </cell>
          <cell r="H339" t="str">
            <v>EKSKLUSIF</v>
          </cell>
          <cell r="I339" t="str">
            <v>EKSKLUSIF</v>
          </cell>
          <cell r="J339" t="str">
            <v>EKSKLUSIF</v>
          </cell>
          <cell r="K339" t="str">
            <v>EKSKLUSIF</v>
          </cell>
          <cell r="L339" t="str">
            <v>EKSKLUSIF</v>
          </cell>
          <cell r="M339">
            <v>22</v>
          </cell>
          <cell r="N339">
            <v>48</v>
          </cell>
          <cell r="O339">
            <v>41</v>
          </cell>
          <cell r="P339">
            <v>42</v>
          </cell>
          <cell r="Q339">
            <v>37</v>
          </cell>
          <cell r="R339">
            <v>41</v>
          </cell>
          <cell r="S339">
            <v>21</v>
          </cell>
          <cell r="T339">
            <v>252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 t="str">
            <v>TIDAK</v>
          </cell>
          <cell r="AE339" t="str">
            <v>TIDAK</v>
          </cell>
          <cell r="AF339">
            <v>0</v>
          </cell>
          <cell r="AG339">
            <v>2</v>
          </cell>
          <cell r="AH339" t="str">
            <v>SAPHIRE</v>
          </cell>
          <cell r="AI339">
            <v>0</v>
          </cell>
          <cell r="AJ339" t="str">
            <v>FALSE</v>
          </cell>
          <cell r="AK339">
            <v>0</v>
          </cell>
          <cell r="AL339">
            <v>45261</v>
          </cell>
          <cell r="AM339">
            <v>45701</v>
          </cell>
          <cell r="AN339">
            <v>1</v>
          </cell>
          <cell r="AO339">
            <v>0</v>
          </cell>
          <cell r="AP339" t="str">
            <v>-</v>
          </cell>
          <cell r="AQ339" t="str">
            <v>-</v>
          </cell>
          <cell r="AR339" t="str">
            <v>EKSKLUSIF</v>
          </cell>
          <cell r="AS339" t="str">
            <v>EKSKLUSIF</v>
          </cell>
          <cell r="AT339" t="str">
            <v>EKSKLUSIF</v>
          </cell>
          <cell r="AU339" t="str">
            <v>EKSKLUSIF</v>
          </cell>
          <cell r="AV339" t="str">
            <v/>
          </cell>
          <cell r="AW339">
            <v>50</v>
          </cell>
          <cell r="AX339">
            <v>48</v>
          </cell>
          <cell r="AY339">
            <v>43</v>
          </cell>
          <cell r="AZ339">
            <v>48</v>
          </cell>
          <cell r="BA339">
            <v>43</v>
          </cell>
          <cell r="BB339">
            <v>50</v>
          </cell>
          <cell r="BC339">
            <v>48</v>
          </cell>
          <cell r="BD339">
            <v>43</v>
          </cell>
          <cell r="BE339">
            <v>48</v>
          </cell>
          <cell r="BF339">
            <v>43</v>
          </cell>
          <cell r="BG339">
            <v>18</v>
          </cell>
          <cell r="BH339">
            <v>50</v>
          </cell>
          <cell r="BI339">
            <v>48</v>
          </cell>
          <cell r="BJ339">
            <v>43</v>
          </cell>
          <cell r="BK339">
            <v>48</v>
          </cell>
          <cell r="BL339">
            <v>43</v>
          </cell>
          <cell r="BM339">
            <v>20</v>
          </cell>
          <cell r="BN339">
            <v>270</v>
          </cell>
          <cell r="BO339">
            <v>18</v>
          </cell>
          <cell r="BP339">
            <v>50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20</v>
          </cell>
          <cell r="BV339">
            <v>88</v>
          </cell>
          <cell r="BW339">
            <v>0</v>
          </cell>
          <cell r="BX339" t="str">
            <v>TIDAK</v>
          </cell>
          <cell r="BY339" t="str">
            <v>TIDAK</v>
          </cell>
        </row>
        <row r="340">
          <cell r="A340" t="str">
            <v>A1349</v>
          </cell>
          <cell r="B340" t="str">
            <v>Tisa Norsari</v>
          </cell>
          <cell r="C340" t="str">
            <v>DELTA</v>
          </cell>
          <cell r="D340">
            <v>44979</v>
          </cell>
          <cell r="E340" t="str">
            <v>Feb-23</v>
          </cell>
          <cell r="F340" t="str">
            <v>EKSKLUSIF</v>
          </cell>
          <cell r="G340" t="str">
            <v>EKSKLUSIF</v>
          </cell>
          <cell r="H340" t="str">
            <v>EKSKLUSIF</v>
          </cell>
          <cell r="I340" t="str">
            <v>EKSKLUSIF</v>
          </cell>
          <cell r="J340" t="str">
            <v>EKSKLUSIF</v>
          </cell>
          <cell r="K340" t="str">
            <v>EKSKLUSIF</v>
          </cell>
          <cell r="L340" t="str">
            <v>EKSKLUSIF</v>
          </cell>
          <cell r="M340">
            <v>22</v>
          </cell>
          <cell r="N340">
            <v>47</v>
          </cell>
          <cell r="O340">
            <v>42</v>
          </cell>
          <cell r="P340">
            <v>37</v>
          </cell>
          <cell r="Q340">
            <v>39</v>
          </cell>
          <cell r="R340">
            <v>42</v>
          </cell>
          <cell r="S340">
            <v>22</v>
          </cell>
          <cell r="T340">
            <v>251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 t="str">
            <v>TIDAK</v>
          </cell>
          <cell r="AE340" t="str">
            <v>TIDAK</v>
          </cell>
          <cell r="AF340">
            <v>0</v>
          </cell>
          <cell r="AG340">
            <v>2</v>
          </cell>
          <cell r="AH340" t="str">
            <v>SAPHIRE</v>
          </cell>
          <cell r="AI340">
            <v>0</v>
          </cell>
          <cell r="AJ340" t="str">
            <v>FALSE</v>
          </cell>
          <cell r="AK340">
            <v>0</v>
          </cell>
          <cell r="AL340">
            <v>45261</v>
          </cell>
          <cell r="AM340">
            <v>45701</v>
          </cell>
          <cell r="AN340">
            <v>1</v>
          </cell>
          <cell r="AO340">
            <v>0</v>
          </cell>
          <cell r="AP340" t="str">
            <v>EKSKLUSIF</v>
          </cell>
          <cell r="AQ340" t="str">
            <v>-</v>
          </cell>
          <cell r="AR340" t="str">
            <v>EKSKLUSIF</v>
          </cell>
          <cell r="AS340" t="str">
            <v>EKSKLUSIF</v>
          </cell>
          <cell r="AT340" t="str">
            <v>EKSKLUSIF</v>
          </cell>
          <cell r="AU340" t="str">
            <v>EKSKLUSIF</v>
          </cell>
          <cell r="AV340" t="str">
            <v/>
          </cell>
          <cell r="AW340">
            <v>48</v>
          </cell>
          <cell r="AX340">
            <v>47</v>
          </cell>
          <cell r="AY340">
            <v>43</v>
          </cell>
          <cell r="AZ340">
            <v>49</v>
          </cell>
          <cell r="BA340">
            <v>45</v>
          </cell>
          <cell r="BB340">
            <v>48</v>
          </cell>
          <cell r="BC340">
            <v>47</v>
          </cell>
          <cell r="BD340">
            <v>43</v>
          </cell>
          <cell r="BE340">
            <v>49</v>
          </cell>
          <cell r="BF340">
            <v>45</v>
          </cell>
          <cell r="BG340">
            <v>20</v>
          </cell>
          <cell r="BH340">
            <v>48</v>
          </cell>
          <cell r="BI340">
            <v>47</v>
          </cell>
          <cell r="BJ340">
            <v>43</v>
          </cell>
          <cell r="BK340">
            <v>49</v>
          </cell>
          <cell r="BL340">
            <v>45</v>
          </cell>
          <cell r="BM340">
            <v>22</v>
          </cell>
          <cell r="BN340">
            <v>274</v>
          </cell>
          <cell r="BO340">
            <v>0</v>
          </cell>
          <cell r="BP340">
            <v>48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22</v>
          </cell>
          <cell r="BV340">
            <v>70</v>
          </cell>
          <cell r="BW340">
            <v>0</v>
          </cell>
          <cell r="BX340" t="str">
            <v>TIDAK</v>
          </cell>
          <cell r="BY340" t="str">
            <v>TIDAK</v>
          </cell>
        </row>
        <row r="341">
          <cell r="A341" t="str">
            <v>A1259</v>
          </cell>
          <cell r="B341" t="str">
            <v>Titik</v>
          </cell>
          <cell r="C341" t="str">
            <v>DELTA</v>
          </cell>
          <cell r="D341">
            <v>44940</v>
          </cell>
          <cell r="E341" t="str">
            <v>Jan-23</v>
          </cell>
          <cell r="F341" t="str">
            <v>-</v>
          </cell>
          <cell r="G341" t="str">
            <v>REGULER</v>
          </cell>
          <cell r="H341" t="str">
            <v>-</v>
          </cell>
          <cell r="I341" t="str">
            <v>-</v>
          </cell>
          <cell r="J341" t="str">
            <v>-</v>
          </cell>
          <cell r="K341" t="str">
            <v>-</v>
          </cell>
          <cell r="L341" t="str">
            <v>-</v>
          </cell>
          <cell r="M341">
            <v>0</v>
          </cell>
          <cell r="N341">
            <v>1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 t="str">
            <v/>
          </cell>
          <cell r="T341">
            <v>1</v>
          </cell>
          <cell r="U341">
            <v>0</v>
          </cell>
          <cell r="V341">
            <v>1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/>
          </cell>
          <cell r="AB341">
            <v>1</v>
          </cell>
          <cell r="AC341">
            <v>6</v>
          </cell>
          <cell r="AD341" t="str">
            <v>DOWNGRADE</v>
          </cell>
          <cell r="AE341" t="str">
            <v>RESET</v>
          </cell>
          <cell r="AF341">
            <v>0</v>
          </cell>
          <cell r="AG341">
            <v>2</v>
          </cell>
          <cell r="AH341" t="str">
            <v>SAPHIRE</v>
          </cell>
          <cell r="AI341">
            <v>0</v>
          </cell>
          <cell r="AJ341" t="str">
            <v>FALSE</v>
          </cell>
          <cell r="AK341">
            <v>0</v>
          </cell>
          <cell r="AL341">
            <v>45261</v>
          </cell>
          <cell r="AM341">
            <v>45701</v>
          </cell>
          <cell r="AN341">
            <v>1</v>
          </cell>
          <cell r="AO341">
            <v>0</v>
          </cell>
          <cell r="AP341" t="str">
            <v>-</v>
          </cell>
          <cell r="AQ341" t="str">
            <v>-</v>
          </cell>
          <cell r="AR341" t="str">
            <v>-</v>
          </cell>
          <cell r="AS341" t="str">
            <v>-</v>
          </cell>
          <cell r="AT341" t="str">
            <v>-</v>
          </cell>
          <cell r="AU341" t="str">
            <v>-</v>
          </cell>
          <cell r="AV341" t="str">
            <v/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 t="str">
            <v/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 t="str">
            <v/>
          </cell>
          <cell r="BN341">
            <v>0</v>
          </cell>
          <cell r="BO341" t="str">
            <v/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 t="str">
            <v/>
          </cell>
          <cell r="BV341">
            <v>0</v>
          </cell>
          <cell r="BW341">
            <v>7</v>
          </cell>
          <cell r="BX341" t="str">
            <v>DOWNGRADE</v>
          </cell>
          <cell r="BY341" t="str">
            <v>RESET</v>
          </cell>
        </row>
        <row r="342">
          <cell r="A342" t="str">
            <v>A2939</v>
          </cell>
          <cell r="B342" t="str">
            <v>Tsaqifannisa Yasashii Sunaryo</v>
          </cell>
          <cell r="C342" t="str">
            <v>DELTA</v>
          </cell>
          <cell r="D342">
            <v>45191</v>
          </cell>
          <cell r="E342" t="str">
            <v>Sep-23</v>
          </cell>
          <cell r="F342" t="str">
            <v>REGULER</v>
          </cell>
          <cell r="G342" t="str">
            <v>REGULER</v>
          </cell>
          <cell r="H342" t="str">
            <v>REGULER</v>
          </cell>
          <cell r="I342" t="str">
            <v>REGULER</v>
          </cell>
          <cell r="J342" t="str">
            <v>REGULER</v>
          </cell>
          <cell r="K342" t="str">
            <v>REGULER</v>
          </cell>
          <cell r="L342" t="str">
            <v>EKSKLUSIF</v>
          </cell>
          <cell r="M342">
            <v>20</v>
          </cell>
          <cell r="N342">
            <v>42</v>
          </cell>
          <cell r="O342">
            <v>34</v>
          </cell>
          <cell r="P342">
            <v>40</v>
          </cell>
          <cell r="Q342">
            <v>32</v>
          </cell>
          <cell r="R342">
            <v>29</v>
          </cell>
          <cell r="S342">
            <v>20</v>
          </cell>
          <cell r="T342">
            <v>217</v>
          </cell>
          <cell r="U342">
            <v>20</v>
          </cell>
          <cell r="V342">
            <v>42</v>
          </cell>
          <cell r="W342">
            <v>34</v>
          </cell>
          <cell r="X342">
            <v>40</v>
          </cell>
          <cell r="Y342">
            <v>32</v>
          </cell>
          <cell r="Z342">
            <v>29</v>
          </cell>
          <cell r="AA342">
            <v>0</v>
          </cell>
          <cell r="AB342">
            <v>197</v>
          </cell>
          <cell r="AC342">
            <v>0</v>
          </cell>
          <cell r="AD342" t="str">
            <v>TIDAK</v>
          </cell>
          <cell r="AE342" t="str">
            <v>TIDAK</v>
          </cell>
          <cell r="AF342">
            <v>197</v>
          </cell>
          <cell r="AG342">
            <v>2</v>
          </cell>
          <cell r="AH342" t="str">
            <v>SAPHIRE</v>
          </cell>
          <cell r="AI342">
            <v>0</v>
          </cell>
          <cell r="AJ342" t="str">
            <v>Y</v>
          </cell>
          <cell r="AK342">
            <v>0</v>
          </cell>
          <cell r="AL342">
            <v>45261</v>
          </cell>
          <cell r="AM342">
            <v>45701</v>
          </cell>
          <cell r="AN342">
            <v>1</v>
          </cell>
          <cell r="AO342">
            <v>197</v>
          </cell>
          <cell r="AP342" t="str">
            <v>EKSKLUSIF</v>
          </cell>
          <cell r="AQ342" t="str">
            <v>-</v>
          </cell>
          <cell r="AR342" t="str">
            <v>EKSKLUSIF</v>
          </cell>
          <cell r="AS342" t="str">
            <v>REGULER</v>
          </cell>
          <cell r="AT342" t="str">
            <v>-</v>
          </cell>
          <cell r="AU342" t="str">
            <v>-</v>
          </cell>
          <cell r="AV342" t="str">
            <v/>
          </cell>
          <cell r="AW342">
            <v>46</v>
          </cell>
          <cell r="AX342">
            <v>45</v>
          </cell>
          <cell r="AY342">
            <v>34</v>
          </cell>
          <cell r="AZ342">
            <v>0</v>
          </cell>
          <cell r="BA342">
            <v>0</v>
          </cell>
          <cell r="BB342">
            <v>46</v>
          </cell>
          <cell r="BC342">
            <v>45</v>
          </cell>
          <cell r="BD342">
            <v>34</v>
          </cell>
          <cell r="BE342">
            <v>0</v>
          </cell>
          <cell r="BF342">
            <v>0</v>
          </cell>
          <cell r="BG342">
            <v>15</v>
          </cell>
          <cell r="BH342">
            <v>46</v>
          </cell>
          <cell r="BI342">
            <v>45</v>
          </cell>
          <cell r="BJ342">
            <v>34</v>
          </cell>
          <cell r="BK342">
            <v>0</v>
          </cell>
          <cell r="BL342">
            <v>0</v>
          </cell>
          <cell r="BM342" t="str">
            <v/>
          </cell>
          <cell r="BN342">
            <v>140</v>
          </cell>
          <cell r="BO342">
            <v>0</v>
          </cell>
          <cell r="BP342">
            <v>46</v>
          </cell>
          <cell r="BQ342">
            <v>0</v>
          </cell>
          <cell r="BR342">
            <v>34</v>
          </cell>
          <cell r="BS342">
            <v>0</v>
          </cell>
          <cell r="BT342">
            <v>0</v>
          </cell>
          <cell r="BU342" t="str">
            <v/>
          </cell>
          <cell r="BV342">
            <v>80</v>
          </cell>
          <cell r="BW342">
            <v>3</v>
          </cell>
          <cell r="BX342" t="str">
            <v>DOWNGRADE</v>
          </cell>
          <cell r="BY342" t="str">
            <v>RESET</v>
          </cell>
        </row>
        <row r="343">
          <cell r="A343" t="str">
            <v>A3260</v>
          </cell>
          <cell r="B343" t="str">
            <v>Ukhtia Mumtaza Ulya</v>
          </cell>
          <cell r="C343" t="str">
            <v>DELTA</v>
          </cell>
          <cell r="D343">
            <v>45246</v>
          </cell>
          <cell r="E343" t="str">
            <v>Nov-23</v>
          </cell>
          <cell r="F343" t="str">
            <v>REGULER</v>
          </cell>
          <cell r="G343" t="str">
            <v>-</v>
          </cell>
          <cell r="H343" t="str">
            <v>-</v>
          </cell>
          <cell r="I343" t="str">
            <v>-</v>
          </cell>
          <cell r="J343" t="str">
            <v>-</v>
          </cell>
          <cell r="K343" t="str">
            <v>-</v>
          </cell>
          <cell r="L343" t="str">
            <v>-</v>
          </cell>
          <cell r="M343">
            <v>2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2</v>
          </cell>
          <cell r="U343">
            <v>2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2</v>
          </cell>
          <cell r="AC343">
            <v>6</v>
          </cell>
          <cell r="AD343" t="str">
            <v>DOWNGRADE</v>
          </cell>
          <cell r="AE343" t="str">
            <v>RESET</v>
          </cell>
          <cell r="AF343">
            <v>0</v>
          </cell>
          <cell r="AG343">
            <v>0</v>
          </cell>
          <cell r="AH343" t="str">
            <v>SAPHIRE</v>
          </cell>
          <cell r="AI343">
            <v>0</v>
          </cell>
          <cell r="AJ343" t="str">
            <v>FALSE</v>
          </cell>
          <cell r="AK343">
            <v>0</v>
          </cell>
          <cell r="AL343">
            <v>45261</v>
          </cell>
          <cell r="AM343">
            <v>45701</v>
          </cell>
          <cell r="AN343">
            <v>1</v>
          </cell>
          <cell r="AO343">
            <v>0</v>
          </cell>
          <cell r="AP343" t="str">
            <v>-</v>
          </cell>
          <cell r="AQ343" t="str">
            <v>-</v>
          </cell>
          <cell r="AR343" t="str">
            <v>-</v>
          </cell>
          <cell r="AS343" t="str">
            <v>-</v>
          </cell>
          <cell r="AT343" t="str">
            <v>-</v>
          </cell>
          <cell r="AU343" t="str">
            <v>-</v>
          </cell>
          <cell r="AV343" t="str">
            <v/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 t="str">
            <v/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 t="str">
            <v/>
          </cell>
          <cell r="BN343">
            <v>0</v>
          </cell>
          <cell r="BO343" t="str">
            <v/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 t="str">
            <v/>
          </cell>
          <cell r="BV343">
            <v>0</v>
          </cell>
          <cell r="BW343">
            <v>7</v>
          </cell>
          <cell r="BX343" t="str">
            <v>DOWNGRADE</v>
          </cell>
          <cell r="BY343" t="str">
            <v>RESET</v>
          </cell>
        </row>
        <row r="344">
          <cell r="A344" t="str">
            <v>A3572</v>
          </cell>
          <cell r="B344" t="str">
            <v>Valda Sari</v>
          </cell>
          <cell r="C344" t="str">
            <v>DELTA</v>
          </cell>
          <cell r="D344">
            <v>45352</v>
          </cell>
          <cell r="E344" t="str">
            <v>Mar-24</v>
          </cell>
          <cell r="F344" t="str">
            <v>-</v>
          </cell>
          <cell r="G344" t="str">
            <v>-</v>
          </cell>
          <cell r="H344" t="str">
            <v>-</v>
          </cell>
          <cell r="I344" t="str">
            <v>REGULER</v>
          </cell>
          <cell r="J344" t="str">
            <v>REGULER</v>
          </cell>
          <cell r="K344" t="str">
            <v>REGULER</v>
          </cell>
          <cell r="L344" t="str">
            <v>REGULER</v>
          </cell>
          <cell r="M344">
            <v>0</v>
          </cell>
          <cell r="N344">
            <v>0</v>
          </cell>
          <cell r="O344">
            <v>0</v>
          </cell>
          <cell r="P344">
            <v>13</v>
          </cell>
          <cell r="Q344">
            <v>22</v>
          </cell>
          <cell r="R344">
            <v>5</v>
          </cell>
          <cell r="S344">
            <v>7</v>
          </cell>
          <cell r="T344">
            <v>47</v>
          </cell>
          <cell r="U344">
            <v>0</v>
          </cell>
          <cell r="V344">
            <v>0</v>
          </cell>
          <cell r="W344">
            <v>0</v>
          </cell>
          <cell r="X344">
            <v>13</v>
          </cell>
          <cell r="Y344">
            <v>22</v>
          </cell>
          <cell r="Z344">
            <v>5</v>
          </cell>
          <cell r="AA344">
            <v>7</v>
          </cell>
          <cell r="AB344">
            <v>47</v>
          </cell>
          <cell r="AC344">
            <v>0</v>
          </cell>
          <cell r="AD344" t="str">
            <v>TIDAK</v>
          </cell>
          <cell r="AE344" t="str">
            <v>TIDAK</v>
          </cell>
          <cell r="AF344">
            <v>47</v>
          </cell>
          <cell r="AG344">
            <v>2</v>
          </cell>
          <cell r="AH344" t="str">
            <v>SAPHIRE</v>
          </cell>
          <cell r="AI344">
            <v>0</v>
          </cell>
          <cell r="AJ344" t="str">
            <v>FALSE</v>
          </cell>
          <cell r="AK344">
            <v>0</v>
          </cell>
          <cell r="AL344">
            <v>45261</v>
          </cell>
          <cell r="AM344">
            <v>45701</v>
          </cell>
          <cell r="AN344">
            <v>1</v>
          </cell>
          <cell r="AO344">
            <v>47</v>
          </cell>
          <cell r="AP344" t="str">
            <v>-</v>
          </cell>
          <cell r="AQ344" t="str">
            <v>-</v>
          </cell>
          <cell r="AR344" t="str">
            <v>-</v>
          </cell>
          <cell r="AS344" t="str">
            <v>REGULER</v>
          </cell>
          <cell r="AT344" t="str">
            <v>-</v>
          </cell>
          <cell r="AU344" t="str">
            <v>-</v>
          </cell>
          <cell r="AV344" t="str">
            <v/>
          </cell>
          <cell r="AW344">
            <v>5</v>
          </cell>
          <cell r="AX344">
            <v>0</v>
          </cell>
          <cell r="AY344">
            <v>2</v>
          </cell>
          <cell r="AZ344">
            <v>0</v>
          </cell>
          <cell r="BA344">
            <v>0</v>
          </cell>
          <cell r="BB344">
            <v>5</v>
          </cell>
          <cell r="BC344">
            <v>0</v>
          </cell>
          <cell r="BD344">
            <v>2</v>
          </cell>
          <cell r="BE344">
            <v>0</v>
          </cell>
          <cell r="BF344">
            <v>0</v>
          </cell>
          <cell r="BG344" t="str">
            <v/>
          </cell>
          <cell r="BH344">
            <v>5</v>
          </cell>
          <cell r="BI344">
            <v>0</v>
          </cell>
          <cell r="BJ344">
            <v>2</v>
          </cell>
          <cell r="BK344">
            <v>0</v>
          </cell>
          <cell r="BL344">
            <v>0</v>
          </cell>
          <cell r="BM344">
            <v>2</v>
          </cell>
          <cell r="BN344">
            <v>9</v>
          </cell>
          <cell r="BO344" t="str">
            <v/>
          </cell>
          <cell r="BP344">
            <v>5</v>
          </cell>
          <cell r="BQ344">
            <v>0</v>
          </cell>
          <cell r="BR344">
            <v>2</v>
          </cell>
          <cell r="BS344">
            <v>0</v>
          </cell>
          <cell r="BT344">
            <v>0</v>
          </cell>
          <cell r="BU344">
            <v>2</v>
          </cell>
          <cell r="BV344">
            <v>9</v>
          </cell>
          <cell r="BW344">
            <v>4</v>
          </cell>
          <cell r="BX344" t="str">
            <v>DOWNGRADE</v>
          </cell>
          <cell r="BY344" t="str">
            <v>TIDAK</v>
          </cell>
        </row>
        <row r="345">
          <cell r="A345" t="str">
            <v>A3479</v>
          </cell>
          <cell r="B345" t="str">
            <v>Vassya Dian</v>
          </cell>
          <cell r="C345" t="str">
            <v>DELTA</v>
          </cell>
          <cell r="D345">
            <v>45320</v>
          </cell>
          <cell r="E345" t="str">
            <v>Jan-24</v>
          </cell>
          <cell r="F345" t="str">
            <v>-</v>
          </cell>
          <cell r="G345" t="str">
            <v>REGULER</v>
          </cell>
          <cell r="H345" t="str">
            <v>REGULER</v>
          </cell>
          <cell r="I345" t="str">
            <v>REGULER</v>
          </cell>
          <cell r="J345" t="str">
            <v>REGULER</v>
          </cell>
          <cell r="K345" t="str">
            <v>REGULER</v>
          </cell>
          <cell r="L345" t="str">
            <v>REGULER</v>
          </cell>
          <cell r="M345">
            <v>0</v>
          </cell>
          <cell r="N345">
            <v>3</v>
          </cell>
          <cell r="O345">
            <v>20</v>
          </cell>
          <cell r="P345">
            <v>31</v>
          </cell>
          <cell r="Q345">
            <v>30</v>
          </cell>
          <cell r="R345">
            <v>31</v>
          </cell>
          <cell r="S345">
            <v>16</v>
          </cell>
          <cell r="T345">
            <v>131</v>
          </cell>
          <cell r="U345">
            <v>0</v>
          </cell>
          <cell r="V345">
            <v>3</v>
          </cell>
          <cell r="W345">
            <v>20</v>
          </cell>
          <cell r="X345">
            <v>31</v>
          </cell>
          <cell r="Y345">
            <v>30</v>
          </cell>
          <cell r="Z345">
            <v>31</v>
          </cell>
          <cell r="AA345">
            <v>16</v>
          </cell>
          <cell r="AB345">
            <v>131</v>
          </cell>
          <cell r="AC345">
            <v>0</v>
          </cell>
          <cell r="AD345" t="str">
            <v>TIDAK</v>
          </cell>
          <cell r="AE345" t="str">
            <v>TIDAK</v>
          </cell>
          <cell r="AF345">
            <v>131</v>
          </cell>
          <cell r="AG345">
            <v>2</v>
          </cell>
          <cell r="AH345" t="str">
            <v>SAPHIRE</v>
          </cell>
          <cell r="AI345">
            <v>0</v>
          </cell>
          <cell r="AJ345" t="str">
            <v>Y</v>
          </cell>
          <cell r="AK345">
            <v>0</v>
          </cell>
          <cell r="AL345">
            <v>45261</v>
          </cell>
          <cell r="AM345">
            <v>45701</v>
          </cell>
          <cell r="AN345">
            <v>1</v>
          </cell>
          <cell r="AO345">
            <v>131</v>
          </cell>
          <cell r="AP345" t="str">
            <v>-</v>
          </cell>
          <cell r="AQ345" t="str">
            <v>-</v>
          </cell>
          <cell r="AR345" t="str">
            <v>REGULER</v>
          </cell>
          <cell r="AS345" t="str">
            <v>REGULER</v>
          </cell>
          <cell r="AT345" t="str">
            <v>REGULER</v>
          </cell>
          <cell r="AU345" t="str">
            <v>REGULER</v>
          </cell>
          <cell r="AV345" t="str">
            <v/>
          </cell>
          <cell r="AW345">
            <v>31</v>
          </cell>
          <cell r="AX345">
            <v>24</v>
          </cell>
          <cell r="AY345">
            <v>36</v>
          </cell>
          <cell r="AZ345">
            <v>39</v>
          </cell>
          <cell r="BA345">
            <v>44</v>
          </cell>
          <cell r="BB345">
            <v>31</v>
          </cell>
          <cell r="BC345">
            <v>24</v>
          </cell>
          <cell r="BD345">
            <v>36</v>
          </cell>
          <cell r="BE345">
            <v>39</v>
          </cell>
          <cell r="BF345">
            <v>44</v>
          </cell>
          <cell r="BG345">
            <v>4</v>
          </cell>
          <cell r="BH345">
            <v>31</v>
          </cell>
          <cell r="BI345">
            <v>24</v>
          </cell>
          <cell r="BJ345">
            <v>36</v>
          </cell>
          <cell r="BK345">
            <v>39</v>
          </cell>
          <cell r="BL345">
            <v>44</v>
          </cell>
          <cell r="BM345">
            <v>20</v>
          </cell>
          <cell r="BN345">
            <v>198</v>
          </cell>
          <cell r="BO345">
            <v>4</v>
          </cell>
          <cell r="BP345">
            <v>31</v>
          </cell>
          <cell r="BQ345">
            <v>24</v>
          </cell>
          <cell r="BR345">
            <v>36</v>
          </cell>
          <cell r="BS345">
            <v>39</v>
          </cell>
          <cell r="BT345">
            <v>44</v>
          </cell>
          <cell r="BU345">
            <v>20</v>
          </cell>
          <cell r="BV345">
            <v>198</v>
          </cell>
          <cell r="BW345">
            <v>0</v>
          </cell>
          <cell r="BX345" t="str">
            <v>TIDAK</v>
          </cell>
          <cell r="BY345" t="str">
            <v>TIDAK</v>
          </cell>
        </row>
        <row r="346">
          <cell r="A346" t="str">
            <v>A0461</v>
          </cell>
          <cell r="B346" t="str">
            <v>Veronika Sintia</v>
          </cell>
          <cell r="C346" t="str">
            <v>DELTA</v>
          </cell>
          <cell r="D346">
            <v>44902</v>
          </cell>
          <cell r="E346" t="str">
            <v>Dec-22</v>
          </cell>
          <cell r="F346" t="str">
            <v>REGULER</v>
          </cell>
          <cell r="G346" t="str">
            <v>REGULER</v>
          </cell>
          <cell r="H346" t="str">
            <v>REGULER</v>
          </cell>
          <cell r="I346" t="str">
            <v>REGULER</v>
          </cell>
          <cell r="J346" t="str">
            <v>REGULER</v>
          </cell>
          <cell r="K346" t="str">
            <v>REGULER</v>
          </cell>
          <cell r="L346" t="str">
            <v>-</v>
          </cell>
          <cell r="M346">
            <v>20</v>
          </cell>
          <cell r="N346">
            <v>18</v>
          </cell>
          <cell r="O346">
            <v>16</v>
          </cell>
          <cell r="P346">
            <v>36</v>
          </cell>
          <cell r="Q346">
            <v>31</v>
          </cell>
          <cell r="R346">
            <v>8</v>
          </cell>
          <cell r="S346" t="str">
            <v/>
          </cell>
          <cell r="T346">
            <v>129</v>
          </cell>
          <cell r="U346">
            <v>20</v>
          </cell>
          <cell r="V346">
            <v>18</v>
          </cell>
          <cell r="W346">
            <v>16</v>
          </cell>
          <cell r="X346">
            <v>36</v>
          </cell>
          <cell r="Y346">
            <v>31</v>
          </cell>
          <cell r="Z346">
            <v>8</v>
          </cell>
          <cell r="AA346" t="str">
            <v/>
          </cell>
          <cell r="AB346">
            <v>129</v>
          </cell>
          <cell r="AC346">
            <v>1</v>
          </cell>
          <cell r="AD346" t="str">
            <v>TIDAK</v>
          </cell>
          <cell r="AE346" t="str">
            <v>TIDAK</v>
          </cell>
          <cell r="AF346">
            <v>129</v>
          </cell>
          <cell r="AG346">
            <v>2</v>
          </cell>
          <cell r="AH346" t="str">
            <v>SAPHIRE</v>
          </cell>
          <cell r="AI346">
            <v>65</v>
          </cell>
          <cell r="AJ346" t="str">
            <v>Y</v>
          </cell>
          <cell r="AK346">
            <v>0</v>
          </cell>
          <cell r="AL346">
            <v>45261</v>
          </cell>
          <cell r="AM346">
            <v>45701</v>
          </cell>
          <cell r="AN346">
            <v>1</v>
          </cell>
          <cell r="AO346">
            <v>64</v>
          </cell>
          <cell r="AP346" t="str">
            <v>-</v>
          </cell>
          <cell r="AQ346" t="str">
            <v>-</v>
          </cell>
          <cell r="AR346" t="str">
            <v>-</v>
          </cell>
          <cell r="AS346" t="str">
            <v>-</v>
          </cell>
          <cell r="AT346" t="str">
            <v>-</v>
          </cell>
          <cell r="AU346" t="str">
            <v>-</v>
          </cell>
          <cell r="AV346" t="str">
            <v/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 t="str">
            <v/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 t="str">
            <v/>
          </cell>
          <cell r="BN346">
            <v>0</v>
          </cell>
          <cell r="BO346" t="str">
            <v/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 t="str">
            <v/>
          </cell>
          <cell r="BV346">
            <v>0</v>
          </cell>
          <cell r="BW346">
            <v>7</v>
          </cell>
          <cell r="BX346" t="str">
            <v>DOWNGRADE</v>
          </cell>
          <cell r="BY346" t="str">
            <v>RESET</v>
          </cell>
        </row>
        <row r="347">
          <cell r="A347" t="str">
            <v>A0985</v>
          </cell>
          <cell r="B347" t="str">
            <v>Via Dolla Maretha</v>
          </cell>
          <cell r="C347" t="str">
            <v>DELTA</v>
          </cell>
          <cell r="D347">
            <v>44924</v>
          </cell>
          <cell r="E347" t="str">
            <v>Dec-22</v>
          </cell>
          <cell r="F347" t="str">
            <v>REGULER</v>
          </cell>
          <cell r="G347" t="str">
            <v>-</v>
          </cell>
          <cell r="H347" t="str">
            <v>-</v>
          </cell>
          <cell r="I347" t="str">
            <v>-</v>
          </cell>
          <cell r="J347" t="str">
            <v>-</v>
          </cell>
          <cell r="K347" t="str">
            <v>-</v>
          </cell>
          <cell r="L347" t="str">
            <v>-</v>
          </cell>
          <cell r="M347">
            <v>7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7</v>
          </cell>
          <cell r="U347">
            <v>7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7</v>
          </cell>
          <cell r="AC347">
            <v>6</v>
          </cell>
          <cell r="AD347" t="str">
            <v>DOWNGRADE</v>
          </cell>
          <cell r="AE347" t="str">
            <v>RESET</v>
          </cell>
          <cell r="AF347">
            <v>0</v>
          </cell>
          <cell r="AG347">
            <v>2</v>
          </cell>
          <cell r="AH347" t="str">
            <v>SAPHIRE</v>
          </cell>
          <cell r="AI347">
            <v>0</v>
          </cell>
          <cell r="AJ347" t="str">
            <v>FALSE</v>
          </cell>
          <cell r="AK347">
            <v>0</v>
          </cell>
          <cell r="AL347">
            <v>45261</v>
          </cell>
          <cell r="AM347">
            <v>45701</v>
          </cell>
          <cell r="AN347">
            <v>1</v>
          </cell>
          <cell r="AO347">
            <v>0</v>
          </cell>
          <cell r="AP347" t="str">
            <v>-</v>
          </cell>
          <cell r="AQ347" t="str">
            <v>-</v>
          </cell>
          <cell r="AR347" t="str">
            <v>-</v>
          </cell>
          <cell r="AS347" t="str">
            <v>-</v>
          </cell>
          <cell r="AT347" t="str">
            <v>-</v>
          </cell>
          <cell r="AU347" t="str">
            <v>-</v>
          </cell>
          <cell r="AV347" t="str">
            <v/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 t="str">
            <v/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 t="str">
            <v/>
          </cell>
          <cell r="BN347">
            <v>0</v>
          </cell>
          <cell r="BO347" t="str">
            <v/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 t="str">
            <v/>
          </cell>
          <cell r="BV347">
            <v>0</v>
          </cell>
          <cell r="BW347">
            <v>7</v>
          </cell>
          <cell r="BX347" t="str">
            <v>DOWNGRADE</v>
          </cell>
          <cell r="BY347" t="str">
            <v>RESET</v>
          </cell>
        </row>
        <row r="348">
          <cell r="A348" t="str">
            <v>A3664</v>
          </cell>
          <cell r="B348" t="str">
            <v>Viona Ambarita</v>
          </cell>
          <cell r="C348" t="str">
            <v>DELTA</v>
          </cell>
          <cell r="D348">
            <v>45341</v>
          </cell>
          <cell r="E348" t="str">
            <v>Feb-24</v>
          </cell>
          <cell r="F348" t="str">
            <v>-</v>
          </cell>
          <cell r="G348" t="str">
            <v>-</v>
          </cell>
          <cell r="H348" t="str">
            <v>REGULER</v>
          </cell>
          <cell r="I348" t="str">
            <v>REGULER</v>
          </cell>
          <cell r="J348" t="str">
            <v>REGULER</v>
          </cell>
          <cell r="K348" t="str">
            <v>REGULER</v>
          </cell>
          <cell r="L348" t="str">
            <v>REGULER</v>
          </cell>
          <cell r="M348">
            <v>0</v>
          </cell>
          <cell r="N348">
            <v>0</v>
          </cell>
          <cell r="O348">
            <v>3</v>
          </cell>
          <cell r="P348">
            <v>20</v>
          </cell>
          <cell r="Q348">
            <v>27</v>
          </cell>
          <cell r="R348">
            <v>20</v>
          </cell>
          <cell r="S348">
            <v>15</v>
          </cell>
          <cell r="T348">
            <v>85</v>
          </cell>
          <cell r="U348">
            <v>0</v>
          </cell>
          <cell r="V348">
            <v>0</v>
          </cell>
          <cell r="W348">
            <v>3</v>
          </cell>
          <cell r="X348">
            <v>20</v>
          </cell>
          <cell r="Y348">
            <v>27</v>
          </cell>
          <cell r="Z348">
            <v>20</v>
          </cell>
          <cell r="AA348">
            <v>15</v>
          </cell>
          <cell r="AB348">
            <v>85</v>
          </cell>
          <cell r="AC348">
            <v>0</v>
          </cell>
          <cell r="AD348" t="str">
            <v>TIDAK</v>
          </cell>
          <cell r="AE348" t="str">
            <v>TIDAK</v>
          </cell>
          <cell r="AF348">
            <v>85</v>
          </cell>
          <cell r="AG348">
            <v>2</v>
          </cell>
          <cell r="AH348" t="str">
            <v>SAPHIRE</v>
          </cell>
          <cell r="AI348">
            <v>0</v>
          </cell>
          <cell r="AJ348" t="str">
            <v>Y</v>
          </cell>
          <cell r="AK348">
            <v>0</v>
          </cell>
          <cell r="AL348">
            <v>45261</v>
          </cell>
          <cell r="AM348">
            <v>45701</v>
          </cell>
          <cell r="AN348">
            <v>1</v>
          </cell>
          <cell r="AO348">
            <v>85</v>
          </cell>
          <cell r="AP348" t="str">
            <v>-</v>
          </cell>
          <cell r="AQ348" t="str">
            <v>-</v>
          </cell>
          <cell r="AR348" t="str">
            <v>REGULER</v>
          </cell>
          <cell r="AS348" t="str">
            <v>REGULER</v>
          </cell>
          <cell r="AT348" t="str">
            <v>REGULER</v>
          </cell>
          <cell r="AU348" t="str">
            <v>REGULER</v>
          </cell>
          <cell r="AV348" t="str">
            <v/>
          </cell>
          <cell r="AW348">
            <v>31</v>
          </cell>
          <cell r="AX348">
            <v>1</v>
          </cell>
          <cell r="AY348">
            <v>17</v>
          </cell>
          <cell r="AZ348">
            <v>17</v>
          </cell>
          <cell r="BA348">
            <v>9</v>
          </cell>
          <cell r="BB348">
            <v>31</v>
          </cell>
          <cell r="BC348">
            <v>1</v>
          </cell>
          <cell r="BD348">
            <v>17</v>
          </cell>
          <cell r="BE348">
            <v>17</v>
          </cell>
          <cell r="BF348">
            <v>9</v>
          </cell>
          <cell r="BG348">
            <v>2</v>
          </cell>
          <cell r="BH348">
            <v>31</v>
          </cell>
          <cell r="BI348">
            <v>1</v>
          </cell>
          <cell r="BJ348">
            <v>17</v>
          </cell>
          <cell r="BK348">
            <v>17</v>
          </cell>
          <cell r="BL348">
            <v>9</v>
          </cell>
          <cell r="BM348">
            <v>0</v>
          </cell>
          <cell r="BN348">
            <v>77</v>
          </cell>
          <cell r="BO348">
            <v>2</v>
          </cell>
          <cell r="BP348">
            <v>31</v>
          </cell>
          <cell r="BQ348">
            <v>1</v>
          </cell>
          <cell r="BR348">
            <v>17</v>
          </cell>
          <cell r="BS348">
            <v>17</v>
          </cell>
          <cell r="BT348">
            <v>9</v>
          </cell>
          <cell r="BU348">
            <v>0</v>
          </cell>
          <cell r="BV348">
            <v>77</v>
          </cell>
          <cell r="BW348">
            <v>1</v>
          </cell>
          <cell r="BX348" t="str">
            <v>TIDAK</v>
          </cell>
          <cell r="BY348" t="str">
            <v>TIDAK</v>
          </cell>
        </row>
        <row r="349">
          <cell r="A349" t="str">
            <v>A3601</v>
          </cell>
          <cell r="B349" t="str">
            <v>Virginia Lorensa Nugraha</v>
          </cell>
          <cell r="C349" t="str">
            <v>DELTA</v>
          </cell>
          <cell r="D349">
            <v>45307</v>
          </cell>
          <cell r="E349" t="str">
            <v>Jan-24</v>
          </cell>
          <cell r="F349" t="str">
            <v>-</v>
          </cell>
          <cell r="G349" t="str">
            <v>REGULER</v>
          </cell>
          <cell r="H349" t="str">
            <v>REGULER</v>
          </cell>
          <cell r="I349" t="str">
            <v>REGULER</v>
          </cell>
          <cell r="J349" t="str">
            <v>REGULER</v>
          </cell>
          <cell r="K349" t="str">
            <v>REGULER</v>
          </cell>
          <cell r="L349" t="str">
            <v>REGULER</v>
          </cell>
          <cell r="M349">
            <v>0</v>
          </cell>
          <cell r="N349">
            <v>10</v>
          </cell>
          <cell r="O349">
            <v>18</v>
          </cell>
          <cell r="P349">
            <v>33</v>
          </cell>
          <cell r="Q349">
            <v>35</v>
          </cell>
          <cell r="R349">
            <v>37</v>
          </cell>
          <cell r="S349">
            <v>21</v>
          </cell>
          <cell r="T349">
            <v>154</v>
          </cell>
          <cell r="U349">
            <v>0</v>
          </cell>
          <cell r="V349">
            <v>10</v>
          </cell>
          <cell r="W349">
            <v>18</v>
          </cell>
          <cell r="X349">
            <v>33</v>
          </cell>
          <cell r="Y349">
            <v>35</v>
          </cell>
          <cell r="Z349">
            <v>37</v>
          </cell>
          <cell r="AA349">
            <v>21</v>
          </cell>
          <cell r="AB349">
            <v>154</v>
          </cell>
          <cell r="AC349">
            <v>0</v>
          </cell>
          <cell r="AD349" t="str">
            <v>TIDAK</v>
          </cell>
          <cell r="AE349" t="str">
            <v>TIDAK</v>
          </cell>
          <cell r="AF349">
            <v>154</v>
          </cell>
          <cell r="AG349">
            <v>2</v>
          </cell>
          <cell r="AH349" t="str">
            <v>SAPHIRE</v>
          </cell>
          <cell r="AI349">
            <v>0</v>
          </cell>
          <cell r="AJ349" t="str">
            <v>Y</v>
          </cell>
          <cell r="AK349">
            <v>0</v>
          </cell>
          <cell r="AL349">
            <v>45261</v>
          </cell>
          <cell r="AM349">
            <v>45701</v>
          </cell>
          <cell r="AN349">
            <v>1</v>
          </cell>
          <cell r="AO349">
            <v>154</v>
          </cell>
          <cell r="AP349" t="str">
            <v>-</v>
          </cell>
          <cell r="AQ349" t="str">
            <v>-</v>
          </cell>
          <cell r="AR349" t="str">
            <v>REGULER</v>
          </cell>
          <cell r="AS349" t="str">
            <v>REGULER</v>
          </cell>
          <cell r="AT349" t="str">
            <v>REGULER</v>
          </cell>
          <cell r="AU349" t="str">
            <v>REGULER</v>
          </cell>
          <cell r="AV349" t="str">
            <v/>
          </cell>
          <cell r="AW349">
            <v>44</v>
          </cell>
          <cell r="AX349">
            <v>42</v>
          </cell>
          <cell r="AY349">
            <v>37</v>
          </cell>
          <cell r="AZ349">
            <v>42</v>
          </cell>
          <cell r="BA349">
            <v>35</v>
          </cell>
          <cell r="BB349">
            <v>44</v>
          </cell>
          <cell r="BC349">
            <v>42</v>
          </cell>
          <cell r="BD349">
            <v>37</v>
          </cell>
          <cell r="BE349">
            <v>42</v>
          </cell>
          <cell r="BF349">
            <v>35</v>
          </cell>
          <cell r="BG349">
            <v>18</v>
          </cell>
          <cell r="BH349">
            <v>44</v>
          </cell>
          <cell r="BI349">
            <v>42</v>
          </cell>
          <cell r="BJ349">
            <v>37</v>
          </cell>
          <cell r="BK349">
            <v>42</v>
          </cell>
          <cell r="BL349">
            <v>35</v>
          </cell>
          <cell r="BM349">
            <v>15</v>
          </cell>
          <cell r="BN349">
            <v>233</v>
          </cell>
          <cell r="BO349">
            <v>18</v>
          </cell>
          <cell r="BP349">
            <v>44</v>
          </cell>
          <cell r="BQ349">
            <v>42</v>
          </cell>
          <cell r="BR349">
            <v>37</v>
          </cell>
          <cell r="BS349">
            <v>42</v>
          </cell>
          <cell r="BT349">
            <v>35</v>
          </cell>
          <cell r="BU349">
            <v>15</v>
          </cell>
          <cell r="BV349">
            <v>233</v>
          </cell>
          <cell r="BW349">
            <v>0</v>
          </cell>
          <cell r="BX349" t="str">
            <v>TIDAK</v>
          </cell>
          <cell r="BY349" t="str">
            <v>TIDAK</v>
          </cell>
        </row>
        <row r="350">
          <cell r="A350" t="str">
            <v>A3293</v>
          </cell>
          <cell r="B350" t="str">
            <v>Wachid Aji Pangestu</v>
          </cell>
          <cell r="C350" t="str">
            <v>DELTA</v>
          </cell>
          <cell r="D350">
            <v>45261</v>
          </cell>
          <cell r="E350" t="str">
            <v>Dec-23</v>
          </cell>
          <cell r="F350" t="str">
            <v>-</v>
          </cell>
          <cell r="G350" t="str">
            <v>REGULER</v>
          </cell>
          <cell r="H350" t="str">
            <v>-</v>
          </cell>
          <cell r="I350" t="str">
            <v>-</v>
          </cell>
          <cell r="J350" t="str">
            <v>-</v>
          </cell>
          <cell r="K350" t="str">
            <v>-</v>
          </cell>
          <cell r="L350" t="str">
            <v>-</v>
          </cell>
          <cell r="M350">
            <v>0</v>
          </cell>
          <cell r="N350">
            <v>1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 t="str">
            <v/>
          </cell>
          <cell r="T350">
            <v>1</v>
          </cell>
          <cell r="U350">
            <v>0</v>
          </cell>
          <cell r="V350">
            <v>1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/>
          </cell>
          <cell r="AB350">
            <v>1</v>
          </cell>
          <cell r="AC350">
            <v>6</v>
          </cell>
          <cell r="AD350" t="str">
            <v>DOWNGRADE</v>
          </cell>
          <cell r="AE350" t="str">
            <v>RESET</v>
          </cell>
          <cell r="AF350">
            <v>0</v>
          </cell>
          <cell r="AG350">
            <v>2</v>
          </cell>
          <cell r="AH350" t="str">
            <v>SAPHIRE</v>
          </cell>
          <cell r="AI350">
            <v>0</v>
          </cell>
          <cell r="AJ350" t="str">
            <v>FALSE</v>
          </cell>
          <cell r="AK350">
            <v>0</v>
          </cell>
          <cell r="AL350">
            <v>45261</v>
          </cell>
          <cell r="AM350">
            <v>45701</v>
          </cell>
          <cell r="AN350">
            <v>1</v>
          </cell>
          <cell r="AO350">
            <v>0</v>
          </cell>
          <cell r="AP350" t="str">
            <v>-</v>
          </cell>
          <cell r="AQ350" t="str">
            <v>-</v>
          </cell>
          <cell r="AR350" t="str">
            <v>-</v>
          </cell>
          <cell r="AS350" t="str">
            <v>-</v>
          </cell>
          <cell r="AT350" t="str">
            <v>-</v>
          </cell>
          <cell r="AU350" t="str">
            <v>-</v>
          </cell>
          <cell r="AV350" t="str">
            <v/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 t="str">
            <v/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 t="str">
            <v/>
          </cell>
          <cell r="BN350">
            <v>0</v>
          </cell>
          <cell r="BO350" t="str">
            <v/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 t="str">
            <v/>
          </cell>
          <cell r="BV350">
            <v>0</v>
          </cell>
          <cell r="BW350">
            <v>7</v>
          </cell>
          <cell r="BX350" t="str">
            <v>DOWNGRADE</v>
          </cell>
          <cell r="BY350" t="str">
            <v>RESET</v>
          </cell>
        </row>
        <row r="351">
          <cell r="A351" t="str">
            <v>A1025</v>
          </cell>
          <cell r="B351" t="str">
            <v>Wafa Sinta</v>
          </cell>
          <cell r="C351" t="str">
            <v>DELTA</v>
          </cell>
          <cell r="D351">
            <v>45036</v>
          </cell>
          <cell r="E351" t="str">
            <v>Apr-23</v>
          </cell>
          <cell r="F351" t="str">
            <v>REGULER</v>
          </cell>
          <cell r="G351" t="str">
            <v>REGULER</v>
          </cell>
          <cell r="H351" t="str">
            <v>REGULER</v>
          </cell>
          <cell r="I351" t="str">
            <v>REGULER</v>
          </cell>
          <cell r="J351" t="str">
            <v>REGULER</v>
          </cell>
          <cell r="K351" t="str">
            <v>REGULER</v>
          </cell>
          <cell r="L351" t="str">
            <v>REGULER</v>
          </cell>
          <cell r="M351">
            <v>0</v>
          </cell>
          <cell r="N351">
            <v>12</v>
          </cell>
          <cell r="O351">
            <v>30</v>
          </cell>
          <cell r="P351">
            <v>33</v>
          </cell>
          <cell r="Q351">
            <v>33</v>
          </cell>
          <cell r="R351">
            <v>30</v>
          </cell>
          <cell r="S351">
            <v>16</v>
          </cell>
          <cell r="T351">
            <v>154</v>
          </cell>
          <cell r="U351">
            <v>0</v>
          </cell>
          <cell r="V351">
            <v>12</v>
          </cell>
          <cell r="W351">
            <v>30</v>
          </cell>
          <cell r="X351">
            <v>33</v>
          </cell>
          <cell r="Y351">
            <v>33</v>
          </cell>
          <cell r="Z351">
            <v>30</v>
          </cell>
          <cell r="AA351">
            <v>16</v>
          </cell>
          <cell r="AB351">
            <v>154</v>
          </cell>
          <cell r="AC351">
            <v>1</v>
          </cell>
          <cell r="AD351" t="str">
            <v>TIDAK</v>
          </cell>
          <cell r="AE351" t="str">
            <v>TIDAK</v>
          </cell>
          <cell r="AF351">
            <v>154</v>
          </cell>
          <cell r="AG351">
            <v>2</v>
          </cell>
          <cell r="AH351" t="str">
            <v>SAPHIRE</v>
          </cell>
          <cell r="AI351">
            <v>0</v>
          </cell>
          <cell r="AJ351" t="str">
            <v>Y</v>
          </cell>
          <cell r="AK351">
            <v>0</v>
          </cell>
          <cell r="AL351">
            <v>45261</v>
          </cell>
          <cell r="AM351">
            <v>45701</v>
          </cell>
          <cell r="AN351">
            <v>1</v>
          </cell>
          <cell r="AO351">
            <v>154</v>
          </cell>
          <cell r="AP351" t="str">
            <v>-</v>
          </cell>
          <cell r="AQ351" t="str">
            <v>-</v>
          </cell>
          <cell r="AR351" t="str">
            <v>REGULER</v>
          </cell>
          <cell r="AS351" t="str">
            <v>EKSKLUSIF</v>
          </cell>
          <cell r="AT351" t="str">
            <v>EKSKLUSIF</v>
          </cell>
          <cell r="AU351" t="str">
            <v>EKSKLUSIF</v>
          </cell>
          <cell r="AV351" t="str">
            <v/>
          </cell>
          <cell r="AW351">
            <v>32</v>
          </cell>
          <cell r="AX351">
            <v>26</v>
          </cell>
          <cell r="AY351">
            <v>41</v>
          </cell>
          <cell r="AZ351">
            <v>46</v>
          </cell>
          <cell r="BA351">
            <v>43</v>
          </cell>
          <cell r="BB351">
            <v>32</v>
          </cell>
          <cell r="BC351">
            <v>26</v>
          </cell>
          <cell r="BD351">
            <v>41</v>
          </cell>
          <cell r="BE351">
            <v>46</v>
          </cell>
          <cell r="BF351">
            <v>43</v>
          </cell>
          <cell r="BG351">
            <v>16</v>
          </cell>
          <cell r="BH351">
            <v>32</v>
          </cell>
          <cell r="BI351">
            <v>26</v>
          </cell>
          <cell r="BJ351">
            <v>41</v>
          </cell>
          <cell r="BK351">
            <v>46</v>
          </cell>
          <cell r="BL351">
            <v>43</v>
          </cell>
          <cell r="BM351">
            <v>20</v>
          </cell>
          <cell r="BN351">
            <v>224</v>
          </cell>
          <cell r="BO351">
            <v>16</v>
          </cell>
          <cell r="BP351">
            <v>32</v>
          </cell>
          <cell r="BQ351">
            <v>26</v>
          </cell>
          <cell r="BR351">
            <v>0</v>
          </cell>
          <cell r="BS351">
            <v>0</v>
          </cell>
          <cell r="BT351">
            <v>0</v>
          </cell>
          <cell r="BU351">
            <v>20</v>
          </cell>
          <cell r="BV351">
            <v>94</v>
          </cell>
          <cell r="BW351">
            <v>0</v>
          </cell>
          <cell r="BX351" t="str">
            <v>TIDAK</v>
          </cell>
          <cell r="BY351" t="str">
            <v>TIDAK</v>
          </cell>
        </row>
        <row r="352">
          <cell r="A352">
            <v>90648</v>
          </cell>
          <cell r="B352" t="str">
            <v>Wahyu Idhayati</v>
          </cell>
          <cell r="C352" t="str">
            <v>DELTA</v>
          </cell>
          <cell r="D352">
            <v>44399</v>
          </cell>
          <cell r="E352" t="str">
            <v>Jul-21</v>
          </cell>
          <cell r="F352" t="str">
            <v>EKSKLUSIF</v>
          </cell>
          <cell r="G352" t="str">
            <v>EKSKLUSIF</v>
          </cell>
          <cell r="H352" t="str">
            <v>EKSKLUSIF</v>
          </cell>
          <cell r="I352" t="str">
            <v>REGULER</v>
          </cell>
          <cell r="J352" t="str">
            <v>REGULER</v>
          </cell>
          <cell r="K352" t="str">
            <v>REGULER</v>
          </cell>
          <cell r="L352" t="str">
            <v>REGULER</v>
          </cell>
          <cell r="M352">
            <v>20</v>
          </cell>
          <cell r="N352">
            <v>42</v>
          </cell>
          <cell r="O352">
            <v>40</v>
          </cell>
          <cell r="P352">
            <v>34</v>
          </cell>
          <cell r="Q352">
            <v>29</v>
          </cell>
          <cell r="R352">
            <v>36</v>
          </cell>
          <cell r="S352">
            <v>22</v>
          </cell>
          <cell r="T352">
            <v>223</v>
          </cell>
          <cell r="U352">
            <v>0</v>
          </cell>
          <cell r="V352">
            <v>0</v>
          </cell>
          <cell r="W352">
            <v>0</v>
          </cell>
          <cell r="X352">
            <v>34</v>
          </cell>
          <cell r="Y352">
            <v>29</v>
          </cell>
          <cell r="Z352">
            <v>36</v>
          </cell>
          <cell r="AA352">
            <v>22</v>
          </cell>
          <cell r="AB352">
            <v>121</v>
          </cell>
          <cell r="AC352">
            <v>0</v>
          </cell>
          <cell r="AD352" t="str">
            <v>TIDAK</v>
          </cell>
          <cell r="AE352" t="str">
            <v>TIDAK</v>
          </cell>
          <cell r="AF352">
            <v>121</v>
          </cell>
          <cell r="AG352">
            <v>2</v>
          </cell>
          <cell r="AH352" t="str">
            <v>SAPHIRE</v>
          </cell>
          <cell r="AI352">
            <v>0</v>
          </cell>
          <cell r="AJ352" t="str">
            <v>Y</v>
          </cell>
          <cell r="AK352">
            <v>0</v>
          </cell>
          <cell r="AL352">
            <v>45261</v>
          </cell>
          <cell r="AM352">
            <v>45701</v>
          </cell>
          <cell r="AN352">
            <v>1</v>
          </cell>
          <cell r="AO352">
            <v>121</v>
          </cell>
          <cell r="AP352" t="str">
            <v>-</v>
          </cell>
          <cell r="AQ352" t="str">
            <v>-</v>
          </cell>
          <cell r="AR352" t="str">
            <v>REGULER</v>
          </cell>
          <cell r="AS352" t="str">
            <v>REGULER</v>
          </cell>
          <cell r="AT352" t="str">
            <v>REGULER</v>
          </cell>
          <cell r="AU352" t="str">
            <v>REGULER</v>
          </cell>
          <cell r="AV352" t="str">
            <v/>
          </cell>
          <cell r="AW352">
            <v>47</v>
          </cell>
          <cell r="AX352">
            <v>40</v>
          </cell>
          <cell r="AY352">
            <v>32</v>
          </cell>
          <cell r="AZ352">
            <v>48</v>
          </cell>
          <cell r="BA352">
            <v>39</v>
          </cell>
          <cell r="BB352">
            <v>47</v>
          </cell>
          <cell r="BC352">
            <v>40</v>
          </cell>
          <cell r="BD352">
            <v>32</v>
          </cell>
          <cell r="BE352">
            <v>48</v>
          </cell>
          <cell r="BF352">
            <v>39</v>
          </cell>
          <cell r="BG352">
            <v>20</v>
          </cell>
          <cell r="BH352">
            <v>47</v>
          </cell>
          <cell r="BI352">
            <v>40</v>
          </cell>
          <cell r="BJ352">
            <v>32</v>
          </cell>
          <cell r="BK352">
            <v>48</v>
          </cell>
          <cell r="BL352">
            <v>39</v>
          </cell>
          <cell r="BM352">
            <v>22</v>
          </cell>
          <cell r="BN352">
            <v>248</v>
          </cell>
          <cell r="BO352">
            <v>20</v>
          </cell>
          <cell r="BP352">
            <v>47</v>
          </cell>
          <cell r="BQ352">
            <v>40</v>
          </cell>
          <cell r="BR352">
            <v>32</v>
          </cell>
          <cell r="BS352">
            <v>48</v>
          </cell>
          <cell r="BT352">
            <v>39</v>
          </cell>
          <cell r="BU352">
            <v>22</v>
          </cell>
          <cell r="BV352">
            <v>248</v>
          </cell>
          <cell r="BW352">
            <v>0</v>
          </cell>
          <cell r="BX352" t="str">
            <v>TIDAK</v>
          </cell>
          <cell r="BY352" t="str">
            <v>TIDAK</v>
          </cell>
        </row>
        <row r="353">
          <cell r="A353" t="str">
            <v>A0864</v>
          </cell>
          <cell r="B353" t="str">
            <v>Wahyu Nuraeni</v>
          </cell>
          <cell r="C353" t="str">
            <v>DELTA</v>
          </cell>
          <cell r="D353">
            <v>44923</v>
          </cell>
          <cell r="E353" t="str">
            <v>Dec-22</v>
          </cell>
          <cell r="F353" t="str">
            <v>REGULER</v>
          </cell>
          <cell r="G353" t="str">
            <v>EKSKLUSIF</v>
          </cell>
          <cell r="H353" t="str">
            <v>EKSKLUSIF</v>
          </cell>
          <cell r="I353" t="str">
            <v>EKSKLUSIF</v>
          </cell>
          <cell r="J353" t="str">
            <v>REGULER</v>
          </cell>
          <cell r="K353" t="str">
            <v>REGULER</v>
          </cell>
          <cell r="L353" t="str">
            <v>REGULER</v>
          </cell>
          <cell r="M353">
            <v>0</v>
          </cell>
          <cell r="N353">
            <v>45</v>
          </cell>
          <cell r="O353">
            <v>40</v>
          </cell>
          <cell r="P353">
            <v>41</v>
          </cell>
          <cell r="Q353">
            <v>25</v>
          </cell>
          <cell r="R353">
            <v>36</v>
          </cell>
          <cell r="S353">
            <v>18</v>
          </cell>
          <cell r="T353">
            <v>205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25</v>
          </cell>
          <cell r="Z353">
            <v>36</v>
          </cell>
          <cell r="AA353">
            <v>18</v>
          </cell>
          <cell r="AB353">
            <v>79</v>
          </cell>
          <cell r="AC353">
            <v>1</v>
          </cell>
          <cell r="AD353" t="str">
            <v>TIDAK</v>
          </cell>
          <cell r="AE353" t="str">
            <v>TIDAK</v>
          </cell>
          <cell r="AF353">
            <v>79</v>
          </cell>
          <cell r="AG353">
            <v>2</v>
          </cell>
          <cell r="AH353" t="str">
            <v>SAPHIRE</v>
          </cell>
          <cell r="AI353">
            <v>0</v>
          </cell>
          <cell r="AJ353" t="str">
            <v>Y</v>
          </cell>
          <cell r="AK353">
            <v>0</v>
          </cell>
          <cell r="AL353">
            <v>45261</v>
          </cell>
          <cell r="AM353">
            <v>45701</v>
          </cell>
          <cell r="AN353">
            <v>1</v>
          </cell>
          <cell r="AO353">
            <v>79</v>
          </cell>
          <cell r="AP353" t="str">
            <v>-</v>
          </cell>
          <cell r="AQ353" t="str">
            <v>-</v>
          </cell>
          <cell r="AR353" t="str">
            <v>REGULER</v>
          </cell>
          <cell r="AS353" t="str">
            <v>EKSKLUSIF</v>
          </cell>
          <cell r="AT353" t="str">
            <v>EKSKLUSIF</v>
          </cell>
          <cell r="AU353" t="str">
            <v>EKSKLUSIF</v>
          </cell>
          <cell r="AV353" t="str">
            <v/>
          </cell>
          <cell r="AW353">
            <v>42</v>
          </cell>
          <cell r="AX353">
            <v>35</v>
          </cell>
          <cell r="AY353">
            <v>44</v>
          </cell>
          <cell r="AZ353">
            <v>48</v>
          </cell>
          <cell r="BA353">
            <v>43</v>
          </cell>
          <cell r="BB353">
            <v>42</v>
          </cell>
          <cell r="BC353">
            <v>35</v>
          </cell>
          <cell r="BD353">
            <v>44</v>
          </cell>
          <cell r="BE353">
            <v>48</v>
          </cell>
          <cell r="BF353">
            <v>43</v>
          </cell>
          <cell r="BG353">
            <v>15</v>
          </cell>
          <cell r="BH353">
            <v>42</v>
          </cell>
          <cell r="BI353">
            <v>35</v>
          </cell>
          <cell r="BJ353">
            <v>44</v>
          </cell>
          <cell r="BK353">
            <v>48</v>
          </cell>
          <cell r="BL353">
            <v>43</v>
          </cell>
          <cell r="BM353">
            <v>20</v>
          </cell>
          <cell r="BN353">
            <v>247</v>
          </cell>
          <cell r="BO353">
            <v>15</v>
          </cell>
          <cell r="BP353">
            <v>42</v>
          </cell>
          <cell r="BQ353">
            <v>35</v>
          </cell>
          <cell r="BR353">
            <v>0</v>
          </cell>
          <cell r="BS353">
            <v>0</v>
          </cell>
          <cell r="BT353">
            <v>0</v>
          </cell>
          <cell r="BU353">
            <v>20</v>
          </cell>
          <cell r="BV353">
            <v>112</v>
          </cell>
          <cell r="BW353">
            <v>0</v>
          </cell>
          <cell r="BX353" t="str">
            <v>TIDAK</v>
          </cell>
          <cell r="BY353" t="str">
            <v>TIDAK</v>
          </cell>
        </row>
        <row r="354">
          <cell r="A354" t="str">
            <v>A3277</v>
          </cell>
          <cell r="B354" t="str">
            <v>Wahyuni Zefannya B Sitanggang</v>
          </cell>
          <cell r="C354" t="str">
            <v>DELTA</v>
          </cell>
          <cell r="D354">
            <v>45261</v>
          </cell>
          <cell r="E354" t="str">
            <v>Dec-23</v>
          </cell>
          <cell r="F354" t="str">
            <v>REGULER</v>
          </cell>
          <cell r="G354" t="str">
            <v>REGULER</v>
          </cell>
          <cell r="H354" t="str">
            <v>REGULER</v>
          </cell>
          <cell r="I354" t="str">
            <v>-</v>
          </cell>
          <cell r="J354" t="str">
            <v>-</v>
          </cell>
          <cell r="K354" t="str">
            <v>-</v>
          </cell>
          <cell r="L354" t="str">
            <v>-</v>
          </cell>
          <cell r="M354">
            <v>21</v>
          </cell>
          <cell r="N354">
            <v>24</v>
          </cell>
          <cell r="O354">
            <v>7</v>
          </cell>
          <cell r="P354">
            <v>0</v>
          </cell>
          <cell r="Q354">
            <v>0</v>
          </cell>
          <cell r="R354">
            <v>0</v>
          </cell>
          <cell r="S354" t="str">
            <v/>
          </cell>
          <cell r="T354">
            <v>52</v>
          </cell>
          <cell r="U354">
            <v>21</v>
          </cell>
          <cell r="V354">
            <v>24</v>
          </cell>
          <cell r="W354">
            <v>7</v>
          </cell>
          <cell r="X354">
            <v>0</v>
          </cell>
          <cell r="Y354">
            <v>0</v>
          </cell>
          <cell r="Z354">
            <v>0</v>
          </cell>
          <cell r="AA354" t="str">
            <v/>
          </cell>
          <cell r="AB354">
            <v>52</v>
          </cell>
          <cell r="AC354">
            <v>4</v>
          </cell>
          <cell r="AD354" t="str">
            <v>DOWNGRADE</v>
          </cell>
          <cell r="AE354" t="str">
            <v>RESET</v>
          </cell>
          <cell r="AF354">
            <v>0</v>
          </cell>
          <cell r="AG354">
            <v>2</v>
          </cell>
          <cell r="AH354" t="str">
            <v>SAPHIRE</v>
          </cell>
          <cell r="AI354">
            <v>0</v>
          </cell>
          <cell r="AJ354" t="str">
            <v>FALSE</v>
          </cell>
          <cell r="AK354">
            <v>0</v>
          </cell>
          <cell r="AL354">
            <v>45261</v>
          </cell>
          <cell r="AM354">
            <v>45701</v>
          </cell>
          <cell r="AN354">
            <v>1</v>
          </cell>
          <cell r="AO354">
            <v>0</v>
          </cell>
          <cell r="AP354" t="str">
            <v>-</v>
          </cell>
          <cell r="AQ354" t="str">
            <v>-</v>
          </cell>
          <cell r="AR354" t="str">
            <v>-</v>
          </cell>
          <cell r="AS354" t="str">
            <v>-</v>
          </cell>
          <cell r="AT354" t="str">
            <v>-</v>
          </cell>
          <cell r="AU354" t="str">
            <v>-</v>
          </cell>
          <cell r="AV354" t="str">
            <v/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 t="str">
            <v/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 t="str">
            <v/>
          </cell>
          <cell r="BN354">
            <v>0</v>
          </cell>
          <cell r="BO354" t="str">
            <v/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 t="str">
            <v/>
          </cell>
          <cell r="BV354">
            <v>0</v>
          </cell>
          <cell r="BW354">
            <v>7</v>
          </cell>
          <cell r="BX354" t="str">
            <v>DOWNGRADE</v>
          </cell>
          <cell r="BY354" t="str">
            <v>RESET</v>
          </cell>
        </row>
        <row r="355">
          <cell r="A355" t="str">
            <v>A1855</v>
          </cell>
          <cell r="B355" t="str">
            <v>Waningsih Yona Larasati</v>
          </cell>
          <cell r="C355" t="str">
            <v>DELTA</v>
          </cell>
          <cell r="D355">
            <v>45033</v>
          </cell>
          <cell r="E355" t="str">
            <v>Apr-23</v>
          </cell>
          <cell r="F355" t="str">
            <v>EKSKLUSIF</v>
          </cell>
          <cell r="G355" t="str">
            <v>EKSKLUSIF</v>
          </cell>
          <cell r="H355" t="str">
            <v>EKSKLUSIF</v>
          </cell>
          <cell r="I355" t="str">
            <v>REGULER</v>
          </cell>
          <cell r="J355" t="str">
            <v>REGULER</v>
          </cell>
          <cell r="K355" t="str">
            <v>REGULER</v>
          </cell>
          <cell r="L355" t="str">
            <v>REGULER</v>
          </cell>
          <cell r="M355">
            <v>21</v>
          </cell>
          <cell r="N355">
            <v>45</v>
          </cell>
          <cell r="O355">
            <v>40</v>
          </cell>
          <cell r="P355">
            <v>30</v>
          </cell>
          <cell r="Q355">
            <v>30</v>
          </cell>
          <cell r="R355">
            <v>31</v>
          </cell>
          <cell r="S355">
            <v>15</v>
          </cell>
          <cell r="T355">
            <v>212</v>
          </cell>
          <cell r="U355">
            <v>0</v>
          </cell>
          <cell r="V355">
            <v>0</v>
          </cell>
          <cell r="W355">
            <v>0</v>
          </cell>
          <cell r="X355">
            <v>30</v>
          </cell>
          <cell r="Y355">
            <v>30</v>
          </cell>
          <cell r="Z355">
            <v>31</v>
          </cell>
          <cell r="AA355">
            <v>15</v>
          </cell>
          <cell r="AB355">
            <v>106</v>
          </cell>
          <cell r="AC355">
            <v>0</v>
          </cell>
          <cell r="AD355" t="str">
            <v>TIDAK</v>
          </cell>
          <cell r="AE355" t="str">
            <v>TIDAK</v>
          </cell>
          <cell r="AF355">
            <v>106</v>
          </cell>
          <cell r="AG355">
            <v>2</v>
          </cell>
          <cell r="AH355" t="str">
            <v>SAPHIRE</v>
          </cell>
          <cell r="AI355">
            <v>0</v>
          </cell>
          <cell r="AJ355" t="str">
            <v>Y</v>
          </cell>
          <cell r="AK355">
            <v>0</v>
          </cell>
          <cell r="AL355">
            <v>45261</v>
          </cell>
          <cell r="AM355">
            <v>45701</v>
          </cell>
          <cell r="AN355">
            <v>1</v>
          </cell>
          <cell r="AO355">
            <v>106</v>
          </cell>
          <cell r="AP355" t="str">
            <v>-</v>
          </cell>
          <cell r="AQ355" t="str">
            <v>-</v>
          </cell>
          <cell r="AR355" t="str">
            <v>REGULER</v>
          </cell>
          <cell r="AS355" t="str">
            <v>REGULER</v>
          </cell>
          <cell r="AT355" t="str">
            <v>-</v>
          </cell>
          <cell r="AU355" t="str">
            <v>-</v>
          </cell>
          <cell r="AV355" t="str">
            <v/>
          </cell>
          <cell r="AW355">
            <v>0</v>
          </cell>
          <cell r="AX355">
            <v>31</v>
          </cell>
          <cell r="AY355">
            <v>7</v>
          </cell>
          <cell r="AZ355">
            <v>0</v>
          </cell>
          <cell r="BA355">
            <v>0</v>
          </cell>
          <cell r="BB355">
            <v>0</v>
          </cell>
          <cell r="BC355">
            <v>31</v>
          </cell>
          <cell r="BD355">
            <v>7</v>
          </cell>
          <cell r="BE355">
            <v>0</v>
          </cell>
          <cell r="BF355">
            <v>0</v>
          </cell>
          <cell r="BG355" t="str">
            <v/>
          </cell>
          <cell r="BH355">
            <v>0</v>
          </cell>
          <cell r="BI355">
            <v>31</v>
          </cell>
          <cell r="BJ355">
            <v>7</v>
          </cell>
          <cell r="BK355">
            <v>0</v>
          </cell>
          <cell r="BL355">
            <v>0</v>
          </cell>
          <cell r="BM355">
            <v>2</v>
          </cell>
          <cell r="BN355">
            <v>40</v>
          </cell>
          <cell r="BO355" t="str">
            <v/>
          </cell>
          <cell r="BP355">
            <v>0</v>
          </cell>
          <cell r="BQ355">
            <v>31</v>
          </cell>
          <cell r="BR355">
            <v>7</v>
          </cell>
          <cell r="BS355">
            <v>0</v>
          </cell>
          <cell r="BT355">
            <v>0</v>
          </cell>
          <cell r="BU355">
            <v>2</v>
          </cell>
          <cell r="BV355">
            <v>40</v>
          </cell>
          <cell r="BW355">
            <v>4</v>
          </cell>
          <cell r="BX355" t="str">
            <v>DOWNGRADE</v>
          </cell>
          <cell r="BY355" t="str">
            <v>TIDAK</v>
          </cell>
        </row>
        <row r="356">
          <cell r="A356">
            <v>90653</v>
          </cell>
          <cell r="B356" t="str">
            <v>Weni Saputri</v>
          </cell>
          <cell r="C356" t="str">
            <v>DELTA</v>
          </cell>
          <cell r="D356">
            <v>44455</v>
          </cell>
          <cell r="E356" t="str">
            <v>Sep-21</v>
          </cell>
          <cell r="F356" t="str">
            <v>EKSKLUSIF</v>
          </cell>
          <cell r="G356" t="str">
            <v>EKSKLUSIF</v>
          </cell>
          <cell r="H356" t="str">
            <v>EKSKLUSIF</v>
          </cell>
          <cell r="I356" t="str">
            <v>EKSKLUSIF</v>
          </cell>
          <cell r="J356" t="str">
            <v>EKSKLUSIF</v>
          </cell>
          <cell r="K356" t="str">
            <v>EKSKLUSIF</v>
          </cell>
          <cell r="L356" t="str">
            <v>EKSKLUSIF</v>
          </cell>
          <cell r="M356">
            <v>21</v>
          </cell>
          <cell r="N356">
            <v>48</v>
          </cell>
          <cell r="O356">
            <v>42</v>
          </cell>
          <cell r="P356">
            <v>44</v>
          </cell>
          <cell r="Q356">
            <v>39</v>
          </cell>
          <cell r="R356">
            <v>43</v>
          </cell>
          <cell r="S356">
            <v>22</v>
          </cell>
          <cell r="T356">
            <v>259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 t="str">
            <v>TIDAK</v>
          </cell>
          <cell r="AE356" t="str">
            <v>TIDAK</v>
          </cell>
          <cell r="AF356">
            <v>0</v>
          </cell>
          <cell r="AG356">
            <v>2</v>
          </cell>
          <cell r="AH356" t="str">
            <v>SAPHIRE</v>
          </cell>
          <cell r="AI356">
            <v>0</v>
          </cell>
          <cell r="AJ356" t="str">
            <v>FALSE</v>
          </cell>
          <cell r="AK356">
            <v>0</v>
          </cell>
          <cell r="AL356">
            <v>45261</v>
          </cell>
          <cell r="AM356">
            <v>45701</v>
          </cell>
          <cell r="AN356">
            <v>1</v>
          </cell>
          <cell r="AO356">
            <v>0</v>
          </cell>
          <cell r="AP356" t="str">
            <v>EKSKLUSIF</v>
          </cell>
          <cell r="AQ356" t="str">
            <v>-</v>
          </cell>
          <cell r="AR356" t="str">
            <v>EKSKLUSIF</v>
          </cell>
          <cell r="AS356" t="str">
            <v>EKSKLUSIF</v>
          </cell>
          <cell r="AT356" t="str">
            <v>EKSKLUSIF</v>
          </cell>
          <cell r="AU356" t="str">
            <v>EKSKLUSIF</v>
          </cell>
          <cell r="AV356" t="str">
            <v/>
          </cell>
          <cell r="AW356">
            <v>50</v>
          </cell>
          <cell r="AX356">
            <v>48</v>
          </cell>
          <cell r="AY356">
            <v>45</v>
          </cell>
          <cell r="AZ356">
            <v>49</v>
          </cell>
          <cell r="BA356">
            <v>46</v>
          </cell>
          <cell r="BB356">
            <v>50</v>
          </cell>
          <cell r="BC356">
            <v>48</v>
          </cell>
          <cell r="BD356">
            <v>45</v>
          </cell>
          <cell r="BE356">
            <v>49</v>
          </cell>
          <cell r="BF356">
            <v>46</v>
          </cell>
          <cell r="BG356">
            <v>20</v>
          </cell>
          <cell r="BH356">
            <v>50</v>
          </cell>
          <cell r="BI356">
            <v>48</v>
          </cell>
          <cell r="BJ356">
            <v>45</v>
          </cell>
          <cell r="BK356">
            <v>49</v>
          </cell>
          <cell r="BL356">
            <v>46</v>
          </cell>
          <cell r="BM356">
            <v>22</v>
          </cell>
          <cell r="BN356">
            <v>280</v>
          </cell>
          <cell r="BO356">
            <v>0</v>
          </cell>
          <cell r="BP356">
            <v>50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22</v>
          </cell>
          <cell r="BV356">
            <v>72</v>
          </cell>
          <cell r="BW356">
            <v>0</v>
          </cell>
          <cell r="BX356" t="str">
            <v>TIDAK</v>
          </cell>
          <cell r="BY356" t="str">
            <v>TIDAK</v>
          </cell>
        </row>
        <row r="357">
          <cell r="A357" t="str">
            <v>A0036</v>
          </cell>
          <cell r="B357" t="str">
            <v>Wening Indah Lestari</v>
          </cell>
          <cell r="C357" t="str">
            <v>DELTA</v>
          </cell>
          <cell r="D357">
            <v>45231</v>
          </cell>
          <cell r="E357" t="str">
            <v>Nov-23</v>
          </cell>
          <cell r="F357" t="str">
            <v>REGULER</v>
          </cell>
          <cell r="G357" t="str">
            <v>REGULER</v>
          </cell>
          <cell r="H357" t="str">
            <v>REGULER</v>
          </cell>
          <cell r="I357" t="str">
            <v>REGULER</v>
          </cell>
          <cell r="J357" t="str">
            <v>REGULER</v>
          </cell>
          <cell r="K357" t="str">
            <v>REGULER</v>
          </cell>
          <cell r="L357" t="str">
            <v>REGULER</v>
          </cell>
          <cell r="M357">
            <v>16</v>
          </cell>
          <cell r="N357">
            <v>39</v>
          </cell>
          <cell r="O357">
            <v>38</v>
          </cell>
          <cell r="P357">
            <v>1</v>
          </cell>
          <cell r="Q357">
            <v>1</v>
          </cell>
          <cell r="R357">
            <v>31</v>
          </cell>
          <cell r="S357">
            <v>15</v>
          </cell>
          <cell r="T357">
            <v>141</v>
          </cell>
          <cell r="U357">
            <v>16</v>
          </cell>
          <cell r="V357">
            <v>39</v>
          </cell>
          <cell r="W357">
            <v>38</v>
          </cell>
          <cell r="X357">
            <v>1</v>
          </cell>
          <cell r="Y357">
            <v>1</v>
          </cell>
          <cell r="Z357">
            <v>31</v>
          </cell>
          <cell r="AA357">
            <v>15</v>
          </cell>
          <cell r="AB357">
            <v>141</v>
          </cell>
          <cell r="AC357">
            <v>0</v>
          </cell>
          <cell r="AD357" t="str">
            <v>TIDAK</v>
          </cell>
          <cell r="AE357" t="str">
            <v>TIDAK</v>
          </cell>
          <cell r="AF357">
            <v>141</v>
          </cell>
          <cell r="AG357">
            <v>3</v>
          </cell>
          <cell r="AH357" t="str">
            <v>SAPHIRE</v>
          </cell>
          <cell r="AI357">
            <v>0</v>
          </cell>
          <cell r="AJ357" t="str">
            <v>Y</v>
          </cell>
          <cell r="AK357">
            <v>0</v>
          </cell>
          <cell r="AL357">
            <v>45261</v>
          </cell>
          <cell r="AM357">
            <v>45701</v>
          </cell>
          <cell r="AN357">
            <v>1</v>
          </cell>
          <cell r="AO357">
            <v>141</v>
          </cell>
          <cell r="AP357" t="str">
            <v>-</v>
          </cell>
          <cell r="AQ357" t="str">
            <v>-</v>
          </cell>
          <cell r="AR357" t="str">
            <v>REGULER</v>
          </cell>
          <cell r="AS357" t="str">
            <v>REGULER</v>
          </cell>
          <cell r="AT357" t="str">
            <v>REGULER</v>
          </cell>
          <cell r="AU357" t="str">
            <v>REGULER</v>
          </cell>
          <cell r="AV357" t="str">
            <v/>
          </cell>
          <cell r="AW357">
            <v>18</v>
          </cell>
          <cell r="AX357">
            <v>19</v>
          </cell>
          <cell r="AY357">
            <v>18</v>
          </cell>
          <cell r="AZ357">
            <v>30</v>
          </cell>
          <cell r="BA357">
            <v>15</v>
          </cell>
          <cell r="BB357">
            <v>18</v>
          </cell>
          <cell r="BC357">
            <v>19</v>
          </cell>
          <cell r="BD357">
            <v>18</v>
          </cell>
          <cell r="BE357">
            <v>30</v>
          </cell>
          <cell r="BF357">
            <v>15</v>
          </cell>
          <cell r="BG357">
            <v>15</v>
          </cell>
          <cell r="BH357">
            <v>18</v>
          </cell>
          <cell r="BI357">
            <v>19</v>
          </cell>
          <cell r="BJ357">
            <v>18</v>
          </cell>
          <cell r="BK357">
            <v>30</v>
          </cell>
          <cell r="BL357">
            <v>15</v>
          </cell>
          <cell r="BM357" t="str">
            <v/>
          </cell>
          <cell r="BN357">
            <v>115</v>
          </cell>
          <cell r="BO357">
            <v>15</v>
          </cell>
          <cell r="BP357">
            <v>18</v>
          </cell>
          <cell r="BQ357">
            <v>19</v>
          </cell>
          <cell r="BR357">
            <v>18</v>
          </cell>
          <cell r="BS357">
            <v>30</v>
          </cell>
          <cell r="BT357">
            <v>15</v>
          </cell>
          <cell r="BU357" t="str">
            <v/>
          </cell>
          <cell r="BV357">
            <v>115</v>
          </cell>
          <cell r="BW357">
            <v>1</v>
          </cell>
          <cell r="BX357" t="str">
            <v>TIDAK</v>
          </cell>
          <cell r="BY357" t="str">
            <v>TIDAK</v>
          </cell>
        </row>
        <row r="358">
          <cell r="A358" t="str">
            <v>A1719</v>
          </cell>
          <cell r="B358" t="str">
            <v>Wiliam David Hanjaya</v>
          </cell>
          <cell r="C358" t="str">
            <v>DELTA</v>
          </cell>
          <cell r="D358">
            <v>45001</v>
          </cell>
          <cell r="E358" t="str">
            <v>Mar-23</v>
          </cell>
          <cell r="F358" t="str">
            <v>EKSKLUSIF</v>
          </cell>
          <cell r="G358" t="str">
            <v>REGULER</v>
          </cell>
          <cell r="H358" t="str">
            <v>REGULER</v>
          </cell>
          <cell r="I358" t="str">
            <v>REGULER</v>
          </cell>
          <cell r="J358" t="str">
            <v>-</v>
          </cell>
          <cell r="K358" t="str">
            <v>-</v>
          </cell>
          <cell r="L358" t="str">
            <v>-</v>
          </cell>
          <cell r="M358">
            <v>22</v>
          </cell>
          <cell r="N358">
            <v>34</v>
          </cell>
          <cell r="O358">
            <v>40</v>
          </cell>
          <cell r="P358">
            <v>9</v>
          </cell>
          <cell r="Q358">
            <v>0</v>
          </cell>
          <cell r="R358">
            <v>0</v>
          </cell>
          <cell r="S358" t="str">
            <v/>
          </cell>
          <cell r="T358">
            <v>105</v>
          </cell>
          <cell r="U358">
            <v>0</v>
          </cell>
          <cell r="V358">
            <v>34</v>
          </cell>
          <cell r="W358">
            <v>40</v>
          </cell>
          <cell r="X358">
            <v>9</v>
          </cell>
          <cell r="Y358">
            <v>0</v>
          </cell>
          <cell r="Z358">
            <v>0</v>
          </cell>
          <cell r="AA358" t="str">
            <v/>
          </cell>
          <cell r="AB358">
            <v>83</v>
          </cell>
          <cell r="AC358">
            <v>3</v>
          </cell>
          <cell r="AD358" t="str">
            <v>DOWNGRADE</v>
          </cell>
          <cell r="AE358" t="str">
            <v>RESET</v>
          </cell>
          <cell r="AF358">
            <v>0</v>
          </cell>
          <cell r="AG358">
            <v>2</v>
          </cell>
          <cell r="AH358" t="str">
            <v>SAPHIRE</v>
          </cell>
          <cell r="AI358">
            <v>0</v>
          </cell>
          <cell r="AJ358" t="str">
            <v>FALSE</v>
          </cell>
          <cell r="AK358">
            <v>0</v>
          </cell>
          <cell r="AL358">
            <v>45261</v>
          </cell>
          <cell r="AM358">
            <v>45701</v>
          </cell>
          <cell r="AN358">
            <v>1</v>
          </cell>
          <cell r="AO358">
            <v>0</v>
          </cell>
          <cell r="AP358" t="str">
            <v>-</v>
          </cell>
          <cell r="AQ358" t="str">
            <v>-</v>
          </cell>
          <cell r="AR358" t="str">
            <v>-</v>
          </cell>
          <cell r="AS358" t="str">
            <v>-</v>
          </cell>
          <cell r="AT358" t="str">
            <v>-</v>
          </cell>
          <cell r="AU358" t="str">
            <v>-</v>
          </cell>
          <cell r="AV358" t="str">
            <v/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 t="str">
            <v/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 t="str">
            <v/>
          </cell>
          <cell r="BN358">
            <v>0</v>
          </cell>
          <cell r="BO358" t="str">
            <v/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 t="str">
            <v/>
          </cell>
          <cell r="BV358">
            <v>0</v>
          </cell>
          <cell r="BW358">
            <v>7</v>
          </cell>
          <cell r="BX358" t="str">
            <v>DOWNGRADE</v>
          </cell>
          <cell r="BY358" t="str">
            <v>RESET</v>
          </cell>
        </row>
        <row r="359">
          <cell r="A359" t="str">
            <v>A3597</v>
          </cell>
          <cell r="B359" t="str">
            <v>Windi Ayuni Sijabat</v>
          </cell>
          <cell r="C359" t="str">
            <v>DELTA</v>
          </cell>
          <cell r="D359">
            <v>45307</v>
          </cell>
          <cell r="E359" t="str">
            <v>Jan-24</v>
          </cell>
          <cell r="F359" t="str">
            <v>-</v>
          </cell>
          <cell r="G359" t="str">
            <v>REGULER</v>
          </cell>
          <cell r="H359" t="str">
            <v>REGULER</v>
          </cell>
          <cell r="I359" t="str">
            <v>REGULER</v>
          </cell>
          <cell r="J359" t="str">
            <v>REGULER</v>
          </cell>
          <cell r="K359" t="str">
            <v>REGULER</v>
          </cell>
          <cell r="L359" t="str">
            <v>REGULER</v>
          </cell>
          <cell r="M359">
            <v>0</v>
          </cell>
          <cell r="N359">
            <v>17</v>
          </cell>
          <cell r="O359">
            <v>38</v>
          </cell>
          <cell r="P359">
            <v>33</v>
          </cell>
          <cell r="Q359">
            <v>38</v>
          </cell>
          <cell r="R359">
            <v>43</v>
          </cell>
          <cell r="S359">
            <v>17</v>
          </cell>
          <cell r="T359">
            <v>186</v>
          </cell>
          <cell r="U359">
            <v>0</v>
          </cell>
          <cell r="V359">
            <v>17</v>
          </cell>
          <cell r="W359">
            <v>38</v>
          </cell>
          <cell r="X359">
            <v>33</v>
          </cell>
          <cell r="Y359">
            <v>38</v>
          </cell>
          <cell r="Z359">
            <v>43</v>
          </cell>
          <cell r="AA359">
            <v>17</v>
          </cell>
          <cell r="AB359">
            <v>186</v>
          </cell>
          <cell r="AC359">
            <v>0</v>
          </cell>
          <cell r="AD359" t="str">
            <v>TIDAK</v>
          </cell>
          <cell r="AE359" t="str">
            <v>TIDAK</v>
          </cell>
          <cell r="AF359">
            <v>186</v>
          </cell>
          <cell r="AG359">
            <v>2</v>
          </cell>
          <cell r="AH359" t="str">
            <v>SAPHIRE</v>
          </cell>
          <cell r="AI359">
            <v>0</v>
          </cell>
          <cell r="AJ359" t="str">
            <v>Y</v>
          </cell>
          <cell r="AK359">
            <v>0</v>
          </cell>
          <cell r="AL359">
            <v>45261</v>
          </cell>
          <cell r="AM359">
            <v>45701</v>
          </cell>
          <cell r="AN359">
            <v>1</v>
          </cell>
          <cell r="AO359">
            <v>186</v>
          </cell>
          <cell r="AP359" t="str">
            <v>-</v>
          </cell>
          <cell r="AQ359" t="str">
            <v>-</v>
          </cell>
          <cell r="AR359" t="str">
            <v>REGULER</v>
          </cell>
          <cell r="AS359" t="str">
            <v>REGULER</v>
          </cell>
          <cell r="AT359" t="str">
            <v>EKSKLUSIF</v>
          </cell>
          <cell r="AU359" t="str">
            <v>EKSKLUSIF</v>
          </cell>
          <cell r="AV359" t="str">
            <v/>
          </cell>
          <cell r="AW359">
            <v>37</v>
          </cell>
          <cell r="AX359">
            <v>36</v>
          </cell>
          <cell r="AY359">
            <v>34</v>
          </cell>
          <cell r="AZ359">
            <v>48</v>
          </cell>
          <cell r="BA359">
            <v>44</v>
          </cell>
          <cell r="BB359">
            <v>37</v>
          </cell>
          <cell r="BC359">
            <v>36</v>
          </cell>
          <cell r="BD359">
            <v>34</v>
          </cell>
          <cell r="BE359">
            <v>48</v>
          </cell>
          <cell r="BF359">
            <v>44</v>
          </cell>
          <cell r="BG359">
            <v>15</v>
          </cell>
          <cell r="BH359">
            <v>37</v>
          </cell>
          <cell r="BI359">
            <v>36</v>
          </cell>
          <cell r="BJ359">
            <v>34</v>
          </cell>
          <cell r="BK359">
            <v>48</v>
          </cell>
          <cell r="BL359">
            <v>44</v>
          </cell>
          <cell r="BM359">
            <v>21</v>
          </cell>
          <cell r="BN359">
            <v>235</v>
          </cell>
          <cell r="BO359">
            <v>15</v>
          </cell>
          <cell r="BP359">
            <v>37</v>
          </cell>
          <cell r="BQ359">
            <v>36</v>
          </cell>
          <cell r="BR359">
            <v>34</v>
          </cell>
          <cell r="BS359">
            <v>0</v>
          </cell>
          <cell r="BT359">
            <v>0</v>
          </cell>
          <cell r="BU359">
            <v>21</v>
          </cell>
          <cell r="BV359">
            <v>143</v>
          </cell>
          <cell r="BW359">
            <v>0</v>
          </cell>
          <cell r="BX359" t="str">
            <v>TIDAK</v>
          </cell>
          <cell r="BY359" t="str">
            <v>TIDAK</v>
          </cell>
        </row>
        <row r="360">
          <cell r="A360" t="str">
            <v>A0378</v>
          </cell>
          <cell r="B360" t="str">
            <v>Wiranti Putri</v>
          </cell>
          <cell r="C360" t="str">
            <v>DELTA</v>
          </cell>
          <cell r="D360">
            <v>44853</v>
          </cell>
          <cell r="E360" t="str">
            <v>Oct-22</v>
          </cell>
          <cell r="F360" t="str">
            <v>EKSKLUSIF</v>
          </cell>
          <cell r="G360" t="str">
            <v>EKSKLUSIF</v>
          </cell>
          <cell r="H360" t="str">
            <v>EKSKLUSIF</v>
          </cell>
          <cell r="I360" t="str">
            <v>EKSKLUSIF</v>
          </cell>
          <cell r="J360" t="str">
            <v>EKSKLUSIF</v>
          </cell>
          <cell r="K360" t="str">
            <v>EKSKLUSIF</v>
          </cell>
          <cell r="L360" t="str">
            <v>EKSKLUSIF</v>
          </cell>
          <cell r="M360">
            <v>20</v>
          </cell>
          <cell r="N360">
            <v>46</v>
          </cell>
          <cell r="O360">
            <v>39</v>
          </cell>
          <cell r="P360">
            <v>39</v>
          </cell>
          <cell r="Q360">
            <v>37</v>
          </cell>
          <cell r="R360">
            <v>43</v>
          </cell>
          <cell r="S360">
            <v>22</v>
          </cell>
          <cell r="T360">
            <v>246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 t="str">
            <v>TIDAK</v>
          </cell>
          <cell r="AE360" t="str">
            <v>TIDAK</v>
          </cell>
          <cell r="AF360">
            <v>0</v>
          </cell>
          <cell r="AG360">
            <v>2</v>
          </cell>
          <cell r="AH360" t="str">
            <v>SAPHIRE</v>
          </cell>
          <cell r="AI360">
            <v>0</v>
          </cell>
          <cell r="AJ360" t="str">
            <v>FALSE</v>
          </cell>
          <cell r="AK360">
            <v>0</v>
          </cell>
          <cell r="AL360">
            <v>45261</v>
          </cell>
          <cell r="AM360">
            <v>45701</v>
          </cell>
          <cell r="AN360">
            <v>1</v>
          </cell>
          <cell r="AO360">
            <v>0</v>
          </cell>
          <cell r="AP360" t="str">
            <v>EKSKLUSIF</v>
          </cell>
          <cell r="AQ360" t="str">
            <v>-</v>
          </cell>
          <cell r="AR360" t="str">
            <v>EKSKLUSIF</v>
          </cell>
          <cell r="AS360" t="str">
            <v>EKSKLUSIF</v>
          </cell>
          <cell r="AT360" t="str">
            <v>EKSKLUSIF</v>
          </cell>
          <cell r="AU360" t="str">
            <v>EKSKLUSIF</v>
          </cell>
          <cell r="AV360" t="str">
            <v/>
          </cell>
          <cell r="AW360">
            <v>50</v>
          </cell>
          <cell r="AX360">
            <v>47</v>
          </cell>
          <cell r="AY360">
            <v>44</v>
          </cell>
          <cell r="AZ360">
            <v>50</v>
          </cell>
          <cell r="BA360">
            <v>44</v>
          </cell>
          <cell r="BB360">
            <v>50</v>
          </cell>
          <cell r="BC360">
            <v>47</v>
          </cell>
          <cell r="BD360">
            <v>44</v>
          </cell>
          <cell r="BE360">
            <v>50</v>
          </cell>
          <cell r="BF360">
            <v>44</v>
          </cell>
          <cell r="BG360">
            <v>18</v>
          </cell>
          <cell r="BH360">
            <v>50</v>
          </cell>
          <cell r="BI360">
            <v>47</v>
          </cell>
          <cell r="BJ360">
            <v>44</v>
          </cell>
          <cell r="BK360">
            <v>50</v>
          </cell>
          <cell r="BL360">
            <v>44</v>
          </cell>
          <cell r="BM360">
            <v>22</v>
          </cell>
          <cell r="BN360">
            <v>275</v>
          </cell>
          <cell r="BO360">
            <v>0</v>
          </cell>
          <cell r="BP360">
            <v>50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22</v>
          </cell>
          <cell r="BV360">
            <v>72</v>
          </cell>
          <cell r="BW360">
            <v>0</v>
          </cell>
          <cell r="BX360" t="str">
            <v>TIDAK</v>
          </cell>
          <cell r="BY360" t="str">
            <v>TIDAK</v>
          </cell>
        </row>
        <row r="361">
          <cell r="A361" t="str">
            <v>A3938</v>
          </cell>
          <cell r="B361" t="str">
            <v>Wiwik Cahyani</v>
          </cell>
          <cell r="C361" t="str">
            <v>DELTA</v>
          </cell>
          <cell r="D361">
            <v>45407</v>
          </cell>
          <cell r="E361" t="str">
            <v>Apr-24</v>
          </cell>
          <cell r="F361" t="str">
            <v>-</v>
          </cell>
          <cell r="G361" t="str">
            <v>-</v>
          </cell>
          <cell r="H361" t="str">
            <v>-</v>
          </cell>
          <cell r="I361" t="str">
            <v>-</v>
          </cell>
          <cell r="J361" t="str">
            <v>REGULER</v>
          </cell>
          <cell r="K361" t="str">
            <v>REGULER</v>
          </cell>
          <cell r="L361" t="str">
            <v>REGULER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2</v>
          </cell>
          <cell r="R361">
            <v>8</v>
          </cell>
          <cell r="S361">
            <v>2</v>
          </cell>
          <cell r="T361">
            <v>12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2</v>
          </cell>
          <cell r="Z361">
            <v>8</v>
          </cell>
          <cell r="AA361">
            <v>2</v>
          </cell>
          <cell r="AB361">
            <v>12</v>
          </cell>
          <cell r="AC361">
            <v>0</v>
          </cell>
          <cell r="AD361" t="str">
            <v>TIDAK</v>
          </cell>
          <cell r="AE361" t="str">
            <v>TIDAK</v>
          </cell>
          <cell r="AF361">
            <v>12</v>
          </cell>
          <cell r="AG361">
            <v>0</v>
          </cell>
          <cell r="AH361" t="str">
            <v>SAPHIRE</v>
          </cell>
          <cell r="AI361">
            <v>0</v>
          </cell>
          <cell r="AJ361" t="str">
            <v>FALSE</v>
          </cell>
          <cell r="AK361">
            <v>0</v>
          </cell>
          <cell r="AL361">
            <v>45261</v>
          </cell>
          <cell r="AM361">
            <v>45701</v>
          </cell>
          <cell r="AN361">
            <v>1</v>
          </cell>
          <cell r="AO361">
            <v>12</v>
          </cell>
          <cell r="AP361" t="str">
            <v>-</v>
          </cell>
          <cell r="AQ361" t="str">
            <v>-</v>
          </cell>
          <cell r="AR361" t="str">
            <v>REGULER</v>
          </cell>
          <cell r="AS361" t="str">
            <v>REGULER</v>
          </cell>
          <cell r="AT361" t="str">
            <v>REGULER</v>
          </cell>
          <cell r="AU361" t="str">
            <v>REGULER</v>
          </cell>
          <cell r="AV361" t="str">
            <v/>
          </cell>
          <cell r="AW361">
            <v>47</v>
          </cell>
          <cell r="AX361">
            <v>38</v>
          </cell>
          <cell r="AY361">
            <v>8</v>
          </cell>
          <cell r="AZ361">
            <v>4</v>
          </cell>
          <cell r="BA361">
            <v>10</v>
          </cell>
          <cell r="BB361">
            <v>47</v>
          </cell>
          <cell r="BC361">
            <v>38</v>
          </cell>
          <cell r="BD361">
            <v>8</v>
          </cell>
          <cell r="BE361">
            <v>4</v>
          </cell>
          <cell r="BF361">
            <v>10</v>
          </cell>
          <cell r="BG361">
            <v>8</v>
          </cell>
          <cell r="BH361">
            <v>47</v>
          </cell>
          <cell r="BI361">
            <v>38</v>
          </cell>
          <cell r="BJ361">
            <v>8</v>
          </cell>
          <cell r="BK361">
            <v>4</v>
          </cell>
          <cell r="BL361">
            <v>10</v>
          </cell>
          <cell r="BM361" t="str">
            <v/>
          </cell>
          <cell r="BN361">
            <v>115</v>
          </cell>
          <cell r="BO361">
            <v>8</v>
          </cell>
          <cell r="BP361">
            <v>47</v>
          </cell>
          <cell r="BQ361">
            <v>38</v>
          </cell>
          <cell r="BR361">
            <v>8</v>
          </cell>
          <cell r="BS361">
            <v>4</v>
          </cell>
          <cell r="BT361">
            <v>10</v>
          </cell>
          <cell r="BU361" t="str">
            <v/>
          </cell>
          <cell r="BV361">
            <v>115</v>
          </cell>
          <cell r="BW361">
            <v>1</v>
          </cell>
          <cell r="BX361" t="str">
            <v>TIDAK</v>
          </cell>
          <cell r="BY361" t="str">
            <v>TIDAK</v>
          </cell>
        </row>
        <row r="362">
          <cell r="A362" t="str">
            <v>A0327</v>
          </cell>
          <cell r="B362" t="str">
            <v>Wiwik Noryanti</v>
          </cell>
          <cell r="C362" t="str">
            <v>DELTA</v>
          </cell>
          <cell r="D362">
            <v>44859</v>
          </cell>
          <cell r="E362" t="str">
            <v>Oct-22</v>
          </cell>
          <cell r="F362" t="str">
            <v>REGULER</v>
          </cell>
          <cell r="G362" t="str">
            <v>REGULER</v>
          </cell>
          <cell r="H362" t="str">
            <v>REGULER</v>
          </cell>
          <cell r="I362" t="str">
            <v>REGULER</v>
          </cell>
          <cell r="J362" t="str">
            <v>REGULER</v>
          </cell>
          <cell r="K362" t="str">
            <v>-</v>
          </cell>
          <cell r="L362" t="str">
            <v>REGULER</v>
          </cell>
          <cell r="M362">
            <v>23</v>
          </cell>
          <cell r="N362">
            <v>26</v>
          </cell>
          <cell r="O362">
            <v>38</v>
          </cell>
          <cell r="P362">
            <v>34</v>
          </cell>
          <cell r="Q362">
            <v>7</v>
          </cell>
          <cell r="R362">
            <v>0</v>
          </cell>
          <cell r="S362">
            <v>2</v>
          </cell>
          <cell r="T362">
            <v>130</v>
          </cell>
          <cell r="U362">
            <v>23</v>
          </cell>
          <cell r="V362">
            <v>26</v>
          </cell>
          <cell r="W362">
            <v>38</v>
          </cell>
          <cell r="X362">
            <v>34</v>
          </cell>
          <cell r="Y362">
            <v>7</v>
          </cell>
          <cell r="Z362">
            <v>0</v>
          </cell>
          <cell r="AA362">
            <v>2</v>
          </cell>
          <cell r="AB362">
            <v>130</v>
          </cell>
          <cell r="AC362">
            <v>1</v>
          </cell>
          <cell r="AD362" t="str">
            <v>TIDAK</v>
          </cell>
          <cell r="AE362" t="str">
            <v>TIDAK</v>
          </cell>
          <cell r="AF362">
            <v>130</v>
          </cell>
          <cell r="AG362">
            <v>2</v>
          </cell>
          <cell r="AH362" t="str">
            <v>SAPHIRE</v>
          </cell>
          <cell r="AI362">
            <v>0</v>
          </cell>
          <cell r="AJ362" t="str">
            <v>Y</v>
          </cell>
          <cell r="AK362">
            <v>0</v>
          </cell>
          <cell r="AL362">
            <v>45261</v>
          </cell>
          <cell r="AM362">
            <v>45701</v>
          </cell>
          <cell r="AN362">
            <v>1</v>
          </cell>
          <cell r="AO362">
            <v>130</v>
          </cell>
          <cell r="AP362" t="str">
            <v>-</v>
          </cell>
          <cell r="AQ362" t="str">
            <v>-</v>
          </cell>
          <cell r="AR362" t="str">
            <v>REGULER</v>
          </cell>
          <cell r="AS362" t="str">
            <v>REGULER</v>
          </cell>
          <cell r="AT362" t="str">
            <v>REGULER</v>
          </cell>
          <cell r="AU362" t="str">
            <v>REGULER</v>
          </cell>
          <cell r="AV362" t="str">
            <v/>
          </cell>
          <cell r="AW362">
            <v>39</v>
          </cell>
          <cell r="AX362">
            <v>38</v>
          </cell>
          <cell r="AY362">
            <v>38</v>
          </cell>
          <cell r="AZ362">
            <v>50</v>
          </cell>
          <cell r="BA362">
            <v>41</v>
          </cell>
          <cell r="BB362">
            <v>39</v>
          </cell>
          <cell r="BC362">
            <v>38</v>
          </cell>
          <cell r="BD362">
            <v>38</v>
          </cell>
          <cell r="BE362">
            <v>50</v>
          </cell>
          <cell r="BF362">
            <v>41</v>
          </cell>
          <cell r="BG362">
            <v>15</v>
          </cell>
          <cell r="BH362">
            <v>39</v>
          </cell>
          <cell r="BI362">
            <v>38</v>
          </cell>
          <cell r="BJ362">
            <v>38</v>
          </cell>
          <cell r="BK362">
            <v>50</v>
          </cell>
          <cell r="BL362">
            <v>41</v>
          </cell>
          <cell r="BM362">
            <v>19</v>
          </cell>
          <cell r="BN362">
            <v>240</v>
          </cell>
          <cell r="BO362">
            <v>15</v>
          </cell>
          <cell r="BP362">
            <v>39</v>
          </cell>
          <cell r="BQ362">
            <v>38</v>
          </cell>
          <cell r="BR362">
            <v>38</v>
          </cell>
          <cell r="BS362">
            <v>50</v>
          </cell>
          <cell r="BT362">
            <v>41</v>
          </cell>
          <cell r="BU362">
            <v>19</v>
          </cell>
          <cell r="BV362">
            <v>240</v>
          </cell>
          <cell r="BW362">
            <v>0</v>
          </cell>
          <cell r="BX362" t="str">
            <v>TIDAK</v>
          </cell>
          <cell r="BY362" t="str">
            <v>TIDAK</v>
          </cell>
        </row>
        <row r="363">
          <cell r="A363" t="str">
            <v>A0412</v>
          </cell>
          <cell r="B363" t="str">
            <v>Yoga Meiza</v>
          </cell>
          <cell r="C363" t="str">
            <v>DELTA</v>
          </cell>
          <cell r="D363">
            <v>44861</v>
          </cell>
          <cell r="E363" t="str">
            <v>Oct-22</v>
          </cell>
          <cell r="F363" t="str">
            <v>EKSKLUSIF</v>
          </cell>
          <cell r="G363" t="str">
            <v>EKSKLUSIF</v>
          </cell>
          <cell r="H363" t="str">
            <v>REGULER</v>
          </cell>
          <cell r="I363" t="str">
            <v>REGULER</v>
          </cell>
          <cell r="J363" t="str">
            <v>REGULER</v>
          </cell>
          <cell r="K363" t="str">
            <v>REGULER</v>
          </cell>
          <cell r="L363" t="str">
            <v>REGULER</v>
          </cell>
          <cell r="M363">
            <v>22</v>
          </cell>
          <cell r="N363">
            <v>48</v>
          </cell>
          <cell r="O363">
            <v>22</v>
          </cell>
          <cell r="P363">
            <v>37</v>
          </cell>
          <cell r="Q363">
            <v>7</v>
          </cell>
          <cell r="R363">
            <v>7</v>
          </cell>
          <cell r="S363">
            <v>2</v>
          </cell>
          <cell r="T363">
            <v>145</v>
          </cell>
          <cell r="U363">
            <v>0</v>
          </cell>
          <cell r="V363">
            <v>0</v>
          </cell>
          <cell r="W363">
            <v>22</v>
          </cell>
          <cell r="X363">
            <v>37</v>
          </cell>
          <cell r="Y363">
            <v>7</v>
          </cell>
          <cell r="Z363">
            <v>7</v>
          </cell>
          <cell r="AA363">
            <v>2</v>
          </cell>
          <cell r="AB363">
            <v>75</v>
          </cell>
          <cell r="AC363">
            <v>0</v>
          </cell>
          <cell r="AD363" t="str">
            <v>TIDAK</v>
          </cell>
          <cell r="AE363" t="str">
            <v>TIDAK</v>
          </cell>
          <cell r="AF363">
            <v>75</v>
          </cell>
          <cell r="AG363">
            <v>3</v>
          </cell>
          <cell r="AH363" t="str">
            <v>SAPHIRE</v>
          </cell>
          <cell r="AI363">
            <v>0</v>
          </cell>
          <cell r="AJ363" t="str">
            <v>Y</v>
          </cell>
          <cell r="AK363">
            <v>0</v>
          </cell>
          <cell r="AL363">
            <v>45261</v>
          </cell>
          <cell r="AM363">
            <v>45701</v>
          </cell>
          <cell r="AN363">
            <v>1</v>
          </cell>
          <cell r="AO363">
            <v>75</v>
          </cell>
          <cell r="AP363" t="str">
            <v>-</v>
          </cell>
          <cell r="AQ363" t="str">
            <v>-</v>
          </cell>
          <cell r="AR363" t="str">
            <v>REGULER</v>
          </cell>
          <cell r="AS363" t="str">
            <v>REGULER</v>
          </cell>
          <cell r="AT363" t="str">
            <v>-</v>
          </cell>
          <cell r="AU363" t="str">
            <v>-</v>
          </cell>
          <cell r="AV363" t="str">
            <v/>
          </cell>
          <cell r="AW363">
            <v>13</v>
          </cell>
          <cell r="AX363">
            <v>5</v>
          </cell>
          <cell r="AY363">
            <v>4</v>
          </cell>
          <cell r="AZ363">
            <v>0</v>
          </cell>
          <cell r="BA363">
            <v>0</v>
          </cell>
          <cell r="BB363">
            <v>13</v>
          </cell>
          <cell r="BC363">
            <v>5</v>
          </cell>
          <cell r="BD363">
            <v>4</v>
          </cell>
          <cell r="BE363">
            <v>0</v>
          </cell>
          <cell r="BF363">
            <v>0</v>
          </cell>
          <cell r="BG363">
            <v>10</v>
          </cell>
          <cell r="BH363">
            <v>13</v>
          </cell>
          <cell r="BI363">
            <v>5</v>
          </cell>
          <cell r="BJ363">
            <v>4</v>
          </cell>
          <cell r="BK363">
            <v>0</v>
          </cell>
          <cell r="BL363">
            <v>0</v>
          </cell>
          <cell r="BM363" t="str">
            <v/>
          </cell>
          <cell r="BN363">
            <v>32</v>
          </cell>
          <cell r="BO363">
            <v>10</v>
          </cell>
          <cell r="BP363">
            <v>13</v>
          </cell>
          <cell r="BQ363">
            <v>5</v>
          </cell>
          <cell r="BR363">
            <v>4</v>
          </cell>
          <cell r="BS363">
            <v>0</v>
          </cell>
          <cell r="BT363">
            <v>0</v>
          </cell>
          <cell r="BU363" t="str">
            <v/>
          </cell>
          <cell r="BV363">
            <v>32</v>
          </cell>
          <cell r="BW363">
            <v>3</v>
          </cell>
          <cell r="BX363" t="str">
            <v>DOWNGRADE</v>
          </cell>
          <cell r="BY363" t="str">
            <v>RESET</v>
          </cell>
        </row>
        <row r="364">
          <cell r="A364" t="str">
            <v>A3872</v>
          </cell>
          <cell r="B364" t="str">
            <v>Yohanes Mario Irvan</v>
          </cell>
          <cell r="C364" t="str">
            <v>DELTA</v>
          </cell>
          <cell r="D364">
            <v>45384</v>
          </cell>
          <cell r="E364" t="str">
            <v>Apr-24</v>
          </cell>
          <cell r="F364" t="str">
            <v>-</v>
          </cell>
          <cell r="G364" t="str">
            <v>-</v>
          </cell>
          <cell r="H364" t="str">
            <v>-</v>
          </cell>
          <cell r="I364" t="str">
            <v>REGULER</v>
          </cell>
          <cell r="J364" t="str">
            <v>REGULER</v>
          </cell>
          <cell r="K364" t="str">
            <v>REGULER</v>
          </cell>
          <cell r="L364" t="str">
            <v>REGULER</v>
          </cell>
          <cell r="M364">
            <v>0</v>
          </cell>
          <cell r="N364">
            <v>0</v>
          </cell>
          <cell r="O364">
            <v>0</v>
          </cell>
          <cell r="P364">
            <v>4</v>
          </cell>
          <cell r="Q364">
            <v>10</v>
          </cell>
          <cell r="R364">
            <v>3</v>
          </cell>
          <cell r="S364">
            <v>1</v>
          </cell>
          <cell r="T364">
            <v>18</v>
          </cell>
          <cell r="U364">
            <v>0</v>
          </cell>
          <cell r="V364">
            <v>0</v>
          </cell>
          <cell r="W364">
            <v>0</v>
          </cell>
          <cell r="X364">
            <v>4</v>
          </cell>
          <cell r="Y364">
            <v>10</v>
          </cell>
          <cell r="Z364">
            <v>3</v>
          </cell>
          <cell r="AA364">
            <v>1</v>
          </cell>
          <cell r="AB364">
            <v>18</v>
          </cell>
          <cell r="AC364">
            <v>0</v>
          </cell>
          <cell r="AD364" t="str">
            <v>TIDAK</v>
          </cell>
          <cell r="AE364" t="str">
            <v>TIDAK</v>
          </cell>
          <cell r="AF364">
            <v>18</v>
          </cell>
          <cell r="AG364">
            <v>2</v>
          </cell>
          <cell r="AH364" t="str">
            <v>SAPHIRE</v>
          </cell>
          <cell r="AI364">
            <v>0</v>
          </cell>
          <cell r="AJ364" t="str">
            <v>FALSE</v>
          </cell>
          <cell r="AK364">
            <v>0</v>
          </cell>
          <cell r="AL364">
            <v>45261</v>
          </cell>
          <cell r="AM364">
            <v>45701</v>
          </cell>
          <cell r="AN364">
            <v>1</v>
          </cell>
          <cell r="AO364">
            <v>18</v>
          </cell>
          <cell r="AP364" t="str">
            <v>-</v>
          </cell>
          <cell r="AQ364" t="str">
            <v>-</v>
          </cell>
          <cell r="AR364" t="str">
            <v>-</v>
          </cell>
          <cell r="AS364" t="str">
            <v>-</v>
          </cell>
          <cell r="AT364" t="str">
            <v>-</v>
          </cell>
          <cell r="AU364" t="str">
            <v>-</v>
          </cell>
          <cell r="AV364" t="str">
            <v/>
          </cell>
          <cell r="AW364">
            <v>3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3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 t="str">
            <v/>
          </cell>
          <cell r="BH364">
            <v>3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 t="str">
            <v/>
          </cell>
          <cell r="BN364">
            <v>3</v>
          </cell>
          <cell r="BO364" t="str">
            <v/>
          </cell>
          <cell r="BP364">
            <v>3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 t="str">
            <v/>
          </cell>
          <cell r="BV364">
            <v>3</v>
          </cell>
          <cell r="BW364">
            <v>6</v>
          </cell>
          <cell r="BX364" t="str">
            <v>DOWNGRADE</v>
          </cell>
          <cell r="BY364" t="str">
            <v>RESET</v>
          </cell>
        </row>
        <row r="365">
          <cell r="A365" t="str">
            <v>A0817</v>
          </cell>
          <cell r="B365" t="str">
            <v>Yola Valenia</v>
          </cell>
          <cell r="C365" t="str">
            <v>DELTA</v>
          </cell>
          <cell r="D365">
            <v>44919</v>
          </cell>
          <cell r="E365" t="str">
            <v>Dec-22</v>
          </cell>
          <cell r="F365" t="str">
            <v>EKSKLUSIF</v>
          </cell>
          <cell r="G365" t="str">
            <v>EKSKLUSIF</v>
          </cell>
          <cell r="H365" t="str">
            <v>EKSKLUSIF</v>
          </cell>
          <cell r="I365" t="str">
            <v>EKSKLUSIF</v>
          </cell>
          <cell r="J365" t="str">
            <v>EKSKLUSIF</v>
          </cell>
          <cell r="K365" t="str">
            <v>EKSKLUSIF</v>
          </cell>
          <cell r="L365" t="str">
            <v>REGULER</v>
          </cell>
          <cell r="M365">
            <v>23</v>
          </cell>
          <cell r="N365">
            <v>44</v>
          </cell>
          <cell r="O365">
            <v>41</v>
          </cell>
          <cell r="P365">
            <v>39</v>
          </cell>
          <cell r="Q365">
            <v>37</v>
          </cell>
          <cell r="R365">
            <v>43</v>
          </cell>
          <cell r="S365">
            <v>3</v>
          </cell>
          <cell r="T365">
            <v>230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3</v>
          </cell>
          <cell r="AB365">
            <v>3</v>
          </cell>
          <cell r="AC365">
            <v>0</v>
          </cell>
          <cell r="AD365" t="str">
            <v>TIDAK</v>
          </cell>
          <cell r="AE365" t="str">
            <v>TIDAK</v>
          </cell>
          <cell r="AF365">
            <v>3</v>
          </cell>
          <cell r="AG365">
            <v>2</v>
          </cell>
          <cell r="AH365" t="str">
            <v>SAPHIRE</v>
          </cell>
          <cell r="AI365">
            <v>0</v>
          </cell>
          <cell r="AJ365" t="str">
            <v>FALSE</v>
          </cell>
          <cell r="AK365">
            <v>0</v>
          </cell>
          <cell r="AL365">
            <v>45261</v>
          </cell>
          <cell r="AM365">
            <v>45701</v>
          </cell>
          <cell r="AN365">
            <v>1</v>
          </cell>
          <cell r="AO365">
            <v>3</v>
          </cell>
          <cell r="AP365" t="str">
            <v>-</v>
          </cell>
          <cell r="AQ365" t="str">
            <v>-</v>
          </cell>
          <cell r="AR365" t="str">
            <v>EKSKLUSIF</v>
          </cell>
          <cell r="AS365" t="str">
            <v>EKSKLUSIF</v>
          </cell>
          <cell r="AT365" t="str">
            <v>EKSKLUSIF</v>
          </cell>
          <cell r="AU365" t="str">
            <v>EKSKLUSIF</v>
          </cell>
          <cell r="AV365" t="str">
            <v/>
          </cell>
          <cell r="AW365">
            <v>48</v>
          </cell>
          <cell r="AX365">
            <v>47</v>
          </cell>
          <cell r="AY365">
            <v>43</v>
          </cell>
          <cell r="AZ365">
            <v>46</v>
          </cell>
          <cell r="BA365">
            <v>43</v>
          </cell>
          <cell r="BB365">
            <v>48</v>
          </cell>
          <cell r="BC365">
            <v>47</v>
          </cell>
          <cell r="BD365">
            <v>43</v>
          </cell>
          <cell r="BE365">
            <v>46</v>
          </cell>
          <cell r="BF365">
            <v>43</v>
          </cell>
          <cell r="BG365">
            <v>8</v>
          </cell>
          <cell r="BH365">
            <v>48</v>
          </cell>
          <cell r="BI365">
            <v>47</v>
          </cell>
          <cell r="BJ365">
            <v>43</v>
          </cell>
          <cell r="BK365">
            <v>46</v>
          </cell>
          <cell r="BL365">
            <v>43</v>
          </cell>
          <cell r="BM365">
            <v>21</v>
          </cell>
          <cell r="BN365">
            <v>256</v>
          </cell>
          <cell r="BO365">
            <v>8</v>
          </cell>
          <cell r="BP365">
            <v>48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21</v>
          </cell>
          <cell r="BV365">
            <v>77</v>
          </cell>
          <cell r="BW365">
            <v>0</v>
          </cell>
          <cell r="BX365" t="str">
            <v>TIDAK</v>
          </cell>
          <cell r="BY365" t="str">
            <v>TIDAK</v>
          </cell>
        </row>
        <row r="366">
          <cell r="A366" t="str">
            <v>A1287</v>
          </cell>
          <cell r="B366" t="str">
            <v>Yolenta Wening</v>
          </cell>
          <cell r="C366" t="str">
            <v>DELTA</v>
          </cell>
          <cell r="D366">
            <v>44958</v>
          </cell>
          <cell r="E366" t="str">
            <v>Feb-23</v>
          </cell>
          <cell r="F366" t="str">
            <v>EKSKLUSIF</v>
          </cell>
          <cell r="G366" t="str">
            <v>EKSKLUSIF</v>
          </cell>
          <cell r="H366" t="str">
            <v>EKSKLUSIF</v>
          </cell>
          <cell r="I366" t="str">
            <v>-</v>
          </cell>
          <cell r="J366" t="str">
            <v>-</v>
          </cell>
          <cell r="K366" t="str">
            <v>-</v>
          </cell>
          <cell r="L366" t="str">
            <v>-</v>
          </cell>
          <cell r="M366">
            <v>22</v>
          </cell>
          <cell r="N366">
            <v>45</v>
          </cell>
          <cell r="O366">
            <v>40</v>
          </cell>
          <cell r="P366">
            <v>0</v>
          </cell>
          <cell r="Q366">
            <v>0</v>
          </cell>
          <cell r="R366">
            <v>0</v>
          </cell>
          <cell r="S366" t="str">
            <v/>
          </cell>
          <cell r="T366">
            <v>107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/>
          </cell>
          <cell r="AB366">
            <v>0</v>
          </cell>
          <cell r="AC366">
            <v>4</v>
          </cell>
          <cell r="AD366" t="str">
            <v>DOWNGRADE</v>
          </cell>
          <cell r="AE366" t="str">
            <v>RESET</v>
          </cell>
          <cell r="AF366">
            <v>0</v>
          </cell>
          <cell r="AG366">
            <v>2</v>
          </cell>
          <cell r="AH366" t="str">
            <v>SAPHIRE</v>
          </cell>
          <cell r="AI366">
            <v>0</v>
          </cell>
          <cell r="AJ366" t="str">
            <v>FALSE</v>
          </cell>
          <cell r="AK366">
            <v>0</v>
          </cell>
          <cell r="AL366">
            <v>45261</v>
          </cell>
          <cell r="AM366">
            <v>45701</v>
          </cell>
          <cell r="AN366">
            <v>1</v>
          </cell>
          <cell r="AO366">
            <v>0</v>
          </cell>
          <cell r="AP366" t="str">
            <v>-</v>
          </cell>
          <cell r="AQ366" t="str">
            <v>-</v>
          </cell>
          <cell r="AR366" t="str">
            <v>-</v>
          </cell>
          <cell r="AS366" t="str">
            <v>-</v>
          </cell>
          <cell r="AT366" t="str">
            <v>-</v>
          </cell>
          <cell r="AU366" t="str">
            <v>-</v>
          </cell>
          <cell r="AV366" t="str">
            <v/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 t="str">
            <v/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 t="str">
            <v/>
          </cell>
          <cell r="BN366">
            <v>0</v>
          </cell>
          <cell r="BO366" t="str">
            <v/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 t="str">
            <v/>
          </cell>
          <cell r="BV366">
            <v>0</v>
          </cell>
          <cell r="BW366">
            <v>7</v>
          </cell>
          <cell r="BX366" t="str">
            <v>DOWNGRADE</v>
          </cell>
          <cell r="BY366" t="str">
            <v>RESET</v>
          </cell>
        </row>
        <row r="367">
          <cell r="A367" t="str">
            <v>A0674</v>
          </cell>
          <cell r="B367" t="str">
            <v>Yuli Ambarwati</v>
          </cell>
          <cell r="C367" t="str">
            <v>DELTA</v>
          </cell>
          <cell r="D367">
            <v>44876</v>
          </cell>
          <cell r="E367" t="str">
            <v>Nov-22</v>
          </cell>
          <cell r="F367" t="str">
            <v>EKSKLUSIF</v>
          </cell>
          <cell r="G367" t="str">
            <v>EKSKLUSIF</v>
          </cell>
          <cell r="H367" t="str">
            <v>EKSKLUSIF</v>
          </cell>
          <cell r="I367" t="str">
            <v>REGULER</v>
          </cell>
          <cell r="J367" t="str">
            <v>-</v>
          </cell>
          <cell r="K367" t="str">
            <v>-</v>
          </cell>
          <cell r="L367" t="str">
            <v>-</v>
          </cell>
          <cell r="M367">
            <v>20</v>
          </cell>
          <cell r="N367">
            <v>44</v>
          </cell>
          <cell r="O367">
            <v>42</v>
          </cell>
          <cell r="P367">
            <v>27</v>
          </cell>
          <cell r="Q367">
            <v>0</v>
          </cell>
          <cell r="R367">
            <v>0</v>
          </cell>
          <cell r="S367" t="str">
            <v/>
          </cell>
          <cell r="T367">
            <v>133</v>
          </cell>
          <cell r="U367">
            <v>0</v>
          </cell>
          <cell r="V367">
            <v>0</v>
          </cell>
          <cell r="W367">
            <v>0</v>
          </cell>
          <cell r="X367">
            <v>27</v>
          </cell>
          <cell r="Y367">
            <v>0</v>
          </cell>
          <cell r="Z367">
            <v>0</v>
          </cell>
          <cell r="AA367" t="str">
            <v/>
          </cell>
          <cell r="AB367">
            <v>27</v>
          </cell>
          <cell r="AC367">
            <v>3</v>
          </cell>
          <cell r="AD367" t="str">
            <v>DOWNGRADE</v>
          </cell>
          <cell r="AE367" t="str">
            <v>RESET</v>
          </cell>
          <cell r="AF367">
            <v>0</v>
          </cell>
          <cell r="AG367">
            <v>2</v>
          </cell>
          <cell r="AH367" t="str">
            <v>SAPHIRE</v>
          </cell>
          <cell r="AI367">
            <v>0</v>
          </cell>
          <cell r="AJ367" t="str">
            <v>FALSE</v>
          </cell>
          <cell r="AK367">
            <v>0</v>
          </cell>
          <cell r="AL367">
            <v>45261</v>
          </cell>
          <cell r="AM367">
            <v>45701</v>
          </cell>
          <cell r="AN367">
            <v>1</v>
          </cell>
          <cell r="AO367">
            <v>0</v>
          </cell>
          <cell r="AP367" t="str">
            <v>-</v>
          </cell>
          <cell r="AQ367" t="str">
            <v>-</v>
          </cell>
          <cell r="AR367" t="str">
            <v>-</v>
          </cell>
          <cell r="AS367" t="str">
            <v>-</v>
          </cell>
          <cell r="AT367" t="str">
            <v>-</v>
          </cell>
          <cell r="AU367" t="str">
            <v>-</v>
          </cell>
          <cell r="AV367" t="str">
            <v/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 t="str">
            <v/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 t="str">
            <v/>
          </cell>
          <cell r="BN367">
            <v>0</v>
          </cell>
          <cell r="BO367" t="str">
            <v/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 t="str">
            <v/>
          </cell>
          <cell r="BV367">
            <v>0</v>
          </cell>
          <cell r="BW367">
            <v>7</v>
          </cell>
          <cell r="BX367" t="str">
            <v>DOWNGRADE</v>
          </cell>
          <cell r="BY367" t="str">
            <v>RESET</v>
          </cell>
        </row>
        <row r="368">
          <cell r="A368" t="str">
            <v>A0310</v>
          </cell>
          <cell r="B368" t="str">
            <v>Yuliana Aisiyah</v>
          </cell>
          <cell r="C368" t="str">
            <v>DELTA</v>
          </cell>
          <cell r="D368">
            <v>44841</v>
          </cell>
          <cell r="E368" t="str">
            <v>Oct-22</v>
          </cell>
          <cell r="F368" t="str">
            <v>REGULER</v>
          </cell>
          <cell r="G368" t="str">
            <v>REGULER</v>
          </cell>
          <cell r="H368" t="str">
            <v>REGULER</v>
          </cell>
          <cell r="I368" t="str">
            <v>REGULER</v>
          </cell>
          <cell r="J368" t="str">
            <v>REGULER</v>
          </cell>
          <cell r="K368" t="str">
            <v>REGULER</v>
          </cell>
          <cell r="L368" t="str">
            <v>-</v>
          </cell>
          <cell r="M368">
            <v>21</v>
          </cell>
          <cell r="N368">
            <v>13</v>
          </cell>
          <cell r="O368">
            <v>6</v>
          </cell>
          <cell r="P368">
            <v>30</v>
          </cell>
          <cell r="Q368">
            <v>5</v>
          </cell>
          <cell r="R368">
            <v>24</v>
          </cell>
          <cell r="S368" t="str">
            <v/>
          </cell>
          <cell r="T368">
            <v>99</v>
          </cell>
          <cell r="U368">
            <v>21</v>
          </cell>
          <cell r="V368">
            <v>13</v>
          </cell>
          <cell r="W368">
            <v>6</v>
          </cell>
          <cell r="X368">
            <v>30</v>
          </cell>
          <cell r="Y368">
            <v>5</v>
          </cell>
          <cell r="Z368">
            <v>24</v>
          </cell>
          <cell r="AA368" t="str">
            <v/>
          </cell>
          <cell r="AB368">
            <v>99</v>
          </cell>
          <cell r="AC368">
            <v>1</v>
          </cell>
          <cell r="AD368" t="str">
            <v>TIDAK</v>
          </cell>
          <cell r="AE368" t="str">
            <v>TIDAK</v>
          </cell>
          <cell r="AF368">
            <v>99</v>
          </cell>
          <cell r="AG368">
            <v>2</v>
          </cell>
          <cell r="AH368" t="str">
            <v>SAPHIRE</v>
          </cell>
          <cell r="AI368">
            <v>65</v>
          </cell>
          <cell r="AJ368" t="str">
            <v>Y</v>
          </cell>
          <cell r="AK368">
            <v>0</v>
          </cell>
          <cell r="AL368">
            <v>45261</v>
          </cell>
          <cell r="AM368">
            <v>45701</v>
          </cell>
          <cell r="AN368">
            <v>1</v>
          </cell>
          <cell r="AO368">
            <v>34</v>
          </cell>
          <cell r="AP368" t="str">
            <v>-</v>
          </cell>
          <cell r="AQ368" t="str">
            <v>-</v>
          </cell>
          <cell r="AR368" t="str">
            <v>-</v>
          </cell>
          <cell r="AS368" t="str">
            <v>-</v>
          </cell>
          <cell r="AT368" t="str">
            <v>-</v>
          </cell>
          <cell r="AU368" t="str">
            <v>-</v>
          </cell>
          <cell r="AV368" t="str">
            <v/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 t="str">
            <v/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 t="str">
            <v/>
          </cell>
          <cell r="BN368">
            <v>0</v>
          </cell>
          <cell r="BO368" t="str">
            <v/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 t="str">
            <v/>
          </cell>
          <cell r="BV368">
            <v>0</v>
          </cell>
          <cell r="BW368">
            <v>7</v>
          </cell>
          <cell r="BX368" t="str">
            <v>DOWNGRADE</v>
          </cell>
          <cell r="BY368" t="str">
            <v>RESET</v>
          </cell>
        </row>
        <row r="369">
          <cell r="A369">
            <v>92485</v>
          </cell>
          <cell r="B369" t="str">
            <v>Yulisa Eri Arvidayani</v>
          </cell>
          <cell r="C369" t="str">
            <v>DELTA</v>
          </cell>
          <cell r="D369">
            <v>44736</v>
          </cell>
          <cell r="E369" t="str">
            <v>Jun-22</v>
          </cell>
          <cell r="F369" t="str">
            <v>EKSKLUSIF</v>
          </cell>
          <cell r="G369" t="str">
            <v>REGULER</v>
          </cell>
          <cell r="H369" t="str">
            <v>REGULER</v>
          </cell>
          <cell r="I369" t="str">
            <v>REGULER</v>
          </cell>
          <cell r="J369" t="str">
            <v>REGULER</v>
          </cell>
          <cell r="K369" t="str">
            <v>REGULER</v>
          </cell>
          <cell r="L369" t="str">
            <v>REGULER</v>
          </cell>
          <cell r="M369">
            <v>16</v>
          </cell>
          <cell r="N369">
            <v>41</v>
          </cell>
          <cell r="O369">
            <v>36</v>
          </cell>
          <cell r="P369">
            <v>36</v>
          </cell>
          <cell r="Q369">
            <v>35</v>
          </cell>
          <cell r="R369">
            <v>34</v>
          </cell>
          <cell r="S369">
            <v>15</v>
          </cell>
          <cell r="T369">
            <v>213</v>
          </cell>
          <cell r="U369">
            <v>0</v>
          </cell>
          <cell r="V369">
            <v>41</v>
          </cell>
          <cell r="W369">
            <v>36</v>
          </cell>
          <cell r="X369">
            <v>36</v>
          </cell>
          <cell r="Y369">
            <v>35</v>
          </cell>
          <cell r="Z369">
            <v>34</v>
          </cell>
          <cell r="AA369">
            <v>15</v>
          </cell>
          <cell r="AB369">
            <v>197</v>
          </cell>
          <cell r="AC369">
            <v>0</v>
          </cell>
          <cell r="AD369" t="str">
            <v>TIDAK</v>
          </cell>
          <cell r="AE369" t="str">
            <v>TIDAK</v>
          </cell>
          <cell r="AF369">
            <v>197</v>
          </cell>
          <cell r="AG369">
            <v>2</v>
          </cell>
          <cell r="AH369" t="str">
            <v>SAPHIRE</v>
          </cell>
          <cell r="AI369">
            <v>0</v>
          </cell>
          <cell r="AJ369" t="str">
            <v>Y</v>
          </cell>
          <cell r="AK369">
            <v>0</v>
          </cell>
          <cell r="AL369">
            <v>45261</v>
          </cell>
          <cell r="AM369">
            <v>45701</v>
          </cell>
          <cell r="AN369">
            <v>1</v>
          </cell>
          <cell r="AO369">
            <v>197</v>
          </cell>
          <cell r="AP369" t="str">
            <v>-</v>
          </cell>
          <cell r="AQ369" t="str">
            <v>-</v>
          </cell>
          <cell r="AR369" t="str">
            <v>REGULER</v>
          </cell>
          <cell r="AS369" t="str">
            <v>REGULER</v>
          </cell>
          <cell r="AT369" t="str">
            <v>REGULER</v>
          </cell>
          <cell r="AU369" t="str">
            <v>REGULER</v>
          </cell>
          <cell r="AV369" t="str">
            <v/>
          </cell>
          <cell r="AW369">
            <v>32</v>
          </cell>
          <cell r="AX369">
            <v>31</v>
          </cell>
          <cell r="AY369">
            <v>30</v>
          </cell>
          <cell r="AZ369">
            <v>35</v>
          </cell>
          <cell r="BA369">
            <v>32</v>
          </cell>
          <cell r="BB369">
            <v>32</v>
          </cell>
          <cell r="BC369">
            <v>31</v>
          </cell>
          <cell r="BD369">
            <v>30</v>
          </cell>
          <cell r="BE369">
            <v>35</v>
          </cell>
          <cell r="BF369">
            <v>32</v>
          </cell>
          <cell r="BG369">
            <v>17</v>
          </cell>
          <cell r="BH369">
            <v>32</v>
          </cell>
          <cell r="BI369">
            <v>31</v>
          </cell>
          <cell r="BJ369">
            <v>30</v>
          </cell>
          <cell r="BK369">
            <v>35</v>
          </cell>
          <cell r="BL369">
            <v>32</v>
          </cell>
          <cell r="BM369">
            <v>15</v>
          </cell>
          <cell r="BN369">
            <v>192</v>
          </cell>
          <cell r="BO369">
            <v>17</v>
          </cell>
          <cell r="BP369">
            <v>32</v>
          </cell>
          <cell r="BQ369">
            <v>31</v>
          </cell>
          <cell r="BR369">
            <v>30</v>
          </cell>
          <cell r="BS369">
            <v>35</v>
          </cell>
          <cell r="BT369">
            <v>32</v>
          </cell>
          <cell r="BU369">
            <v>15</v>
          </cell>
          <cell r="BV369">
            <v>192</v>
          </cell>
          <cell r="BW369">
            <v>0</v>
          </cell>
          <cell r="BX369" t="str">
            <v>TIDAK</v>
          </cell>
          <cell r="BY369" t="str">
            <v>TIDAK</v>
          </cell>
        </row>
        <row r="370">
          <cell r="A370" t="str">
            <v>A3936</v>
          </cell>
          <cell r="B370" t="str">
            <v>YUSNIA AYUNI</v>
          </cell>
          <cell r="C370" t="str">
            <v>DELTA</v>
          </cell>
          <cell r="D370">
            <v>45414</v>
          </cell>
          <cell r="E370" t="str">
            <v>May-24</v>
          </cell>
          <cell r="F370" t="str">
            <v>-</v>
          </cell>
          <cell r="G370" t="str">
            <v>-</v>
          </cell>
          <cell r="H370" t="str">
            <v>-</v>
          </cell>
          <cell r="I370" t="str">
            <v>-</v>
          </cell>
          <cell r="J370" t="str">
            <v>-</v>
          </cell>
          <cell r="K370" t="str">
            <v>REGULER</v>
          </cell>
          <cell r="L370" t="str">
            <v>-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21</v>
          </cell>
          <cell r="S370" t="str">
            <v/>
          </cell>
          <cell r="T370">
            <v>21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21</v>
          </cell>
          <cell r="AA370" t="str">
            <v/>
          </cell>
          <cell r="AB370">
            <v>21</v>
          </cell>
          <cell r="AC370">
            <v>1</v>
          </cell>
          <cell r="AD370" t="str">
            <v>TIDAK</v>
          </cell>
          <cell r="AE370" t="str">
            <v>TIDAK</v>
          </cell>
          <cell r="AF370">
            <v>21</v>
          </cell>
          <cell r="AG370">
            <v>2</v>
          </cell>
          <cell r="AH370" t="str">
            <v>SAPHIRE</v>
          </cell>
          <cell r="AI370">
            <v>0</v>
          </cell>
          <cell r="AJ370" t="str">
            <v>FALSE</v>
          </cell>
          <cell r="AK370">
            <v>0</v>
          </cell>
          <cell r="AL370">
            <v>45261</v>
          </cell>
          <cell r="AM370">
            <v>45701</v>
          </cell>
          <cell r="AN370">
            <v>1</v>
          </cell>
          <cell r="AO370">
            <v>21</v>
          </cell>
          <cell r="AP370" t="str">
            <v>-</v>
          </cell>
          <cell r="AQ370" t="str">
            <v>-</v>
          </cell>
          <cell r="AR370" t="str">
            <v>-</v>
          </cell>
          <cell r="AS370" t="str">
            <v>-</v>
          </cell>
          <cell r="AT370" t="str">
            <v>-</v>
          </cell>
          <cell r="AU370" t="str">
            <v>-</v>
          </cell>
          <cell r="AV370" t="str">
            <v/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 t="str">
            <v/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 t="str">
            <v/>
          </cell>
          <cell r="BN370">
            <v>0</v>
          </cell>
          <cell r="BO370" t="str">
            <v/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 t="str">
            <v/>
          </cell>
          <cell r="BV370">
            <v>0</v>
          </cell>
          <cell r="BW370">
            <v>7</v>
          </cell>
          <cell r="BX370" t="str">
            <v>DOWNGRADE</v>
          </cell>
          <cell r="BY370" t="str">
            <v>RESET</v>
          </cell>
        </row>
        <row r="371">
          <cell r="A371" t="str">
            <v>A3899</v>
          </cell>
          <cell r="B371" t="str">
            <v>ZAHRA FATIHAH MIFTAHURRAHMAH</v>
          </cell>
          <cell r="C371" t="str">
            <v>DELTA</v>
          </cell>
          <cell r="D371">
            <v>45428</v>
          </cell>
          <cell r="E371" t="str">
            <v>May-24</v>
          </cell>
          <cell r="F371" t="str">
            <v>-</v>
          </cell>
          <cell r="G371" t="str">
            <v>-</v>
          </cell>
          <cell r="H371" t="str">
            <v>-</v>
          </cell>
          <cell r="I371" t="str">
            <v>-</v>
          </cell>
          <cell r="J371" t="str">
            <v>-</v>
          </cell>
          <cell r="K371" t="str">
            <v>REGULER</v>
          </cell>
          <cell r="L371" t="str">
            <v>REGULER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6</v>
          </cell>
          <cell r="S371">
            <v>6</v>
          </cell>
          <cell r="T371">
            <v>12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6</v>
          </cell>
          <cell r="AA371">
            <v>6</v>
          </cell>
          <cell r="AB371">
            <v>12</v>
          </cell>
          <cell r="AC371">
            <v>0</v>
          </cell>
          <cell r="AD371" t="str">
            <v>TIDAK</v>
          </cell>
          <cell r="AE371" t="str">
            <v>TIDAK</v>
          </cell>
          <cell r="AF371">
            <v>12</v>
          </cell>
          <cell r="AG371">
            <v>1</v>
          </cell>
          <cell r="AH371" t="str">
            <v>SAPHIRE</v>
          </cell>
          <cell r="AI371">
            <v>0</v>
          </cell>
          <cell r="AJ371" t="str">
            <v>FALSE</v>
          </cell>
          <cell r="AK371">
            <v>0</v>
          </cell>
          <cell r="AL371">
            <v>45261</v>
          </cell>
          <cell r="AM371">
            <v>45701</v>
          </cell>
          <cell r="AN371">
            <v>1</v>
          </cell>
          <cell r="AO371">
            <v>12</v>
          </cell>
          <cell r="AP371" t="str">
            <v>-</v>
          </cell>
          <cell r="AQ371" t="str">
            <v>-</v>
          </cell>
          <cell r="AR371" t="str">
            <v>REGULER</v>
          </cell>
          <cell r="AS371" t="str">
            <v>REGULER</v>
          </cell>
          <cell r="AT371" t="str">
            <v>REGULER</v>
          </cell>
          <cell r="AU371" t="str">
            <v>REGULER</v>
          </cell>
          <cell r="AV371" t="str">
            <v/>
          </cell>
          <cell r="AW371">
            <v>26</v>
          </cell>
          <cell r="AX371">
            <v>34</v>
          </cell>
          <cell r="AY371">
            <v>3</v>
          </cell>
          <cell r="AZ371">
            <v>27</v>
          </cell>
          <cell r="BA371">
            <v>35</v>
          </cell>
          <cell r="BB371">
            <v>26</v>
          </cell>
          <cell r="BC371">
            <v>34</v>
          </cell>
          <cell r="BD371">
            <v>3</v>
          </cell>
          <cell r="BE371">
            <v>27</v>
          </cell>
          <cell r="BF371">
            <v>35</v>
          </cell>
          <cell r="BG371">
            <v>9</v>
          </cell>
          <cell r="BH371">
            <v>26</v>
          </cell>
          <cell r="BI371">
            <v>34</v>
          </cell>
          <cell r="BJ371">
            <v>3</v>
          </cell>
          <cell r="BK371">
            <v>27</v>
          </cell>
          <cell r="BL371">
            <v>35</v>
          </cell>
          <cell r="BM371">
            <v>15</v>
          </cell>
          <cell r="BN371">
            <v>149</v>
          </cell>
          <cell r="BO371">
            <v>9</v>
          </cell>
          <cell r="BP371">
            <v>26</v>
          </cell>
          <cell r="BQ371">
            <v>34</v>
          </cell>
          <cell r="BR371">
            <v>3</v>
          </cell>
          <cell r="BS371">
            <v>27</v>
          </cell>
          <cell r="BT371">
            <v>35</v>
          </cell>
          <cell r="BU371">
            <v>15</v>
          </cell>
          <cell r="BV371">
            <v>149</v>
          </cell>
          <cell r="BW371">
            <v>0</v>
          </cell>
          <cell r="BX371" t="str">
            <v>TIDAK</v>
          </cell>
          <cell r="BY371" t="str">
            <v>TIDAK</v>
          </cell>
        </row>
        <row r="372">
          <cell r="A372" t="str">
            <v>A2940</v>
          </cell>
          <cell r="B372" t="str">
            <v>Zefania Andina</v>
          </cell>
          <cell r="C372" t="str">
            <v>DELTA</v>
          </cell>
          <cell r="D372">
            <v>45182</v>
          </cell>
          <cell r="E372" t="str">
            <v>Sep-23</v>
          </cell>
          <cell r="F372" t="str">
            <v>REGULER</v>
          </cell>
          <cell r="G372" t="str">
            <v>REGULER</v>
          </cell>
          <cell r="H372" t="str">
            <v>REGULER</v>
          </cell>
          <cell r="I372" t="str">
            <v>REGULER</v>
          </cell>
          <cell r="J372" t="str">
            <v>-</v>
          </cell>
          <cell r="K372" t="str">
            <v>REGULER</v>
          </cell>
          <cell r="L372" t="str">
            <v>-</v>
          </cell>
          <cell r="M372">
            <v>21</v>
          </cell>
          <cell r="N372">
            <v>42</v>
          </cell>
          <cell r="O372">
            <v>38</v>
          </cell>
          <cell r="P372">
            <v>41</v>
          </cell>
          <cell r="Q372">
            <v>0</v>
          </cell>
          <cell r="R372">
            <v>36</v>
          </cell>
          <cell r="S372" t="str">
            <v/>
          </cell>
          <cell r="T372">
            <v>178</v>
          </cell>
          <cell r="U372">
            <v>21</v>
          </cell>
          <cell r="V372">
            <v>42</v>
          </cell>
          <cell r="W372">
            <v>38</v>
          </cell>
          <cell r="X372">
            <v>41</v>
          </cell>
          <cell r="Y372">
            <v>0</v>
          </cell>
          <cell r="Z372">
            <v>36</v>
          </cell>
          <cell r="AA372" t="str">
            <v/>
          </cell>
          <cell r="AB372">
            <v>178</v>
          </cell>
          <cell r="AC372">
            <v>2</v>
          </cell>
          <cell r="AD372" t="str">
            <v>TIDAK</v>
          </cell>
          <cell r="AE372" t="str">
            <v>TIDAK</v>
          </cell>
          <cell r="AF372">
            <v>178</v>
          </cell>
          <cell r="AG372">
            <v>2</v>
          </cell>
          <cell r="AH372" t="str">
            <v>SAPHIRE</v>
          </cell>
          <cell r="AI372">
            <v>0</v>
          </cell>
          <cell r="AJ372" t="str">
            <v>Y</v>
          </cell>
          <cell r="AK372">
            <v>0</v>
          </cell>
          <cell r="AL372">
            <v>45261</v>
          </cell>
          <cell r="AM372">
            <v>45701</v>
          </cell>
          <cell r="AN372">
            <v>1</v>
          </cell>
          <cell r="AO372">
            <v>178</v>
          </cell>
          <cell r="AP372" t="str">
            <v>-</v>
          </cell>
          <cell r="AQ372" t="str">
            <v>-</v>
          </cell>
          <cell r="AR372" t="str">
            <v>-</v>
          </cell>
          <cell r="AS372" t="str">
            <v>-</v>
          </cell>
          <cell r="AT372" t="str">
            <v>-</v>
          </cell>
          <cell r="AU372" t="str">
            <v>-</v>
          </cell>
          <cell r="AV372" t="str">
            <v/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 t="str">
            <v/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 t="str">
            <v/>
          </cell>
          <cell r="BN372">
            <v>0</v>
          </cell>
          <cell r="BO372" t="str">
            <v/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 t="str">
            <v/>
          </cell>
          <cell r="BV372">
            <v>0</v>
          </cell>
          <cell r="BW372">
            <v>7</v>
          </cell>
          <cell r="BX372" t="str">
            <v>DOWNGRADE</v>
          </cell>
          <cell r="BY372" t="str">
            <v>RESET</v>
          </cell>
        </row>
        <row r="373">
          <cell r="A373">
            <v>90638</v>
          </cell>
          <cell r="B373" t="str">
            <v>Zefanya Novita Wibisono</v>
          </cell>
          <cell r="C373" t="str">
            <v>DELTA</v>
          </cell>
          <cell r="D373">
            <v>44399</v>
          </cell>
          <cell r="E373" t="str">
            <v>Jul-21</v>
          </cell>
          <cell r="F373" t="str">
            <v>REGULER</v>
          </cell>
          <cell r="G373" t="str">
            <v>REGULER</v>
          </cell>
          <cell r="H373" t="str">
            <v>REGULER</v>
          </cell>
          <cell r="I373" t="str">
            <v>REGULER</v>
          </cell>
          <cell r="J373" t="str">
            <v>REGULER</v>
          </cell>
          <cell r="K373" t="str">
            <v>EKSKLUSIF</v>
          </cell>
          <cell r="L373" t="str">
            <v>EKSKLUSIF</v>
          </cell>
          <cell r="M373">
            <v>0</v>
          </cell>
          <cell r="N373">
            <v>13</v>
          </cell>
          <cell r="O373">
            <v>17</v>
          </cell>
          <cell r="P373">
            <v>35</v>
          </cell>
          <cell r="Q373">
            <v>34</v>
          </cell>
          <cell r="R373">
            <v>44</v>
          </cell>
          <cell r="S373">
            <v>21</v>
          </cell>
          <cell r="T373">
            <v>164</v>
          </cell>
          <cell r="U373">
            <v>0</v>
          </cell>
          <cell r="V373">
            <v>13</v>
          </cell>
          <cell r="W373">
            <v>17</v>
          </cell>
          <cell r="X373">
            <v>35</v>
          </cell>
          <cell r="Y373">
            <v>34</v>
          </cell>
          <cell r="Z373">
            <v>0</v>
          </cell>
          <cell r="AA373">
            <v>0</v>
          </cell>
          <cell r="AB373">
            <v>99</v>
          </cell>
          <cell r="AC373">
            <v>1</v>
          </cell>
          <cell r="AD373" t="str">
            <v>TIDAK</v>
          </cell>
          <cell r="AE373" t="str">
            <v>TIDAK</v>
          </cell>
          <cell r="AF373">
            <v>99</v>
          </cell>
          <cell r="AG373">
            <v>2</v>
          </cell>
          <cell r="AH373" t="str">
            <v>SAPHIRE</v>
          </cell>
          <cell r="AI373">
            <v>0</v>
          </cell>
          <cell r="AJ373" t="str">
            <v>Y</v>
          </cell>
          <cell r="AK373">
            <v>0</v>
          </cell>
          <cell r="AL373">
            <v>45261</v>
          </cell>
          <cell r="AM373">
            <v>45701</v>
          </cell>
          <cell r="AN373">
            <v>1</v>
          </cell>
          <cell r="AO373">
            <v>99</v>
          </cell>
          <cell r="AP373" t="str">
            <v>EKSKLUSIF</v>
          </cell>
          <cell r="AQ373" t="str">
            <v>-</v>
          </cell>
          <cell r="AR373" t="str">
            <v>-</v>
          </cell>
          <cell r="AS373" t="str">
            <v>-</v>
          </cell>
          <cell r="AT373" t="str">
            <v>-</v>
          </cell>
          <cell r="AU373" t="str">
            <v>-</v>
          </cell>
          <cell r="AV373" t="str">
            <v/>
          </cell>
          <cell r="AW373">
            <v>20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20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19</v>
          </cell>
          <cell r="BH373">
            <v>20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 t="str">
            <v/>
          </cell>
          <cell r="BN373">
            <v>39</v>
          </cell>
          <cell r="BO373">
            <v>0</v>
          </cell>
          <cell r="BP373">
            <v>20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 t="str">
            <v/>
          </cell>
          <cell r="BV373">
            <v>20</v>
          </cell>
          <cell r="BW373">
            <v>5</v>
          </cell>
          <cell r="BX373" t="str">
            <v>DOWNGRADE</v>
          </cell>
          <cell r="BY373" t="str">
            <v>RESET</v>
          </cell>
        </row>
        <row r="374">
          <cell r="A374" t="str">
            <v>A2473</v>
          </cell>
          <cell r="B374" t="str">
            <v>Ziana Walidah Tri Utami</v>
          </cell>
          <cell r="C374" t="str">
            <v>DELTA</v>
          </cell>
          <cell r="D374">
            <v>45110</v>
          </cell>
          <cell r="E374" t="str">
            <v>Jul-23</v>
          </cell>
          <cell r="F374" t="str">
            <v>REGULER</v>
          </cell>
          <cell r="G374" t="str">
            <v>REGULER</v>
          </cell>
          <cell r="H374" t="str">
            <v>REGULER</v>
          </cell>
          <cell r="I374" t="str">
            <v>REGULER</v>
          </cell>
          <cell r="J374" t="str">
            <v>REGULER</v>
          </cell>
          <cell r="K374" t="str">
            <v>-</v>
          </cell>
          <cell r="L374" t="str">
            <v>REGULER</v>
          </cell>
          <cell r="M374">
            <v>18</v>
          </cell>
          <cell r="N374">
            <v>36</v>
          </cell>
          <cell r="O374">
            <v>7</v>
          </cell>
          <cell r="P374">
            <v>25</v>
          </cell>
          <cell r="Q374">
            <v>3</v>
          </cell>
          <cell r="R374">
            <v>0</v>
          </cell>
          <cell r="S374">
            <v>4</v>
          </cell>
          <cell r="T374">
            <v>93</v>
          </cell>
          <cell r="U374">
            <v>18</v>
          </cell>
          <cell r="V374">
            <v>36</v>
          </cell>
          <cell r="W374">
            <v>7</v>
          </cell>
          <cell r="X374">
            <v>25</v>
          </cell>
          <cell r="Y374">
            <v>3</v>
          </cell>
          <cell r="Z374">
            <v>0</v>
          </cell>
          <cell r="AA374">
            <v>4</v>
          </cell>
          <cell r="AB374">
            <v>93</v>
          </cell>
          <cell r="AC374">
            <v>1</v>
          </cell>
          <cell r="AD374" t="str">
            <v>TIDAK</v>
          </cell>
          <cell r="AE374" t="str">
            <v>TIDAK</v>
          </cell>
          <cell r="AF374">
            <v>93</v>
          </cell>
          <cell r="AG374">
            <v>2</v>
          </cell>
          <cell r="AH374" t="str">
            <v>SAPHIRE</v>
          </cell>
          <cell r="AI374">
            <v>0</v>
          </cell>
          <cell r="AJ374" t="str">
            <v>Y</v>
          </cell>
          <cell r="AK374">
            <v>0</v>
          </cell>
          <cell r="AL374">
            <v>45261</v>
          </cell>
          <cell r="AM374">
            <v>45701</v>
          </cell>
          <cell r="AN374">
            <v>1</v>
          </cell>
          <cell r="AO374">
            <v>93</v>
          </cell>
          <cell r="AP374" t="str">
            <v>-</v>
          </cell>
          <cell r="AQ374" t="str">
            <v>-</v>
          </cell>
          <cell r="AR374" t="str">
            <v>REGULER</v>
          </cell>
          <cell r="AS374" t="str">
            <v>-</v>
          </cell>
          <cell r="AT374" t="str">
            <v>-</v>
          </cell>
          <cell r="AU374" t="str">
            <v>-</v>
          </cell>
          <cell r="AV374" t="str">
            <v/>
          </cell>
          <cell r="AW374">
            <v>3</v>
          </cell>
          <cell r="AX374">
            <v>15</v>
          </cell>
          <cell r="AY374">
            <v>0</v>
          </cell>
          <cell r="AZ374">
            <v>0</v>
          </cell>
          <cell r="BA374">
            <v>0</v>
          </cell>
          <cell r="BB374">
            <v>3</v>
          </cell>
          <cell r="BC374">
            <v>15</v>
          </cell>
          <cell r="BD374">
            <v>0</v>
          </cell>
          <cell r="BE374">
            <v>0</v>
          </cell>
          <cell r="BF374">
            <v>0</v>
          </cell>
          <cell r="BG374">
            <v>16</v>
          </cell>
          <cell r="BH374">
            <v>3</v>
          </cell>
          <cell r="BI374">
            <v>15</v>
          </cell>
          <cell r="BJ374">
            <v>0</v>
          </cell>
          <cell r="BK374">
            <v>0</v>
          </cell>
          <cell r="BL374">
            <v>0</v>
          </cell>
          <cell r="BM374" t="str">
            <v/>
          </cell>
          <cell r="BN374">
            <v>34</v>
          </cell>
          <cell r="BO374">
            <v>16</v>
          </cell>
          <cell r="BP374">
            <v>3</v>
          </cell>
          <cell r="BQ374">
            <v>15</v>
          </cell>
          <cell r="BR374">
            <v>0</v>
          </cell>
          <cell r="BS374">
            <v>0</v>
          </cell>
          <cell r="BT374">
            <v>0</v>
          </cell>
          <cell r="BU374" t="str">
            <v/>
          </cell>
          <cell r="BV374">
            <v>34</v>
          </cell>
          <cell r="BW374">
            <v>4</v>
          </cell>
          <cell r="BX374" t="str">
            <v>DOWNGRADE</v>
          </cell>
          <cell r="BY374" t="str">
            <v>RESET</v>
          </cell>
        </row>
        <row r="375">
          <cell r="A375" t="str">
            <v>A1781</v>
          </cell>
          <cell r="B375" t="str">
            <v>Zulfa Azizah</v>
          </cell>
          <cell r="C375" t="str">
            <v>DELTA</v>
          </cell>
          <cell r="D375">
            <v>45033</v>
          </cell>
          <cell r="E375" t="str">
            <v>Apr-23</v>
          </cell>
          <cell r="F375" t="str">
            <v>REGULER</v>
          </cell>
          <cell r="G375" t="str">
            <v>EKSKLUSIF</v>
          </cell>
          <cell r="H375" t="str">
            <v>EKSKLUSIF</v>
          </cell>
          <cell r="I375" t="str">
            <v>EKSKLUSIF</v>
          </cell>
          <cell r="J375" t="str">
            <v>REGULER</v>
          </cell>
          <cell r="K375" t="str">
            <v>REGULER</v>
          </cell>
          <cell r="L375" t="str">
            <v>REGULER</v>
          </cell>
          <cell r="M375">
            <v>2</v>
          </cell>
          <cell r="N375">
            <v>44</v>
          </cell>
          <cell r="O375">
            <v>38</v>
          </cell>
          <cell r="P375">
            <v>42</v>
          </cell>
          <cell r="Q375">
            <v>18</v>
          </cell>
          <cell r="R375">
            <v>14</v>
          </cell>
          <cell r="S375">
            <v>15</v>
          </cell>
          <cell r="T375">
            <v>173</v>
          </cell>
          <cell r="U375">
            <v>2</v>
          </cell>
          <cell r="V375">
            <v>0</v>
          </cell>
          <cell r="W375">
            <v>0</v>
          </cell>
          <cell r="X375">
            <v>0</v>
          </cell>
          <cell r="Y375">
            <v>18</v>
          </cell>
          <cell r="Z375">
            <v>14</v>
          </cell>
          <cell r="AA375">
            <v>15</v>
          </cell>
          <cell r="AB375">
            <v>49</v>
          </cell>
          <cell r="AC375">
            <v>0</v>
          </cell>
          <cell r="AD375" t="str">
            <v>TIDAK</v>
          </cell>
          <cell r="AE375" t="str">
            <v>TIDAK</v>
          </cell>
          <cell r="AF375">
            <v>49</v>
          </cell>
          <cell r="AG375">
            <v>2</v>
          </cell>
          <cell r="AH375" t="str">
            <v>SAPHIRE</v>
          </cell>
          <cell r="AI375">
            <v>0</v>
          </cell>
          <cell r="AJ375" t="str">
            <v>FALSE</v>
          </cell>
          <cell r="AK375">
            <v>0</v>
          </cell>
          <cell r="AL375">
            <v>45261</v>
          </cell>
          <cell r="AM375">
            <v>45701</v>
          </cell>
          <cell r="AN375">
            <v>1</v>
          </cell>
          <cell r="AO375">
            <v>49</v>
          </cell>
          <cell r="AP375" t="str">
            <v>-</v>
          </cell>
          <cell r="AQ375" t="str">
            <v>-</v>
          </cell>
          <cell r="AR375" t="str">
            <v>EKSKLUSIF</v>
          </cell>
          <cell r="AS375" t="str">
            <v>EKSKLUSIF</v>
          </cell>
          <cell r="AT375" t="str">
            <v>REGULER</v>
          </cell>
          <cell r="AU375" t="str">
            <v>REGULER</v>
          </cell>
          <cell r="AV375" t="str">
            <v/>
          </cell>
          <cell r="AW375">
            <v>46</v>
          </cell>
          <cell r="AX375">
            <v>49</v>
          </cell>
          <cell r="AY375">
            <v>42</v>
          </cell>
          <cell r="AZ375">
            <v>32</v>
          </cell>
          <cell r="BA375">
            <v>38</v>
          </cell>
          <cell r="BB375">
            <v>46</v>
          </cell>
          <cell r="BC375">
            <v>49</v>
          </cell>
          <cell r="BD375">
            <v>42</v>
          </cell>
          <cell r="BE375">
            <v>32</v>
          </cell>
          <cell r="BF375">
            <v>38</v>
          </cell>
          <cell r="BG375">
            <v>20</v>
          </cell>
          <cell r="BH375">
            <v>46</v>
          </cell>
          <cell r="BI375">
            <v>49</v>
          </cell>
          <cell r="BJ375">
            <v>42</v>
          </cell>
          <cell r="BK375">
            <v>32</v>
          </cell>
          <cell r="BL375">
            <v>38</v>
          </cell>
          <cell r="BM375">
            <v>15</v>
          </cell>
          <cell r="BN375">
            <v>242</v>
          </cell>
          <cell r="BO375">
            <v>20</v>
          </cell>
          <cell r="BP375">
            <v>46</v>
          </cell>
          <cell r="BQ375">
            <v>0</v>
          </cell>
          <cell r="BR375">
            <v>0</v>
          </cell>
          <cell r="BS375">
            <v>32</v>
          </cell>
          <cell r="BT375">
            <v>38</v>
          </cell>
          <cell r="BU375">
            <v>15</v>
          </cell>
          <cell r="BV375">
            <v>151</v>
          </cell>
          <cell r="BW375">
            <v>0</v>
          </cell>
          <cell r="BX375" t="str">
            <v>TIDAK</v>
          </cell>
          <cell r="BY375" t="str">
            <v>TIDAK</v>
          </cell>
        </row>
        <row r="376">
          <cell r="A376" t="str">
            <v>A1209</v>
          </cell>
          <cell r="B376" t="str">
            <v>Zulfi Faqih Nurul Jannah</v>
          </cell>
          <cell r="C376" t="str">
            <v>DELTA</v>
          </cell>
          <cell r="D376">
            <v>44981</v>
          </cell>
          <cell r="E376" t="str">
            <v>Feb-23</v>
          </cell>
          <cell r="F376" t="str">
            <v>REGULER</v>
          </cell>
          <cell r="G376" t="str">
            <v>REGULER</v>
          </cell>
          <cell r="H376" t="str">
            <v>EKSKLUSIF</v>
          </cell>
          <cell r="I376" t="str">
            <v>EKSKLUSIF</v>
          </cell>
          <cell r="J376" t="str">
            <v>EKSKLUSIF</v>
          </cell>
          <cell r="K376" t="str">
            <v>EKSKLUSIF</v>
          </cell>
          <cell r="L376" t="str">
            <v>EKSKLUSIF</v>
          </cell>
          <cell r="M376">
            <v>15</v>
          </cell>
          <cell r="N376">
            <v>38</v>
          </cell>
          <cell r="O376">
            <v>41</v>
          </cell>
          <cell r="P376">
            <v>42</v>
          </cell>
          <cell r="Q376">
            <v>39</v>
          </cell>
          <cell r="R376">
            <v>43</v>
          </cell>
          <cell r="S376">
            <v>21</v>
          </cell>
          <cell r="T376">
            <v>239</v>
          </cell>
          <cell r="U376">
            <v>15</v>
          </cell>
          <cell r="V376">
            <v>38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53</v>
          </cell>
          <cell r="AC376">
            <v>0</v>
          </cell>
          <cell r="AD376" t="str">
            <v>TIDAK</v>
          </cell>
          <cell r="AE376" t="str">
            <v>TIDAK</v>
          </cell>
          <cell r="AF376">
            <v>53</v>
          </cell>
          <cell r="AG376">
            <v>2</v>
          </cell>
          <cell r="AH376" t="str">
            <v>SAPHIRE</v>
          </cell>
          <cell r="AI376">
            <v>0</v>
          </cell>
          <cell r="AJ376" t="str">
            <v>FALSE</v>
          </cell>
          <cell r="AK376">
            <v>0</v>
          </cell>
          <cell r="AL376">
            <v>45261</v>
          </cell>
          <cell r="AM376">
            <v>45701</v>
          </cell>
          <cell r="AN376">
            <v>1</v>
          </cell>
          <cell r="AO376">
            <v>53</v>
          </cell>
          <cell r="AP376" t="str">
            <v>EKSKLUSIF</v>
          </cell>
          <cell r="AQ376" t="str">
            <v>-</v>
          </cell>
          <cell r="AR376" t="str">
            <v>EKSKLUSIF</v>
          </cell>
          <cell r="AS376" t="str">
            <v>EKSKLUSIF</v>
          </cell>
          <cell r="AT376" t="str">
            <v>EKSKLUSIF</v>
          </cell>
          <cell r="AU376" t="str">
            <v>EKSKLUSIF</v>
          </cell>
          <cell r="AV376" t="str">
            <v/>
          </cell>
          <cell r="AW376">
            <v>48</v>
          </cell>
          <cell r="AX376">
            <v>48</v>
          </cell>
          <cell r="AY376">
            <v>42</v>
          </cell>
          <cell r="AZ376">
            <v>49</v>
          </cell>
          <cell r="BA376">
            <v>43</v>
          </cell>
          <cell r="BB376">
            <v>48</v>
          </cell>
          <cell r="BC376">
            <v>48</v>
          </cell>
          <cell r="BD376">
            <v>42</v>
          </cell>
          <cell r="BE376">
            <v>49</v>
          </cell>
          <cell r="BF376">
            <v>43</v>
          </cell>
          <cell r="BG376">
            <v>20</v>
          </cell>
          <cell r="BH376">
            <v>48</v>
          </cell>
          <cell r="BI376">
            <v>48</v>
          </cell>
          <cell r="BJ376">
            <v>42</v>
          </cell>
          <cell r="BK376">
            <v>49</v>
          </cell>
          <cell r="BL376">
            <v>43</v>
          </cell>
          <cell r="BM376">
            <v>22</v>
          </cell>
          <cell r="BN376">
            <v>272</v>
          </cell>
          <cell r="BO376">
            <v>0</v>
          </cell>
          <cell r="BP376">
            <v>48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22</v>
          </cell>
          <cell r="BV376">
            <v>70</v>
          </cell>
          <cell r="BW376">
            <v>0</v>
          </cell>
          <cell r="BX376" t="str">
            <v>TIDAK</v>
          </cell>
          <cell r="BY376" t="str">
            <v>TIDAK</v>
          </cell>
        </row>
        <row r="377">
          <cell r="A377" t="str">
            <v>A4036</v>
          </cell>
          <cell r="B377" t="str">
            <v>DWIKA ELTANJUNG</v>
          </cell>
          <cell r="C377" t="str">
            <v>DELTA</v>
          </cell>
          <cell r="D377">
            <v>45461</v>
          </cell>
          <cell r="E377" t="str">
            <v>Jun-24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 t="str">
            <v>-</v>
          </cell>
          <cell r="AQ377" t="str">
            <v>-</v>
          </cell>
          <cell r="AR377" t="str">
            <v>REGULER</v>
          </cell>
          <cell r="AS377" t="str">
            <v>REGULER</v>
          </cell>
          <cell r="AT377" t="str">
            <v>REGULER</v>
          </cell>
          <cell r="AU377" t="str">
            <v>REGULER</v>
          </cell>
          <cell r="AV377" t="str">
            <v/>
          </cell>
          <cell r="AW377">
            <v>13</v>
          </cell>
          <cell r="AX377">
            <v>20</v>
          </cell>
          <cell r="AY377">
            <v>35</v>
          </cell>
          <cell r="AZ377">
            <v>17</v>
          </cell>
          <cell r="BA377">
            <v>15</v>
          </cell>
          <cell r="BB377">
            <v>13</v>
          </cell>
          <cell r="BC377">
            <v>20</v>
          </cell>
          <cell r="BD377">
            <v>35</v>
          </cell>
          <cell r="BE377">
            <v>17</v>
          </cell>
          <cell r="BF377">
            <v>15</v>
          </cell>
          <cell r="BG377" t="str">
            <v/>
          </cell>
          <cell r="BH377">
            <v>13</v>
          </cell>
          <cell r="BI377">
            <v>20</v>
          </cell>
          <cell r="BJ377">
            <v>35</v>
          </cell>
          <cell r="BK377">
            <v>17</v>
          </cell>
          <cell r="BL377">
            <v>15</v>
          </cell>
          <cell r="BM377">
            <v>4</v>
          </cell>
          <cell r="BN377">
            <v>104</v>
          </cell>
          <cell r="BO377" t="str">
            <v/>
          </cell>
          <cell r="BP377">
            <v>13</v>
          </cell>
          <cell r="BQ377">
            <v>20</v>
          </cell>
          <cell r="BR377">
            <v>35</v>
          </cell>
          <cell r="BS377">
            <v>17</v>
          </cell>
          <cell r="BT377">
            <v>15</v>
          </cell>
          <cell r="BU377">
            <v>4</v>
          </cell>
          <cell r="BV377">
            <v>104</v>
          </cell>
          <cell r="BW377">
            <v>1</v>
          </cell>
          <cell r="BX377" t="str">
            <v>TIDAK</v>
          </cell>
          <cell r="BY377" t="str">
            <v>TIDAK</v>
          </cell>
        </row>
        <row r="378">
          <cell r="A378" t="str">
            <v>A4037</v>
          </cell>
          <cell r="B378" t="str">
            <v>TOMING SINURAT</v>
          </cell>
          <cell r="C378" t="str">
            <v>DELTA</v>
          </cell>
          <cell r="D378">
            <v>45461</v>
          </cell>
          <cell r="E378" t="str">
            <v>Jun-24</v>
          </cell>
          <cell r="F378">
            <v>0</v>
          </cell>
          <cell r="G378">
            <v>0</v>
          </cell>
          <cell r="H378" t="str">
            <v xml:space="preserve"> 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 t="str">
            <v xml:space="preserve"> 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 t="str">
            <v>-</v>
          </cell>
          <cell r="AQ378" t="str">
            <v>-</v>
          </cell>
          <cell r="AR378" t="str">
            <v>-</v>
          </cell>
          <cell r="AS378" t="str">
            <v>-</v>
          </cell>
          <cell r="AT378" t="str">
            <v>-</v>
          </cell>
          <cell r="AU378" t="str">
            <v>-</v>
          </cell>
          <cell r="AV378" t="str">
            <v/>
          </cell>
          <cell r="AW378">
            <v>5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5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 t="str">
            <v/>
          </cell>
          <cell r="BH378">
            <v>5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 t="str">
            <v/>
          </cell>
          <cell r="BN378">
            <v>5</v>
          </cell>
          <cell r="BO378" t="str">
            <v/>
          </cell>
          <cell r="BP378">
            <v>5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 t="str">
            <v/>
          </cell>
          <cell r="BV378">
            <v>5</v>
          </cell>
          <cell r="BW378">
            <v>6</v>
          </cell>
          <cell r="BX378" t="str">
            <v>DOWNGRADE</v>
          </cell>
          <cell r="BY378" t="str">
            <v>RESET</v>
          </cell>
        </row>
        <row r="379">
          <cell r="A379" t="str">
            <v>A4038</v>
          </cell>
          <cell r="B379" t="str">
            <v>YOLANDA SITORUS</v>
          </cell>
          <cell r="C379" t="str">
            <v>DELTA</v>
          </cell>
          <cell r="D379">
            <v>45461</v>
          </cell>
          <cell r="E379" t="str">
            <v>Jun-24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 t="str">
            <v>-</v>
          </cell>
          <cell r="AQ379" t="str">
            <v>-</v>
          </cell>
          <cell r="AR379" t="str">
            <v>REGULER</v>
          </cell>
          <cell r="AS379" t="str">
            <v>-</v>
          </cell>
          <cell r="AT379" t="str">
            <v>-</v>
          </cell>
          <cell r="AU379" t="str">
            <v>-</v>
          </cell>
          <cell r="AV379" t="str">
            <v/>
          </cell>
          <cell r="AW379">
            <v>10</v>
          </cell>
          <cell r="AX379">
            <v>1</v>
          </cell>
          <cell r="AY379">
            <v>0</v>
          </cell>
          <cell r="AZ379">
            <v>0</v>
          </cell>
          <cell r="BA379">
            <v>0</v>
          </cell>
          <cell r="BB379">
            <v>10</v>
          </cell>
          <cell r="BC379">
            <v>1</v>
          </cell>
          <cell r="BD379">
            <v>0</v>
          </cell>
          <cell r="BE379">
            <v>0</v>
          </cell>
          <cell r="BF379">
            <v>0</v>
          </cell>
          <cell r="BG379" t="str">
            <v/>
          </cell>
          <cell r="BH379">
            <v>10</v>
          </cell>
          <cell r="BI379">
            <v>1</v>
          </cell>
          <cell r="BJ379">
            <v>0</v>
          </cell>
          <cell r="BK379">
            <v>0</v>
          </cell>
          <cell r="BL379">
            <v>0</v>
          </cell>
          <cell r="BM379" t="str">
            <v/>
          </cell>
          <cell r="BN379">
            <v>11</v>
          </cell>
          <cell r="BO379" t="str">
            <v/>
          </cell>
          <cell r="BP379">
            <v>10</v>
          </cell>
          <cell r="BQ379">
            <v>1</v>
          </cell>
          <cell r="BR379">
            <v>0</v>
          </cell>
          <cell r="BS379">
            <v>0</v>
          </cell>
          <cell r="BT379">
            <v>0</v>
          </cell>
          <cell r="BU379" t="str">
            <v/>
          </cell>
          <cell r="BV379">
            <v>11</v>
          </cell>
          <cell r="BW379">
            <v>5</v>
          </cell>
          <cell r="BX379" t="str">
            <v>DOWNGRADE</v>
          </cell>
          <cell r="BY379" t="str">
            <v>RESET</v>
          </cell>
        </row>
        <row r="380">
          <cell r="A380" t="str">
            <v>A4039</v>
          </cell>
          <cell r="B380" t="str">
            <v>IBRAHIM FEBA NAUFALINDO</v>
          </cell>
          <cell r="C380" t="str">
            <v>DELTA</v>
          </cell>
          <cell r="D380">
            <v>45461</v>
          </cell>
          <cell r="E380" t="str">
            <v>Jun-24</v>
          </cell>
          <cell r="F380">
            <v>0</v>
          </cell>
          <cell r="G380" t="str">
            <v xml:space="preserve"> 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 t="str">
            <v xml:space="preserve"> 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 t="str">
            <v>-</v>
          </cell>
          <cell r="AQ380" t="str">
            <v>-</v>
          </cell>
          <cell r="AR380" t="str">
            <v>REGULER</v>
          </cell>
          <cell r="AS380" t="str">
            <v>REGULER</v>
          </cell>
          <cell r="AT380" t="str">
            <v>REGULER</v>
          </cell>
          <cell r="AU380" t="str">
            <v>EKSKLUSIF</v>
          </cell>
          <cell r="AV380" t="str">
            <v/>
          </cell>
          <cell r="AW380">
            <v>30</v>
          </cell>
          <cell r="AX380">
            <v>40</v>
          </cell>
          <cell r="AY380">
            <v>36</v>
          </cell>
          <cell r="AZ380">
            <v>46</v>
          </cell>
          <cell r="BA380">
            <v>44</v>
          </cell>
          <cell r="BB380">
            <v>30</v>
          </cell>
          <cell r="BC380">
            <v>40</v>
          </cell>
          <cell r="BD380">
            <v>36</v>
          </cell>
          <cell r="BE380">
            <v>46</v>
          </cell>
          <cell r="BF380">
            <v>44</v>
          </cell>
          <cell r="BG380" t="str">
            <v/>
          </cell>
          <cell r="BH380">
            <v>30</v>
          </cell>
          <cell r="BI380">
            <v>40</v>
          </cell>
          <cell r="BJ380">
            <v>36</v>
          </cell>
          <cell r="BK380">
            <v>46</v>
          </cell>
          <cell r="BL380">
            <v>44</v>
          </cell>
          <cell r="BM380">
            <v>21</v>
          </cell>
          <cell r="BN380">
            <v>217</v>
          </cell>
          <cell r="BO380" t="str">
            <v/>
          </cell>
          <cell r="BP380">
            <v>30</v>
          </cell>
          <cell r="BQ380">
            <v>40</v>
          </cell>
          <cell r="BR380">
            <v>36</v>
          </cell>
          <cell r="BS380">
            <v>46</v>
          </cell>
          <cell r="BT380">
            <v>0</v>
          </cell>
          <cell r="BU380">
            <v>21</v>
          </cell>
          <cell r="BV380">
            <v>173</v>
          </cell>
          <cell r="BW380">
            <v>1</v>
          </cell>
          <cell r="BX380" t="str">
            <v>TIDAK</v>
          </cell>
          <cell r="BY380" t="str">
            <v>TIDAK</v>
          </cell>
        </row>
        <row r="381">
          <cell r="A381" t="str">
            <v>A4055</v>
          </cell>
          <cell r="B381" t="str">
            <v>WIDI YANTI</v>
          </cell>
          <cell r="C381" t="str">
            <v>DELTA</v>
          </cell>
          <cell r="D381">
            <v>45461</v>
          </cell>
          <cell r="E381" t="str">
            <v>Jun-24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 t="str">
            <v>-</v>
          </cell>
          <cell r="AQ381" t="str">
            <v>-</v>
          </cell>
          <cell r="AR381" t="str">
            <v>-</v>
          </cell>
          <cell r="AS381" t="str">
            <v>-</v>
          </cell>
          <cell r="AT381" t="str">
            <v>-</v>
          </cell>
          <cell r="AU381" t="str">
            <v>-</v>
          </cell>
          <cell r="AV381" t="str">
            <v/>
          </cell>
          <cell r="AW381">
            <v>6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6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 t="str">
            <v/>
          </cell>
          <cell r="BH381">
            <v>6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 t="str">
            <v/>
          </cell>
          <cell r="BN381">
            <v>6</v>
          </cell>
          <cell r="BO381" t="str">
            <v/>
          </cell>
          <cell r="BP381">
            <v>6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 t="str">
            <v/>
          </cell>
          <cell r="BV381">
            <v>6</v>
          </cell>
          <cell r="BW381">
            <v>6</v>
          </cell>
          <cell r="BX381" t="str">
            <v>DOWNGRADE</v>
          </cell>
          <cell r="BY381" t="str">
            <v>RESET</v>
          </cell>
        </row>
        <row r="382">
          <cell r="A382" t="str">
            <v>A4092</v>
          </cell>
          <cell r="B382" t="str">
            <v>ELISA CHRISTIANA</v>
          </cell>
          <cell r="C382" t="str">
            <v>DELTA</v>
          </cell>
          <cell r="D382">
            <v>45475</v>
          </cell>
          <cell r="E382" t="str">
            <v>Jul-24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 t="str">
            <v>-</v>
          </cell>
          <cell r="AQ382" t="str">
            <v>-</v>
          </cell>
          <cell r="AR382" t="str">
            <v>REGULER</v>
          </cell>
          <cell r="AS382" t="str">
            <v>REGULER</v>
          </cell>
          <cell r="AT382" t="str">
            <v>REGULER</v>
          </cell>
          <cell r="AU382" t="str">
            <v>-</v>
          </cell>
          <cell r="AV382" t="str">
            <v/>
          </cell>
          <cell r="AW382">
            <v>38</v>
          </cell>
          <cell r="AX382">
            <v>33</v>
          </cell>
          <cell r="AY382">
            <v>29</v>
          </cell>
          <cell r="AZ382">
            <v>11</v>
          </cell>
          <cell r="BA382">
            <v>0</v>
          </cell>
          <cell r="BB382">
            <v>38</v>
          </cell>
          <cell r="BC382">
            <v>33</v>
          </cell>
          <cell r="BD382">
            <v>29</v>
          </cell>
          <cell r="BE382">
            <v>11</v>
          </cell>
          <cell r="BF382">
            <v>0</v>
          </cell>
          <cell r="BG382" t="str">
            <v/>
          </cell>
          <cell r="BH382">
            <v>38</v>
          </cell>
          <cell r="BI382">
            <v>33</v>
          </cell>
          <cell r="BJ382">
            <v>29</v>
          </cell>
          <cell r="BK382">
            <v>11</v>
          </cell>
          <cell r="BL382">
            <v>0</v>
          </cell>
          <cell r="BM382" t="str">
            <v/>
          </cell>
          <cell r="BN382">
            <v>111</v>
          </cell>
          <cell r="BO382" t="str">
            <v/>
          </cell>
          <cell r="BP382">
            <v>38</v>
          </cell>
          <cell r="BQ382">
            <v>33</v>
          </cell>
          <cell r="BR382">
            <v>29</v>
          </cell>
          <cell r="BS382">
            <v>11</v>
          </cell>
          <cell r="BT382">
            <v>0</v>
          </cell>
          <cell r="BU382" t="str">
            <v/>
          </cell>
          <cell r="BV382">
            <v>111</v>
          </cell>
          <cell r="BW382">
            <v>2</v>
          </cell>
          <cell r="BX382" t="str">
            <v>TIDAK</v>
          </cell>
          <cell r="BY382" t="str">
            <v>TIDAK</v>
          </cell>
        </row>
        <row r="383">
          <cell r="A383" t="str">
            <v>A4093</v>
          </cell>
          <cell r="B383" t="str">
            <v>EMA CAHAYA WISMA</v>
          </cell>
          <cell r="C383" t="str">
            <v>DELTA</v>
          </cell>
          <cell r="D383">
            <v>45477</v>
          </cell>
          <cell r="E383" t="str">
            <v>Jul-24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 t="str">
            <v>-</v>
          </cell>
          <cell r="AQ383" t="str">
            <v>-</v>
          </cell>
          <cell r="AR383" t="str">
            <v>-</v>
          </cell>
          <cell r="AS383" t="str">
            <v>-</v>
          </cell>
          <cell r="AT383" t="str">
            <v>-</v>
          </cell>
          <cell r="AU383" t="str">
            <v>-</v>
          </cell>
          <cell r="AV383" t="str">
            <v/>
          </cell>
          <cell r="AW383">
            <v>5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5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 t="str">
            <v/>
          </cell>
          <cell r="BH383">
            <v>5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 t="str">
            <v/>
          </cell>
          <cell r="BN383">
            <v>5</v>
          </cell>
          <cell r="BO383" t="str">
            <v/>
          </cell>
          <cell r="BP383">
            <v>5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 t="str">
            <v/>
          </cell>
          <cell r="BV383">
            <v>5</v>
          </cell>
          <cell r="BW383">
            <v>5</v>
          </cell>
          <cell r="BX383" t="str">
            <v>DOWNGRADE</v>
          </cell>
          <cell r="BY383" t="str">
            <v>RESET</v>
          </cell>
        </row>
        <row r="384">
          <cell r="A384" t="str">
            <v>A4094</v>
          </cell>
          <cell r="B384" t="str">
            <v>LUXITA CANDRA KUSUMA</v>
          </cell>
          <cell r="C384" t="str">
            <v>DELTA</v>
          </cell>
          <cell r="D384">
            <v>45481</v>
          </cell>
          <cell r="E384" t="str">
            <v>Jul-24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 t="str">
            <v>-</v>
          </cell>
          <cell r="AQ384" t="str">
            <v>-</v>
          </cell>
          <cell r="AR384" t="str">
            <v>REGULER</v>
          </cell>
          <cell r="AS384" t="str">
            <v>REGULER</v>
          </cell>
          <cell r="AT384" t="str">
            <v>-</v>
          </cell>
          <cell r="AU384" t="str">
            <v>-</v>
          </cell>
          <cell r="AV384" t="str">
            <v/>
          </cell>
          <cell r="AW384">
            <v>6</v>
          </cell>
          <cell r="AX384">
            <v>6</v>
          </cell>
          <cell r="AY384">
            <v>3</v>
          </cell>
          <cell r="AZ384">
            <v>0</v>
          </cell>
          <cell r="BA384">
            <v>0</v>
          </cell>
          <cell r="BB384">
            <v>6</v>
          </cell>
          <cell r="BC384">
            <v>6</v>
          </cell>
          <cell r="BD384">
            <v>3</v>
          </cell>
          <cell r="BE384">
            <v>0</v>
          </cell>
          <cell r="BF384">
            <v>0</v>
          </cell>
          <cell r="BG384" t="str">
            <v/>
          </cell>
          <cell r="BH384">
            <v>6</v>
          </cell>
          <cell r="BI384">
            <v>6</v>
          </cell>
          <cell r="BJ384">
            <v>3</v>
          </cell>
          <cell r="BK384">
            <v>0</v>
          </cell>
          <cell r="BL384">
            <v>0</v>
          </cell>
          <cell r="BM384" t="str">
            <v/>
          </cell>
          <cell r="BN384">
            <v>15</v>
          </cell>
          <cell r="BO384" t="str">
            <v/>
          </cell>
          <cell r="BP384">
            <v>6</v>
          </cell>
          <cell r="BQ384">
            <v>6</v>
          </cell>
          <cell r="BR384">
            <v>3</v>
          </cell>
          <cell r="BS384">
            <v>0</v>
          </cell>
          <cell r="BT384">
            <v>0</v>
          </cell>
          <cell r="BU384" t="str">
            <v/>
          </cell>
          <cell r="BV384">
            <v>15</v>
          </cell>
          <cell r="BW384">
            <v>3</v>
          </cell>
          <cell r="BX384" t="str">
            <v>DOWNGRADE</v>
          </cell>
          <cell r="BY384" t="str">
            <v>RESET</v>
          </cell>
        </row>
        <row r="385">
          <cell r="A385" t="str">
            <v>A4095</v>
          </cell>
          <cell r="B385" t="str">
            <v>MARSHA SYAFA</v>
          </cell>
          <cell r="C385" t="str">
            <v>DELTA</v>
          </cell>
          <cell r="D385">
            <v>45479</v>
          </cell>
          <cell r="E385" t="str">
            <v>Jul-24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 t="str">
            <v>-</v>
          </cell>
          <cell r="AQ385" t="str">
            <v>-</v>
          </cell>
          <cell r="AR385" t="str">
            <v>-</v>
          </cell>
          <cell r="AS385" t="str">
            <v>-</v>
          </cell>
          <cell r="AT385" t="str">
            <v>-</v>
          </cell>
          <cell r="AU385" t="str">
            <v>-</v>
          </cell>
          <cell r="AV385" t="str">
            <v/>
          </cell>
          <cell r="AW385">
            <v>1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1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 t="str">
            <v/>
          </cell>
          <cell r="BH385">
            <v>1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 t="str">
            <v/>
          </cell>
          <cell r="BN385">
            <v>1</v>
          </cell>
          <cell r="BO385" t="str">
            <v/>
          </cell>
          <cell r="BP385">
            <v>1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 t="str">
            <v/>
          </cell>
          <cell r="BV385">
            <v>1</v>
          </cell>
          <cell r="BW385">
            <v>5</v>
          </cell>
          <cell r="BX385" t="str">
            <v>DOWNGRADE</v>
          </cell>
          <cell r="BY385" t="str">
            <v>RESET</v>
          </cell>
        </row>
        <row r="386">
          <cell r="A386" t="str">
            <v>A4096</v>
          </cell>
          <cell r="B386" t="str">
            <v>RIO SATRIA PAMUNGKAS</v>
          </cell>
          <cell r="C386" t="str">
            <v>DELTA</v>
          </cell>
          <cell r="D386">
            <v>45474</v>
          </cell>
          <cell r="E386" t="str">
            <v>Jul-24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 t="str">
            <v>-</v>
          </cell>
          <cell r="AQ386" t="str">
            <v>-</v>
          </cell>
          <cell r="AR386" t="str">
            <v>REGULER</v>
          </cell>
          <cell r="AS386" t="str">
            <v>-</v>
          </cell>
          <cell r="AT386" t="str">
            <v>-</v>
          </cell>
          <cell r="AU386" t="str">
            <v>-</v>
          </cell>
          <cell r="AV386" t="str">
            <v/>
          </cell>
          <cell r="AW386">
            <v>28</v>
          </cell>
          <cell r="AX386">
            <v>15</v>
          </cell>
          <cell r="AY386">
            <v>0</v>
          </cell>
          <cell r="AZ386">
            <v>0</v>
          </cell>
          <cell r="BA386">
            <v>0</v>
          </cell>
          <cell r="BB386">
            <v>28</v>
          </cell>
          <cell r="BC386">
            <v>15</v>
          </cell>
          <cell r="BD386">
            <v>0</v>
          </cell>
          <cell r="BE386">
            <v>0</v>
          </cell>
          <cell r="BF386">
            <v>0</v>
          </cell>
          <cell r="BG386" t="str">
            <v/>
          </cell>
          <cell r="BH386">
            <v>28</v>
          </cell>
          <cell r="BI386">
            <v>15</v>
          </cell>
          <cell r="BJ386">
            <v>0</v>
          </cell>
          <cell r="BK386">
            <v>0</v>
          </cell>
          <cell r="BL386">
            <v>0</v>
          </cell>
          <cell r="BM386" t="str">
            <v/>
          </cell>
          <cell r="BN386">
            <v>43</v>
          </cell>
          <cell r="BO386" t="str">
            <v/>
          </cell>
          <cell r="BP386">
            <v>28</v>
          </cell>
          <cell r="BQ386">
            <v>15</v>
          </cell>
          <cell r="BR386">
            <v>0</v>
          </cell>
          <cell r="BS386">
            <v>0</v>
          </cell>
          <cell r="BT386">
            <v>0</v>
          </cell>
          <cell r="BU386" t="str">
            <v/>
          </cell>
          <cell r="BV386">
            <v>43</v>
          </cell>
          <cell r="BW386">
            <v>4</v>
          </cell>
          <cell r="BX386" t="str">
            <v>DOWNGRADE</v>
          </cell>
          <cell r="BY386" t="str">
            <v>RESET</v>
          </cell>
        </row>
        <row r="387">
          <cell r="A387" t="str">
            <v>A4097</v>
          </cell>
          <cell r="B387" t="str">
            <v>SIGIT DWI SAPUTRA</v>
          </cell>
          <cell r="C387" t="str">
            <v>DELTA</v>
          </cell>
          <cell r="D387">
            <v>45474</v>
          </cell>
          <cell r="E387" t="str">
            <v>Jul-24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 t="str">
            <v>-</v>
          </cell>
          <cell r="AQ387" t="str">
            <v>-</v>
          </cell>
          <cell r="AR387" t="str">
            <v>-</v>
          </cell>
          <cell r="AS387" t="str">
            <v>-</v>
          </cell>
          <cell r="AT387" t="str">
            <v>-</v>
          </cell>
          <cell r="AU387" t="str">
            <v>-</v>
          </cell>
          <cell r="AV387" t="str">
            <v/>
          </cell>
          <cell r="AW387">
            <v>3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3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 t="str">
            <v/>
          </cell>
          <cell r="BH387">
            <v>3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 t="str">
            <v/>
          </cell>
          <cell r="BN387">
            <v>3</v>
          </cell>
          <cell r="BO387" t="str">
            <v/>
          </cell>
          <cell r="BP387">
            <v>3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 t="str">
            <v/>
          </cell>
          <cell r="BV387">
            <v>3</v>
          </cell>
          <cell r="BW387">
            <v>5</v>
          </cell>
          <cell r="BX387" t="str">
            <v>DOWNGRADE</v>
          </cell>
          <cell r="BY387" t="str">
            <v>RESET</v>
          </cell>
        </row>
        <row r="388">
          <cell r="A388" t="str">
            <v>A1459</v>
          </cell>
          <cell r="B388" t="str">
            <v>AGUNG NURSUFA IMADUDIN</v>
          </cell>
          <cell r="C388" t="str">
            <v>DELTA</v>
          </cell>
          <cell r="D388">
            <v>45489</v>
          </cell>
          <cell r="E388" t="str">
            <v>Jul-24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 t="str">
            <v>-</v>
          </cell>
          <cell r="AQ388" t="str">
            <v>-</v>
          </cell>
          <cell r="AR388" t="str">
            <v>-</v>
          </cell>
          <cell r="AS388" t="str">
            <v>-</v>
          </cell>
          <cell r="AT388" t="str">
            <v>-</v>
          </cell>
          <cell r="AU388" t="str">
            <v>-</v>
          </cell>
          <cell r="AV388" t="str">
            <v/>
          </cell>
          <cell r="AW388">
            <v>13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13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 t="str">
            <v/>
          </cell>
          <cell r="BH388">
            <v>13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 t="str">
            <v/>
          </cell>
          <cell r="BN388">
            <v>13</v>
          </cell>
          <cell r="BO388" t="str">
            <v/>
          </cell>
          <cell r="BP388">
            <v>13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 t="str">
            <v/>
          </cell>
          <cell r="BV388">
            <v>13</v>
          </cell>
          <cell r="BW388">
            <v>5</v>
          </cell>
          <cell r="BX388" t="str">
            <v>DOWNGRADE</v>
          </cell>
          <cell r="BY388" t="str">
            <v>RESET</v>
          </cell>
        </row>
        <row r="389">
          <cell r="A389" t="str">
            <v>A4148</v>
          </cell>
          <cell r="B389" t="str">
            <v>STANISLAV BRIAN</v>
          </cell>
          <cell r="C389" t="str">
            <v>DELTA</v>
          </cell>
          <cell r="D389">
            <v>45489</v>
          </cell>
          <cell r="E389" t="str">
            <v>Jul-24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 t="str">
            <v>-</v>
          </cell>
          <cell r="AQ389" t="str">
            <v>-</v>
          </cell>
          <cell r="AR389" t="str">
            <v>-</v>
          </cell>
          <cell r="AS389" t="str">
            <v>-</v>
          </cell>
          <cell r="AT389" t="str">
            <v>-</v>
          </cell>
          <cell r="AU389" t="str">
            <v>-</v>
          </cell>
          <cell r="AV389" t="str">
            <v/>
          </cell>
          <cell r="AW389">
            <v>9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9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 t="str">
            <v/>
          </cell>
          <cell r="BH389">
            <v>9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 t="str">
            <v/>
          </cell>
          <cell r="BN389">
            <v>9</v>
          </cell>
          <cell r="BO389" t="str">
            <v/>
          </cell>
          <cell r="BP389">
            <v>9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 t="str">
            <v/>
          </cell>
          <cell r="BV389">
            <v>9</v>
          </cell>
          <cell r="BW389">
            <v>5</v>
          </cell>
          <cell r="BX389" t="str">
            <v>DOWNGRADE</v>
          </cell>
          <cell r="BY389" t="str">
            <v>RESET</v>
          </cell>
        </row>
        <row r="390">
          <cell r="A390" t="str">
            <v>A4149</v>
          </cell>
          <cell r="B390" t="str">
            <v>ILYAS ROSYID</v>
          </cell>
          <cell r="C390" t="str">
            <v>DELTA</v>
          </cell>
          <cell r="D390">
            <v>45489</v>
          </cell>
          <cell r="E390" t="str">
            <v>Jul-24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 t="str">
            <v>-</v>
          </cell>
          <cell r="AQ390" t="str">
            <v>-</v>
          </cell>
          <cell r="AR390" t="str">
            <v>REGULER</v>
          </cell>
          <cell r="AS390" t="str">
            <v>-</v>
          </cell>
          <cell r="AT390" t="str">
            <v>-</v>
          </cell>
          <cell r="AU390" t="str">
            <v>REGULER</v>
          </cell>
          <cell r="AV390" t="str">
            <v/>
          </cell>
          <cell r="AW390">
            <v>19</v>
          </cell>
          <cell r="AX390">
            <v>39</v>
          </cell>
          <cell r="AY390">
            <v>0</v>
          </cell>
          <cell r="AZ390">
            <v>0</v>
          </cell>
          <cell r="BA390">
            <v>2</v>
          </cell>
          <cell r="BB390">
            <v>19</v>
          </cell>
          <cell r="BC390">
            <v>39</v>
          </cell>
          <cell r="BD390">
            <v>0</v>
          </cell>
          <cell r="BE390">
            <v>0</v>
          </cell>
          <cell r="BF390">
            <v>2</v>
          </cell>
          <cell r="BG390" t="str">
            <v/>
          </cell>
          <cell r="BH390">
            <v>19</v>
          </cell>
          <cell r="BI390">
            <v>39</v>
          </cell>
          <cell r="BJ390">
            <v>0</v>
          </cell>
          <cell r="BK390">
            <v>0</v>
          </cell>
          <cell r="BL390">
            <v>2</v>
          </cell>
          <cell r="BM390" t="str">
            <v/>
          </cell>
          <cell r="BN390">
            <v>60</v>
          </cell>
          <cell r="BO390" t="str">
            <v/>
          </cell>
          <cell r="BP390">
            <v>19</v>
          </cell>
          <cell r="BQ390">
            <v>39</v>
          </cell>
          <cell r="BR390">
            <v>0</v>
          </cell>
          <cell r="BS390">
            <v>0</v>
          </cell>
          <cell r="BT390">
            <v>2</v>
          </cell>
          <cell r="BU390" t="str">
            <v/>
          </cell>
          <cell r="BV390">
            <v>60</v>
          </cell>
          <cell r="BW390">
            <v>3</v>
          </cell>
          <cell r="BX390" t="str">
            <v>DOWNGRADE</v>
          </cell>
          <cell r="BY390" t="str">
            <v>TIDAK</v>
          </cell>
        </row>
        <row r="391">
          <cell r="A391" t="str">
            <v>A4150</v>
          </cell>
          <cell r="B391" t="str">
            <v>FERDINANDUS KOTEN</v>
          </cell>
          <cell r="C391" t="str">
            <v>DELTA</v>
          </cell>
          <cell r="D391">
            <v>45489</v>
          </cell>
          <cell r="E391" t="str">
            <v>Jul-24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 t="str">
            <v>-</v>
          </cell>
          <cell r="AQ391" t="str">
            <v>-</v>
          </cell>
          <cell r="AR391" t="str">
            <v>REGULER</v>
          </cell>
          <cell r="AS391" t="str">
            <v>REGULER</v>
          </cell>
          <cell r="AT391" t="str">
            <v>-</v>
          </cell>
          <cell r="AU391" t="str">
            <v>-</v>
          </cell>
          <cell r="AV391" t="str">
            <v/>
          </cell>
          <cell r="AW391">
            <v>18</v>
          </cell>
          <cell r="AX391">
            <v>9</v>
          </cell>
          <cell r="AY391">
            <v>1</v>
          </cell>
          <cell r="AZ391">
            <v>0</v>
          </cell>
          <cell r="BA391">
            <v>0</v>
          </cell>
          <cell r="BB391">
            <v>18</v>
          </cell>
          <cell r="BC391">
            <v>9</v>
          </cell>
          <cell r="BD391">
            <v>1</v>
          </cell>
          <cell r="BE391">
            <v>0</v>
          </cell>
          <cell r="BF391">
            <v>0</v>
          </cell>
          <cell r="BG391" t="str">
            <v/>
          </cell>
          <cell r="BH391">
            <v>18</v>
          </cell>
          <cell r="BI391">
            <v>9</v>
          </cell>
          <cell r="BJ391">
            <v>1</v>
          </cell>
          <cell r="BK391">
            <v>0</v>
          </cell>
          <cell r="BL391">
            <v>0</v>
          </cell>
          <cell r="BM391" t="str">
            <v/>
          </cell>
          <cell r="BN391">
            <v>28</v>
          </cell>
          <cell r="BO391" t="str">
            <v/>
          </cell>
          <cell r="BP391">
            <v>18</v>
          </cell>
          <cell r="BQ391">
            <v>9</v>
          </cell>
          <cell r="BR391">
            <v>1</v>
          </cell>
          <cell r="BS391">
            <v>0</v>
          </cell>
          <cell r="BT391">
            <v>0</v>
          </cell>
          <cell r="BU391" t="str">
            <v/>
          </cell>
          <cell r="BV391">
            <v>28</v>
          </cell>
          <cell r="BW391">
            <v>3</v>
          </cell>
          <cell r="BX391" t="str">
            <v>DOWNGRADE</v>
          </cell>
          <cell r="BY391" t="str">
            <v>RESET</v>
          </cell>
        </row>
        <row r="392">
          <cell r="A392" t="str">
            <v>A4151</v>
          </cell>
          <cell r="B392" t="str">
            <v>TRI UTARI</v>
          </cell>
          <cell r="C392" t="str">
            <v>DELTA</v>
          </cell>
          <cell r="D392">
            <v>45492</v>
          </cell>
          <cell r="E392" t="str">
            <v>Jul-24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 t="str">
            <v>-</v>
          </cell>
          <cell r="AQ392" t="str">
            <v>-</v>
          </cell>
          <cell r="AR392" t="str">
            <v>REGULER</v>
          </cell>
          <cell r="AS392" t="str">
            <v>REGULER</v>
          </cell>
          <cell r="AT392" t="str">
            <v>-</v>
          </cell>
          <cell r="AU392" t="str">
            <v>-</v>
          </cell>
          <cell r="AV392" t="str">
            <v/>
          </cell>
          <cell r="AW392">
            <v>6</v>
          </cell>
          <cell r="AX392">
            <v>19</v>
          </cell>
          <cell r="AY392">
            <v>21</v>
          </cell>
          <cell r="AZ392">
            <v>0</v>
          </cell>
          <cell r="BA392">
            <v>0</v>
          </cell>
          <cell r="BB392">
            <v>6</v>
          </cell>
          <cell r="BC392">
            <v>19</v>
          </cell>
          <cell r="BD392">
            <v>21</v>
          </cell>
          <cell r="BE392">
            <v>0</v>
          </cell>
          <cell r="BF392">
            <v>0</v>
          </cell>
          <cell r="BG392" t="str">
            <v/>
          </cell>
          <cell r="BH392">
            <v>6</v>
          </cell>
          <cell r="BI392">
            <v>19</v>
          </cell>
          <cell r="BJ392">
            <v>21</v>
          </cell>
          <cell r="BK392">
            <v>0</v>
          </cell>
          <cell r="BL392">
            <v>0</v>
          </cell>
          <cell r="BM392" t="str">
            <v/>
          </cell>
          <cell r="BN392">
            <v>46</v>
          </cell>
          <cell r="BO392" t="str">
            <v/>
          </cell>
          <cell r="BP392">
            <v>6</v>
          </cell>
          <cell r="BQ392">
            <v>19</v>
          </cell>
          <cell r="BR392">
            <v>21</v>
          </cell>
          <cell r="BS392">
            <v>0</v>
          </cell>
          <cell r="BT392">
            <v>0</v>
          </cell>
          <cell r="BU392" t="str">
            <v/>
          </cell>
          <cell r="BV392">
            <v>46</v>
          </cell>
          <cell r="BW392">
            <v>3</v>
          </cell>
          <cell r="BX392" t="str">
            <v>DOWNGRADE</v>
          </cell>
          <cell r="BY392" t="str">
            <v>RESET</v>
          </cell>
        </row>
        <row r="393">
          <cell r="A393" t="str">
            <v>A4152</v>
          </cell>
          <cell r="B393" t="str">
            <v>KAMAL MAULANA RAMADHAN</v>
          </cell>
          <cell r="C393" t="str">
            <v>DELTA</v>
          </cell>
          <cell r="D393">
            <v>45489</v>
          </cell>
          <cell r="E393" t="str">
            <v>Jul-24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 t="str">
            <v>-</v>
          </cell>
          <cell r="AQ393" t="str">
            <v>-</v>
          </cell>
          <cell r="AR393" t="str">
            <v>REGULER</v>
          </cell>
          <cell r="AS393" t="str">
            <v>REGULER</v>
          </cell>
          <cell r="AT393" t="str">
            <v>REGULER</v>
          </cell>
          <cell r="AU393" t="str">
            <v>REGULER</v>
          </cell>
          <cell r="AV393" t="str">
            <v/>
          </cell>
          <cell r="AW393">
            <v>24</v>
          </cell>
          <cell r="AX393">
            <v>44</v>
          </cell>
          <cell r="AY393">
            <v>41</v>
          </cell>
          <cell r="AZ393">
            <v>40</v>
          </cell>
          <cell r="BA393">
            <v>32</v>
          </cell>
          <cell r="BB393">
            <v>24</v>
          </cell>
          <cell r="BC393">
            <v>44</v>
          </cell>
          <cell r="BD393">
            <v>41</v>
          </cell>
          <cell r="BE393">
            <v>40</v>
          </cell>
          <cell r="BF393">
            <v>32</v>
          </cell>
          <cell r="BG393" t="str">
            <v/>
          </cell>
          <cell r="BH393">
            <v>24</v>
          </cell>
          <cell r="BI393">
            <v>44</v>
          </cell>
          <cell r="BJ393">
            <v>41</v>
          </cell>
          <cell r="BK393">
            <v>40</v>
          </cell>
          <cell r="BL393">
            <v>32</v>
          </cell>
          <cell r="BM393">
            <v>21</v>
          </cell>
          <cell r="BN393">
            <v>202</v>
          </cell>
          <cell r="BO393" t="str">
            <v/>
          </cell>
          <cell r="BP393">
            <v>24</v>
          </cell>
          <cell r="BQ393">
            <v>44</v>
          </cell>
          <cell r="BR393">
            <v>41</v>
          </cell>
          <cell r="BS393">
            <v>40</v>
          </cell>
          <cell r="BT393">
            <v>32</v>
          </cell>
          <cell r="BU393">
            <v>21</v>
          </cell>
          <cell r="BV393">
            <v>202</v>
          </cell>
          <cell r="BW393">
            <v>0</v>
          </cell>
          <cell r="BX393" t="str">
            <v>TIDAK</v>
          </cell>
          <cell r="BY393" t="str">
            <v>TIDAK</v>
          </cell>
        </row>
        <row r="394">
          <cell r="A394" t="str">
            <v>A4153</v>
          </cell>
          <cell r="B394" t="str">
            <v>ZAKKIYAH WULANDARI NUGRAHA</v>
          </cell>
          <cell r="C394" t="str">
            <v>DELTA</v>
          </cell>
          <cell r="D394">
            <v>45489</v>
          </cell>
          <cell r="E394" t="str">
            <v>Jul-24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 t="str">
            <v>-</v>
          </cell>
          <cell r="AQ394" t="str">
            <v>-</v>
          </cell>
          <cell r="AR394" t="str">
            <v>REGULER</v>
          </cell>
          <cell r="AS394" t="str">
            <v>REGULER</v>
          </cell>
          <cell r="AT394" t="str">
            <v>-</v>
          </cell>
          <cell r="AU394" t="str">
            <v>REGULER</v>
          </cell>
          <cell r="AV394" t="str">
            <v/>
          </cell>
          <cell r="AW394">
            <v>20</v>
          </cell>
          <cell r="AX394">
            <v>35</v>
          </cell>
          <cell r="AY394">
            <v>32</v>
          </cell>
          <cell r="AZ394">
            <v>0</v>
          </cell>
          <cell r="BA394">
            <v>1</v>
          </cell>
          <cell r="BB394">
            <v>20</v>
          </cell>
          <cell r="BC394">
            <v>35</v>
          </cell>
          <cell r="BD394">
            <v>32</v>
          </cell>
          <cell r="BE394">
            <v>0</v>
          </cell>
          <cell r="BF394">
            <v>1</v>
          </cell>
          <cell r="BG394" t="str">
            <v/>
          </cell>
          <cell r="BH394">
            <v>20</v>
          </cell>
          <cell r="BI394">
            <v>35</v>
          </cell>
          <cell r="BJ394">
            <v>32</v>
          </cell>
          <cell r="BK394">
            <v>0</v>
          </cell>
          <cell r="BL394">
            <v>1</v>
          </cell>
          <cell r="BM394">
            <v>1</v>
          </cell>
          <cell r="BN394">
            <v>89</v>
          </cell>
          <cell r="BO394" t="str">
            <v/>
          </cell>
          <cell r="BP394">
            <v>20</v>
          </cell>
          <cell r="BQ394">
            <v>35</v>
          </cell>
          <cell r="BR394">
            <v>32</v>
          </cell>
          <cell r="BS394">
            <v>0</v>
          </cell>
          <cell r="BT394">
            <v>1</v>
          </cell>
          <cell r="BU394">
            <v>1</v>
          </cell>
          <cell r="BV394">
            <v>89</v>
          </cell>
          <cell r="BW394">
            <v>1</v>
          </cell>
          <cell r="BX394" t="str">
            <v>TIDAK</v>
          </cell>
          <cell r="BY394" t="str">
            <v>TIDAK</v>
          </cell>
        </row>
        <row r="395">
          <cell r="A395" t="str">
            <v>A4181</v>
          </cell>
          <cell r="B395" t="str">
            <v>RISA OKTAVIANI</v>
          </cell>
          <cell r="C395" t="str">
            <v>DELTA</v>
          </cell>
          <cell r="D395">
            <v>45520</v>
          </cell>
          <cell r="E395" t="str">
            <v>Aug-24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 t="str">
            <v>-</v>
          </cell>
          <cell r="AQ395" t="str">
            <v>-</v>
          </cell>
          <cell r="AR395" t="str">
            <v>REGULER</v>
          </cell>
          <cell r="AS395" t="str">
            <v>REGULER</v>
          </cell>
          <cell r="AT395" t="str">
            <v>REGULER</v>
          </cell>
          <cell r="AU395" t="str">
            <v>-</v>
          </cell>
          <cell r="AV395" t="str">
            <v/>
          </cell>
          <cell r="AW395">
            <v>0</v>
          </cell>
          <cell r="AX395">
            <v>12</v>
          </cell>
          <cell r="AY395">
            <v>7</v>
          </cell>
          <cell r="AZ395">
            <v>6</v>
          </cell>
          <cell r="BA395">
            <v>0</v>
          </cell>
          <cell r="BB395">
            <v>0</v>
          </cell>
          <cell r="BC395">
            <v>12</v>
          </cell>
          <cell r="BD395">
            <v>7</v>
          </cell>
          <cell r="BE395">
            <v>6</v>
          </cell>
          <cell r="BF395">
            <v>0</v>
          </cell>
          <cell r="BG395" t="str">
            <v/>
          </cell>
          <cell r="BH395">
            <v>0</v>
          </cell>
          <cell r="BI395">
            <v>12</v>
          </cell>
          <cell r="BJ395">
            <v>7</v>
          </cell>
          <cell r="BK395">
            <v>6</v>
          </cell>
          <cell r="BL395">
            <v>0</v>
          </cell>
          <cell r="BM395" t="str">
            <v/>
          </cell>
          <cell r="BN395">
            <v>25</v>
          </cell>
          <cell r="BO395" t="str">
            <v/>
          </cell>
          <cell r="BP395">
            <v>0</v>
          </cell>
          <cell r="BQ395">
            <v>12</v>
          </cell>
          <cell r="BR395">
            <v>7</v>
          </cell>
          <cell r="BS395">
            <v>6</v>
          </cell>
          <cell r="BT395">
            <v>0</v>
          </cell>
          <cell r="BU395" t="str">
            <v/>
          </cell>
          <cell r="BV395">
            <v>25</v>
          </cell>
          <cell r="BW395">
            <v>2</v>
          </cell>
          <cell r="BX395" t="str">
            <v>TIDAK</v>
          </cell>
          <cell r="BY395" t="str">
            <v>TIDAK</v>
          </cell>
        </row>
        <row r="396">
          <cell r="A396" t="str">
            <v>A4182</v>
          </cell>
          <cell r="B396" t="str">
            <v>SAULINA PURBA</v>
          </cell>
          <cell r="C396" t="str">
            <v>DELTA</v>
          </cell>
          <cell r="D396">
            <v>45520</v>
          </cell>
          <cell r="E396" t="str">
            <v>Aug-24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 t="str">
            <v>-</v>
          </cell>
          <cell r="AQ396" t="str">
            <v>-</v>
          </cell>
          <cell r="AR396" t="str">
            <v>REGULER</v>
          </cell>
          <cell r="AS396" t="str">
            <v>REGULER</v>
          </cell>
          <cell r="AT396" t="str">
            <v>-</v>
          </cell>
          <cell r="AU396" t="str">
            <v>-</v>
          </cell>
          <cell r="AV396" t="str">
            <v/>
          </cell>
          <cell r="AW396">
            <v>0</v>
          </cell>
          <cell r="AX396">
            <v>21</v>
          </cell>
          <cell r="AY396">
            <v>8</v>
          </cell>
          <cell r="AZ396">
            <v>0</v>
          </cell>
          <cell r="BA396">
            <v>0</v>
          </cell>
          <cell r="BB396">
            <v>0</v>
          </cell>
          <cell r="BC396">
            <v>21</v>
          </cell>
          <cell r="BD396">
            <v>8</v>
          </cell>
          <cell r="BE396">
            <v>0</v>
          </cell>
          <cell r="BF396">
            <v>0</v>
          </cell>
          <cell r="BG396" t="str">
            <v/>
          </cell>
          <cell r="BH396">
            <v>0</v>
          </cell>
          <cell r="BI396">
            <v>21</v>
          </cell>
          <cell r="BJ396">
            <v>8</v>
          </cell>
          <cell r="BK396">
            <v>0</v>
          </cell>
          <cell r="BL396">
            <v>0</v>
          </cell>
          <cell r="BM396" t="str">
            <v/>
          </cell>
          <cell r="BN396">
            <v>29</v>
          </cell>
          <cell r="BO396" t="str">
            <v/>
          </cell>
          <cell r="BP396">
            <v>0</v>
          </cell>
          <cell r="BQ396">
            <v>21</v>
          </cell>
          <cell r="BR396">
            <v>8</v>
          </cell>
          <cell r="BS396">
            <v>0</v>
          </cell>
          <cell r="BT396">
            <v>0</v>
          </cell>
          <cell r="BU396" t="str">
            <v/>
          </cell>
          <cell r="BV396">
            <v>29</v>
          </cell>
          <cell r="BW396">
            <v>3</v>
          </cell>
          <cell r="BX396" t="str">
            <v>DOWNGRADE</v>
          </cell>
          <cell r="BY396" t="str">
            <v>RESET</v>
          </cell>
        </row>
        <row r="397">
          <cell r="A397" t="str">
            <v>A4188</v>
          </cell>
          <cell r="B397" t="str">
            <v>NOVA SANDA</v>
          </cell>
          <cell r="C397" t="str">
            <v>DELTA</v>
          </cell>
          <cell r="D397">
            <v>45523</v>
          </cell>
          <cell r="E397" t="str">
            <v>Aug-24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 t="str">
            <v>-</v>
          </cell>
          <cell r="AQ397" t="str">
            <v>-</v>
          </cell>
          <cell r="AR397" t="str">
            <v>REGULER</v>
          </cell>
          <cell r="AS397" t="str">
            <v>REGULER</v>
          </cell>
          <cell r="AT397" t="str">
            <v>-</v>
          </cell>
          <cell r="AU397" t="str">
            <v>REGULER</v>
          </cell>
          <cell r="AV397" t="str">
            <v/>
          </cell>
          <cell r="AW397">
            <v>0</v>
          </cell>
          <cell r="AX397">
            <v>5</v>
          </cell>
          <cell r="AY397">
            <v>2</v>
          </cell>
          <cell r="AZ397">
            <v>0</v>
          </cell>
          <cell r="BA397">
            <v>3</v>
          </cell>
          <cell r="BB397">
            <v>0</v>
          </cell>
          <cell r="BC397">
            <v>5</v>
          </cell>
          <cell r="BD397">
            <v>2</v>
          </cell>
          <cell r="BE397">
            <v>0</v>
          </cell>
          <cell r="BF397">
            <v>3</v>
          </cell>
          <cell r="BG397" t="str">
            <v/>
          </cell>
          <cell r="BH397">
            <v>0</v>
          </cell>
          <cell r="BI397">
            <v>5</v>
          </cell>
          <cell r="BJ397">
            <v>2</v>
          </cell>
          <cell r="BK397">
            <v>0</v>
          </cell>
          <cell r="BL397">
            <v>3</v>
          </cell>
          <cell r="BM397">
            <v>1</v>
          </cell>
          <cell r="BN397">
            <v>11</v>
          </cell>
          <cell r="BO397" t="str">
            <v/>
          </cell>
          <cell r="BP397">
            <v>0</v>
          </cell>
          <cell r="BQ397">
            <v>5</v>
          </cell>
          <cell r="BR397">
            <v>2</v>
          </cell>
          <cell r="BS397">
            <v>0</v>
          </cell>
          <cell r="BT397">
            <v>3</v>
          </cell>
          <cell r="BU397">
            <v>1</v>
          </cell>
          <cell r="BV397">
            <v>11</v>
          </cell>
          <cell r="BW397">
            <v>1</v>
          </cell>
          <cell r="BX397" t="str">
            <v>TIDAK</v>
          </cell>
          <cell r="BY397" t="str">
            <v>TIDAK</v>
          </cell>
        </row>
        <row r="398">
          <cell r="A398" t="str">
            <v>A4193</v>
          </cell>
          <cell r="B398" t="str">
            <v>MONJE ZERIKO SURBAKTI</v>
          </cell>
          <cell r="C398" t="str">
            <v>DELTA</v>
          </cell>
          <cell r="D398">
            <v>45520</v>
          </cell>
          <cell r="E398" t="str">
            <v>Aug-24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 t="str">
            <v>-</v>
          </cell>
          <cell r="AQ398" t="str">
            <v>-</v>
          </cell>
          <cell r="AR398" t="str">
            <v>REGULER</v>
          </cell>
          <cell r="AS398" t="str">
            <v>REGULER</v>
          </cell>
          <cell r="AT398" t="str">
            <v>REGULER</v>
          </cell>
          <cell r="AU398" t="str">
            <v>REGULER</v>
          </cell>
          <cell r="AV398" t="str">
            <v/>
          </cell>
          <cell r="AW398">
            <v>0</v>
          </cell>
          <cell r="AX398">
            <v>16</v>
          </cell>
          <cell r="AY398">
            <v>23</v>
          </cell>
          <cell r="AZ398">
            <v>31</v>
          </cell>
          <cell r="BA398">
            <v>28</v>
          </cell>
          <cell r="BB398">
            <v>0</v>
          </cell>
          <cell r="BC398">
            <v>16</v>
          </cell>
          <cell r="BD398">
            <v>23</v>
          </cell>
          <cell r="BE398">
            <v>31</v>
          </cell>
          <cell r="BF398">
            <v>28</v>
          </cell>
          <cell r="BG398" t="str">
            <v/>
          </cell>
          <cell r="BH398">
            <v>0</v>
          </cell>
          <cell r="BI398">
            <v>16</v>
          </cell>
          <cell r="BJ398">
            <v>23</v>
          </cell>
          <cell r="BK398">
            <v>31</v>
          </cell>
          <cell r="BL398">
            <v>28</v>
          </cell>
          <cell r="BM398">
            <v>7</v>
          </cell>
          <cell r="BN398">
            <v>105</v>
          </cell>
          <cell r="BO398" t="str">
            <v/>
          </cell>
          <cell r="BP398">
            <v>0</v>
          </cell>
          <cell r="BQ398">
            <v>16</v>
          </cell>
          <cell r="BR398">
            <v>23</v>
          </cell>
          <cell r="BS398">
            <v>31</v>
          </cell>
          <cell r="BT398">
            <v>28</v>
          </cell>
          <cell r="BU398">
            <v>7</v>
          </cell>
          <cell r="BV398">
            <v>105</v>
          </cell>
          <cell r="BW398">
            <v>0</v>
          </cell>
          <cell r="BX398" t="str">
            <v>TIDAK</v>
          </cell>
          <cell r="BY398" t="str">
            <v>TIDAK</v>
          </cell>
        </row>
        <row r="399">
          <cell r="A399" t="str">
            <v>A4194</v>
          </cell>
          <cell r="B399" t="str">
            <v>WISLY WISESA</v>
          </cell>
          <cell r="C399" t="str">
            <v>DELTA</v>
          </cell>
          <cell r="D399">
            <v>45525</v>
          </cell>
          <cell r="E399" t="str">
            <v>Aug-24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 t="str">
            <v>-</v>
          </cell>
          <cell r="AQ399" t="str">
            <v>-</v>
          </cell>
          <cell r="AR399" t="str">
            <v>REGULER</v>
          </cell>
          <cell r="AS399" t="str">
            <v>REGULER</v>
          </cell>
          <cell r="AT399" t="str">
            <v>REGULER</v>
          </cell>
          <cell r="AU399" t="str">
            <v>REGULER</v>
          </cell>
          <cell r="AV399" t="str">
            <v/>
          </cell>
          <cell r="AW399">
            <v>0</v>
          </cell>
          <cell r="AX399">
            <v>6</v>
          </cell>
          <cell r="AY399">
            <v>4</v>
          </cell>
          <cell r="AZ399">
            <v>1</v>
          </cell>
          <cell r="BA399">
            <v>7</v>
          </cell>
          <cell r="BB399">
            <v>0</v>
          </cell>
          <cell r="BC399">
            <v>6</v>
          </cell>
          <cell r="BD399">
            <v>4</v>
          </cell>
          <cell r="BE399">
            <v>1</v>
          </cell>
          <cell r="BF399">
            <v>7</v>
          </cell>
          <cell r="BG399" t="str">
            <v/>
          </cell>
          <cell r="BH399">
            <v>0</v>
          </cell>
          <cell r="BI399">
            <v>6</v>
          </cell>
          <cell r="BJ399">
            <v>4</v>
          </cell>
          <cell r="BK399">
            <v>1</v>
          </cell>
          <cell r="BL399">
            <v>7</v>
          </cell>
          <cell r="BM399">
            <v>8</v>
          </cell>
          <cell r="BN399">
            <v>26</v>
          </cell>
          <cell r="BO399" t="str">
            <v/>
          </cell>
          <cell r="BP399">
            <v>0</v>
          </cell>
          <cell r="BQ399">
            <v>6</v>
          </cell>
          <cell r="BR399">
            <v>4</v>
          </cell>
          <cell r="BS399">
            <v>1</v>
          </cell>
          <cell r="BT399">
            <v>7</v>
          </cell>
          <cell r="BU399">
            <v>8</v>
          </cell>
          <cell r="BV399">
            <v>26</v>
          </cell>
          <cell r="BW399">
            <v>0</v>
          </cell>
          <cell r="BX399" t="str">
            <v>TIDAK</v>
          </cell>
          <cell r="BY399" t="str">
            <v>TIDAK</v>
          </cell>
        </row>
        <row r="400">
          <cell r="A400" t="str">
            <v>A4215</v>
          </cell>
          <cell r="B400" t="str">
            <v>NADA HAMIDA</v>
          </cell>
          <cell r="C400" t="str">
            <v>DELTA</v>
          </cell>
          <cell r="D400">
            <v>45533</v>
          </cell>
          <cell r="E400" t="str">
            <v>Aug-24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 t="str">
            <v>-</v>
          </cell>
          <cell r="AQ400" t="str">
            <v>-</v>
          </cell>
          <cell r="AR400" t="str">
            <v>REGULER</v>
          </cell>
          <cell r="AS400" t="str">
            <v>REGULER</v>
          </cell>
          <cell r="AT400" t="str">
            <v>REGULER</v>
          </cell>
          <cell r="AU400" t="str">
            <v>REGULER</v>
          </cell>
          <cell r="AV400" t="str">
            <v/>
          </cell>
          <cell r="AW400">
            <v>0</v>
          </cell>
          <cell r="AX400">
            <v>5</v>
          </cell>
          <cell r="AY400">
            <v>16</v>
          </cell>
          <cell r="AZ400">
            <v>29</v>
          </cell>
          <cell r="BA400">
            <v>13</v>
          </cell>
          <cell r="BB400">
            <v>0</v>
          </cell>
          <cell r="BC400">
            <v>5</v>
          </cell>
          <cell r="BD400">
            <v>16</v>
          </cell>
          <cell r="BE400">
            <v>29</v>
          </cell>
          <cell r="BF400">
            <v>13</v>
          </cell>
          <cell r="BG400" t="str">
            <v/>
          </cell>
          <cell r="BH400">
            <v>0</v>
          </cell>
          <cell r="BI400">
            <v>5</v>
          </cell>
          <cell r="BJ400">
            <v>16</v>
          </cell>
          <cell r="BK400">
            <v>29</v>
          </cell>
          <cell r="BL400">
            <v>13</v>
          </cell>
          <cell r="BM400" t="str">
            <v/>
          </cell>
          <cell r="BN400">
            <v>63</v>
          </cell>
          <cell r="BO400" t="str">
            <v/>
          </cell>
          <cell r="BP400">
            <v>0</v>
          </cell>
          <cell r="BQ400">
            <v>5</v>
          </cell>
          <cell r="BR400">
            <v>16</v>
          </cell>
          <cell r="BS400">
            <v>29</v>
          </cell>
          <cell r="BT400">
            <v>13</v>
          </cell>
          <cell r="BU400" t="str">
            <v/>
          </cell>
          <cell r="BV400">
            <v>63</v>
          </cell>
          <cell r="BW400">
            <v>1</v>
          </cell>
          <cell r="BX400" t="str">
            <v>TIDAK</v>
          </cell>
          <cell r="BY400" t="str">
            <v>TIDAK</v>
          </cell>
        </row>
        <row r="401">
          <cell r="A401" t="str">
            <v>A4198</v>
          </cell>
          <cell r="B401" t="str">
            <v>INDAH SUBRINA BR SURBAKTI</v>
          </cell>
          <cell r="C401" t="str">
            <v>DELTA</v>
          </cell>
          <cell r="D401">
            <v>45523</v>
          </cell>
          <cell r="E401" t="str">
            <v>Aug-24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 t="str">
            <v>-</v>
          </cell>
          <cell r="AQ401" t="str">
            <v>-</v>
          </cell>
          <cell r="AR401" t="str">
            <v>REGULER</v>
          </cell>
          <cell r="AS401" t="str">
            <v>-</v>
          </cell>
          <cell r="AT401" t="str">
            <v>-</v>
          </cell>
          <cell r="AU401" t="str">
            <v>-</v>
          </cell>
          <cell r="AV401" t="str">
            <v/>
          </cell>
          <cell r="AW401">
            <v>0</v>
          </cell>
          <cell r="AX401">
            <v>1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1</v>
          </cell>
          <cell r="BD401">
            <v>0</v>
          </cell>
          <cell r="BE401">
            <v>0</v>
          </cell>
          <cell r="BF401">
            <v>0</v>
          </cell>
          <cell r="BG401" t="str">
            <v/>
          </cell>
          <cell r="BH401">
            <v>0</v>
          </cell>
          <cell r="BI401">
            <v>1</v>
          </cell>
          <cell r="BJ401">
            <v>0</v>
          </cell>
          <cell r="BK401">
            <v>0</v>
          </cell>
          <cell r="BL401">
            <v>0</v>
          </cell>
          <cell r="BM401" t="str">
            <v/>
          </cell>
          <cell r="BN401">
            <v>1</v>
          </cell>
          <cell r="BO401" t="str">
            <v/>
          </cell>
          <cell r="BP401">
            <v>0</v>
          </cell>
          <cell r="BQ401">
            <v>1</v>
          </cell>
          <cell r="BR401">
            <v>0</v>
          </cell>
          <cell r="BS401">
            <v>0</v>
          </cell>
          <cell r="BT401">
            <v>0</v>
          </cell>
          <cell r="BU401" t="str">
            <v/>
          </cell>
          <cell r="BV401">
            <v>1</v>
          </cell>
          <cell r="BW401">
            <v>4</v>
          </cell>
          <cell r="BX401" t="str">
            <v>DOWNGRADE</v>
          </cell>
          <cell r="BY401" t="str">
            <v>RESET</v>
          </cell>
        </row>
        <row r="402">
          <cell r="A402" t="str">
            <v>A4178</v>
          </cell>
          <cell r="B402" t="str">
            <v>AMALIA YUANITA AINI</v>
          </cell>
          <cell r="C402" t="str">
            <v>DELTA</v>
          </cell>
          <cell r="D402">
            <v>45512</v>
          </cell>
          <cell r="E402" t="str">
            <v>Aug-24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 t="str">
            <v>-</v>
          </cell>
          <cell r="AQ402" t="str">
            <v>-</v>
          </cell>
          <cell r="AR402" t="str">
            <v>REGULER</v>
          </cell>
          <cell r="AS402" t="str">
            <v>-</v>
          </cell>
          <cell r="AT402" t="str">
            <v>-</v>
          </cell>
          <cell r="AU402" t="str">
            <v>-</v>
          </cell>
          <cell r="AV402" t="str">
            <v/>
          </cell>
          <cell r="AW402">
            <v>0</v>
          </cell>
          <cell r="AX402">
            <v>19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19</v>
          </cell>
          <cell r="BD402">
            <v>0</v>
          </cell>
          <cell r="BE402">
            <v>0</v>
          </cell>
          <cell r="BF402">
            <v>0</v>
          </cell>
          <cell r="BG402" t="str">
            <v/>
          </cell>
          <cell r="BH402">
            <v>0</v>
          </cell>
          <cell r="BI402">
            <v>19</v>
          </cell>
          <cell r="BJ402">
            <v>0</v>
          </cell>
          <cell r="BK402">
            <v>0</v>
          </cell>
          <cell r="BL402">
            <v>0</v>
          </cell>
          <cell r="BM402" t="str">
            <v/>
          </cell>
          <cell r="BN402">
            <v>19</v>
          </cell>
          <cell r="BO402" t="str">
            <v/>
          </cell>
          <cell r="BP402">
            <v>0</v>
          </cell>
          <cell r="BQ402">
            <v>19</v>
          </cell>
          <cell r="BR402">
            <v>0</v>
          </cell>
          <cell r="BS402">
            <v>0</v>
          </cell>
          <cell r="BT402">
            <v>0</v>
          </cell>
          <cell r="BU402" t="str">
            <v/>
          </cell>
          <cell r="BV402">
            <v>19</v>
          </cell>
          <cell r="BW402">
            <v>4</v>
          </cell>
          <cell r="BX402" t="str">
            <v>DOWNGRADE</v>
          </cell>
          <cell r="BY402" t="str">
            <v>RESET</v>
          </cell>
        </row>
        <row r="403">
          <cell r="A403" t="str">
            <v>A0303</v>
          </cell>
          <cell r="B403" t="str">
            <v>Novita Sari</v>
          </cell>
          <cell r="C403" t="str">
            <v>DELTA</v>
          </cell>
          <cell r="D403">
            <v>44839</v>
          </cell>
          <cell r="E403" t="str">
            <v>Oct-22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 t="str">
            <v>-</v>
          </cell>
          <cell r="AQ403" t="str">
            <v>-</v>
          </cell>
          <cell r="AR403" t="str">
            <v>-</v>
          </cell>
          <cell r="AS403" t="str">
            <v>REGULER</v>
          </cell>
          <cell r="AT403" t="str">
            <v>REGULER</v>
          </cell>
          <cell r="AU403" t="str">
            <v>REGULER</v>
          </cell>
          <cell r="AV403" t="str">
            <v/>
          </cell>
          <cell r="AW403">
            <v>0</v>
          </cell>
          <cell r="AX403">
            <v>0</v>
          </cell>
          <cell r="AY403">
            <v>24</v>
          </cell>
          <cell r="AZ403">
            <v>1</v>
          </cell>
          <cell r="BA403">
            <v>5</v>
          </cell>
          <cell r="BB403">
            <v>0</v>
          </cell>
          <cell r="BC403">
            <v>0</v>
          </cell>
          <cell r="BD403">
            <v>24</v>
          </cell>
          <cell r="BE403">
            <v>1</v>
          </cell>
          <cell r="BF403">
            <v>5</v>
          </cell>
          <cell r="BG403" t="str">
            <v/>
          </cell>
          <cell r="BH403">
            <v>0</v>
          </cell>
          <cell r="BI403">
            <v>0</v>
          </cell>
          <cell r="BJ403">
            <v>24</v>
          </cell>
          <cell r="BK403">
            <v>1</v>
          </cell>
          <cell r="BL403">
            <v>5</v>
          </cell>
          <cell r="BM403" t="str">
            <v/>
          </cell>
          <cell r="BN403">
            <v>30</v>
          </cell>
          <cell r="BO403" t="str">
            <v/>
          </cell>
          <cell r="BP403">
            <v>0</v>
          </cell>
          <cell r="BQ403">
            <v>0</v>
          </cell>
          <cell r="BR403">
            <v>24</v>
          </cell>
          <cell r="BS403">
            <v>1</v>
          </cell>
          <cell r="BT403">
            <v>5</v>
          </cell>
          <cell r="BU403" t="str">
            <v/>
          </cell>
          <cell r="BV403">
            <v>30</v>
          </cell>
          <cell r="BW403">
            <v>4</v>
          </cell>
          <cell r="BX403" t="str">
            <v>DOWNGRADE</v>
          </cell>
          <cell r="BY403" t="str">
            <v>RESET</v>
          </cell>
        </row>
        <row r="404">
          <cell r="A404" t="str">
            <v>A3380</v>
          </cell>
          <cell r="B404" t="str">
            <v>KRISNITA YULI YANI</v>
          </cell>
          <cell r="C404" t="str">
            <v>DELTA</v>
          </cell>
          <cell r="D404">
            <v>45538</v>
          </cell>
          <cell r="E404" t="str">
            <v>Sep-24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 t="str">
            <v>-</v>
          </cell>
          <cell r="AQ404" t="str">
            <v>-</v>
          </cell>
          <cell r="AR404" t="str">
            <v>-</v>
          </cell>
          <cell r="AS404" t="str">
            <v>REGULER</v>
          </cell>
          <cell r="AT404" t="str">
            <v>REGULER</v>
          </cell>
          <cell r="AU404" t="str">
            <v>REGULER</v>
          </cell>
          <cell r="AV404" t="str">
            <v/>
          </cell>
          <cell r="AW404">
            <v>0</v>
          </cell>
          <cell r="AX404">
            <v>0</v>
          </cell>
          <cell r="AY404">
            <v>26</v>
          </cell>
          <cell r="AZ404">
            <v>13</v>
          </cell>
          <cell r="BA404">
            <v>5</v>
          </cell>
          <cell r="BB404">
            <v>0</v>
          </cell>
          <cell r="BC404">
            <v>0</v>
          </cell>
          <cell r="BD404">
            <v>26</v>
          </cell>
          <cell r="BE404">
            <v>13</v>
          </cell>
          <cell r="BF404">
            <v>5</v>
          </cell>
          <cell r="BG404" t="str">
            <v/>
          </cell>
          <cell r="BH404">
            <v>0</v>
          </cell>
          <cell r="BI404">
            <v>0</v>
          </cell>
          <cell r="BJ404">
            <v>26</v>
          </cell>
          <cell r="BK404">
            <v>13</v>
          </cell>
          <cell r="BL404">
            <v>5</v>
          </cell>
          <cell r="BM404" t="str">
            <v/>
          </cell>
          <cell r="BN404">
            <v>44</v>
          </cell>
          <cell r="BO404" t="str">
            <v/>
          </cell>
          <cell r="BP404">
            <v>0</v>
          </cell>
          <cell r="BQ404">
            <v>0</v>
          </cell>
          <cell r="BR404">
            <v>26</v>
          </cell>
          <cell r="BS404">
            <v>13</v>
          </cell>
          <cell r="BT404">
            <v>5</v>
          </cell>
          <cell r="BU404" t="str">
            <v/>
          </cell>
          <cell r="BV404">
            <v>44</v>
          </cell>
          <cell r="BW404">
            <v>1</v>
          </cell>
          <cell r="BX404" t="str">
            <v>TIDAK</v>
          </cell>
          <cell r="BY404" t="str">
            <v>TIDAK</v>
          </cell>
        </row>
        <row r="405">
          <cell r="A405" t="str">
            <v>A4209</v>
          </cell>
          <cell r="B405" t="str">
            <v>ANTILTHA BAYU NUGRAHA</v>
          </cell>
          <cell r="C405" t="str">
            <v>DELTA</v>
          </cell>
          <cell r="D405">
            <v>45537</v>
          </cell>
          <cell r="E405" t="str">
            <v>Sep-24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 t="str">
            <v>-</v>
          </cell>
          <cell r="AQ405" t="str">
            <v>-</v>
          </cell>
          <cell r="AR405" t="str">
            <v>-</v>
          </cell>
          <cell r="AS405" t="str">
            <v>REGULER</v>
          </cell>
          <cell r="AT405" t="str">
            <v>REGULER</v>
          </cell>
          <cell r="AU405" t="str">
            <v>REGULER</v>
          </cell>
          <cell r="AV405" t="str">
            <v/>
          </cell>
          <cell r="AW405">
            <v>0</v>
          </cell>
          <cell r="AX405">
            <v>0</v>
          </cell>
          <cell r="AY405">
            <v>25</v>
          </cell>
          <cell r="AZ405">
            <v>26</v>
          </cell>
          <cell r="BA405">
            <v>23</v>
          </cell>
          <cell r="BB405">
            <v>0</v>
          </cell>
          <cell r="BC405">
            <v>0</v>
          </cell>
          <cell r="BD405">
            <v>25</v>
          </cell>
          <cell r="BE405">
            <v>26</v>
          </cell>
          <cell r="BF405">
            <v>23</v>
          </cell>
          <cell r="BG405" t="str">
            <v/>
          </cell>
          <cell r="BH405">
            <v>0</v>
          </cell>
          <cell r="BI405">
            <v>0</v>
          </cell>
          <cell r="BJ405">
            <v>25</v>
          </cell>
          <cell r="BK405">
            <v>26</v>
          </cell>
          <cell r="BL405">
            <v>23</v>
          </cell>
          <cell r="BM405">
            <v>9</v>
          </cell>
          <cell r="BN405">
            <v>83</v>
          </cell>
          <cell r="BO405" t="str">
            <v/>
          </cell>
          <cell r="BP405">
            <v>0</v>
          </cell>
          <cell r="BQ405">
            <v>0</v>
          </cell>
          <cell r="BR405">
            <v>25</v>
          </cell>
          <cell r="BS405">
            <v>26</v>
          </cell>
          <cell r="BT405">
            <v>23</v>
          </cell>
          <cell r="BU405">
            <v>9</v>
          </cell>
          <cell r="BV405">
            <v>83</v>
          </cell>
          <cell r="BW405">
            <v>0</v>
          </cell>
          <cell r="BX405" t="str">
            <v>TIDAK</v>
          </cell>
          <cell r="BY405" t="str">
            <v>TIDAK</v>
          </cell>
        </row>
        <row r="406">
          <cell r="A406" t="str">
            <v>A4211</v>
          </cell>
          <cell r="B406" t="str">
            <v>EASTIN SIMBOLON</v>
          </cell>
          <cell r="C406" t="str">
            <v>DELTA</v>
          </cell>
          <cell r="D406">
            <v>45538</v>
          </cell>
          <cell r="E406" t="str">
            <v>Sep-24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 t="str">
            <v>-</v>
          </cell>
          <cell r="AQ406" t="str">
            <v>-</v>
          </cell>
          <cell r="AR406" t="str">
            <v>-</v>
          </cell>
          <cell r="AS406" t="str">
            <v>REGULER</v>
          </cell>
          <cell r="AT406" t="str">
            <v>REGULER</v>
          </cell>
          <cell r="AU406" t="str">
            <v>REGULER</v>
          </cell>
          <cell r="AV406" t="str">
            <v/>
          </cell>
          <cell r="AW406">
            <v>0</v>
          </cell>
          <cell r="AX406">
            <v>0</v>
          </cell>
          <cell r="AY406">
            <v>12</v>
          </cell>
          <cell r="AZ406">
            <v>6</v>
          </cell>
          <cell r="BA406">
            <v>11</v>
          </cell>
          <cell r="BB406">
            <v>0</v>
          </cell>
          <cell r="BC406">
            <v>0</v>
          </cell>
          <cell r="BD406">
            <v>12</v>
          </cell>
          <cell r="BE406">
            <v>6</v>
          </cell>
          <cell r="BF406">
            <v>11</v>
          </cell>
          <cell r="BG406" t="str">
            <v/>
          </cell>
          <cell r="BH406">
            <v>0</v>
          </cell>
          <cell r="BI406">
            <v>0</v>
          </cell>
          <cell r="BJ406">
            <v>12</v>
          </cell>
          <cell r="BK406">
            <v>6</v>
          </cell>
          <cell r="BL406">
            <v>11</v>
          </cell>
          <cell r="BM406">
            <v>7</v>
          </cell>
          <cell r="BN406">
            <v>36</v>
          </cell>
          <cell r="BO406" t="str">
            <v/>
          </cell>
          <cell r="BP406">
            <v>0</v>
          </cell>
          <cell r="BQ406">
            <v>0</v>
          </cell>
          <cell r="BR406">
            <v>12</v>
          </cell>
          <cell r="BS406">
            <v>6</v>
          </cell>
          <cell r="BT406">
            <v>11</v>
          </cell>
          <cell r="BU406">
            <v>7</v>
          </cell>
          <cell r="BV406">
            <v>36</v>
          </cell>
          <cell r="BW406">
            <v>0</v>
          </cell>
          <cell r="BX406" t="str">
            <v>TIDAK</v>
          </cell>
          <cell r="BY406" t="str">
            <v>TIDAK</v>
          </cell>
        </row>
        <row r="407">
          <cell r="A407" t="str">
            <v>A4212</v>
          </cell>
          <cell r="B407" t="str">
            <v>ERMA WATI</v>
          </cell>
          <cell r="C407" t="str">
            <v>DELTA</v>
          </cell>
          <cell r="D407">
            <v>45537</v>
          </cell>
          <cell r="E407" t="str">
            <v>Sep-24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 t="str">
            <v>-</v>
          </cell>
          <cell r="AQ407" t="str">
            <v>-</v>
          </cell>
          <cell r="AR407" t="str">
            <v>-</v>
          </cell>
          <cell r="AS407" t="str">
            <v>REGULER</v>
          </cell>
          <cell r="AT407" t="str">
            <v>REGULER</v>
          </cell>
          <cell r="AU407" t="str">
            <v>-</v>
          </cell>
          <cell r="AV407" t="str">
            <v/>
          </cell>
          <cell r="AW407">
            <v>0</v>
          </cell>
          <cell r="AX407">
            <v>0</v>
          </cell>
          <cell r="AY407">
            <v>31</v>
          </cell>
          <cell r="AZ407">
            <v>26</v>
          </cell>
          <cell r="BA407">
            <v>0</v>
          </cell>
          <cell r="BB407">
            <v>0</v>
          </cell>
          <cell r="BC407">
            <v>0</v>
          </cell>
          <cell r="BD407">
            <v>31</v>
          </cell>
          <cell r="BE407">
            <v>26</v>
          </cell>
          <cell r="BF407">
            <v>0</v>
          </cell>
          <cell r="BG407" t="str">
            <v/>
          </cell>
          <cell r="BH407">
            <v>0</v>
          </cell>
          <cell r="BI407">
            <v>0</v>
          </cell>
          <cell r="BJ407">
            <v>31</v>
          </cell>
          <cell r="BK407">
            <v>26</v>
          </cell>
          <cell r="BL407">
            <v>0</v>
          </cell>
          <cell r="BM407" t="str">
            <v/>
          </cell>
          <cell r="BN407">
            <v>57</v>
          </cell>
          <cell r="BO407" t="str">
            <v/>
          </cell>
          <cell r="BP407">
            <v>0</v>
          </cell>
          <cell r="BQ407">
            <v>0</v>
          </cell>
          <cell r="BR407">
            <v>31</v>
          </cell>
          <cell r="BS407">
            <v>26</v>
          </cell>
          <cell r="BT407">
            <v>0</v>
          </cell>
          <cell r="BU407" t="str">
            <v/>
          </cell>
          <cell r="BV407">
            <v>57</v>
          </cell>
          <cell r="BW407">
            <v>2</v>
          </cell>
          <cell r="BX407" t="str">
            <v>TIDAK</v>
          </cell>
          <cell r="BY407" t="str">
            <v>TIDAK</v>
          </cell>
        </row>
        <row r="408">
          <cell r="A408" t="str">
            <v>A4214</v>
          </cell>
          <cell r="B408" t="str">
            <v>MUTIA ULFA</v>
          </cell>
          <cell r="C408" t="str">
            <v>DELTA</v>
          </cell>
          <cell r="D408">
            <v>45537</v>
          </cell>
          <cell r="E408" t="str">
            <v>Sep-24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 t="str">
            <v>-</v>
          </cell>
          <cell r="AQ408" t="str">
            <v>-</v>
          </cell>
          <cell r="AR408" t="str">
            <v>-</v>
          </cell>
          <cell r="AS408" t="str">
            <v>REGULER</v>
          </cell>
          <cell r="AT408" t="str">
            <v>REGULER</v>
          </cell>
          <cell r="AU408" t="str">
            <v>-</v>
          </cell>
          <cell r="AV408" t="str">
            <v/>
          </cell>
          <cell r="AW408">
            <v>0</v>
          </cell>
          <cell r="AX408">
            <v>0</v>
          </cell>
          <cell r="AY408">
            <v>20</v>
          </cell>
          <cell r="AZ408">
            <v>23</v>
          </cell>
          <cell r="BA408">
            <v>0</v>
          </cell>
          <cell r="BB408">
            <v>0</v>
          </cell>
          <cell r="BC408">
            <v>0</v>
          </cell>
          <cell r="BD408">
            <v>20</v>
          </cell>
          <cell r="BE408">
            <v>23</v>
          </cell>
          <cell r="BF408">
            <v>0</v>
          </cell>
          <cell r="BG408" t="str">
            <v/>
          </cell>
          <cell r="BH408">
            <v>0</v>
          </cell>
          <cell r="BI408">
            <v>0</v>
          </cell>
          <cell r="BJ408">
            <v>20</v>
          </cell>
          <cell r="BK408">
            <v>23</v>
          </cell>
          <cell r="BL408">
            <v>0</v>
          </cell>
          <cell r="BM408" t="str">
            <v/>
          </cell>
          <cell r="BN408">
            <v>43</v>
          </cell>
          <cell r="BO408" t="str">
            <v/>
          </cell>
          <cell r="BP408">
            <v>0</v>
          </cell>
          <cell r="BQ408">
            <v>0</v>
          </cell>
          <cell r="BR408">
            <v>20</v>
          </cell>
          <cell r="BS408">
            <v>23</v>
          </cell>
          <cell r="BT408">
            <v>0</v>
          </cell>
          <cell r="BU408" t="str">
            <v/>
          </cell>
          <cell r="BV408">
            <v>43</v>
          </cell>
          <cell r="BW408">
            <v>2</v>
          </cell>
          <cell r="BX408" t="str">
            <v>TIDAK</v>
          </cell>
          <cell r="BY408" t="str">
            <v>TIDAK</v>
          </cell>
        </row>
        <row r="409">
          <cell r="A409" t="str">
            <v>A4217</v>
          </cell>
          <cell r="B409" t="str">
            <v>ROFIYU ANGGRAINI</v>
          </cell>
          <cell r="C409" t="str">
            <v>DELTA</v>
          </cell>
          <cell r="D409">
            <v>45541</v>
          </cell>
          <cell r="E409" t="str">
            <v>Sep-24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 t="str">
            <v>-</v>
          </cell>
          <cell r="AQ409" t="str">
            <v>-</v>
          </cell>
          <cell r="AR409" t="str">
            <v>-</v>
          </cell>
          <cell r="AS409" t="str">
            <v>REGULER</v>
          </cell>
          <cell r="AT409" t="str">
            <v>REGULER</v>
          </cell>
          <cell r="AU409" t="str">
            <v>REGULER</v>
          </cell>
          <cell r="AV409" t="str">
            <v/>
          </cell>
          <cell r="AW409">
            <v>0</v>
          </cell>
          <cell r="AX409">
            <v>0</v>
          </cell>
          <cell r="AY409">
            <v>9</v>
          </cell>
          <cell r="AZ409">
            <v>10</v>
          </cell>
          <cell r="BA409">
            <v>36</v>
          </cell>
          <cell r="BB409">
            <v>0</v>
          </cell>
          <cell r="BC409">
            <v>0</v>
          </cell>
          <cell r="BD409">
            <v>9</v>
          </cell>
          <cell r="BE409">
            <v>10</v>
          </cell>
          <cell r="BF409">
            <v>36</v>
          </cell>
          <cell r="BG409" t="str">
            <v/>
          </cell>
          <cell r="BH409">
            <v>0</v>
          </cell>
          <cell r="BI409">
            <v>0</v>
          </cell>
          <cell r="BJ409">
            <v>9</v>
          </cell>
          <cell r="BK409">
            <v>10</v>
          </cell>
          <cell r="BL409">
            <v>36</v>
          </cell>
          <cell r="BM409">
            <v>21</v>
          </cell>
          <cell r="BN409">
            <v>76</v>
          </cell>
          <cell r="BO409" t="str">
            <v/>
          </cell>
          <cell r="BP409">
            <v>0</v>
          </cell>
          <cell r="BQ409">
            <v>0</v>
          </cell>
          <cell r="BR409">
            <v>9</v>
          </cell>
          <cell r="BS409">
            <v>10</v>
          </cell>
          <cell r="BT409">
            <v>36</v>
          </cell>
          <cell r="BU409">
            <v>21</v>
          </cell>
          <cell r="BV409">
            <v>76</v>
          </cell>
          <cell r="BW409">
            <v>0</v>
          </cell>
          <cell r="BX409" t="str">
            <v>TIDAK</v>
          </cell>
          <cell r="BY409" t="str">
            <v>TIDAK</v>
          </cell>
        </row>
        <row r="410">
          <cell r="A410" t="str">
            <v>A4231</v>
          </cell>
          <cell r="B410" t="str">
            <v>WAHYU RHAMADONI</v>
          </cell>
          <cell r="C410" t="str">
            <v>DELTA</v>
          </cell>
          <cell r="D410">
            <v>45539</v>
          </cell>
          <cell r="E410" t="str">
            <v>Sep-24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 t="str">
            <v>-</v>
          </cell>
          <cell r="AQ410" t="str">
            <v>-</v>
          </cell>
          <cell r="AR410" t="str">
            <v>-</v>
          </cell>
          <cell r="AS410" t="str">
            <v>REGULER</v>
          </cell>
          <cell r="AT410" t="str">
            <v>REGULER</v>
          </cell>
          <cell r="AU410" t="str">
            <v>-</v>
          </cell>
          <cell r="AV410" t="str">
            <v/>
          </cell>
          <cell r="AW410">
            <v>0</v>
          </cell>
          <cell r="AX410">
            <v>0</v>
          </cell>
          <cell r="AY410">
            <v>1</v>
          </cell>
          <cell r="AZ410">
            <v>2</v>
          </cell>
          <cell r="BA410">
            <v>0</v>
          </cell>
          <cell r="BB410">
            <v>0</v>
          </cell>
          <cell r="BC410">
            <v>0</v>
          </cell>
          <cell r="BD410">
            <v>1</v>
          </cell>
          <cell r="BE410">
            <v>2</v>
          </cell>
          <cell r="BF410">
            <v>0</v>
          </cell>
          <cell r="BG410" t="str">
            <v/>
          </cell>
          <cell r="BH410">
            <v>0</v>
          </cell>
          <cell r="BI410">
            <v>0</v>
          </cell>
          <cell r="BJ410">
            <v>1</v>
          </cell>
          <cell r="BK410">
            <v>2</v>
          </cell>
          <cell r="BL410">
            <v>0</v>
          </cell>
          <cell r="BM410" t="str">
            <v/>
          </cell>
          <cell r="BN410">
            <v>3</v>
          </cell>
          <cell r="BO410" t="str">
            <v/>
          </cell>
          <cell r="BP410">
            <v>0</v>
          </cell>
          <cell r="BQ410">
            <v>0</v>
          </cell>
          <cell r="BR410">
            <v>1</v>
          </cell>
          <cell r="BS410">
            <v>2</v>
          </cell>
          <cell r="BT410">
            <v>0</v>
          </cell>
          <cell r="BU410" t="str">
            <v/>
          </cell>
          <cell r="BV410">
            <v>3</v>
          </cell>
          <cell r="BW410">
            <v>2</v>
          </cell>
          <cell r="BX410" t="str">
            <v>TIDAK</v>
          </cell>
          <cell r="BY410" t="str">
            <v>TIDAK</v>
          </cell>
        </row>
        <row r="411">
          <cell r="A411" t="str">
            <v>A4232</v>
          </cell>
          <cell r="B411" t="str">
            <v>FARICA KARIN BUTSAINA</v>
          </cell>
          <cell r="C411" t="str">
            <v>DELTA</v>
          </cell>
          <cell r="D411">
            <v>45558</v>
          </cell>
          <cell r="E411" t="str">
            <v>Sep-24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 t="str">
            <v>-</v>
          </cell>
          <cell r="AQ411" t="str">
            <v>-</v>
          </cell>
          <cell r="AR411" t="str">
            <v>-</v>
          </cell>
          <cell r="AS411" t="str">
            <v>REGULER</v>
          </cell>
          <cell r="AT411" t="str">
            <v>REGULER</v>
          </cell>
          <cell r="AU411" t="str">
            <v>REGULER</v>
          </cell>
          <cell r="AV411" t="str">
            <v/>
          </cell>
          <cell r="AW411">
            <v>0</v>
          </cell>
          <cell r="AX411">
            <v>0</v>
          </cell>
          <cell r="AY411">
            <v>1</v>
          </cell>
          <cell r="AZ411">
            <v>15</v>
          </cell>
          <cell r="BA411">
            <v>13</v>
          </cell>
          <cell r="BB411">
            <v>0</v>
          </cell>
          <cell r="BC411">
            <v>0</v>
          </cell>
          <cell r="BD411">
            <v>1</v>
          </cell>
          <cell r="BE411">
            <v>15</v>
          </cell>
          <cell r="BF411">
            <v>13</v>
          </cell>
          <cell r="BG411" t="str">
            <v/>
          </cell>
          <cell r="BH411">
            <v>0</v>
          </cell>
          <cell r="BI411">
            <v>0</v>
          </cell>
          <cell r="BJ411">
            <v>1</v>
          </cell>
          <cell r="BK411">
            <v>15</v>
          </cell>
          <cell r="BL411">
            <v>13</v>
          </cell>
          <cell r="BM411">
            <v>10</v>
          </cell>
          <cell r="BN411">
            <v>39</v>
          </cell>
          <cell r="BO411" t="str">
            <v/>
          </cell>
          <cell r="BP411">
            <v>0</v>
          </cell>
          <cell r="BQ411">
            <v>0</v>
          </cell>
          <cell r="BR411">
            <v>1</v>
          </cell>
          <cell r="BS411">
            <v>15</v>
          </cell>
          <cell r="BT411">
            <v>13</v>
          </cell>
          <cell r="BU411">
            <v>10</v>
          </cell>
          <cell r="BV411">
            <v>39</v>
          </cell>
          <cell r="BW411">
            <v>0</v>
          </cell>
          <cell r="BX411" t="str">
            <v>TIDAK</v>
          </cell>
          <cell r="BY411" t="str">
            <v>TIDAK</v>
          </cell>
        </row>
        <row r="412">
          <cell r="A412" t="str">
            <v>A4264</v>
          </cell>
          <cell r="B412" t="str">
            <v>MIA ANTIKA</v>
          </cell>
          <cell r="C412" t="str">
            <v>DELTA</v>
          </cell>
          <cell r="D412">
            <v>45553</v>
          </cell>
          <cell r="E412" t="str">
            <v>Sep-24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 t="str">
            <v>-</v>
          </cell>
          <cell r="AQ412" t="str">
            <v>-</v>
          </cell>
          <cell r="AR412" t="str">
            <v>-</v>
          </cell>
          <cell r="AS412" t="str">
            <v>REGULER</v>
          </cell>
          <cell r="AT412" t="str">
            <v>REGULER</v>
          </cell>
          <cell r="AU412" t="str">
            <v>-</v>
          </cell>
          <cell r="AV412" t="str">
            <v/>
          </cell>
          <cell r="AW412">
            <v>0</v>
          </cell>
          <cell r="AX412">
            <v>0</v>
          </cell>
          <cell r="AY412">
            <v>17</v>
          </cell>
          <cell r="AZ412">
            <v>38</v>
          </cell>
          <cell r="BA412">
            <v>0</v>
          </cell>
          <cell r="BB412">
            <v>0</v>
          </cell>
          <cell r="BC412">
            <v>0</v>
          </cell>
          <cell r="BD412">
            <v>17</v>
          </cell>
          <cell r="BE412">
            <v>38</v>
          </cell>
          <cell r="BF412">
            <v>0</v>
          </cell>
          <cell r="BG412" t="str">
            <v/>
          </cell>
          <cell r="BH412">
            <v>0</v>
          </cell>
          <cell r="BI412">
            <v>0</v>
          </cell>
          <cell r="BJ412">
            <v>17</v>
          </cell>
          <cell r="BK412">
            <v>38</v>
          </cell>
          <cell r="BL412">
            <v>0</v>
          </cell>
          <cell r="BM412" t="str">
            <v/>
          </cell>
          <cell r="BN412">
            <v>55</v>
          </cell>
          <cell r="BO412" t="str">
            <v/>
          </cell>
          <cell r="BP412">
            <v>0</v>
          </cell>
          <cell r="BQ412">
            <v>0</v>
          </cell>
          <cell r="BR412">
            <v>17</v>
          </cell>
          <cell r="BS412">
            <v>38</v>
          </cell>
          <cell r="BT412">
            <v>0</v>
          </cell>
          <cell r="BU412" t="str">
            <v/>
          </cell>
          <cell r="BV412">
            <v>55</v>
          </cell>
          <cell r="BW412">
            <v>2</v>
          </cell>
          <cell r="BX412" t="str">
            <v>TIDAK</v>
          </cell>
          <cell r="BY412" t="str">
            <v>TIDAK</v>
          </cell>
        </row>
        <row r="413">
          <cell r="A413" t="str">
            <v>A4265</v>
          </cell>
          <cell r="B413" t="str">
            <v>NILAM SARI</v>
          </cell>
          <cell r="C413" t="str">
            <v>DELTA</v>
          </cell>
          <cell r="D413">
            <v>45554</v>
          </cell>
          <cell r="E413" t="str">
            <v>Sep-24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 t="str">
            <v>-</v>
          </cell>
          <cell r="AQ413" t="str">
            <v>-</v>
          </cell>
          <cell r="AR413" t="str">
            <v>-</v>
          </cell>
          <cell r="AS413" t="str">
            <v>REGULER</v>
          </cell>
          <cell r="AT413" t="str">
            <v>REGULER</v>
          </cell>
          <cell r="AU413" t="str">
            <v>-</v>
          </cell>
          <cell r="AV413" t="str">
            <v/>
          </cell>
          <cell r="AW413">
            <v>0</v>
          </cell>
          <cell r="AX413">
            <v>0</v>
          </cell>
          <cell r="AY413">
            <v>15</v>
          </cell>
          <cell r="AZ413">
            <v>40</v>
          </cell>
          <cell r="BA413">
            <v>0</v>
          </cell>
          <cell r="BB413">
            <v>0</v>
          </cell>
          <cell r="BC413">
            <v>0</v>
          </cell>
          <cell r="BD413">
            <v>15</v>
          </cell>
          <cell r="BE413">
            <v>40</v>
          </cell>
          <cell r="BF413">
            <v>0</v>
          </cell>
          <cell r="BG413" t="str">
            <v/>
          </cell>
          <cell r="BH413">
            <v>0</v>
          </cell>
          <cell r="BI413">
            <v>0</v>
          </cell>
          <cell r="BJ413">
            <v>15</v>
          </cell>
          <cell r="BK413">
            <v>40</v>
          </cell>
          <cell r="BL413">
            <v>0</v>
          </cell>
          <cell r="BM413" t="str">
            <v/>
          </cell>
          <cell r="BN413">
            <v>55</v>
          </cell>
          <cell r="BO413" t="str">
            <v/>
          </cell>
          <cell r="BP413">
            <v>0</v>
          </cell>
          <cell r="BQ413">
            <v>0</v>
          </cell>
          <cell r="BR413">
            <v>15</v>
          </cell>
          <cell r="BS413">
            <v>40</v>
          </cell>
          <cell r="BT413">
            <v>0</v>
          </cell>
          <cell r="BU413" t="str">
            <v/>
          </cell>
          <cell r="BV413">
            <v>55</v>
          </cell>
          <cell r="BW413">
            <v>2</v>
          </cell>
          <cell r="BX413" t="str">
            <v>TIDAK</v>
          </cell>
          <cell r="BY413" t="str">
            <v>TIDAK</v>
          </cell>
        </row>
        <row r="414">
          <cell r="A414" t="str">
            <v>A4330</v>
          </cell>
          <cell r="B414" t="str">
            <v>MUHAMMAD ALDI RIZAL</v>
          </cell>
          <cell r="C414" t="str">
            <v>DELTA</v>
          </cell>
          <cell r="D414">
            <v>45568</v>
          </cell>
          <cell r="E414" t="str">
            <v>Oct-24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 t="str">
            <v>-</v>
          </cell>
          <cell r="AQ414" t="str">
            <v>-</v>
          </cell>
          <cell r="AR414" t="str">
            <v>-</v>
          </cell>
          <cell r="AS414" t="str">
            <v>-</v>
          </cell>
          <cell r="AT414" t="str">
            <v>REGULER</v>
          </cell>
          <cell r="AU414" t="str">
            <v>-</v>
          </cell>
          <cell r="AV414" t="str">
            <v/>
          </cell>
          <cell r="AW414">
            <v>0</v>
          </cell>
          <cell r="AX414">
            <v>0</v>
          </cell>
          <cell r="AY414">
            <v>0</v>
          </cell>
          <cell r="AZ414">
            <v>2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2</v>
          </cell>
          <cell r="BF414">
            <v>0</v>
          </cell>
          <cell r="BG414" t="str">
            <v/>
          </cell>
          <cell r="BH414">
            <v>0</v>
          </cell>
          <cell r="BI414">
            <v>0</v>
          </cell>
          <cell r="BJ414">
            <v>0</v>
          </cell>
          <cell r="BK414">
            <v>2</v>
          </cell>
          <cell r="BL414">
            <v>0</v>
          </cell>
          <cell r="BM414" t="str">
            <v/>
          </cell>
          <cell r="BN414">
            <v>2</v>
          </cell>
          <cell r="BO414" t="str">
            <v/>
          </cell>
          <cell r="BP414">
            <v>0</v>
          </cell>
          <cell r="BQ414">
            <v>0</v>
          </cell>
          <cell r="BR414">
            <v>0</v>
          </cell>
          <cell r="BS414">
            <v>2</v>
          </cell>
          <cell r="BT414">
            <v>0</v>
          </cell>
          <cell r="BU414" t="str">
            <v/>
          </cell>
          <cell r="BV414">
            <v>2</v>
          </cell>
          <cell r="BW414">
            <v>2</v>
          </cell>
          <cell r="BX414" t="str">
            <v>TIDAK</v>
          </cell>
          <cell r="BY414" t="str">
            <v>TIDAK</v>
          </cell>
        </row>
        <row r="415">
          <cell r="A415" t="str">
            <v>A4329</v>
          </cell>
          <cell r="B415" t="str">
            <v>MARIA BASILIA WUNGA</v>
          </cell>
          <cell r="C415" t="str">
            <v>DELTA</v>
          </cell>
          <cell r="D415">
            <v>45581</v>
          </cell>
          <cell r="E415" t="str">
            <v>Oct-24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 t="str">
            <v>-</v>
          </cell>
          <cell r="AQ415" t="str">
            <v>-</v>
          </cell>
          <cell r="AR415" t="str">
            <v>-</v>
          </cell>
          <cell r="AS415" t="str">
            <v>-</v>
          </cell>
          <cell r="AT415" t="str">
            <v>REGULER</v>
          </cell>
          <cell r="AU415" t="str">
            <v>-</v>
          </cell>
          <cell r="AV415" t="str">
            <v/>
          </cell>
          <cell r="AW415">
            <v>0</v>
          </cell>
          <cell r="AX415">
            <v>0</v>
          </cell>
          <cell r="AY415">
            <v>0</v>
          </cell>
          <cell r="AZ415">
            <v>5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5</v>
          </cell>
          <cell r="BF415">
            <v>0</v>
          </cell>
          <cell r="BG415" t="str">
            <v/>
          </cell>
          <cell r="BH415">
            <v>0</v>
          </cell>
          <cell r="BI415">
            <v>0</v>
          </cell>
          <cell r="BJ415">
            <v>0</v>
          </cell>
          <cell r="BK415">
            <v>5</v>
          </cell>
          <cell r="BL415">
            <v>0</v>
          </cell>
          <cell r="BM415" t="str">
            <v/>
          </cell>
          <cell r="BN415">
            <v>5</v>
          </cell>
          <cell r="BO415" t="str">
            <v/>
          </cell>
          <cell r="BP415">
            <v>0</v>
          </cell>
          <cell r="BQ415">
            <v>0</v>
          </cell>
          <cell r="BR415">
            <v>0</v>
          </cell>
          <cell r="BS415">
            <v>5</v>
          </cell>
          <cell r="BT415">
            <v>0</v>
          </cell>
          <cell r="BU415" t="str">
            <v/>
          </cell>
          <cell r="BV415">
            <v>5</v>
          </cell>
          <cell r="BW415">
            <v>2</v>
          </cell>
          <cell r="BX415" t="str">
            <v>TIDAK</v>
          </cell>
          <cell r="BY415" t="str">
            <v>TIDAK</v>
          </cell>
        </row>
        <row r="416">
          <cell r="A416" t="str">
            <v>A4331</v>
          </cell>
          <cell r="B416" t="str">
            <v>SATRIA SANDY QODLYZZAKA</v>
          </cell>
          <cell r="C416" t="str">
            <v>DELTA</v>
          </cell>
          <cell r="D416">
            <v>45583</v>
          </cell>
          <cell r="E416" t="str">
            <v>Oct-24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 t="str">
            <v>-</v>
          </cell>
          <cell r="AQ416" t="str">
            <v>-</v>
          </cell>
          <cell r="AR416" t="str">
            <v>-</v>
          </cell>
          <cell r="AS416" t="str">
            <v>-</v>
          </cell>
          <cell r="AT416" t="str">
            <v>REGULER</v>
          </cell>
          <cell r="AU416" t="str">
            <v>REGULER</v>
          </cell>
          <cell r="AV416" t="str">
            <v/>
          </cell>
          <cell r="AW416">
            <v>0</v>
          </cell>
          <cell r="AX416">
            <v>0</v>
          </cell>
          <cell r="AY416">
            <v>0</v>
          </cell>
          <cell r="AZ416">
            <v>8</v>
          </cell>
          <cell r="BA416">
            <v>13</v>
          </cell>
          <cell r="BB416">
            <v>0</v>
          </cell>
          <cell r="BC416">
            <v>0</v>
          </cell>
          <cell r="BD416">
            <v>0</v>
          </cell>
          <cell r="BE416">
            <v>8</v>
          </cell>
          <cell r="BF416">
            <v>13</v>
          </cell>
          <cell r="BG416" t="str">
            <v/>
          </cell>
          <cell r="BH416">
            <v>0</v>
          </cell>
          <cell r="BI416">
            <v>0</v>
          </cell>
          <cell r="BJ416">
            <v>0</v>
          </cell>
          <cell r="BK416">
            <v>8</v>
          </cell>
          <cell r="BL416">
            <v>13</v>
          </cell>
          <cell r="BM416">
            <v>5</v>
          </cell>
          <cell r="BN416">
            <v>26</v>
          </cell>
          <cell r="BO416" t="str">
            <v/>
          </cell>
          <cell r="BP416">
            <v>0</v>
          </cell>
          <cell r="BQ416">
            <v>0</v>
          </cell>
          <cell r="BR416">
            <v>0</v>
          </cell>
          <cell r="BS416">
            <v>8</v>
          </cell>
          <cell r="BT416">
            <v>13</v>
          </cell>
          <cell r="BU416">
            <v>5</v>
          </cell>
          <cell r="BV416">
            <v>26</v>
          </cell>
          <cell r="BW416">
            <v>0</v>
          </cell>
          <cell r="BX416" t="str">
            <v>TIDAK</v>
          </cell>
          <cell r="BY416" t="str">
            <v>TIDAK</v>
          </cell>
        </row>
        <row r="417">
          <cell r="A417" t="str">
            <v>A0610</v>
          </cell>
          <cell r="B417" t="str">
            <v>Margareta Indah P</v>
          </cell>
          <cell r="C417" t="str">
            <v>DELTA</v>
          </cell>
          <cell r="D417">
            <v>44933</v>
          </cell>
          <cell r="E417" t="str">
            <v>Jan-23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 t="str">
            <v>REGULER</v>
          </cell>
          <cell r="AV417" t="str">
            <v/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33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33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33</v>
          </cell>
          <cell r="BM417">
            <v>18</v>
          </cell>
          <cell r="BN417">
            <v>51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33</v>
          </cell>
          <cell r="BU417">
            <v>18</v>
          </cell>
          <cell r="BV417">
            <v>51</v>
          </cell>
          <cell r="BW417">
            <v>5</v>
          </cell>
          <cell r="BX417" t="str">
            <v>DOWNGRADE</v>
          </cell>
          <cell r="BY417" t="str">
            <v>RESET</v>
          </cell>
        </row>
        <row r="418">
          <cell r="A418" t="str">
            <v>A1650</v>
          </cell>
          <cell r="B418" t="str">
            <v>RISKA PUTRI ADELIA</v>
          </cell>
          <cell r="C418" t="str">
            <v>DELTA</v>
          </cell>
          <cell r="D418">
            <v>45604</v>
          </cell>
          <cell r="E418" t="str">
            <v>Nov-24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 t="str">
            <v>REGULER</v>
          </cell>
          <cell r="AV418" t="str">
            <v/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4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4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4</v>
          </cell>
          <cell r="BM418">
            <v>4</v>
          </cell>
          <cell r="BN418">
            <v>8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4</v>
          </cell>
          <cell r="BU418">
            <v>4</v>
          </cell>
          <cell r="BV418">
            <v>8</v>
          </cell>
          <cell r="BW418">
            <v>0</v>
          </cell>
          <cell r="BX418" t="str">
            <v>TIDAK</v>
          </cell>
          <cell r="BY418" t="str">
            <v>TIDAK</v>
          </cell>
        </row>
        <row r="419">
          <cell r="A419" t="str">
            <v>A4413</v>
          </cell>
          <cell r="B419" t="str">
            <v>KUSTI ANA</v>
          </cell>
          <cell r="C419" t="str">
            <v>DELTA</v>
          </cell>
          <cell r="D419">
            <v>45614</v>
          </cell>
          <cell r="E419" t="str">
            <v>Nov-24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 t="str">
            <v>REGULER</v>
          </cell>
          <cell r="AV419" t="str">
            <v/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11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11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11</v>
          </cell>
          <cell r="BM419">
            <v>18</v>
          </cell>
          <cell r="BN419">
            <v>29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11</v>
          </cell>
          <cell r="BU419">
            <v>18</v>
          </cell>
          <cell r="BV419">
            <v>29</v>
          </cell>
          <cell r="BW419">
            <v>0</v>
          </cell>
          <cell r="BX419" t="str">
            <v>TIDAK</v>
          </cell>
          <cell r="BY419" t="str">
            <v>TIDAK</v>
          </cell>
        </row>
        <row r="420">
          <cell r="A420" t="str">
            <v>A4414</v>
          </cell>
          <cell r="B420" t="str">
            <v>DHIEMAS PRIYAGUNG MANALU</v>
          </cell>
          <cell r="C420" t="str">
            <v>DELTA</v>
          </cell>
          <cell r="D420">
            <v>45625</v>
          </cell>
          <cell r="E420" t="str">
            <v>Nov-24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 t="str">
            <v>REGULER</v>
          </cell>
          <cell r="AV420" t="str">
            <v/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3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3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3</v>
          </cell>
          <cell r="BM420">
            <v>9</v>
          </cell>
          <cell r="BN420">
            <v>12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3</v>
          </cell>
          <cell r="BU420">
            <v>9</v>
          </cell>
          <cell r="BV420">
            <v>12</v>
          </cell>
          <cell r="BW420">
            <v>0</v>
          </cell>
          <cell r="BX420" t="str">
            <v>TIDAK</v>
          </cell>
          <cell r="BY420" t="str">
            <v>TIDAK</v>
          </cell>
        </row>
        <row r="421">
          <cell r="A421" t="str">
            <v>A4415</v>
          </cell>
          <cell r="B421" t="str">
            <v>VENI RAHMAN</v>
          </cell>
          <cell r="C421" t="str">
            <v>DELTA</v>
          </cell>
          <cell r="D421">
            <v>45629</v>
          </cell>
          <cell r="E421" t="str">
            <v>Dec-24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 t="str">
            <v/>
          </cell>
          <cell r="AW421" t="str">
            <v/>
          </cell>
          <cell r="AX421" t="str">
            <v/>
          </cell>
          <cell r="AY421" t="str">
            <v/>
          </cell>
          <cell r="AZ421" t="str">
            <v/>
          </cell>
          <cell r="BA421" t="str">
            <v/>
          </cell>
          <cell r="BB421" t="str">
            <v/>
          </cell>
          <cell r="BC421" t="str">
            <v/>
          </cell>
          <cell r="BD421" t="str">
            <v/>
          </cell>
          <cell r="BE421" t="str">
            <v/>
          </cell>
          <cell r="BF421" t="str">
            <v/>
          </cell>
          <cell r="BG421">
            <v>0</v>
          </cell>
          <cell r="BH421" t="str">
            <v/>
          </cell>
          <cell r="BI421" t="str">
            <v/>
          </cell>
          <cell r="BJ421" t="str">
            <v/>
          </cell>
          <cell r="BK421" t="str">
            <v/>
          </cell>
          <cell r="BL421" t="str">
            <v/>
          </cell>
          <cell r="BM421">
            <v>10</v>
          </cell>
          <cell r="BN421">
            <v>10</v>
          </cell>
          <cell r="BO421">
            <v>0</v>
          </cell>
          <cell r="BP421" t="str">
            <v/>
          </cell>
          <cell r="BQ421" t="str">
            <v/>
          </cell>
          <cell r="BR421" t="str">
            <v/>
          </cell>
          <cell r="BS421" t="str">
            <v/>
          </cell>
          <cell r="BT421" t="str">
            <v/>
          </cell>
          <cell r="BU421">
            <v>10</v>
          </cell>
          <cell r="BV421">
            <v>10</v>
          </cell>
          <cell r="BW421">
            <v>0</v>
          </cell>
          <cell r="BX421" t="str">
            <v>TIDAK</v>
          </cell>
          <cell r="BY421" t="str">
            <v>TIDAK</v>
          </cell>
        </row>
        <row r="422">
          <cell r="A422" t="str">
            <v>A4480</v>
          </cell>
          <cell r="B422" t="str">
            <v>MALINDA APRILIANI P</v>
          </cell>
          <cell r="C422" t="str">
            <v>DELTA</v>
          </cell>
          <cell r="D422">
            <v>45637</v>
          </cell>
          <cell r="E422" t="str">
            <v>Dec-24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 t="str">
            <v/>
          </cell>
          <cell r="AW422" t="str">
            <v/>
          </cell>
          <cell r="AX422" t="str">
            <v/>
          </cell>
          <cell r="AY422" t="str">
            <v/>
          </cell>
          <cell r="AZ422" t="str">
            <v/>
          </cell>
          <cell r="BA422" t="str">
            <v/>
          </cell>
          <cell r="BB422" t="str">
            <v/>
          </cell>
          <cell r="BC422" t="str">
            <v/>
          </cell>
          <cell r="BD422" t="str">
            <v/>
          </cell>
          <cell r="BE422" t="str">
            <v/>
          </cell>
          <cell r="BF422" t="str">
            <v/>
          </cell>
          <cell r="BG422">
            <v>0</v>
          </cell>
          <cell r="BH422" t="str">
            <v/>
          </cell>
          <cell r="BI422" t="str">
            <v/>
          </cell>
          <cell r="BJ422" t="str">
            <v/>
          </cell>
          <cell r="BK422" t="str">
            <v/>
          </cell>
          <cell r="BL422" t="str">
            <v/>
          </cell>
          <cell r="BM422">
            <v>7</v>
          </cell>
          <cell r="BN422">
            <v>7</v>
          </cell>
          <cell r="BO422">
            <v>0</v>
          </cell>
          <cell r="BP422" t="str">
            <v/>
          </cell>
          <cell r="BQ422" t="str">
            <v/>
          </cell>
          <cell r="BR422" t="str">
            <v/>
          </cell>
          <cell r="BS422" t="str">
            <v/>
          </cell>
          <cell r="BT422" t="str">
            <v/>
          </cell>
          <cell r="BU422">
            <v>7</v>
          </cell>
          <cell r="BV422">
            <v>7</v>
          </cell>
          <cell r="BW422">
            <v>0</v>
          </cell>
          <cell r="BX422" t="str">
            <v>TIDAK</v>
          </cell>
          <cell r="BY422" t="str">
            <v>TIDAK</v>
          </cell>
        </row>
        <row r="423">
          <cell r="A423" t="str">
            <v>A4478</v>
          </cell>
          <cell r="B423" t="str">
            <v>DWI MUSTIKA WATI</v>
          </cell>
          <cell r="C423" t="str">
            <v>DELTA</v>
          </cell>
          <cell r="D423">
            <v>45638</v>
          </cell>
          <cell r="E423" t="str">
            <v>Dec-24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 t="str">
            <v/>
          </cell>
          <cell r="AW423" t="str">
            <v/>
          </cell>
          <cell r="AX423" t="str">
            <v/>
          </cell>
          <cell r="AY423" t="str">
            <v/>
          </cell>
          <cell r="AZ423" t="str">
            <v/>
          </cell>
          <cell r="BA423" t="str">
            <v/>
          </cell>
          <cell r="BB423" t="str">
            <v/>
          </cell>
          <cell r="BC423" t="str">
            <v/>
          </cell>
          <cell r="BD423" t="str">
            <v/>
          </cell>
          <cell r="BE423" t="str">
            <v/>
          </cell>
          <cell r="BF423" t="str">
            <v/>
          </cell>
          <cell r="BG423">
            <v>0</v>
          </cell>
          <cell r="BH423" t="str">
            <v/>
          </cell>
          <cell r="BI423" t="str">
            <v/>
          </cell>
          <cell r="BJ423" t="str">
            <v/>
          </cell>
          <cell r="BK423" t="str">
            <v/>
          </cell>
          <cell r="BL423" t="str">
            <v/>
          </cell>
          <cell r="BM423">
            <v>4</v>
          </cell>
          <cell r="BN423">
            <v>4</v>
          </cell>
          <cell r="BO423">
            <v>0</v>
          </cell>
          <cell r="BP423" t="str">
            <v/>
          </cell>
          <cell r="BQ423" t="str">
            <v/>
          </cell>
          <cell r="BR423" t="str">
            <v/>
          </cell>
          <cell r="BS423" t="str">
            <v/>
          </cell>
          <cell r="BT423" t="str">
            <v/>
          </cell>
          <cell r="BU423">
            <v>4</v>
          </cell>
          <cell r="BV423">
            <v>4</v>
          </cell>
          <cell r="BW423">
            <v>0</v>
          </cell>
          <cell r="BX423" t="str">
            <v>TIDAK</v>
          </cell>
          <cell r="BY423" t="str">
            <v>TIDAK</v>
          </cell>
        </row>
        <row r="424">
          <cell r="A424" t="str">
            <v>A1185</v>
          </cell>
          <cell r="B424" t="str">
            <v>Safa Prayuda</v>
          </cell>
          <cell r="C424" t="str">
            <v>DELTA</v>
          </cell>
          <cell r="D424">
            <v>44928</v>
          </cell>
          <cell r="E424" t="str">
            <v>Jan-23</v>
          </cell>
          <cell r="F424" t="str">
            <v>REGULER</v>
          </cell>
          <cell r="G424" t="str">
            <v>REGULER</v>
          </cell>
          <cell r="H424" t="str">
            <v>REGULER</v>
          </cell>
          <cell r="I424" t="str">
            <v>REGULER</v>
          </cell>
          <cell r="J424" t="str">
            <v>REGULER</v>
          </cell>
          <cell r="K424" t="str">
            <v>REGULER</v>
          </cell>
          <cell r="L424" t="str">
            <v>-</v>
          </cell>
          <cell r="M424">
            <v>20</v>
          </cell>
          <cell r="N424">
            <v>36</v>
          </cell>
          <cell r="O424">
            <v>33</v>
          </cell>
          <cell r="P424">
            <v>26</v>
          </cell>
          <cell r="Q424">
            <v>8</v>
          </cell>
          <cell r="R424">
            <v>36</v>
          </cell>
          <cell r="S424" t="str">
            <v/>
          </cell>
          <cell r="T424">
            <v>159</v>
          </cell>
          <cell r="U424">
            <v>20</v>
          </cell>
          <cell r="V424">
            <v>36</v>
          </cell>
          <cell r="W424">
            <v>33</v>
          </cell>
          <cell r="X424">
            <v>26</v>
          </cell>
          <cell r="Y424">
            <v>8</v>
          </cell>
          <cell r="Z424">
            <v>36</v>
          </cell>
          <cell r="AA424" t="str">
            <v/>
          </cell>
          <cell r="AB424">
            <v>159</v>
          </cell>
          <cell r="AC424">
            <v>1</v>
          </cell>
          <cell r="AD424" t="str">
            <v>TIDAK</v>
          </cell>
          <cell r="AE424" t="str">
            <v>TIDAK</v>
          </cell>
          <cell r="AF424">
            <v>159</v>
          </cell>
          <cell r="AG424">
            <v>2</v>
          </cell>
          <cell r="AH424" t="str">
            <v>SAPHIRE</v>
          </cell>
          <cell r="AI424">
            <v>0</v>
          </cell>
          <cell r="AJ424" t="str">
            <v>Y</v>
          </cell>
          <cell r="AK424">
            <v>0</v>
          </cell>
          <cell r="AL424">
            <v>45261</v>
          </cell>
          <cell r="AM424">
            <v>45701</v>
          </cell>
          <cell r="AN424">
            <v>1</v>
          </cell>
          <cell r="AO424">
            <v>159</v>
          </cell>
          <cell r="AP424" t="str">
            <v>-</v>
          </cell>
          <cell r="AQ424" t="str">
            <v>-</v>
          </cell>
          <cell r="AR424" t="str">
            <v>-</v>
          </cell>
          <cell r="AS424" t="str">
            <v>-</v>
          </cell>
          <cell r="AT424" t="str">
            <v>-</v>
          </cell>
          <cell r="AU424" t="str">
            <v>-</v>
          </cell>
          <cell r="AV424" t="str">
            <v/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40</v>
          </cell>
          <cell r="BE424">
            <v>50</v>
          </cell>
          <cell r="BF424">
            <v>29</v>
          </cell>
          <cell r="BG424" t="str">
            <v/>
          </cell>
          <cell r="BH424">
            <v>0</v>
          </cell>
          <cell r="BI424">
            <v>0</v>
          </cell>
          <cell r="BJ424">
            <v>40</v>
          </cell>
          <cell r="BK424">
            <v>50</v>
          </cell>
          <cell r="BL424">
            <v>29</v>
          </cell>
          <cell r="BM424">
            <v>20</v>
          </cell>
          <cell r="BN424">
            <v>139</v>
          </cell>
          <cell r="BO424" t="str">
            <v/>
          </cell>
          <cell r="BP424">
            <v>0</v>
          </cell>
          <cell r="BQ424">
            <v>0</v>
          </cell>
          <cell r="BR424">
            <v>40</v>
          </cell>
          <cell r="BS424">
            <v>50</v>
          </cell>
          <cell r="BT424">
            <v>29</v>
          </cell>
          <cell r="BU424">
            <v>20</v>
          </cell>
          <cell r="BV424">
            <v>139</v>
          </cell>
          <cell r="BW424">
            <v>3</v>
          </cell>
          <cell r="BX424" t="str">
            <v>DOWNGRADE</v>
          </cell>
          <cell r="BY424" t="str">
            <v>RESET</v>
          </cell>
        </row>
        <row r="425">
          <cell r="A425" t="str">
            <v>A2782</v>
          </cell>
          <cell r="B425" t="str">
            <v>Adrial Ramdhani</v>
          </cell>
          <cell r="C425" t="str">
            <v>DELTA</v>
          </cell>
          <cell r="D425">
            <v>45139</v>
          </cell>
          <cell r="E425" t="str">
            <v>Aug-23</v>
          </cell>
          <cell r="F425" t="str">
            <v>REGULER</v>
          </cell>
          <cell r="G425" t="str">
            <v>EKSKLUSIF</v>
          </cell>
          <cell r="H425" t="str">
            <v>EKSKLUSIF</v>
          </cell>
          <cell r="I425" t="str">
            <v>EKSKLUSIF</v>
          </cell>
          <cell r="J425" t="str">
            <v>REGULER</v>
          </cell>
          <cell r="K425" t="str">
            <v>REGULER</v>
          </cell>
          <cell r="L425" t="str">
            <v>EKSKLUSIF</v>
          </cell>
          <cell r="M425">
            <v>8</v>
          </cell>
          <cell r="N425">
            <v>41</v>
          </cell>
          <cell r="O425">
            <v>38</v>
          </cell>
          <cell r="P425">
            <v>35</v>
          </cell>
          <cell r="Q425">
            <v>1</v>
          </cell>
          <cell r="R425">
            <v>23</v>
          </cell>
          <cell r="S425">
            <v>1247</v>
          </cell>
          <cell r="T425">
            <v>1393</v>
          </cell>
          <cell r="U425">
            <v>8</v>
          </cell>
          <cell r="V425">
            <v>0</v>
          </cell>
          <cell r="W425">
            <v>0</v>
          </cell>
          <cell r="X425">
            <v>0</v>
          </cell>
          <cell r="Y425">
            <v>1</v>
          </cell>
          <cell r="Z425">
            <v>23</v>
          </cell>
          <cell r="AA425">
            <v>0</v>
          </cell>
          <cell r="AB425">
            <v>32</v>
          </cell>
          <cell r="AC425">
            <v>0</v>
          </cell>
          <cell r="AD425" t="str">
            <v>TIDAK</v>
          </cell>
          <cell r="AE425" t="str">
            <v>TIDAK</v>
          </cell>
          <cell r="AF425">
            <v>32</v>
          </cell>
          <cell r="AG425">
            <v>1</v>
          </cell>
          <cell r="AH425" t="str">
            <v>SAPHIRE</v>
          </cell>
          <cell r="AI425">
            <v>0</v>
          </cell>
          <cell r="AJ425" t="str">
            <v>FALSE</v>
          </cell>
          <cell r="AK425">
            <v>0</v>
          </cell>
          <cell r="AL425">
            <v>45261</v>
          </cell>
          <cell r="AM425">
            <v>45701</v>
          </cell>
          <cell r="AN425">
            <v>1</v>
          </cell>
          <cell r="AO425">
            <v>32</v>
          </cell>
          <cell r="AP425" t="str">
            <v>EKSKLUSIF</v>
          </cell>
          <cell r="AQ425" t="str">
            <v>-</v>
          </cell>
          <cell r="AR425" t="str">
            <v>EKSKLUSIF</v>
          </cell>
          <cell r="AS425" t="str">
            <v>REGULER</v>
          </cell>
          <cell r="AT425" t="str">
            <v>-</v>
          </cell>
          <cell r="AU425" t="str">
            <v>-</v>
          </cell>
          <cell r="AV425" t="str">
            <v/>
          </cell>
          <cell r="AW425">
            <v>40</v>
          </cell>
          <cell r="AX425">
            <v>39</v>
          </cell>
          <cell r="AY425">
            <v>9</v>
          </cell>
          <cell r="AZ425">
            <v>0</v>
          </cell>
          <cell r="BA425">
            <v>0</v>
          </cell>
          <cell r="BB425">
            <v>40</v>
          </cell>
          <cell r="BC425">
            <v>39</v>
          </cell>
          <cell r="BD425">
            <v>9</v>
          </cell>
          <cell r="BE425">
            <v>33</v>
          </cell>
          <cell r="BF425">
            <v>31</v>
          </cell>
          <cell r="BG425">
            <v>18</v>
          </cell>
          <cell r="BH425">
            <v>40</v>
          </cell>
          <cell r="BI425">
            <v>39</v>
          </cell>
          <cell r="BJ425">
            <v>9</v>
          </cell>
          <cell r="BK425">
            <v>33</v>
          </cell>
          <cell r="BL425">
            <v>31</v>
          </cell>
          <cell r="BM425">
            <v>15</v>
          </cell>
          <cell r="BN425">
            <v>185</v>
          </cell>
          <cell r="BO425">
            <v>0</v>
          </cell>
          <cell r="BP425">
            <v>40</v>
          </cell>
          <cell r="BQ425">
            <v>0</v>
          </cell>
          <cell r="BR425">
            <v>9</v>
          </cell>
          <cell r="BS425">
            <v>33</v>
          </cell>
          <cell r="BT425">
            <v>31</v>
          </cell>
          <cell r="BU425">
            <v>15</v>
          </cell>
          <cell r="BV425">
            <v>128</v>
          </cell>
          <cell r="BW425">
            <v>0</v>
          </cell>
          <cell r="BX425" t="str">
            <v>TIDAK</v>
          </cell>
          <cell r="BY425" t="str">
            <v>TIDAK</v>
          </cell>
        </row>
        <row r="426">
          <cell r="A426" t="str">
            <v>A3558</v>
          </cell>
          <cell r="B426" t="str">
            <v>Andi Sofie Febrina Salshabila</v>
          </cell>
          <cell r="C426" t="str">
            <v>DELTA</v>
          </cell>
          <cell r="D426">
            <v>45323</v>
          </cell>
          <cell r="E426" t="str">
            <v>Feb-24</v>
          </cell>
          <cell r="F426" t="str">
            <v>-</v>
          </cell>
          <cell r="G426" t="str">
            <v>-</v>
          </cell>
          <cell r="H426" t="str">
            <v>REGULER</v>
          </cell>
          <cell r="I426" t="str">
            <v>REGULER</v>
          </cell>
          <cell r="J426" t="str">
            <v>REGULER</v>
          </cell>
          <cell r="K426" t="str">
            <v>REGULER</v>
          </cell>
          <cell r="L426" t="str">
            <v>-</v>
          </cell>
          <cell r="M426">
            <v>0</v>
          </cell>
          <cell r="N426">
            <v>0</v>
          </cell>
          <cell r="O426">
            <v>28</v>
          </cell>
          <cell r="P426">
            <v>19</v>
          </cell>
          <cell r="Q426">
            <v>1</v>
          </cell>
          <cell r="R426">
            <v>5</v>
          </cell>
          <cell r="S426" t="str">
            <v/>
          </cell>
          <cell r="T426">
            <v>53</v>
          </cell>
          <cell r="U426">
            <v>0</v>
          </cell>
          <cell r="V426">
            <v>0</v>
          </cell>
          <cell r="W426">
            <v>28</v>
          </cell>
          <cell r="X426">
            <v>19</v>
          </cell>
          <cell r="Y426">
            <v>1</v>
          </cell>
          <cell r="Z426">
            <v>5</v>
          </cell>
          <cell r="AA426" t="str">
            <v/>
          </cell>
          <cell r="AB426">
            <v>53</v>
          </cell>
          <cell r="AC426">
            <v>1</v>
          </cell>
          <cell r="AD426" t="str">
            <v>TIDAK</v>
          </cell>
          <cell r="AE426" t="str">
            <v>TIDAK</v>
          </cell>
          <cell r="AF426">
            <v>53</v>
          </cell>
          <cell r="AG426">
            <v>1</v>
          </cell>
          <cell r="AH426" t="str">
            <v>SAPHIRE</v>
          </cell>
          <cell r="AI426">
            <v>0</v>
          </cell>
          <cell r="AJ426" t="str">
            <v>FALSE</v>
          </cell>
          <cell r="AK426">
            <v>0</v>
          </cell>
          <cell r="AL426">
            <v>45261</v>
          </cell>
          <cell r="AM426">
            <v>45701</v>
          </cell>
          <cell r="AN426">
            <v>1</v>
          </cell>
          <cell r="AO426">
            <v>53</v>
          </cell>
          <cell r="AP426" t="str">
            <v>-</v>
          </cell>
          <cell r="AQ426" t="str">
            <v>-</v>
          </cell>
          <cell r="AR426" t="str">
            <v>REGULER</v>
          </cell>
          <cell r="AS426" t="str">
            <v>-</v>
          </cell>
          <cell r="AT426" t="str">
            <v>-</v>
          </cell>
          <cell r="AU426" t="str">
            <v>-</v>
          </cell>
          <cell r="AV426" t="str">
            <v/>
          </cell>
          <cell r="AW426">
            <v>33</v>
          </cell>
          <cell r="AX426">
            <v>21</v>
          </cell>
          <cell r="AY426">
            <v>0</v>
          </cell>
          <cell r="AZ426">
            <v>0</v>
          </cell>
          <cell r="BA426">
            <v>0</v>
          </cell>
          <cell r="BB426">
            <v>33</v>
          </cell>
          <cell r="BC426">
            <v>21</v>
          </cell>
          <cell r="BD426">
            <v>30</v>
          </cell>
          <cell r="BE426">
            <v>42</v>
          </cell>
          <cell r="BF426">
            <v>38</v>
          </cell>
          <cell r="BG426" t="str">
            <v/>
          </cell>
          <cell r="BH426">
            <v>33</v>
          </cell>
          <cell r="BI426">
            <v>21</v>
          </cell>
          <cell r="BJ426">
            <v>30</v>
          </cell>
          <cell r="BK426">
            <v>42</v>
          </cell>
          <cell r="BL426">
            <v>38</v>
          </cell>
          <cell r="BM426">
            <v>22</v>
          </cell>
          <cell r="BN426">
            <v>186</v>
          </cell>
          <cell r="BO426" t="str">
            <v/>
          </cell>
          <cell r="BP426">
            <v>33</v>
          </cell>
          <cell r="BQ426">
            <v>21</v>
          </cell>
          <cell r="BR426">
            <v>30</v>
          </cell>
          <cell r="BS426">
            <v>42</v>
          </cell>
          <cell r="BT426">
            <v>38</v>
          </cell>
          <cell r="BU426">
            <v>22</v>
          </cell>
          <cell r="BV426">
            <v>186</v>
          </cell>
          <cell r="BW426">
            <v>1</v>
          </cell>
          <cell r="BX426" t="str">
            <v>TIDAK</v>
          </cell>
          <cell r="BY426" t="str">
            <v>TIDAK</v>
          </cell>
        </row>
        <row r="427">
          <cell r="A427" t="str">
            <v>A2719</v>
          </cell>
          <cell r="B427" t="str">
            <v>Dyah Ayu Mira Bella</v>
          </cell>
          <cell r="C427" t="str">
            <v>DELTA</v>
          </cell>
          <cell r="D427">
            <v>45222</v>
          </cell>
          <cell r="E427" t="str">
            <v>Oct-23</v>
          </cell>
          <cell r="F427" t="str">
            <v>EKSKLUSIF</v>
          </cell>
          <cell r="G427" t="str">
            <v>EKSKLUSIF</v>
          </cell>
          <cell r="H427" t="str">
            <v>EKSKLUSIF</v>
          </cell>
          <cell r="I427" t="str">
            <v>EKSKLUSIF</v>
          </cell>
          <cell r="J427" t="str">
            <v>EKSKLUSIF</v>
          </cell>
          <cell r="K427" t="str">
            <v>EKSKLUSIF</v>
          </cell>
          <cell r="L427" t="str">
            <v>EKSKLUSIF</v>
          </cell>
          <cell r="M427">
            <v>18</v>
          </cell>
          <cell r="N427">
            <v>44</v>
          </cell>
          <cell r="O427">
            <v>36</v>
          </cell>
          <cell r="P427">
            <v>34</v>
          </cell>
          <cell r="Q427">
            <v>32</v>
          </cell>
          <cell r="R427">
            <v>38</v>
          </cell>
          <cell r="S427">
            <v>15</v>
          </cell>
          <cell r="T427">
            <v>217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 t="str">
            <v>TIDAK</v>
          </cell>
          <cell r="AE427" t="str">
            <v>TIDAK</v>
          </cell>
          <cell r="AF427">
            <v>0</v>
          </cell>
          <cell r="AG427">
            <v>2</v>
          </cell>
          <cell r="AH427" t="str">
            <v>SAPHIRE</v>
          </cell>
          <cell r="AI427">
            <v>0</v>
          </cell>
          <cell r="AJ427" t="str">
            <v>FALSE</v>
          </cell>
          <cell r="AK427">
            <v>0</v>
          </cell>
          <cell r="AL427">
            <v>45261</v>
          </cell>
          <cell r="AM427">
            <v>45701</v>
          </cell>
          <cell r="AN427">
            <v>1</v>
          </cell>
          <cell r="AO427">
            <v>0</v>
          </cell>
          <cell r="AP427" t="str">
            <v>EKSKLUSIF</v>
          </cell>
          <cell r="AQ427" t="str">
            <v>-</v>
          </cell>
          <cell r="AR427" t="str">
            <v>REGULER</v>
          </cell>
          <cell r="AS427" t="str">
            <v>-</v>
          </cell>
          <cell r="AT427" t="str">
            <v>-</v>
          </cell>
          <cell r="AU427" t="str">
            <v>-</v>
          </cell>
          <cell r="AV427" t="str">
            <v/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41</v>
          </cell>
          <cell r="BC427">
            <v>21</v>
          </cell>
          <cell r="BD427">
            <v>32</v>
          </cell>
          <cell r="BE427">
            <v>39</v>
          </cell>
          <cell r="BF427">
            <v>30</v>
          </cell>
          <cell r="BG427">
            <v>9</v>
          </cell>
          <cell r="BH427">
            <v>0</v>
          </cell>
          <cell r="BI427">
            <v>0</v>
          </cell>
          <cell r="BJ427">
            <v>32</v>
          </cell>
          <cell r="BK427">
            <v>39</v>
          </cell>
          <cell r="BL427">
            <v>30</v>
          </cell>
          <cell r="BM427">
            <v>20</v>
          </cell>
          <cell r="BN427">
            <v>130</v>
          </cell>
          <cell r="BO427">
            <v>0</v>
          </cell>
          <cell r="BP427">
            <v>0</v>
          </cell>
          <cell r="BQ427">
            <v>0</v>
          </cell>
          <cell r="BR427">
            <v>32</v>
          </cell>
          <cell r="BS427">
            <v>39</v>
          </cell>
          <cell r="BT427">
            <v>30</v>
          </cell>
          <cell r="BU427">
            <v>20</v>
          </cell>
          <cell r="BV427">
            <v>121</v>
          </cell>
          <cell r="BW427">
            <v>2</v>
          </cell>
          <cell r="BX427" t="str">
            <v>TIDAK</v>
          </cell>
          <cell r="BY427" t="str">
            <v>TIDAK</v>
          </cell>
        </row>
        <row r="428">
          <cell r="A428" t="str">
            <v>A3007</v>
          </cell>
          <cell r="B428" t="str">
            <v>Mellinda Verawati</v>
          </cell>
          <cell r="C428" t="str">
            <v>DELTA</v>
          </cell>
          <cell r="D428">
            <v>45203</v>
          </cell>
          <cell r="E428" t="str">
            <v>Oct-23</v>
          </cell>
          <cell r="F428" t="str">
            <v>REGULER</v>
          </cell>
          <cell r="G428" t="str">
            <v>REGULER</v>
          </cell>
          <cell r="H428" t="str">
            <v>REGULER</v>
          </cell>
          <cell r="I428" t="str">
            <v>REGULER</v>
          </cell>
          <cell r="J428" t="str">
            <v>-</v>
          </cell>
          <cell r="K428" t="str">
            <v>REGULER</v>
          </cell>
          <cell r="L428" t="str">
            <v>REGULER</v>
          </cell>
          <cell r="M428">
            <v>1</v>
          </cell>
          <cell r="N428">
            <v>14</v>
          </cell>
          <cell r="O428">
            <v>13</v>
          </cell>
          <cell r="P428">
            <v>21</v>
          </cell>
          <cell r="Q428">
            <v>0</v>
          </cell>
          <cell r="R428">
            <v>27</v>
          </cell>
          <cell r="S428">
            <v>14</v>
          </cell>
          <cell r="T428">
            <v>90</v>
          </cell>
          <cell r="U428">
            <v>1</v>
          </cell>
          <cell r="V428">
            <v>14</v>
          </cell>
          <cell r="W428">
            <v>13</v>
          </cell>
          <cell r="X428">
            <v>21</v>
          </cell>
          <cell r="Y428">
            <v>0</v>
          </cell>
          <cell r="Z428">
            <v>27</v>
          </cell>
          <cell r="AA428">
            <v>14</v>
          </cell>
          <cell r="AB428">
            <v>90</v>
          </cell>
          <cell r="AC428">
            <v>1</v>
          </cell>
          <cell r="AD428" t="str">
            <v>TIDAK</v>
          </cell>
          <cell r="AE428" t="str">
            <v>TIDAK</v>
          </cell>
          <cell r="AF428">
            <v>90</v>
          </cell>
          <cell r="AG428">
            <v>1</v>
          </cell>
          <cell r="AH428" t="str">
            <v>SAPHIRE</v>
          </cell>
          <cell r="AI428">
            <v>0</v>
          </cell>
          <cell r="AJ428" t="str">
            <v>Y</v>
          </cell>
          <cell r="AK428">
            <v>0</v>
          </cell>
          <cell r="AL428">
            <v>45261</v>
          </cell>
          <cell r="AM428">
            <v>45701</v>
          </cell>
          <cell r="AN428">
            <v>1</v>
          </cell>
          <cell r="AO428">
            <v>90</v>
          </cell>
          <cell r="AP428" t="str">
            <v>-</v>
          </cell>
          <cell r="AQ428" t="str">
            <v>-</v>
          </cell>
          <cell r="AR428" t="str">
            <v>REGULER</v>
          </cell>
          <cell r="AS428" t="str">
            <v>-</v>
          </cell>
          <cell r="AT428" t="str">
            <v>-</v>
          </cell>
          <cell r="AU428" t="str">
            <v>-</v>
          </cell>
          <cell r="AV428" t="str">
            <v/>
          </cell>
          <cell r="AW428">
            <v>38</v>
          </cell>
          <cell r="AX428">
            <v>15</v>
          </cell>
          <cell r="AY428">
            <v>0</v>
          </cell>
          <cell r="AZ428">
            <v>0</v>
          </cell>
          <cell r="BA428">
            <v>0</v>
          </cell>
          <cell r="BB428">
            <v>38</v>
          </cell>
          <cell r="BC428">
            <v>15</v>
          </cell>
          <cell r="BD428">
            <v>15</v>
          </cell>
          <cell r="BE428">
            <v>7</v>
          </cell>
          <cell r="BF428">
            <v>39</v>
          </cell>
          <cell r="BG428">
            <v>14</v>
          </cell>
          <cell r="BH428">
            <v>38</v>
          </cell>
          <cell r="BI428">
            <v>15</v>
          </cell>
          <cell r="BJ428">
            <v>15</v>
          </cell>
          <cell r="BK428">
            <v>7</v>
          </cell>
          <cell r="BL428">
            <v>39</v>
          </cell>
          <cell r="BM428">
            <v>10</v>
          </cell>
          <cell r="BN428">
            <v>138</v>
          </cell>
          <cell r="BO428">
            <v>14</v>
          </cell>
          <cell r="BP428">
            <v>38</v>
          </cell>
          <cell r="BQ428">
            <v>15</v>
          </cell>
          <cell r="BR428">
            <v>15</v>
          </cell>
          <cell r="BS428">
            <v>7</v>
          </cell>
          <cell r="BT428">
            <v>39</v>
          </cell>
          <cell r="BU428">
            <v>10</v>
          </cell>
          <cell r="BV428">
            <v>138</v>
          </cell>
          <cell r="BW428">
            <v>0</v>
          </cell>
          <cell r="BX428" t="str">
            <v>TIDAK</v>
          </cell>
          <cell r="BY428" t="str">
            <v>TIDAK</v>
          </cell>
        </row>
        <row r="429">
          <cell r="A429" t="str">
            <v>A3999</v>
          </cell>
          <cell r="B429" t="str">
            <v>Mikha Mamoru</v>
          </cell>
          <cell r="C429" t="str">
            <v>DELTA</v>
          </cell>
          <cell r="D429">
            <v>45398</v>
          </cell>
          <cell r="E429" t="str">
            <v>Apr-24</v>
          </cell>
          <cell r="F429" t="str">
            <v>-</v>
          </cell>
          <cell r="G429" t="str">
            <v>-</v>
          </cell>
          <cell r="H429" t="str">
            <v>-</v>
          </cell>
          <cell r="I429" t="str">
            <v>-</v>
          </cell>
          <cell r="J429" t="str">
            <v>REGULER</v>
          </cell>
          <cell r="K429" t="str">
            <v>REGULER</v>
          </cell>
          <cell r="L429" t="str">
            <v>REGULER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13</v>
          </cell>
          <cell r="R429">
            <v>35</v>
          </cell>
          <cell r="S429">
            <v>14</v>
          </cell>
          <cell r="T429">
            <v>62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13</v>
          </cell>
          <cell r="Z429">
            <v>35</v>
          </cell>
          <cell r="AA429">
            <v>14</v>
          </cell>
          <cell r="AB429">
            <v>62</v>
          </cell>
          <cell r="AC429">
            <v>0</v>
          </cell>
          <cell r="AD429" t="str">
            <v>TIDAK</v>
          </cell>
          <cell r="AE429" t="str">
            <v>TIDAK</v>
          </cell>
          <cell r="AF429">
            <v>62</v>
          </cell>
          <cell r="AG429">
            <v>1</v>
          </cell>
          <cell r="AH429" t="str">
            <v>SAPHIRE</v>
          </cell>
          <cell r="AI429">
            <v>0</v>
          </cell>
          <cell r="AJ429" t="str">
            <v>FALSE</v>
          </cell>
          <cell r="AK429">
            <v>0</v>
          </cell>
          <cell r="AL429">
            <v>45261</v>
          </cell>
          <cell r="AM429">
            <v>45701</v>
          </cell>
          <cell r="AN429">
            <v>1</v>
          </cell>
          <cell r="AO429">
            <v>62</v>
          </cell>
          <cell r="AP429" t="str">
            <v>-</v>
          </cell>
          <cell r="AQ429" t="str">
            <v>-</v>
          </cell>
          <cell r="AR429" t="str">
            <v>REGULER</v>
          </cell>
          <cell r="AS429" t="str">
            <v>REGULER</v>
          </cell>
          <cell r="AT429" t="str">
            <v>-</v>
          </cell>
          <cell r="AU429" t="str">
            <v>-</v>
          </cell>
          <cell r="AV429" t="str">
            <v/>
          </cell>
          <cell r="AW429">
            <v>31</v>
          </cell>
          <cell r="AX429">
            <v>18</v>
          </cell>
          <cell r="AY429">
            <v>32</v>
          </cell>
          <cell r="AZ429">
            <v>25</v>
          </cell>
          <cell r="BA429">
            <v>35</v>
          </cell>
          <cell r="BB429">
            <v>31</v>
          </cell>
          <cell r="BC429">
            <v>18</v>
          </cell>
          <cell r="BD429">
            <v>13</v>
          </cell>
          <cell r="BE429">
            <v>25</v>
          </cell>
          <cell r="BF429">
            <v>35</v>
          </cell>
          <cell r="BG429">
            <v>4</v>
          </cell>
          <cell r="BH429">
            <v>31</v>
          </cell>
          <cell r="BI429">
            <v>18</v>
          </cell>
          <cell r="BJ429">
            <v>32</v>
          </cell>
          <cell r="BK429">
            <v>25</v>
          </cell>
          <cell r="BL429">
            <v>35</v>
          </cell>
          <cell r="BM429">
            <v>18</v>
          </cell>
          <cell r="BN429">
            <v>163</v>
          </cell>
          <cell r="BO429">
            <v>4</v>
          </cell>
          <cell r="BP429">
            <v>31</v>
          </cell>
          <cell r="BQ429">
            <v>18</v>
          </cell>
          <cell r="BR429">
            <v>32</v>
          </cell>
          <cell r="BS429">
            <v>25</v>
          </cell>
          <cell r="BT429">
            <v>35</v>
          </cell>
          <cell r="BU429">
            <v>18</v>
          </cell>
          <cell r="BV429">
            <v>163</v>
          </cell>
          <cell r="BW429">
            <v>0</v>
          </cell>
          <cell r="BX429" t="str">
            <v>TIDAK</v>
          </cell>
          <cell r="BY429" t="str">
            <v>TIDAK</v>
          </cell>
        </row>
        <row r="430">
          <cell r="A430" t="str">
            <v>A0611</v>
          </cell>
          <cell r="B430" t="str">
            <v>PATWA JIWANI BOYE</v>
          </cell>
          <cell r="C430" t="str">
            <v>DELTA</v>
          </cell>
          <cell r="D430" t="str">
            <v/>
          </cell>
          <cell r="E430" t="str">
            <v/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3794</v>
          </cell>
          <cell r="N430">
            <v>8484</v>
          </cell>
          <cell r="O430">
            <v>7413</v>
          </cell>
          <cell r="P430">
            <v>7761</v>
          </cell>
          <cell r="Q430">
            <v>6745</v>
          </cell>
          <cell r="R430">
            <v>7368</v>
          </cell>
          <cell r="S430">
            <v>4868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8318</v>
          </cell>
          <cell r="AX430">
            <v>7907</v>
          </cell>
          <cell r="AY430">
            <v>7074</v>
          </cell>
          <cell r="AZ430">
            <v>7764</v>
          </cell>
          <cell r="BA430">
            <v>6958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3297</v>
          </cell>
          <cell r="BH430">
            <v>8331</v>
          </cell>
          <cell r="BI430">
            <v>7909</v>
          </cell>
          <cell r="BJ430">
            <v>7194</v>
          </cell>
          <cell r="BK430">
            <v>7939</v>
          </cell>
          <cell r="BL430">
            <v>7125</v>
          </cell>
          <cell r="BM430">
            <v>3592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</row>
        <row r="431">
          <cell r="A431" t="str">
            <v>A0612</v>
          </cell>
          <cell r="B431" t="str">
            <v>BRITTA SEVIRA</v>
          </cell>
          <cell r="C431" t="str">
            <v>DELTA</v>
          </cell>
          <cell r="D431" t="str">
            <v/>
          </cell>
          <cell r="E431" t="str">
            <v/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</row>
        <row r="432">
          <cell r="A432" t="str">
            <v>A4481</v>
          </cell>
          <cell r="B432" t="str">
            <v>SYAHRUL NIZAM SUPARNO</v>
          </cell>
          <cell r="C432" t="str">
            <v>DELTA</v>
          </cell>
          <cell r="D432" t="str">
            <v/>
          </cell>
          <cell r="E432" t="str">
            <v/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3027</v>
          </cell>
          <cell r="BH432">
            <v>7709</v>
          </cell>
          <cell r="BI432">
            <v>7307</v>
          </cell>
          <cell r="BJ432">
            <v>6666</v>
          </cell>
          <cell r="BK432">
            <v>7244</v>
          </cell>
          <cell r="BL432">
            <v>6522</v>
          </cell>
          <cell r="BM432">
            <v>3146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</row>
        <row r="433">
          <cell r="A433" t="str">
            <v>A4479</v>
          </cell>
          <cell r="B433" t="str">
            <v>KRISTINA BATU ALLO</v>
          </cell>
          <cell r="C433" t="str">
            <v>DELTA</v>
          </cell>
          <cell r="D433" t="str">
            <v/>
          </cell>
          <cell r="E433" t="str">
            <v/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3027</v>
          </cell>
          <cell r="BH433">
            <v>7709</v>
          </cell>
          <cell r="BI433">
            <v>7307</v>
          </cell>
          <cell r="BJ433">
            <v>6666</v>
          </cell>
          <cell r="BK433">
            <v>7244</v>
          </cell>
          <cell r="BL433">
            <v>6522</v>
          </cell>
          <cell r="BM433">
            <v>3146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</row>
        <row r="434">
          <cell r="A434" t="str">
            <v>A4541</v>
          </cell>
          <cell r="B434" t="str">
            <v>RIKI RUNANDA</v>
          </cell>
          <cell r="C434" t="str">
            <v>DELTA</v>
          </cell>
          <cell r="D434" t="str">
            <v/>
          </cell>
          <cell r="E434" t="str">
            <v/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3027</v>
          </cell>
          <cell r="BH434">
            <v>7709</v>
          </cell>
          <cell r="BI434">
            <v>7307</v>
          </cell>
          <cell r="BJ434">
            <v>6666</v>
          </cell>
          <cell r="BK434">
            <v>7244</v>
          </cell>
          <cell r="BL434">
            <v>6522</v>
          </cell>
          <cell r="BM434">
            <v>3146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</row>
        <row r="435">
          <cell r="A435" t="str">
            <v>A4539</v>
          </cell>
          <cell r="B435" t="str">
            <v>ELVYNA DAMAYANTI SIHOMBING</v>
          </cell>
          <cell r="C435" t="str">
            <v>DELTA</v>
          </cell>
          <cell r="D435" t="str">
            <v/>
          </cell>
          <cell r="E435" t="str">
            <v/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3027</v>
          </cell>
          <cell r="BH435">
            <v>7709</v>
          </cell>
          <cell r="BI435">
            <v>7307</v>
          </cell>
          <cell r="BJ435">
            <v>6666</v>
          </cell>
          <cell r="BK435">
            <v>7244</v>
          </cell>
          <cell r="BL435">
            <v>6522</v>
          </cell>
          <cell r="BM435">
            <v>3146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</row>
        <row r="436">
          <cell r="A436" t="str">
            <v>A4442</v>
          </cell>
          <cell r="B436" t="str">
            <v>RANI PUSPA ANJANI</v>
          </cell>
          <cell r="C436" t="str">
            <v>DELTA</v>
          </cell>
          <cell r="D436" t="str">
            <v/>
          </cell>
          <cell r="E436" t="str">
            <v/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3027</v>
          </cell>
          <cell r="BH436">
            <v>7709</v>
          </cell>
          <cell r="BI436">
            <v>7307</v>
          </cell>
          <cell r="BJ436">
            <v>6666</v>
          </cell>
          <cell r="BK436">
            <v>7244</v>
          </cell>
          <cell r="BL436">
            <v>6522</v>
          </cell>
          <cell r="BM436">
            <v>3146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</row>
        <row r="437">
          <cell r="A437" t="str">
            <v>A4508</v>
          </cell>
          <cell r="B437" t="str">
            <v>ARYN SILVIANA</v>
          </cell>
          <cell r="C437" t="str">
            <v>DELTA</v>
          </cell>
          <cell r="D437" t="str">
            <v/>
          </cell>
          <cell r="E437" t="str">
            <v/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</row>
        <row r="438">
          <cell r="A438" t="str">
            <v>A4509</v>
          </cell>
          <cell r="B438" t="str">
            <v>DINA LAYLLA FADDLY</v>
          </cell>
          <cell r="C438" t="str">
            <v>DELTA</v>
          </cell>
          <cell r="D438" t="str">
            <v/>
          </cell>
          <cell r="E438" t="str">
            <v/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</row>
        <row r="439">
          <cell r="A439" t="str">
            <v>A4511</v>
          </cell>
          <cell r="B439" t="str">
            <v>M IQBAL FATHAKHAIRO</v>
          </cell>
          <cell r="C439" t="str">
            <v>DELTA</v>
          </cell>
          <cell r="D439" t="str">
            <v/>
          </cell>
          <cell r="E439" t="str">
            <v/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</row>
        <row r="440">
          <cell r="A440" t="str">
            <v>A4538</v>
          </cell>
          <cell r="B440" t="str">
            <v>SILVIA SINURAT</v>
          </cell>
          <cell r="C440" t="str">
            <v>DELTA</v>
          </cell>
          <cell r="D440" t="str">
            <v/>
          </cell>
          <cell r="E440" t="str">
            <v/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</row>
        <row r="441">
          <cell r="A441" t="str">
            <v>A4545</v>
          </cell>
          <cell r="B441" t="str">
            <v>ITA YULIANA</v>
          </cell>
          <cell r="C441" t="str">
            <v>DELTA</v>
          </cell>
          <cell r="D441" t="str">
            <v/>
          </cell>
          <cell r="E441" t="str">
            <v/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</row>
        <row r="442">
          <cell r="A442" t="str">
            <v>A4546</v>
          </cell>
          <cell r="B442" t="str">
            <v>MUHAMMAD IHSAN SHA BANA</v>
          </cell>
          <cell r="C442" t="str">
            <v>DELTA</v>
          </cell>
          <cell r="D442" t="str">
            <v/>
          </cell>
          <cell r="E442" t="str">
            <v/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</row>
        <row r="443">
          <cell r="A443" t="str">
            <v>A4609</v>
          </cell>
          <cell r="B443" t="str">
            <v>DIEGA RAHASINATRA</v>
          </cell>
          <cell r="C443" t="str">
            <v>DELTA</v>
          </cell>
          <cell r="D443" t="str">
            <v/>
          </cell>
          <cell r="E443" t="str">
            <v/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</row>
        <row r="444">
          <cell r="A444" t="str">
            <v>A4482</v>
          </cell>
          <cell r="B444" t="str">
            <v>ANISYA HUSNA</v>
          </cell>
          <cell r="C444" t="str">
            <v>DESIRE</v>
          </cell>
          <cell r="D444">
            <v>45628</v>
          </cell>
          <cell r="E444" t="str">
            <v>Dec-24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 t="str">
            <v/>
          </cell>
          <cell r="BC444" t="str">
            <v/>
          </cell>
          <cell r="BD444" t="str">
            <v/>
          </cell>
          <cell r="BE444" t="str">
            <v/>
          </cell>
          <cell r="BF444" t="str">
            <v/>
          </cell>
          <cell r="BG444">
            <v>0</v>
          </cell>
          <cell r="BH444" t="str">
            <v/>
          </cell>
          <cell r="BI444" t="str">
            <v/>
          </cell>
          <cell r="BJ444" t="str">
            <v/>
          </cell>
          <cell r="BK444" t="str">
            <v/>
          </cell>
          <cell r="BL444" t="str">
            <v/>
          </cell>
          <cell r="BM444">
            <v>12</v>
          </cell>
          <cell r="BN444">
            <v>12</v>
          </cell>
          <cell r="BO444">
            <v>0</v>
          </cell>
          <cell r="BP444" t="str">
            <v/>
          </cell>
          <cell r="BQ444" t="str">
            <v/>
          </cell>
          <cell r="BR444" t="str">
            <v/>
          </cell>
          <cell r="BS444" t="str">
            <v/>
          </cell>
          <cell r="BT444" t="str">
            <v/>
          </cell>
          <cell r="BU444">
            <v>12</v>
          </cell>
          <cell r="BV444">
            <v>12</v>
          </cell>
          <cell r="BW444">
            <v>0</v>
          </cell>
          <cell r="BX444" t="str">
            <v>TIDAK</v>
          </cell>
          <cell r="BY444" t="str">
            <v>TIDAK</v>
          </cell>
        </row>
        <row r="445">
          <cell r="A445" t="str">
            <v>A4483</v>
          </cell>
          <cell r="B445" t="str">
            <v>CINDY MEILINDA GIRSANG</v>
          </cell>
          <cell r="C445" t="str">
            <v>DESIRE</v>
          </cell>
          <cell r="D445">
            <v>45628</v>
          </cell>
          <cell r="E445" t="str">
            <v>Dec-24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 t="str">
            <v/>
          </cell>
          <cell r="BC445" t="str">
            <v/>
          </cell>
          <cell r="BD445" t="str">
            <v/>
          </cell>
          <cell r="BE445" t="str">
            <v/>
          </cell>
          <cell r="BF445" t="str">
            <v/>
          </cell>
          <cell r="BG445">
            <v>0</v>
          </cell>
          <cell r="BH445" t="str">
            <v/>
          </cell>
          <cell r="BI445" t="str">
            <v/>
          </cell>
          <cell r="BJ445" t="str">
            <v/>
          </cell>
          <cell r="BK445" t="str">
            <v/>
          </cell>
          <cell r="BL445" t="str">
            <v/>
          </cell>
          <cell r="BM445">
            <v>10</v>
          </cell>
          <cell r="BN445">
            <v>10</v>
          </cell>
          <cell r="BO445">
            <v>0</v>
          </cell>
          <cell r="BP445" t="str">
            <v/>
          </cell>
          <cell r="BQ445" t="str">
            <v/>
          </cell>
          <cell r="BR445" t="str">
            <v/>
          </cell>
          <cell r="BS445" t="str">
            <v/>
          </cell>
          <cell r="BT445" t="str">
            <v/>
          </cell>
          <cell r="BU445">
            <v>10</v>
          </cell>
          <cell r="BV445">
            <v>10</v>
          </cell>
          <cell r="BW445">
            <v>0</v>
          </cell>
          <cell r="BX445" t="str">
            <v>TIDAK</v>
          </cell>
          <cell r="BY445" t="str">
            <v>TIDAK</v>
          </cell>
        </row>
        <row r="446">
          <cell r="A446" t="str">
            <v>A4486</v>
          </cell>
          <cell r="B446" t="str">
            <v>NOVENTI SWASTIKA PUTRI</v>
          </cell>
          <cell r="C446" t="str">
            <v>DESIRE</v>
          </cell>
          <cell r="D446">
            <v>45628</v>
          </cell>
          <cell r="E446" t="str">
            <v>Dec-24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 t="str">
            <v/>
          </cell>
          <cell r="BC446" t="str">
            <v/>
          </cell>
          <cell r="BD446" t="str">
            <v/>
          </cell>
          <cell r="BE446" t="str">
            <v/>
          </cell>
          <cell r="BF446" t="str">
            <v/>
          </cell>
          <cell r="BG446">
            <v>0</v>
          </cell>
          <cell r="BH446" t="str">
            <v/>
          </cell>
          <cell r="BI446" t="str">
            <v/>
          </cell>
          <cell r="BJ446" t="str">
            <v/>
          </cell>
          <cell r="BK446" t="str">
            <v/>
          </cell>
          <cell r="BL446" t="str">
            <v/>
          </cell>
          <cell r="BM446">
            <v>5</v>
          </cell>
          <cell r="BN446">
            <v>5</v>
          </cell>
          <cell r="BO446">
            <v>0</v>
          </cell>
          <cell r="BP446" t="str">
            <v/>
          </cell>
          <cell r="BQ446" t="str">
            <v/>
          </cell>
          <cell r="BR446" t="str">
            <v/>
          </cell>
          <cell r="BS446" t="str">
            <v/>
          </cell>
          <cell r="BT446" t="str">
            <v/>
          </cell>
          <cell r="BU446">
            <v>5</v>
          </cell>
          <cell r="BV446">
            <v>5</v>
          </cell>
          <cell r="BW446">
            <v>0</v>
          </cell>
          <cell r="BX446" t="str">
            <v>TIDAK</v>
          </cell>
          <cell r="BY446" t="str">
            <v>TIDAK</v>
          </cell>
        </row>
        <row r="447">
          <cell r="A447" t="str">
            <v>A4485</v>
          </cell>
          <cell r="B447" t="str">
            <v>NITA SHOFWATIN</v>
          </cell>
          <cell r="C447" t="str">
            <v>DESIRE</v>
          </cell>
          <cell r="D447">
            <v>45628</v>
          </cell>
          <cell r="E447" t="str">
            <v>Dec-24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 t="str">
            <v/>
          </cell>
          <cell r="BC447" t="str">
            <v/>
          </cell>
          <cell r="BD447" t="str">
            <v/>
          </cell>
          <cell r="BE447" t="str">
            <v/>
          </cell>
          <cell r="BF447" t="str">
            <v/>
          </cell>
          <cell r="BG447">
            <v>0</v>
          </cell>
          <cell r="BH447" t="str">
            <v/>
          </cell>
          <cell r="BI447" t="str">
            <v/>
          </cell>
          <cell r="BJ447" t="str">
            <v/>
          </cell>
          <cell r="BK447" t="str">
            <v/>
          </cell>
          <cell r="BL447" t="str">
            <v/>
          </cell>
          <cell r="BM447">
            <v>18</v>
          </cell>
          <cell r="BN447">
            <v>18</v>
          </cell>
          <cell r="BO447">
            <v>0</v>
          </cell>
          <cell r="BP447" t="str">
            <v/>
          </cell>
          <cell r="BQ447" t="str">
            <v/>
          </cell>
          <cell r="BR447" t="str">
            <v/>
          </cell>
          <cell r="BS447" t="str">
            <v/>
          </cell>
          <cell r="BT447" t="str">
            <v/>
          </cell>
          <cell r="BU447">
            <v>18</v>
          </cell>
          <cell r="BV447">
            <v>18</v>
          </cell>
          <cell r="BW447">
            <v>0</v>
          </cell>
          <cell r="BX447" t="str">
            <v>TIDAK</v>
          </cell>
          <cell r="BY447" t="str">
            <v>TIDAK</v>
          </cell>
        </row>
        <row r="448">
          <cell r="A448" t="str">
            <v>A4484</v>
          </cell>
          <cell r="B448" t="str">
            <v>DESTTY YOHANA SARI</v>
          </cell>
          <cell r="C448" t="str">
            <v>DESIRE</v>
          </cell>
          <cell r="D448">
            <v>45628</v>
          </cell>
          <cell r="E448" t="str">
            <v>Dec-24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 t="str">
            <v/>
          </cell>
          <cell r="BC448" t="str">
            <v/>
          </cell>
          <cell r="BD448" t="str">
            <v/>
          </cell>
          <cell r="BE448" t="str">
            <v/>
          </cell>
          <cell r="BF448" t="str">
            <v/>
          </cell>
          <cell r="BG448">
            <v>0</v>
          </cell>
          <cell r="BH448" t="str">
            <v/>
          </cell>
          <cell r="BI448" t="str">
            <v/>
          </cell>
          <cell r="BJ448" t="str">
            <v/>
          </cell>
          <cell r="BK448" t="str">
            <v/>
          </cell>
          <cell r="BL448" t="str">
            <v/>
          </cell>
          <cell r="BM448">
            <v>14</v>
          </cell>
          <cell r="BN448">
            <v>14</v>
          </cell>
          <cell r="BO448">
            <v>0</v>
          </cell>
          <cell r="BP448" t="str">
            <v/>
          </cell>
          <cell r="BQ448" t="str">
            <v/>
          </cell>
          <cell r="BR448" t="str">
            <v/>
          </cell>
          <cell r="BS448" t="str">
            <v/>
          </cell>
          <cell r="BT448" t="str">
            <v/>
          </cell>
          <cell r="BU448">
            <v>14</v>
          </cell>
          <cell r="BV448">
            <v>14</v>
          </cell>
          <cell r="BW448">
            <v>0</v>
          </cell>
          <cell r="BX448" t="str">
            <v>TIDAK</v>
          </cell>
          <cell r="BY448" t="str">
            <v>TIDAK</v>
          </cell>
        </row>
        <row r="449">
          <cell r="A449" t="str">
            <v>A2084</v>
          </cell>
          <cell r="B449" t="str">
            <v>DEWI AMIMI</v>
          </cell>
          <cell r="C449" t="str">
            <v>DESIRE</v>
          </cell>
          <cell r="D449">
            <v>45626</v>
          </cell>
          <cell r="E449" t="str">
            <v>Nov-24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1</v>
          </cell>
          <cell r="BB449" t="str">
            <v/>
          </cell>
          <cell r="BC449" t="str">
            <v/>
          </cell>
          <cell r="BD449" t="str">
            <v/>
          </cell>
          <cell r="BE449" t="str">
            <v/>
          </cell>
          <cell r="BF449" t="str">
            <v/>
          </cell>
          <cell r="BG449">
            <v>0</v>
          </cell>
          <cell r="BH449" t="str">
            <v/>
          </cell>
          <cell r="BI449" t="str">
            <v/>
          </cell>
          <cell r="BJ449" t="str">
            <v/>
          </cell>
          <cell r="BK449" t="str">
            <v/>
          </cell>
          <cell r="BL449" t="str">
            <v/>
          </cell>
          <cell r="BM449">
            <v>15</v>
          </cell>
          <cell r="BN449">
            <v>15</v>
          </cell>
          <cell r="BO449">
            <v>0</v>
          </cell>
          <cell r="BP449" t="str">
            <v/>
          </cell>
          <cell r="BQ449" t="str">
            <v/>
          </cell>
          <cell r="BR449" t="str">
            <v/>
          </cell>
          <cell r="BS449" t="str">
            <v/>
          </cell>
          <cell r="BT449" t="str">
            <v/>
          </cell>
          <cell r="BU449">
            <v>15</v>
          </cell>
          <cell r="BV449">
            <v>15</v>
          </cell>
          <cell r="BW449">
            <v>1</v>
          </cell>
          <cell r="BX449" t="str">
            <v>TIDAK</v>
          </cell>
          <cell r="BY449" t="str">
            <v>TIDAK</v>
          </cell>
        </row>
        <row r="450">
          <cell r="A450" t="str">
            <v>A4520</v>
          </cell>
          <cell r="B450" t="str">
            <v>APRILIA KHARUNIA ADETYA</v>
          </cell>
          <cell r="C450" t="str">
            <v>DESIRE</v>
          </cell>
          <cell r="D450">
            <v>45628</v>
          </cell>
          <cell r="E450" t="str">
            <v>Dec-24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 t="str">
            <v/>
          </cell>
          <cell r="BC450" t="str">
            <v/>
          </cell>
          <cell r="BD450" t="str">
            <v/>
          </cell>
          <cell r="BE450" t="str">
            <v/>
          </cell>
          <cell r="BF450" t="str">
            <v/>
          </cell>
          <cell r="BG450">
            <v>0</v>
          </cell>
          <cell r="BH450" t="str">
            <v/>
          </cell>
          <cell r="BI450" t="str">
            <v/>
          </cell>
          <cell r="BJ450" t="str">
            <v/>
          </cell>
          <cell r="BK450" t="str">
            <v/>
          </cell>
          <cell r="BL450" t="str">
            <v/>
          </cell>
          <cell r="BM450">
            <v>4</v>
          </cell>
          <cell r="BN450">
            <v>4</v>
          </cell>
          <cell r="BO450">
            <v>0</v>
          </cell>
          <cell r="BP450" t="str">
            <v/>
          </cell>
          <cell r="BQ450" t="str">
            <v/>
          </cell>
          <cell r="BR450" t="str">
            <v/>
          </cell>
          <cell r="BS450" t="str">
            <v/>
          </cell>
          <cell r="BT450" t="str">
            <v/>
          </cell>
          <cell r="BU450">
            <v>4</v>
          </cell>
          <cell r="BV450">
            <v>4</v>
          </cell>
          <cell r="BW450">
            <v>0</v>
          </cell>
          <cell r="BX450" t="str">
            <v>TIDAK</v>
          </cell>
          <cell r="BY450" t="str">
            <v>TIDAK</v>
          </cell>
        </row>
        <row r="451">
          <cell r="A451" t="str">
            <v>A4521</v>
          </cell>
          <cell r="B451" t="str">
            <v>CLARA DYAH CHANIFAH</v>
          </cell>
          <cell r="C451" t="str">
            <v>DESIRE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78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</row>
        <row r="452">
          <cell r="A452" t="str">
            <v>A4522</v>
          </cell>
          <cell r="B452" t="str">
            <v>NILAM ADHININGSIH</v>
          </cell>
          <cell r="C452" t="str">
            <v>DESIRE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78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</row>
        <row r="453">
          <cell r="A453" t="str">
            <v>A3555</v>
          </cell>
          <cell r="B453" t="str">
            <v>AGIS RIZKI MAULANA</v>
          </cell>
          <cell r="C453" t="str">
            <v>GC</v>
          </cell>
          <cell r="D453">
            <v>45446</v>
          </cell>
          <cell r="E453" t="str">
            <v>Jun-24</v>
          </cell>
          <cell r="F453" t="str">
            <v>-</v>
          </cell>
          <cell r="G453" t="str">
            <v>-</v>
          </cell>
          <cell r="H453" t="str">
            <v>-</v>
          </cell>
          <cell r="I453" t="str">
            <v>-</v>
          </cell>
          <cell r="J453" t="str">
            <v>-</v>
          </cell>
          <cell r="K453" t="str">
            <v>-</v>
          </cell>
          <cell r="L453" t="str">
            <v>REGULER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5</v>
          </cell>
          <cell r="T453">
            <v>5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5</v>
          </cell>
          <cell r="AB453">
            <v>5</v>
          </cell>
          <cell r="AC453">
            <v>0</v>
          </cell>
          <cell r="AD453" t="str">
            <v>TIDAK</v>
          </cell>
          <cell r="AE453" t="str">
            <v>TIDAK</v>
          </cell>
          <cell r="AF453">
            <v>5</v>
          </cell>
          <cell r="AG453">
            <v>2</v>
          </cell>
          <cell r="AH453" t="str">
            <v>SAPHIRE</v>
          </cell>
          <cell r="AI453">
            <v>0</v>
          </cell>
          <cell r="AJ453" t="str">
            <v>FALSE</v>
          </cell>
          <cell r="AK453">
            <v>0</v>
          </cell>
          <cell r="AL453">
            <v>45261</v>
          </cell>
          <cell r="AM453">
            <v>45701</v>
          </cell>
          <cell r="AN453">
            <v>1</v>
          </cell>
          <cell r="AO453">
            <v>5</v>
          </cell>
          <cell r="AP453" t="str">
            <v>-</v>
          </cell>
          <cell r="AQ453" t="str">
            <v>-</v>
          </cell>
          <cell r="AR453" t="str">
            <v>REGULER</v>
          </cell>
          <cell r="AS453" t="str">
            <v>-</v>
          </cell>
          <cell r="AT453" t="str">
            <v>REGULER</v>
          </cell>
          <cell r="AU453" t="str">
            <v>-</v>
          </cell>
          <cell r="AV453" t="str">
            <v/>
          </cell>
          <cell r="AW453">
            <v>16</v>
          </cell>
          <cell r="AX453">
            <v>18</v>
          </cell>
          <cell r="AY453">
            <v>0</v>
          </cell>
          <cell r="AZ453">
            <v>9</v>
          </cell>
          <cell r="BA453">
            <v>0</v>
          </cell>
          <cell r="BB453">
            <v>16</v>
          </cell>
          <cell r="BC453">
            <v>18</v>
          </cell>
          <cell r="BD453">
            <v>0</v>
          </cell>
          <cell r="BE453">
            <v>9</v>
          </cell>
          <cell r="BF453">
            <v>0</v>
          </cell>
          <cell r="BG453">
            <v>10</v>
          </cell>
          <cell r="BH453">
            <v>16</v>
          </cell>
          <cell r="BI453">
            <v>18</v>
          </cell>
          <cell r="BJ453">
            <v>0</v>
          </cell>
          <cell r="BK453">
            <v>9</v>
          </cell>
          <cell r="BL453">
            <v>0</v>
          </cell>
          <cell r="BM453" t="str">
            <v/>
          </cell>
          <cell r="BN453">
            <v>53</v>
          </cell>
          <cell r="BO453">
            <v>10</v>
          </cell>
          <cell r="BP453">
            <v>16</v>
          </cell>
          <cell r="BQ453">
            <v>18</v>
          </cell>
          <cell r="BR453">
            <v>0</v>
          </cell>
          <cell r="BS453">
            <v>9</v>
          </cell>
          <cell r="BT453">
            <v>0</v>
          </cell>
          <cell r="BU453" t="str">
            <v/>
          </cell>
          <cell r="BV453">
            <v>53</v>
          </cell>
          <cell r="BW453">
            <v>3</v>
          </cell>
          <cell r="BX453" t="str">
            <v>DOWNGRADE</v>
          </cell>
          <cell r="BY453" t="str">
            <v>TIDAK</v>
          </cell>
        </row>
        <row r="454">
          <cell r="A454" t="str">
            <v>A2116</v>
          </cell>
          <cell r="B454" t="str">
            <v xml:space="preserve">Agnes Silitonga </v>
          </cell>
          <cell r="C454" t="str">
            <v>GC</v>
          </cell>
          <cell r="D454">
            <v>45036</v>
          </cell>
          <cell r="E454" t="str">
            <v>Apr-23</v>
          </cell>
          <cell r="F454" t="str">
            <v>REGULER</v>
          </cell>
          <cell r="G454" t="str">
            <v>REGULER</v>
          </cell>
          <cell r="H454" t="str">
            <v>REGULER</v>
          </cell>
          <cell r="I454" t="str">
            <v>REGULER</v>
          </cell>
          <cell r="J454" t="str">
            <v>REGULER</v>
          </cell>
          <cell r="K454" t="str">
            <v>REGULER</v>
          </cell>
          <cell r="L454" t="str">
            <v>REGULER</v>
          </cell>
          <cell r="M454">
            <v>11</v>
          </cell>
          <cell r="N454">
            <v>16</v>
          </cell>
          <cell r="O454">
            <v>21</v>
          </cell>
          <cell r="P454">
            <v>15</v>
          </cell>
          <cell r="Q454">
            <v>14</v>
          </cell>
          <cell r="R454">
            <v>30</v>
          </cell>
          <cell r="S454">
            <v>15</v>
          </cell>
          <cell r="T454">
            <v>122</v>
          </cell>
          <cell r="U454">
            <v>11</v>
          </cell>
          <cell r="V454">
            <v>16</v>
          </cell>
          <cell r="W454">
            <v>21</v>
          </cell>
          <cell r="X454">
            <v>15</v>
          </cell>
          <cell r="Y454">
            <v>14</v>
          </cell>
          <cell r="Z454">
            <v>30</v>
          </cell>
          <cell r="AA454">
            <v>15</v>
          </cell>
          <cell r="AB454">
            <v>122</v>
          </cell>
          <cell r="AC454">
            <v>0</v>
          </cell>
          <cell r="AD454" t="str">
            <v>TIDAK</v>
          </cell>
          <cell r="AE454" t="str">
            <v>TIDAK</v>
          </cell>
          <cell r="AF454">
            <v>122</v>
          </cell>
          <cell r="AG454">
            <v>3</v>
          </cell>
          <cell r="AH454" t="str">
            <v>SAPHIRE</v>
          </cell>
          <cell r="AI454">
            <v>0</v>
          </cell>
          <cell r="AJ454" t="str">
            <v>Y</v>
          </cell>
          <cell r="AK454">
            <v>0</v>
          </cell>
          <cell r="AL454">
            <v>45261</v>
          </cell>
          <cell r="AM454">
            <v>45701</v>
          </cell>
          <cell r="AN454">
            <v>1</v>
          </cell>
          <cell r="AO454">
            <v>122</v>
          </cell>
          <cell r="AP454" t="str">
            <v>-</v>
          </cell>
          <cell r="AQ454" t="str">
            <v>-</v>
          </cell>
          <cell r="AR454" t="str">
            <v>REGULER</v>
          </cell>
          <cell r="AS454" t="str">
            <v>REGULER</v>
          </cell>
          <cell r="AT454" t="str">
            <v>REGULER</v>
          </cell>
          <cell r="AU454" t="str">
            <v>REGULER</v>
          </cell>
          <cell r="AV454" t="str">
            <v/>
          </cell>
          <cell r="AW454">
            <v>18</v>
          </cell>
          <cell r="AX454">
            <v>33</v>
          </cell>
          <cell r="AY454">
            <v>23</v>
          </cell>
          <cell r="AZ454">
            <v>32</v>
          </cell>
          <cell r="BA454">
            <v>21</v>
          </cell>
          <cell r="BB454">
            <v>18</v>
          </cell>
          <cell r="BC454">
            <v>33</v>
          </cell>
          <cell r="BD454">
            <v>23</v>
          </cell>
          <cell r="BE454">
            <v>32</v>
          </cell>
          <cell r="BF454">
            <v>21</v>
          </cell>
          <cell r="BG454">
            <v>2</v>
          </cell>
          <cell r="BH454">
            <v>18</v>
          </cell>
          <cell r="BI454">
            <v>33</v>
          </cell>
          <cell r="BJ454">
            <v>23</v>
          </cell>
          <cell r="BK454">
            <v>32</v>
          </cell>
          <cell r="BL454">
            <v>21</v>
          </cell>
          <cell r="BM454">
            <v>15</v>
          </cell>
          <cell r="BN454">
            <v>144</v>
          </cell>
          <cell r="BO454">
            <v>2</v>
          </cell>
          <cell r="BP454">
            <v>18</v>
          </cell>
          <cell r="BQ454">
            <v>33</v>
          </cell>
          <cell r="BR454">
            <v>23</v>
          </cell>
          <cell r="BS454">
            <v>32</v>
          </cell>
          <cell r="BT454">
            <v>21</v>
          </cell>
          <cell r="BU454">
            <v>15</v>
          </cell>
          <cell r="BV454">
            <v>144</v>
          </cell>
          <cell r="BW454">
            <v>0</v>
          </cell>
          <cell r="BX454" t="str">
            <v>TIDAK</v>
          </cell>
          <cell r="BY454" t="str">
            <v>TIDAK</v>
          </cell>
        </row>
        <row r="455">
          <cell r="A455" t="str">
            <v>A2646</v>
          </cell>
          <cell r="B455" t="str">
            <v>Anisa Putri Erawati</v>
          </cell>
          <cell r="C455" t="str">
            <v>GC</v>
          </cell>
          <cell r="D455">
            <v>45048</v>
          </cell>
          <cell r="E455" t="str">
            <v>May-23</v>
          </cell>
          <cell r="F455" t="str">
            <v>EKSKLUSIF</v>
          </cell>
          <cell r="G455" t="str">
            <v>EKSKLUSIF</v>
          </cell>
          <cell r="H455" t="str">
            <v>EKSKLUSIF</v>
          </cell>
          <cell r="I455" t="str">
            <v>REGULER</v>
          </cell>
          <cell r="J455" t="str">
            <v>REGULER</v>
          </cell>
          <cell r="K455" t="str">
            <v>REGULER</v>
          </cell>
          <cell r="L455" t="str">
            <v>REGULER</v>
          </cell>
          <cell r="M455">
            <v>14</v>
          </cell>
          <cell r="N455">
            <v>42</v>
          </cell>
          <cell r="O455">
            <v>34</v>
          </cell>
          <cell r="P455">
            <v>22</v>
          </cell>
          <cell r="Q455">
            <v>26</v>
          </cell>
          <cell r="R455">
            <v>33</v>
          </cell>
          <cell r="S455">
            <v>18</v>
          </cell>
          <cell r="T455">
            <v>189</v>
          </cell>
          <cell r="U455">
            <v>0</v>
          </cell>
          <cell r="V455">
            <v>0</v>
          </cell>
          <cell r="W455">
            <v>0</v>
          </cell>
          <cell r="X455">
            <v>22</v>
          </cell>
          <cell r="Y455">
            <v>26</v>
          </cell>
          <cell r="Z455">
            <v>33</v>
          </cell>
          <cell r="AA455">
            <v>18</v>
          </cell>
          <cell r="AB455">
            <v>99</v>
          </cell>
          <cell r="AC455">
            <v>0</v>
          </cell>
          <cell r="AD455" t="str">
            <v>TIDAK</v>
          </cell>
          <cell r="AE455" t="str">
            <v>TIDAK</v>
          </cell>
          <cell r="AF455">
            <v>99</v>
          </cell>
          <cell r="AG455">
            <v>3</v>
          </cell>
          <cell r="AH455" t="str">
            <v>SAPHIRE</v>
          </cell>
          <cell r="AI455">
            <v>0</v>
          </cell>
          <cell r="AJ455" t="str">
            <v>Y</v>
          </cell>
          <cell r="AK455">
            <v>0</v>
          </cell>
          <cell r="AL455">
            <v>45261</v>
          </cell>
          <cell r="AM455">
            <v>45701</v>
          </cell>
          <cell r="AN455">
            <v>1</v>
          </cell>
          <cell r="AO455">
            <v>99</v>
          </cell>
          <cell r="AP455" t="str">
            <v>-</v>
          </cell>
          <cell r="AQ455" t="str">
            <v>-</v>
          </cell>
          <cell r="AR455" t="str">
            <v>REGULER</v>
          </cell>
          <cell r="AS455" t="str">
            <v>REGULER</v>
          </cell>
          <cell r="AT455" t="str">
            <v>REGULER</v>
          </cell>
          <cell r="AU455" t="str">
            <v>REGULER</v>
          </cell>
          <cell r="AV455" t="str">
            <v/>
          </cell>
          <cell r="AW455">
            <v>42</v>
          </cell>
          <cell r="AX455">
            <v>43</v>
          </cell>
          <cell r="AY455">
            <v>44</v>
          </cell>
          <cell r="AZ455">
            <v>53</v>
          </cell>
          <cell r="BA455">
            <v>40</v>
          </cell>
          <cell r="BB455">
            <v>42</v>
          </cell>
          <cell r="BC455">
            <v>43</v>
          </cell>
          <cell r="BD455">
            <v>44</v>
          </cell>
          <cell r="BE455">
            <v>53</v>
          </cell>
          <cell r="BF455">
            <v>40</v>
          </cell>
          <cell r="BG455">
            <v>16</v>
          </cell>
          <cell r="BH455">
            <v>42</v>
          </cell>
          <cell r="BI455">
            <v>43</v>
          </cell>
          <cell r="BJ455">
            <v>44</v>
          </cell>
          <cell r="BK455">
            <v>53</v>
          </cell>
          <cell r="BL455">
            <v>40</v>
          </cell>
          <cell r="BM455">
            <v>22</v>
          </cell>
          <cell r="BN455">
            <v>260</v>
          </cell>
          <cell r="BO455">
            <v>16</v>
          </cell>
          <cell r="BP455">
            <v>42</v>
          </cell>
          <cell r="BQ455">
            <v>43</v>
          </cell>
          <cell r="BR455">
            <v>44</v>
          </cell>
          <cell r="BS455">
            <v>53</v>
          </cell>
          <cell r="BT455">
            <v>40</v>
          </cell>
          <cell r="BU455">
            <v>22</v>
          </cell>
          <cell r="BV455">
            <v>260</v>
          </cell>
          <cell r="BW455">
            <v>0</v>
          </cell>
          <cell r="BX455" t="str">
            <v>TIDAK</v>
          </cell>
          <cell r="BY455" t="str">
            <v>TIDAK</v>
          </cell>
        </row>
        <row r="456">
          <cell r="A456" t="str">
            <v>A2567</v>
          </cell>
          <cell r="B456" t="str">
            <v>Aprillia Genada</v>
          </cell>
          <cell r="C456" t="str">
            <v>GC</v>
          </cell>
          <cell r="D456">
            <v>45048</v>
          </cell>
          <cell r="E456" t="str">
            <v>May-23</v>
          </cell>
          <cell r="F456" t="str">
            <v>EKSKLUSIF</v>
          </cell>
          <cell r="G456" t="str">
            <v>-</v>
          </cell>
          <cell r="H456" t="str">
            <v>-</v>
          </cell>
          <cell r="I456" t="str">
            <v>-</v>
          </cell>
          <cell r="J456" t="str">
            <v>-</v>
          </cell>
          <cell r="K456" t="str">
            <v>-</v>
          </cell>
          <cell r="L456" t="str">
            <v>-</v>
          </cell>
          <cell r="M456">
            <v>16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 t="str">
            <v/>
          </cell>
          <cell r="T456">
            <v>16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/>
          </cell>
          <cell r="AB456">
            <v>0</v>
          </cell>
          <cell r="AC456">
            <v>6</v>
          </cell>
          <cell r="AD456" t="str">
            <v>DOWNGRADE</v>
          </cell>
          <cell r="AE456" t="str">
            <v>RESET</v>
          </cell>
          <cell r="AF456">
            <v>0</v>
          </cell>
          <cell r="AG456">
            <v>2</v>
          </cell>
          <cell r="AH456" t="str">
            <v>SAPHIRE</v>
          </cell>
          <cell r="AI456">
            <v>0</v>
          </cell>
          <cell r="AJ456" t="str">
            <v>FALSE</v>
          </cell>
          <cell r="AK456">
            <v>0</v>
          </cell>
          <cell r="AL456">
            <v>45261</v>
          </cell>
          <cell r="AM456">
            <v>45701</v>
          </cell>
          <cell r="AN456">
            <v>1</v>
          </cell>
          <cell r="AO456">
            <v>0</v>
          </cell>
          <cell r="AP456" t="str">
            <v>-</v>
          </cell>
          <cell r="AQ456" t="str">
            <v>-</v>
          </cell>
          <cell r="AR456" t="str">
            <v>-</v>
          </cell>
          <cell r="AS456" t="str">
            <v>-</v>
          </cell>
          <cell r="AT456" t="str">
            <v>-</v>
          </cell>
          <cell r="AU456" t="str">
            <v>-</v>
          </cell>
          <cell r="AV456" t="str">
            <v/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 t="str">
            <v/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 t="str">
            <v/>
          </cell>
          <cell r="BN456">
            <v>0</v>
          </cell>
          <cell r="BO456" t="str">
            <v/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 t="str">
            <v/>
          </cell>
          <cell r="BV456">
            <v>0</v>
          </cell>
          <cell r="BW456">
            <v>7</v>
          </cell>
          <cell r="BX456" t="str">
            <v>DOWNGRADE</v>
          </cell>
          <cell r="BY456" t="str">
            <v>RESET</v>
          </cell>
        </row>
        <row r="457">
          <cell r="A457" t="str">
            <v>A2804</v>
          </cell>
          <cell r="B457" t="str">
            <v>Ariska Yusup</v>
          </cell>
          <cell r="C457" t="str">
            <v>GC</v>
          </cell>
          <cell r="D457">
            <v>45048</v>
          </cell>
          <cell r="E457" t="str">
            <v>May-23</v>
          </cell>
          <cell r="F457" t="str">
            <v>REGULER</v>
          </cell>
          <cell r="G457" t="str">
            <v>REGULER</v>
          </cell>
          <cell r="H457" t="str">
            <v>REGULER</v>
          </cell>
          <cell r="I457" t="str">
            <v>-</v>
          </cell>
          <cell r="J457" t="str">
            <v>-</v>
          </cell>
          <cell r="K457" t="str">
            <v>-</v>
          </cell>
          <cell r="L457" t="str">
            <v>-</v>
          </cell>
          <cell r="M457">
            <v>6</v>
          </cell>
          <cell r="N457">
            <v>40</v>
          </cell>
          <cell r="O457">
            <v>17</v>
          </cell>
          <cell r="P457">
            <v>0</v>
          </cell>
          <cell r="Q457">
            <v>0</v>
          </cell>
          <cell r="R457">
            <v>0</v>
          </cell>
          <cell r="S457" t="str">
            <v/>
          </cell>
          <cell r="T457">
            <v>63</v>
          </cell>
          <cell r="U457">
            <v>6</v>
          </cell>
          <cell r="V457">
            <v>40</v>
          </cell>
          <cell r="W457">
            <v>17</v>
          </cell>
          <cell r="X457">
            <v>0</v>
          </cell>
          <cell r="Y457">
            <v>0</v>
          </cell>
          <cell r="Z457">
            <v>0</v>
          </cell>
          <cell r="AA457" t="str">
            <v/>
          </cell>
          <cell r="AB457">
            <v>63</v>
          </cell>
          <cell r="AC457">
            <v>4</v>
          </cell>
          <cell r="AD457" t="str">
            <v>DOWNGRADE</v>
          </cell>
          <cell r="AE457" t="str">
            <v>RESET</v>
          </cell>
          <cell r="AF457">
            <v>0</v>
          </cell>
          <cell r="AG457">
            <v>3</v>
          </cell>
          <cell r="AH457" t="str">
            <v>SAPHIRE</v>
          </cell>
          <cell r="AI457">
            <v>0</v>
          </cell>
          <cell r="AJ457" t="str">
            <v>FALSE</v>
          </cell>
          <cell r="AK457">
            <v>0</v>
          </cell>
          <cell r="AL457">
            <v>45261</v>
          </cell>
          <cell r="AM457">
            <v>45701</v>
          </cell>
          <cell r="AN457">
            <v>1</v>
          </cell>
          <cell r="AO457">
            <v>0</v>
          </cell>
          <cell r="AP457" t="str">
            <v>-</v>
          </cell>
          <cell r="AQ457" t="str">
            <v>-</v>
          </cell>
          <cell r="AR457" t="str">
            <v>-</v>
          </cell>
          <cell r="AS457" t="str">
            <v>-</v>
          </cell>
          <cell r="AT457" t="str">
            <v>-</v>
          </cell>
          <cell r="AU457" t="str">
            <v>-</v>
          </cell>
          <cell r="AV457" t="str">
            <v/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 t="str">
            <v/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 t="str">
            <v/>
          </cell>
          <cell r="BN457">
            <v>0</v>
          </cell>
          <cell r="BO457" t="str">
            <v/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 t="str">
            <v/>
          </cell>
          <cell r="BV457">
            <v>0</v>
          </cell>
          <cell r="BW457">
            <v>7</v>
          </cell>
          <cell r="BX457" t="str">
            <v>DOWNGRADE</v>
          </cell>
          <cell r="BY457" t="str">
            <v>RESET</v>
          </cell>
        </row>
        <row r="458">
          <cell r="A458" t="str">
            <v>A3126</v>
          </cell>
          <cell r="B458" t="str">
            <v>Cindy Felicia</v>
          </cell>
          <cell r="C458" t="str">
            <v>GC</v>
          </cell>
          <cell r="D458">
            <v>45223</v>
          </cell>
          <cell r="E458" t="str">
            <v>Oct-23</v>
          </cell>
          <cell r="F458" t="str">
            <v>REGULER</v>
          </cell>
          <cell r="G458" t="str">
            <v>REGULER</v>
          </cell>
          <cell r="H458" t="str">
            <v>REGULER</v>
          </cell>
          <cell r="I458" t="str">
            <v>REGULER</v>
          </cell>
          <cell r="J458" t="str">
            <v>REGULER</v>
          </cell>
          <cell r="K458" t="str">
            <v>REGULER</v>
          </cell>
          <cell r="L458" t="str">
            <v>-</v>
          </cell>
          <cell r="M458">
            <v>16</v>
          </cell>
          <cell r="N458">
            <v>32</v>
          </cell>
          <cell r="O458">
            <v>32</v>
          </cell>
          <cell r="P458">
            <v>33</v>
          </cell>
          <cell r="Q458">
            <v>30</v>
          </cell>
          <cell r="R458">
            <v>12</v>
          </cell>
          <cell r="S458" t="str">
            <v/>
          </cell>
          <cell r="T458">
            <v>155</v>
          </cell>
          <cell r="U458">
            <v>16</v>
          </cell>
          <cell r="V458">
            <v>32</v>
          </cell>
          <cell r="W458">
            <v>32</v>
          </cell>
          <cell r="X458">
            <v>33</v>
          </cell>
          <cell r="Y458">
            <v>30</v>
          </cell>
          <cell r="Z458">
            <v>12</v>
          </cell>
          <cell r="AA458" t="str">
            <v/>
          </cell>
          <cell r="AB458">
            <v>155</v>
          </cell>
          <cell r="AC458">
            <v>1</v>
          </cell>
          <cell r="AD458" t="str">
            <v>TIDAK</v>
          </cell>
          <cell r="AE458" t="str">
            <v>TIDAK</v>
          </cell>
          <cell r="AF458">
            <v>155</v>
          </cell>
          <cell r="AG458">
            <v>2</v>
          </cell>
          <cell r="AH458" t="str">
            <v>SAPHIRE</v>
          </cell>
          <cell r="AI458">
            <v>0</v>
          </cell>
          <cell r="AJ458" t="str">
            <v>Y</v>
          </cell>
          <cell r="AK458">
            <v>0</v>
          </cell>
          <cell r="AL458">
            <v>45261</v>
          </cell>
          <cell r="AM458">
            <v>45701</v>
          </cell>
          <cell r="AN458">
            <v>1</v>
          </cell>
          <cell r="AO458">
            <v>155</v>
          </cell>
          <cell r="AP458" t="str">
            <v>-</v>
          </cell>
          <cell r="AQ458" t="str">
            <v>-</v>
          </cell>
          <cell r="AR458" t="str">
            <v>REGULER</v>
          </cell>
          <cell r="AS458" t="str">
            <v>REGULER</v>
          </cell>
          <cell r="AT458" t="str">
            <v>REGULER</v>
          </cell>
          <cell r="AU458" t="str">
            <v>REGULER</v>
          </cell>
          <cell r="AV458" t="str">
            <v/>
          </cell>
          <cell r="AW458">
            <v>45</v>
          </cell>
          <cell r="AX458">
            <v>47</v>
          </cell>
          <cell r="AY458">
            <v>43</v>
          </cell>
          <cell r="AZ458">
            <v>38</v>
          </cell>
          <cell r="BA458">
            <v>35</v>
          </cell>
          <cell r="BB458">
            <v>45</v>
          </cell>
          <cell r="BC458">
            <v>47</v>
          </cell>
          <cell r="BD458">
            <v>43</v>
          </cell>
          <cell r="BE458">
            <v>38</v>
          </cell>
          <cell r="BF458">
            <v>35</v>
          </cell>
          <cell r="BG458">
            <v>20</v>
          </cell>
          <cell r="BH458">
            <v>45</v>
          </cell>
          <cell r="BI458">
            <v>47</v>
          </cell>
          <cell r="BJ458">
            <v>43</v>
          </cell>
          <cell r="BK458">
            <v>38</v>
          </cell>
          <cell r="BL458">
            <v>35</v>
          </cell>
          <cell r="BM458">
            <v>16</v>
          </cell>
          <cell r="BN458">
            <v>244</v>
          </cell>
          <cell r="BO458">
            <v>20</v>
          </cell>
          <cell r="BP458">
            <v>45</v>
          </cell>
          <cell r="BQ458">
            <v>47</v>
          </cell>
          <cell r="BR458">
            <v>43</v>
          </cell>
          <cell r="BS458">
            <v>38</v>
          </cell>
          <cell r="BT458">
            <v>35</v>
          </cell>
          <cell r="BU458">
            <v>16</v>
          </cell>
          <cell r="BV458">
            <v>244</v>
          </cell>
          <cell r="BW458">
            <v>0</v>
          </cell>
          <cell r="BX458" t="str">
            <v>TIDAK</v>
          </cell>
          <cell r="BY458" t="str">
            <v>TIDAK</v>
          </cell>
        </row>
        <row r="459">
          <cell r="A459" t="str">
            <v>A2064</v>
          </cell>
          <cell r="B459" t="str">
            <v>Danang Wijayanto</v>
          </cell>
          <cell r="C459" t="str">
            <v>GC</v>
          </cell>
          <cell r="D459">
            <v>45017</v>
          </cell>
          <cell r="E459" t="str">
            <v>Apr-23</v>
          </cell>
          <cell r="F459" t="str">
            <v>-</v>
          </cell>
          <cell r="G459" t="str">
            <v>-</v>
          </cell>
          <cell r="H459" t="str">
            <v>REGULER</v>
          </cell>
          <cell r="I459" t="str">
            <v>-</v>
          </cell>
          <cell r="J459" t="str">
            <v>-</v>
          </cell>
          <cell r="K459" t="str">
            <v>-</v>
          </cell>
          <cell r="L459" t="str">
            <v>-</v>
          </cell>
          <cell r="M459">
            <v>0</v>
          </cell>
          <cell r="N459">
            <v>0</v>
          </cell>
          <cell r="O459">
            <v>1</v>
          </cell>
          <cell r="P459">
            <v>0</v>
          </cell>
          <cell r="Q459">
            <v>0</v>
          </cell>
          <cell r="R459">
            <v>0</v>
          </cell>
          <cell r="S459" t="str">
            <v/>
          </cell>
          <cell r="T459">
            <v>1</v>
          </cell>
          <cell r="U459">
            <v>0</v>
          </cell>
          <cell r="V459">
            <v>0</v>
          </cell>
          <cell r="W459">
            <v>1</v>
          </cell>
          <cell r="X459">
            <v>0</v>
          </cell>
          <cell r="Y459">
            <v>0</v>
          </cell>
          <cell r="Z459">
            <v>0</v>
          </cell>
          <cell r="AA459" t="str">
            <v/>
          </cell>
          <cell r="AB459">
            <v>1</v>
          </cell>
          <cell r="AC459">
            <v>6</v>
          </cell>
          <cell r="AD459" t="str">
            <v>DOWNGRADE</v>
          </cell>
          <cell r="AE459" t="str">
            <v>RESET</v>
          </cell>
          <cell r="AF459">
            <v>0</v>
          </cell>
          <cell r="AG459">
            <v>3</v>
          </cell>
          <cell r="AH459" t="str">
            <v>SAPHIRE</v>
          </cell>
          <cell r="AI459">
            <v>0</v>
          </cell>
          <cell r="AJ459" t="str">
            <v>FALSE</v>
          </cell>
          <cell r="AK459">
            <v>0</v>
          </cell>
          <cell r="AL459">
            <v>45261</v>
          </cell>
          <cell r="AM459">
            <v>45701</v>
          </cell>
          <cell r="AN459">
            <v>1</v>
          </cell>
          <cell r="AO459">
            <v>0</v>
          </cell>
          <cell r="AP459" t="str">
            <v>-</v>
          </cell>
          <cell r="AQ459" t="str">
            <v>-</v>
          </cell>
          <cell r="AR459" t="str">
            <v>-</v>
          </cell>
          <cell r="AS459" t="str">
            <v>-</v>
          </cell>
          <cell r="AT459" t="str">
            <v>-</v>
          </cell>
          <cell r="AU459" t="str">
            <v>-</v>
          </cell>
          <cell r="AV459" t="str">
            <v/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 t="str">
            <v/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 t="str">
            <v/>
          </cell>
          <cell r="BN459">
            <v>0</v>
          </cell>
          <cell r="BO459" t="str">
            <v/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 t="str">
            <v/>
          </cell>
          <cell r="BV459">
            <v>0</v>
          </cell>
          <cell r="BW459">
            <v>7</v>
          </cell>
          <cell r="BX459" t="str">
            <v>DOWNGRADE</v>
          </cell>
          <cell r="BY459" t="str">
            <v>RESET</v>
          </cell>
        </row>
        <row r="460">
          <cell r="A460" t="str">
            <v>A2065</v>
          </cell>
          <cell r="B460" t="str">
            <v>Evan Ahid Oetoyo</v>
          </cell>
          <cell r="C460" t="str">
            <v>GC</v>
          </cell>
          <cell r="D460">
            <v>45017</v>
          </cell>
          <cell r="E460" t="str">
            <v>Apr-23</v>
          </cell>
          <cell r="F460" t="str">
            <v>REGULER</v>
          </cell>
          <cell r="G460" t="str">
            <v>REGULER</v>
          </cell>
          <cell r="H460" t="str">
            <v>REGULER</v>
          </cell>
          <cell r="I460" t="str">
            <v>REGULER</v>
          </cell>
          <cell r="J460" t="str">
            <v>REGULER</v>
          </cell>
          <cell r="K460" t="str">
            <v>REGULER</v>
          </cell>
          <cell r="L460" t="str">
            <v>-</v>
          </cell>
          <cell r="M460">
            <v>12</v>
          </cell>
          <cell r="N460">
            <v>24</v>
          </cell>
          <cell r="O460">
            <v>25</v>
          </cell>
          <cell r="P460">
            <v>23</v>
          </cell>
          <cell r="Q460">
            <v>6</v>
          </cell>
          <cell r="R460">
            <v>4</v>
          </cell>
          <cell r="S460" t="str">
            <v/>
          </cell>
          <cell r="T460">
            <v>94</v>
          </cell>
          <cell r="U460">
            <v>12</v>
          </cell>
          <cell r="V460">
            <v>24</v>
          </cell>
          <cell r="W460">
            <v>25</v>
          </cell>
          <cell r="X460">
            <v>23</v>
          </cell>
          <cell r="Y460">
            <v>6</v>
          </cell>
          <cell r="Z460">
            <v>4</v>
          </cell>
          <cell r="AA460" t="str">
            <v/>
          </cell>
          <cell r="AB460">
            <v>94</v>
          </cell>
          <cell r="AC460">
            <v>1</v>
          </cell>
          <cell r="AD460" t="str">
            <v>TIDAK</v>
          </cell>
          <cell r="AE460" t="str">
            <v>TIDAK</v>
          </cell>
          <cell r="AF460">
            <v>94</v>
          </cell>
          <cell r="AG460">
            <v>3</v>
          </cell>
          <cell r="AH460" t="str">
            <v>SAPHIRE</v>
          </cell>
          <cell r="AI460">
            <v>0</v>
          </cell>
          <cell r="AJ460" t="str">
            <v>Y</v>
          </cell>
          <cell r="AK460">
            <v>0</v>
          </cell>
          <cell r="AL460">
            <v>45261</v>
          </cell>
          <cell r="AM460">
            <v>45701</v>
          </cell>
          <cell r="AN460">
            <v>1</v>
          </cell>
          <cell r="AO460">
            <v>94</v>
          </cell>
          <cell r="AP460" t="str">
            <v>-</v>
          </cell>
          <cell r="AQ460" t="str">
            <v>-</v>
          </cell>
          <cell r="AR460" t="str">
            <v>-</v>
          </cell>
          <cell r="AS460" t="str">
            <v>-</v>
          </cell>
          <cell r="AT460" t="str">
            <v>REGULER</v>
          </cell>
          <cell r="AU460" t="str">
            <v>REGULER</v>
          </cell>
          <cell r="AV460" t="str">
            <v/>
          </cell>
          <cell r="AW460">
            <v>0</v>
          </cell>
          <cell r="AX460">
            <v>0</v>
          </cell>
          <cell r="AY460">
            <v>0</v>
          </cell>
          <cell r="AZ460">
            <v>13</v>
          </cell>
          <cell r="BA460">
            <v>33</v>
          </cell>
          <cell r="BB460">
            <v>0</v>
          </cell>
          <cell r="BC460">
            <v>0</v>
          </cell>
          <cell r="BD460">
            <v>0</v>
          </cell>
          <cell r="BE460">
            <v>13</v>
          </cell>
          <cell r="BF460">
            <v>33</v>
          </cell>
          <cell r="BG460" t="str">
            <v/>
          </cell>
          <cell r="BH460">
            <v>0</v>
          </cell>
          <cell r="BI460">
            <v>0</v>
          </cell>
          <cell r="BJ460">
            <v>0</v>
          </cell>
          <cell r="BK460">
            <v>13</v>
          </cell>
          <cell r="BL460">
            <v>33</v>
          </cell>
          <cell r="BM460">
            <v>18</v>
          </cell>
          <cell r="BN460">
            <v>64</v>
          </cell>
          <cell r="BO460" t="str">
            <v/>
          </cell>
          <cell r="BP460">
            <v>0</v>
          </cell>
          <cell r="BQ460">
            <v>0</v>
          </cell>
          <cell r="BR460">
            <v>0</v>
          </cell>
          <cell r="BS460">
            <v>13</v>
          </cell>
          <cell r="BT460">
            <v>33</v>
          </cell>
          <cell r="BU460">
            <v>18</v>
          </cell>
          <cell r="BV460">
            <v>64</v>
          </cell>
          <cell r="BW460">
            <v>4</v>
          </cell>
          <cell r="BX460" t="str">
            <v>DOWNGRADE</v>
          </cell>
          <cell r="BY460" t="str">
            <v>RESET</v>
          </cell>
        </row>
        <row r="461">
          <cell r="A461" t="str">
            <v>A4012</v>
          </cell>
          <cell r="B461" t="str">
            <v>FLORA ANISA</v>
          </cell>
          <cell r="C461" t="str">
            <v>GC</v>
          </cell>
          <cell r="D461">
            <v>45457</v>
          </cell>
          <cell r="E461" t="str">
            <v>Jun-24</v>
          </cell>
          <cell r="F461" t="str">
            <v>-</v>
          </cell>
          <cell r="G461" t="str">
            <v>-</v>
          </cell>
          <cell r="H461" t="str">
            <v>-</v>
          </cell>
          <cell r="I461" t="str">
            <v>-</v>
          </cell>
          <cell r="J461" t="str">
            <v>-</v>
          </cell>
          <cell r="K461" t="str">
            <v>-</v>
          </cell>
          <cell r="L461" t="str">
            <v>REGULER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2</v>
          </cell>
          <cell r="T461">
            <v>2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2</v>
          </cell>
          <cell r="AB461">
            <v>2</v>
          </cell>
          <cell r="AC461">
            <v>0</v>
          </cell>
          <cell r="AD461" t="str">
            <v>TIDAK</v>
          </cell>
          <cell r="AE461" t="str">
            <v>TIDAK</v>
          </cell>
          <cell r="AF461">
            <v>2</v>
          </cell>
          <cell r="AG461">
            <v>2</v>
          </cell>
          <cell r="AH461" t="str">
            <v>SAPHIRE</v>
          </cell>
          <cell r="AI461">
            <v>0</v>
          </cell>
          <cell r="AJ461" t="str">
            <v>FALSE</v>
          </cell>
          <cell r="AK461">
            <v>0</v>
          </cell>
          <cell r="AL461">
            <v>45261</v>
          </cell>
          <cell r="AM461">
            <v>45701</v>
          </cell>
          <cell r="AN461">
            <v>1</v>
          </cell>
          <cell r="AO461">
            <v>2</v>
          </cell>
          <cell r="AP461" t="str">
            <v>-</v>
          </cell>
          <cell r="AQ461" t="str">
            <v>-</v>
          </cell>
          <cell r="AR461" t="str">
            <v>REGULER</v>
          </cell>
          <cell r="AS461" t="str">
            <v>-</v>
          </cell>
          <cell r="AT461" t="str">
            <v>REGULER</v>
          </cell>
          <cell r="AU461" t="str">
            <v>REGULER</v>
          </cell>
          <cell r="AV461" t="str">
            <v/>
          </cell>
          <cell r="AW461">
            <v>14</v>
          </cell>
          <cell r="AX461">
            <v>8</v>
          </cell>
          <cell r="AY461">
            <v>0</v>
          </cell>
          <cell r="AZ461">
            <v>13</v>
          </cell>
          <cell r="BA461">
            <v>3</v>
          </cell>
          <cell r="BB461">
            <v>14</v>
          </cell>
          <cell r="BC461">
            <v>8</v>
          </cell>
          <cell r="BD461">
            <v>0</v>
          </cell>
          <cell r="BE461">
            <v>13</v>
          </cell>
          <cell r="BF461">
            <v>3</v>
          </cell>
          <cell r="BG461" t="str">
            <v/>
          </cell>
          <cell r="BH461">
            <v>14</v>
          </cell>
          <cell r="BI461">
            <v>8</v>
          </cell>
          <cell r="BJ461">
            <v>0</v>
          </cell>
          <cell r="BK461">
            <v>13</v>
          </cell>
          <cell r="BL461">
            <v>3</v>
          </cell>
          <cell r="BM461">
            <v>2</v>
          </cell>
          <cell r="BN461">
            <v>40</v>
          </cell>
          <cell r="BO461" t="str">
            <v/>
          </cell>
          <cell r="BP461">
            <v>14</v>
          </cell>
          <cell r="BQ461">
            <v>8</v>
          </cell>
          <cell r="BR461">
            <v>0</v>
          </cell>
          <cell r="BS461">
            <v>13</v>
          </cell>
          <cell r="BT461">
            <v>3</v>
          </cell>
          <cell r="BU461">
            <v>2</v>
          </cell>
          <cell r="BV461">
            <v>40</v>
          </cell>
          <cell r="BW461">
            <v>2</v>
          </cell>
          <cell r="BX461" t="str">
            <v>TIDAK</v>
          </cell>
          <cell r="BY461" t="str">
            <v>TIDAK</v>
          </cell>
        </row>
        <row r="462">
          <cell r="A462" t="str">
            <v>A3501</v>
          </cell>
          <cell r="B462" t="str">
            <v>Gregorius Dico</v>
          </cell>
          <cell r="C462" t="str">
            <v>GC</v>
          </cell>
          <cell r="D462">
            <v>45262</v>
          </cell>
          <cell r="E462" t="str">
            <v>Dec-23</v>
          </cell>
          <cell r="F462" t="str">
            <v>REGULER</v>
          </cell>
          <cell r="G462" t="str">
            <v>REGULER</v>
          </cell>
          <cell r="H462" t="str">
            <v>REGULER</v>
          </cell>
          <cell r="I462" t="str">
            <v>REGULER</v>
          </cell>
          <cell r="J462" t="str">
            <v>REGULER</v>
          </cell>
          <cell r="K462" t="str">
            <v>REGULER</v>
          </cell>
          <cell r="L462" t="str">
            <v>REGULER</v>
          </cell>
          <cell r="M462">
            <v>1</v>
          </cell>
          <cell r="N462">
            <v>18</v>
          </cell>
          <cell r="O462">
            <v>15</v>
          </cell>
          <cell r="P462">
            <v>4</v>
          </cell>
          <cell r="Q462">
            <v>10</v>
          </cell>
          <cell r="R462">
            <v>10</v>
          </cell>
          <cell r="S462">
            <v>2</v>
          </cell>
          <cell r="T462">
            <v>60</v>
          </cell>
          <cell r="U462">
            <v>1</v>
          </cell>
          <cell r="V462">
            <v>18</v>
          </cell>
          <cell r="W462">
            <v>15</v>
          </cell>
          <cell r="X462">
            <v>4</v>
          </cell>
          <cell r="Y462">
            <v>10</v>
          </cell>
          <cell r="Z462">
            <v>10</v>
          </cell>
          <cell r="AA462">
            <v>2</v>
          </cell>
          <cell r="AB462">
            <v>60</v>
          </cell>
          <cell r="AC462">
            <v>0</v>
          </cell>
          <cell r="AD462" t="str">
            <v>TIDAK</v>
          </cell>
          <cell r="AE462" t="str">
            <v>TIDAK</v>
          </cell>
          <cell r="AF462">
            <v>60</v>
          </cell>
          <cell r="AG462">
            <v>2</v>
          </cell>
          <cell r="AH462" t="str">
            <v>SAPHIRE</v>
          </cell>
          <cell r="AI462">
            <v>0</v>
          </cell>
          <cell r="AJ462" t="str">
            <v>FALSE</v>
          </cell>
          <cell r="AK462">
            <v>0</v>
          </cell>
          <cell r="AL462">
            <v>45261</v>
          </cell>
          <cell r="AM462">
            <v>45701</v>
          </cell>
          <cell r="AN462">
            <v>1</v>
          </cell>
          <cell r="AO462">
            <v>60</v>
          </cell>
          <cell r="AP462" t="str">
            <v>-</v>
          </cell>
          <cell r="AQ462" t="str">
            <v>-</v>
          </cell>
          <cell r="AR462" t="str">
            <v>-</v>
          </cell>
          <cell r="AS462" t="str">
            <v>-</v>
          </cell>
          <cell r="AT462" t="str">
            <v>-</v>
          </cell>
          <cell r="AU462" t="str">
            <v>-</v>
          </cell>
          <cell r="AV462" t="str">
            <v/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 t="str">
            <v/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 t="str">
            <v/>
          </cell>
          <cell r="BN462">
            <v>0</v>
          </cell>
          <cell r="BO462" t="str">
            <v/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 t="str">
            <v/>
          </cell>
          <cell r="BV462">
            <v>0</v>
          </cell>
          <cell r="BW462">
            <v>7</v>
          </cell>
          <cell r="BX462" t="str">
            <v>DOWNGRADE</v>
          </cell>
          <cell r="BY462" t="str">
            <v>RESET</v>
          </cell>
        </row>
        <row r="463">
          <cell r="A463" t="str">
            <v>A3544</v>
          </cell>
          <cell r="B463" t="str">
            <v>Inaya Desi Riawantari</v>
          </cell>
          <cell r="C463" t="str">
            <v>GC</v>
          </cell>
          <cell r="D463">
            <v>45323</v>
          </cell>
          <cell r="E463" t="str">
            <v>Feb-24</v>
          </cell>
          <cell r="F463" t="str">
            <v>-</v>
          </cell>
          <cell r="G463" t="str">
            <v>-</v>
          </cell>
          <cell r="H463" t="str">
            <v>REGULER</v>
          </cell>
          <cell r="I463" t="str">
            <v>REGULER</v>
          </cell>
          <cell r="J463" t="str">
            <v>REGULER</v>
          </cell>
          <cell r="K463" t="str">
            <v>REGULER</v>
          </cell>
          <cell r="L463" t="str">
            <v>REGULER</v>
          </cell>
          <cell r="M463">
            <v>0</v>
          </cell>
          <cell r="N463">
            <v>0</v>
          </cell>
          <cell r="O463">
            <v>13</v>
          </cell>
          <cell r="P463">
            <v>24</v>
          </cell>
          <cell r="Q463">
            <v>19</v>
          </cell>
          <cell r="R463">
            <v>6</v>
          </cell>
          <cell r="S463">
            <v>2</v>
          </cell>
          <cell r="T463">
            <v>64</v>
          </cell>
          <cell r="U463">
            <v>0</v>
          </cell>
          <cell r="V463">
            <v>0</v>
          </cell>
          <cell r="W463">
            <v>13</v>
          </cell>
          <cell r="X463">
            <v>24</v>
          </cell>
          <cell r="Y463">
            <v>19</v>
          </cell>
          <cell r="Z463">
            <v>6</v>
          </cell>
          <cell r="AA463">
            <v>2</v>
          </cell>
          <cell r="AB463">
            <v>64</v>
          </cell>
          <cell r="AC463">
            <v>0</v>
          </cell>
          <cell r="AD463" t="str">
            <v>TIDAK</v>
          </cell>
          <cell r="AE463" t="str">
            <v>TIDAK</v>
          </cell>
          <cell r="AF463">
            <v>64</v>
          </cell>
          <cell r="AG463">
            <v>3</v>
          </cell>
          <cell r="AH463" t="str">
            <v>SAPHIRE</v>
          </cell>
          <cell r="AI463">
            <v>0</v>
          </cell>
          <cell r="AJ463" t="str">
            <v>FALSE</v>
          </cell>
          <cell r="AK463">
            <v>0</v>
          </cell>
          <cell r="AL463">
            <v>45261</v>
          </cell>
          <cell r="AM463">
            <v>45701</v>
          </cell>
          <cell r="AN463">
            <v>1</v>
          </cell>
          <cell r="AO463">
            <v>64</v>
          </cell>
          <cell r="AP463" t="str">
            <v>-</v>
          </cell>
          <cell r="AQ463" t="str">
            <v>-</v>
          </cell>
          <cell r="AR463" t="str">
            <v>REGULER</v>
          </cell>
          <cell r="AS463" t="str">
            <v>-</v>
          </cell>
          <cell r="AT463" t="str">
            <v>REGULER</v>
          </cell>
          <cell r="AU463" t="str">
            <v>-</v>
          </cell>
          <cell r="AV463" t="str">
            <v/>
          </cell>
          <cell r="AW463">
            <v>3</v>
          </cell>
          <cell r="AX463">
            <v>1</v>
          </cell>
          <cell r="AY463">
            <v>0</v>
          </cell>
          <cell r="AZ463">
            <v>1</v>
          </cell>
          <cell r="BA463">
            <v>0</v>
          </cell>
          <cell r="BB463">
            <v>3</v>
          </cell>
          <cell r="BC463">
            <v>1</v>
          </cell>
          <cell r="BD463">
            <v>0</v>
          </cell>
          <cell r="BE463">
            <v>1</v>
          </cell>
          <cell r="BF463">
            <v>0</v>
          </cell>
          <cell r="BG463">
            <v>1</v>
          </cell>
          <cell r="BH463">
            <v>3</v>
          </cell>
          <cell r="BI463">
            <v>1</v>
          </cell>
          <cell r="BJ463">
            <v>0</v>
          </cell>
          <cell r="BK463">
            <v>1</v>
          </cell>
          <cell r="BL463">
            <v>0</v>
          </cell>
          <cell r="BM463" t="str">
            <v/>
          </cell>
          <cell r="BN463">
            <v>6</v>
          </cell>
          <cell r="BO463">
            <v>1</v>
          </cell>
          <cell r="BP463">
            <v>3</v>
          </cell>
          <cell r="BQ463">
            <v>1</v>
          </cell>
          <cell r="BR463">
            <v>0</v>
          </cell>
          <cell r="BS463">
            <v>1</v>
          </cell>
          <cell r="BT463">
            <v>0</v>
          </cell>
          <cell r="BU463" t="str">
            <v/>
          </cell>
          <cell r="BV463">
            <v>6</v>
          </cell>
          <cell r="BW463">
            <v>3</v>
          </cell>
          <cell r="BX463" t="str">
            <v>DOWNGRADE</v>
          </cell>
          <cell r="BY463" t="str">
            <v>TIDAK</v>
          </cell>
        </row>
        <row r="464">
          <cell r="A464">
            <v>92471</v>
          </cell>
          <cell r="B464" t="str">
            <v>Marcelinus Dhimas</v>
          </cell>
          <cell r="C464" t="str">
            <v>GC</v>
          </cell>
          <cell r="D464">
            <v>45295</v>
          </cell>
          <cell r="E464" t="str">
            <v>Jan-24</v>
          </cell>
          <cell r="F464" t="str">
            <v>-</v>
          </cell>
          <cell r="G464" t="str">
            <v>REGULER</v>
          </cell>
          <cell r="H464" t="str">
            <v>REGULER</v>
          </cell>
          <cell r="I464" t="str">
            <v>-</v>
          </cell>
          <cell r="J464" t="str">
            <v>-</v>
          </cell>
          <cell r="K464" t="str">
            <v>-</v>
          </cell>
          <cell r="L464" t="str">
            <v>-</v>
          </cell>
          <cell r="M464">
            <v>0</v>
          </cell>
          <cell r="N464">
            <v>1</v>
          </cell>
          <cell r="O464">
            <v>1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2</v>
          </cell>
          <cell r="U464">
            <v>0</v>
          </cell>
          <cell r="V464">
            <v>1</v>
          </cell>
          <cell r="W464">
            <v>1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2</v>
          </cell>
          <cell r="AC464">
            <v>5</v>
          </cell>
          <cell r="AD464" t="str">
            <v>DOWNGRADE</v>
          </cell>
          <cell r="AE464" t="str">
            <v>RESET</v>
          </cell>
          <cell r="AF464">
            <v>0</v>
          </cell>
          <cell r="AG464">
            <v>1</v>
          </cell>
          <cell r="AH464" t="str">
            <v>SAPHIRE</v>
          </cell>
          <cell r="AI464">
            <v>0</v>
          </cell>
          <cell r="AJ464" t="str">
            <v>FALSE</v>
          </cell>
          <cell r="AK464">
            <v>0</v>
          </cell>
          <cell r="AL464">
            <v>45261</v>
          </cell>
          <cell r="AM464">
            <v>45701</v>
          </cell>
          <cell r="AN464">
            <v>1</v>
          </cell>
          <cell r="AO464">
            <v>0</v>
          </cell>
          <cell r="AP464" t="str">
            <v>-</v>
          </cell>
          <cell r="AQ464" t="str">
            <v>-</v>
          </cell>
          <cell r="AR464" t="str">
            <v>-</v>
          </cell>
          <cell r="AS464" t="str">
            <v>-</v>
          </cell>
          <cell r="AT464" t="str">
            <v>-</v>
          </cell>
          <cell r="AU464" t="str">
            <v>-</v>
          </cell>
          <cell r="AV464" t="str">
            <v/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 t="str">
            <v/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 t="str">
            <v/>
          </cell>
          <cell r="BN464">
            <v>0</v>
          </cell>
          <cell r="BO464" t="str">
            <v/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 t="str">
            <v/>
          </cell>
          <cell r="BV464">
            <v>0</v>
          </cell>
          <cell r="BW464">
            <v>7</v>
          </cell>
          <cell r="BX464" t="str">
            <v>DOWNGRADE</v>
          </cell>
          <cell r="BY464" t="str">
            <v>RESET</v>
          </cell>
        </row>
        <row r="465">
          <cell r="A465" t="str">
            <v>A3584</v>
          </cell>
          <cell r="B465" t="str">
            <v>Rindie Putri</v>
          </cell>
          <cell r="C465" t="str">
            <v>GC</v>
          </cell>
          <cell r="D465">
            <v>45323</v>
          </cell>
          <cell r="E465" t="str">
            <v>Feb-24</v>
          </cell>
          <cell r="F465" t="str">
            <v>-</v>
          </cell>
          <cell r="G465" t="str">
            <v>-</v>
          </cell>
          <cell r="H465" t="str">
            <v>REGULER</v>
          </cell>
          <cell r="I465" t="str">
            <v>EKSKLUSIF</v>
          </cell>
          <cell r="J465" t="str">
            <v>EKSKLUSIF</v>
          </cell>
          <cell r="K465" t="str">
            <v>EKSKLUSIF</v>
          </cell>
          <cell r="L465" t="str">
            <v>EKSKLUSIF</v>
          </cell>
          <cell r="M465">
            <v>0</v>
          </cell>
          <cell r="N465">
            <v>0</v>
          </cell>
          <cell r="O465">
            <v>8</v>
          </cell>
          <cell r="P465">
            <v>45</v>
          </cell>
          <cell r="Q465">
            <v>33</v>
          </cell>
          <cell r="R465">
            <v>45</v>
          </cell>
          <cell r="S465">
            <v>18</v>
          </cell>
          <cell r="T465">
            <v>149</v>
          </cell>
          <cell r="U465">
            <v>0</v>
          </cell>
          <cell r="V465">
            <v>0</v>
          </cell>
          <cell r="W465">
            <v>8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8</v>
          </cell>
          <cell r="AC465">
            <v>0</v>
          </cell>
          <cell r="AD465" t="str">
            <v>TIDAK</v>
          </cell>
          <cell r="AE465" t="str">
            <v>TIDAK</v>
          </cell>
          <cell r="AF465">
            <v>8</v>
          </cell>
          <cell r="AG465">
            <v>3</v>
          </cell>
          <cell r="AH465" t="str">
            <v>SAPHIRE</v>
          </cell>
          <cell r="AI465">
            <v>0</v>
          </cell>
          <cell r="AJ465" t="str">
            <v>FALSE</v>
          </cell>
          <cell r="AK465">
            <v>0</v>
          </cell>
          <cell r="AL465">
            <v>45261</v>
          </cell>
          <cell r="AM465">
            <v>45701</v>
          </cell>
          <cell r="AN465">
            <v>1</v>
          </cell>
          <cell r="AO465">
            <v>8</v>
          </cell>
          <cell r="AP465" t="str">
            <v>EKSKLUSIF</v>
          </cell>
          <cell r="AQ465" t="str">
            <v>-</v>
          </cell>
          <cell r="AR465" t="str">
            <v>EKSKLUSIF</v>
          </cell>
          <cell r="AS465" t="str">
            <v>REGULER</v>
          </cell>
          <cell r="AT465" t="str">
            <v>REGULER</v>
          </cell>
          <cell r="AU465" t="str">
            <v>REGULER</v>
          </cell>
          <cell r="AV465" t="str">
            <v/>
          </cell>
          <cell r="AW465">
            <v>52</v>
          </cell>
          <cell r="AX465">
            <v>50</v>
          </cell>
          <cell r="AY465">
            <v>43</v>
          </cell>
          <cell r="AZ465">
            <v>52</v>
          </cell>
          <cell r="BA465">
            <v>50</v>
          </cell>
          <cell r="BB465">
            <v>52</v>
          </cell>
          <cell r="BC465">
            <v>50</v>
          </cell>
          <cell r="BD465">
            <v>43</v>
          </cell>
          <cell r="BE465">
            <v>52</v>
          </cell>
          <cell r="BF465">
            <v>50</v>
          </cell>
          <cell r="BG465">
            <v>22</v>
          </cell>
          <cell r="BH465">
            <v>52</v>
          </cell>
          <cell r="BI465">
            <v>50</v>
          </cell>
          <cell r="BJ465">
            <v>43</v>
          </cell>
          <cell r="BK465">
            <v>52</v>
          </cell>
          <cell r="BL465">
            <v>50</v>
          </cell>
          <cell r="BM465">
            <v>22</v>
          </cell>
          <cell r="BN465">
            <v>291</v>
          </cell>
          <cell r="BO465">
            <v>0</v>
          </cell>
          <cell r="BP465">
            <v>52</v>
          </cell>
          <cell r="BQ465">
            <v>0</v>
          </cell>
          <cell r="BR465">
            <v>43</v>
          </cell>
          <cell r="BS465">
            <v>52</v>
          </cell>
          <cell r="BT465">
            <v>50</v>
          </cell>
          <cell r="BU465">
            <v>22</v>
          </cell>
          <cell r="BV465">
            <v>219</v>
          </cell>
          <cell r="BW465">
            <v>0</v>
          </cell>
          <cell r="BX465" t="str">
            <v>TIDAK</v>
          </cell>
          <cell r="BY465" t="str">
            <v>TIDAK</v>
          </cell>
        </row>
        <row r="466">
          <cell r="A466" t="str">
            <v>A3145</v>
          </cell>
          <cell r="B466" t="str">
            <v>Sri Gusmiarti</v>
          </cell>
          <cell r="C466" t="str">
            <v>GC</v>
          </cell>
          <cell r="D466">
            <v>45262</v>
          </cell>
          <cell r="E466" t="str">
            <v>Dec-23</v>
          </cell>
          <cell r="F466" t="str">
            <v>REGULER</v>
          </cell>
          <cell r="G466" t="str">
            <v>REGULER</v>
          </cell>
          <cell r="H466" t="str">
            <v>REGULER</v>
          </cell>
          <cell r="I466" t="str">
            <v>EKSKLUSIF</v>
          </cell>
          <cell r="J466" t="str">
            <v>EKSKLUSIF</v>
          </cell>
          <cell r="K466" t="str">
            <v>EKSKLUSIF</v>
          </cell>
          <cell r="L466" t="str">
            <v>EKSKLUSIF</v>
          </cell>
          <cell r="M466">
            <v>16</v>
          </cell>
          <cell r="N466">
            <v>45</v>
          </cell>
          <cell r="O466">
            <v>18</v>
          </cell>
          <cell r="P466">
            <v>44</v>
          </cell>
          <cell r="Q466">
            <v>33</v>
          </cell>
          <cell r="R466">
            <v>44</v>
          </cell>
          <cell r="S466">
            <v>18</v>
          </cell>
          <cell r="T466">
            <v>218</v>
          </cell>
          <cell r="U466">
            <v>16</v>
          </cell>
          <cell r="V466">
            <v>45</v>
          </cell>
          <cell r="W466">
            <v>18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79</v>
          </cell>
          <cell r="AC466">
            <v>0</v>
          </cell>
          <cell r="AD466" t="str">
            <v>TIDAK</v>
          </cell>
          <cell r="AE466" t="str">
            <v>TIDAK</v>
          </cell>
          <cell r="AF466">
            <v>79</v>
          </cell>
          <cell r="AG466">
            <v>3</v>
          </cell>
          <cell r="AH466" t="str">
            <v>SAPHIRE</v>
          </cell>
          <cell r="AI466">
            <v>65</v>
          </cell>
          <cell r="AJ466" t="str">
            <v>Y</v>
          </cell>
          <cell r="AK466">
            <v>0</v>
          </cell>
          <cell r="AL466">
            <v>45261</v>
          </cell>
          <cell r="AM466">
            <v>45701</v>
          </cell>
          <cell r="AN466">
            <v>1</v>
          </cell>
          <cell r="AO466">
            <v>14</v>
          </cell>
          <cell r="AP466" t="str">
            <v>EKSKLUSIF</v>
          </cell>
          <cell r="AQ466" t="str">
            <v>-</v>
          </cell>
          <cell r="AR466" t="str">
            <v>EKSKLUSIF</v>
          </cell>
          <cell r="AS466" t="str">
            <v>REGULER</v>
          </cell>
          <cell r="AT466" t="str">
            <v>-</v>
          </cell>
          <cell r="AU466" t="str">
            <v>REGULER</v>
          </cell>
          <cell r="AV466" t="str">
            <v/>
          </cell>
          <cell r="AW466">
            <v>46</v>
          </cell>
          <cell r="AX466">
            <v>45</v>
          </cell>
          <cell r="AY466">
            <v>36</v>
          </cell>
          <cell r="AZ466">
            <v>0</v>
          </cell>
          <cell r="BA466">
            <v>23</v>
          </cell>
          <cell r="BB466">
            <v>46</v>
          </cell>
          <cell r="BC466">
            <v>45</v>
          </cell>
          <cell r="BD466">
            <v>36</v>
          </cell>
          <cell r="BE466">
            <v>0</v>
          </cell>
          <cell r="BF466">
            <v>23</v>
          </cell>
          <cell r="BG466">
            <v>22</v>
          </cell>
          <cell r="BH466">
            <v>46</v>
          </cell>
          <cell r="BI466">
            <v>45</v>
          </cell>
          <cell r="BJ466">
            <v>36</v>
          </cell>
          <cell r="BK466">
            <v>0</v>
          </cell>
          <cell r="BL466">
            <v>23</v>
          </cell>
          <cell r="BM466">
            <v>2</v>
          </cell>
          <cell r="BN466">
            <v>174</v>
          </cell>
          <cell r="BO466">
            <v>0</v>
          </cell>
          <cell r="BP466">
            <v>46</v>
          </cell>
          <cell r="BQ466">
            <v>0</v>
          </cell>
          <cell r="BR466">
            <v>36</v>
          </cell>
          <cell r="BS466">
            <v>0</v>
          </cell>
          <cell r="BT466">
            <v>23</v>
          </cell>
          <cell r="BU466">
            <v>2</v>
          </cell>
          <cell r="BV466">
            <v>107</v>
          </cell>
          <cell r="BW466">
            <v>1</v>
          </cell>
          <cell r="BX466" t="str">
            <v>TIDAK</v>
          </cell>
          <cell r="BY466" t="str">
            <v>TIDAK</v>
          </cell>
        </row>
        <row r="467">
          <cell r="A467" t="str">
            <v>A2139</v>
          </cell>
          <cell r="B467" t="str">
            <v>Stevan Eksa Kustopo</v>
          </cell>
          <cell r="C467" t="str">
            <v>GC</v>
          </cell>
          <cell r="D467">
            <v>45033</v>
          </cell>
          <cell r="E467" t="str">
            <v>Apr-23</v>
          </cell>
          <cell r="F467" t="str">
            <v>REGULER</v>
          </cell>
          <cell r="G467" t="str">
            <v>REGULER</v>
          </cell>
          <cell r="H467" t="str">
            <v>REGULER</v>
          </cell>
          <cell r="I467" t="str">
            <v>REGULER</v>
          </cell>
          <cell r="J467" t="str">
            <v>-</v>
          </cell>
          <cell r="K467" t="str">
            <v>-</v>
          </cell>
          <cell r="L467" t="str">
            <v>-</v>
          </cell>
          <cell r="M467">
            <v>10</v>
          </cell>
          <cell r="N467">
            <v>22</v>
          </cell>
          <cell r="O467">
            <v>17</v>
          </cell>
          <cell r="P467">
            <v>5</v>
          </cell>
          <cell r="Q467">
            <v>0</v>
          </cell>
          <cell r="R467">
            <v>0</v>
          </cell>
          <cell r="S467">
            <v>0</v>
          </cell>
          <cell r="T467">
            <v>54</v>
          </cell>
          <cell r="U467">
            <v>10</v>
          </cell>
          <cell r="V467">
            <v>22</v>
          </cell>
          <cell r="W467">
            <v>17</v>
          </cell>
          <cell r="X467">
            <v>5</v>
          </cell>
          <cell r="Y467">
            <v>0</v>
          </cell>
          <cell r="Z467">
            <v>0</v>
          </cell>
          <cell r="AA467">
            <v>0</v>
          </cell>
          <cell r="AB467">
            <v>54</v>
          </cell>
          <cell r="AC467">
            <v>3</v>
          </cell>
          <cell r="AD467" t="str">
            <v>DOWNGRADE</v>
          </cell>
          <cell r="AE467" t="str">
            <v>RESET</v>
          </cell>
          <cell r="AF467">
            <v>0</v>
          </cell>
          <cell r="AG467">
            <v>2</v>
          </cell>
          <cell r="AH467" t="str">
            <v>SAPHIRE</v>
          </cell>
          <cell r="AI467">
            <v>0</v>
          </cell>
          <cell r="AJ467" t="str">
            <v>FALSE</v>
          </cell>
          <cell r="AK467">
            <v>0</v>
          </cell>
          <cell r="AL467">
            <v>45261</v>
          </cell>
          <cell r="AM467">
            <v>45701</v>
          </cell>
          <cell r="AN467">
            <v>1</v>
          </cell>
          <cell r="AO467">
            <v>0</v>
          </cell>
          <cell r="AP467" t="str">
            <v>-</v>
          </cell>
          <cell r="AQ467" t="str">
            <v>-</v>
          </cell>
          <cell r="AR467" t="str">
            <v>-</v>
          </cell>
          <cell r="AS467" t="str">
            <v>-</v>
          </cell>
          <cell r="AT467" t="str">
            <v>-</v>
          </cell>
          <cell r="AU467" t="str">
            <v>-</v>
          </cell>
          <cell r="AV467" t="str">
            <v/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 t="str">
            <v/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 t="str">
            <v/>
          </cell>
          <cell r="BN467">
            <v>0</v>
          </cell>
          <cell r="BO467" t="str">
            <v/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 t="str">
            <v/>
          </cell>
          <cell r="BV467">
            <v>0</v>
          </cell>
          <cell r="BW467">
            <v>7</v>
          </cell>
          <cell r="BX467" t="str">
            <v>DOWNGRADE</v>
          </cell>
          <cell r="BY467" t="str">
            <v>RESET</v>
          </cell>
        </row>
        <row r="468">
          <cell r="A468" t="str">
            <v>A4248</v>
          </cell>
          <cell r="B468" t="str">
            <v>FEBBY TRI SULISTYANI</v>
          </cell>
          <cell r="C468" t="str">
            <v>GC</v>
          </cell>
          <cell r="D468">
            <v>45523</v>
          </cell>
          <cell r="E468" t="str">
            <v>Aug-24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 t="str">
            <v>-</v>
          </cell>
          <cell r="AQ468" t="str">
            <v>-</v>
          </cell>
          <cell r="AR468" t="str">
            <v>REGULER</v>
          </cell>
          <cell r="AS468" t="str">
            <v>REGULER</v>
          </cell>
          <cell r="AT468" t="str">
            <v>-</v>
          </cell>
          <cell r="AU468" t="str">
            <v>-</v>
          </cell>
          <cell r="AV468" t="str">
            <v/>
          </cell>
          <cell r="AW468">
            <v>0</v>
          </cell>
          <cell r="AX468">
            <v>6</v>
          </cell>
          <cell r="AY468">
            <v>5</v>
          </cell>
          <cell r="AZ468">
            <v>0</v>
          </cell>
          <cell r="BA468">
            <v>0</v>
          </cell>
          <cell r="BB468">
            <v>0</v>
          </cell>
          <cell r="BC468">
            <v>6</v>
          </cell>
          <cell r="BD468">
            <v>5</v>
          </cell>
          <cell r="BE468">
            <v>0</v>
          </cell>
          <cell r="BF468">
            <v>0</v>
          </cell>
          <cell r="BG468" t="str">
            <v/>
          </cell>
          <cell r="BH468">
            <v>0</v>
          </cell>
          <cell r="BI468">
            <v>6</v>
          </cell>
          <cell r="BJ468">
            <v>5</v>
          </cell>
          <cell r="BK468">
            <v>0</v>
          </cell>
          <cell r="BL468">
            <v>0</v>
          </cell>
          <cell r="BM468" t="str">
            <v/>
          </cell>
          <cell r="BN468">
            <v>11</v>
          </cell>
          <cell r="BO468" t="str">
            <v/>
          </cell>
          <cell r="BP468">
            <v>0</v>
          </cell>
          <cell r="BQ468">
            <v>6</v>
          </cell>
          <cell r="BR468">
            <v>5</v>
          </cell>
          <cell r="BS468">
            <v>0</v>
          </cell>
          <cell r="BT468">
            <v>0</v>
          </cell>
          <cell r="BU468" t="str">
            <v/>
          </cell>
          <cell r="BV468">
            <v>11</v>
          </cell>
          <cell r="BW468">
            <v>3</v>
          </cell>
          <cell r="BX468" t="str">
            <v>DOWNGRADE</v>
          </cell>
          <cell r="BY468" t="str">
            <v>RESET</v>
          </cell>
        </row>
        <row r="469">
          <cell r="A469" t="str">
            <v>A4246</v>
          </cell>
          <cell r="B469" t="str">
            <v>NOR FAJRIYAH</v>
          </cell>
          <cell r="C469" t="str">
            <v>GC</v>
          </cell>
          <cell r="D469">
            <v>45537</v>
          </cell>
          <cell r="E469" t="str">
            <v>Sep-24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 t="str">
            <v>-</v>
          </cell>
          <cell r="AQ469" t="str">
            <v>-</v>
          </cell>
          <cell r="AR469" t="str">
            <v>REGULER</v>
          </cell>
          <cell r="AS469" t="str">
            <v>REGULER</v>
          </cell>
          <cell r="AT469" t="str">
            <v>REGULER</v>
          </cell>
          <cell r="AU469" t="str">
            <v>REGULER</v>
          </cell>
          <cell r="AV469" t="str">
            <v/>
          </cell>
          <cell r="AW469">
            <v>0</v>
          </cell>
          <cell r="AX469">
            <v>4</v>
          </cell>
          <cell r="AY469">
            <v>14</v>
          </cell>
          <cell r="AZ469">
            <v>11</v>
          </cell>
          <cell r="BA469">
            <v>12</v>
          </cell>
          <cell r="BB469">
            <v>0</v>
          </cell>
          <cell r="BC469">
            <v>4</v>
          </cell>
          <cell r="BD469">
            <v>14</v>
          </cell>
          <cell r="BE469">
            <v>11</v>
          </cell>
          <cell r="BF469">
            <v>12</v>
          </cell>
          <cell r="BG469" t="str">
            <v/>
          </cell>
          <cell r="BH469">
            <v>0</v>
          </cell>
          <cell r="BI469">
            <v>4</v>
          </cell>
          <cell r="BJ469">
            <v>14</v>
          </cell>
          <cell r="BK469">
            <v>11</v>
          </cell>
          <cell r="BL469">
            <v>12</v>
          </cell>
          <cell r="BM469">
            <v>2</v>
          </cell>
          <cell r="BN469">
            <v>43</v>
          </cell>
          <cell r="BO469" t="str">
            <v/>
          </cell>
          <cell r="BP469">
            <v>0</v>
          </cell>
          <cell r="BQ469">
            <v>4</v>
          </cell>
          <cell r="BR469">
            <v>14</v>
          </cell>
          <cell r="BS469">
            <v>11</v>
          </cell>
          <cell r="BT469">
            <v>12</v>
          </cell>
          <cell r="BU469">
            <v>2</v>
          </cell>
          <cell r="BV469">
            <v>43</v>
          </cell>
          <cell r="BW469">
            <v>0</v>
          </cell>
          <cell r="BX469" t="str">
            <v>TIDAK</v>
          </cell>
          <cell r="BY469" t="str">
            <v>TIDAK</v>
          </cell>
        </row>
        <row r="470">
          <cell r="A470" t="str">
            <v>A4249</v>
          </cell>
          <cell r="B470" t="str">
            <v>SELA INDRI SAPUTRI</v>
          </cell>
          <cell r="C470" t="str">
            <v>GC</v>
          </cell>
          <cell r="D470">
            <v>45520</v>
          </cell>
          <cell r="E470" t="str">
            <v>Aug-24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 t="str">
            <v>-</v>
          </cell>
          <cell r="AQ470" t="str">
            <v>-</v>
          </cell>
          <cell r="AR470" t="str">
            <v>REGULER</v>
          </cell>
          <cell r="AS470" t="str">
            <v>REGULER</v>
          </cell>
          <cell r="AT470" t="str">
            <v>-</v>
          </cell>
          <cell r="AU470" t="str">
            <v>-</v>
          </cell>
          <cell r="AV470" t="str">
            <v/>
          </cell>
          <cell r="AW470">
            <v>0</v>
          </cell>
          <cell r="AX470">
            <v>4</v>
          </cell>
          <cell r="AY470">
            <v>11</v>
          </cell>
          <cell r="AZ470">
            <v>0</v>
          </cell>
          <cell r="BA470">
            <v>0</v>
          </cell>
          <cell r="BB470">
            <v>0</v>
          </cell>
          <cell r="BC470">
            <v>4</v>
          </cell>
          <cell r="BD470">
            <v>11</v>
          </cell>
          <cell r="BE470">
            <v>0</v>
          </cell>
          <cell r="BF470">
            <v>0</v>
          </cell>
          <cell r="BG470" t="str">
            <v/>
          </cell>
          <cell r="BH470">
            <v>0</v>
          </cell>
          <cell r="BI470">
            <v>4</v>
          </cell>
          <cell r="BJ470">
            <v>11</v>
          </cell>
          <cell r="BK470">
            <v>0</v>
          </cell>
          <cell r="BL470">
            <v>0</v>
          </cell>
          <cell r="BM470" t="str">
            <v/>
          </cell>
          <cell r="BN470">
            <v>15</v>
          </cell>
          <cell r="BO470" t="str">
            <v/>
          </cell>
          <cell r="BP470">
            <v>0</v>
          </cell>
          <cell r="BQ470">
            <v>4</v>
          </cell>
          <cell r="BR470">
            <v>11</v>
          </cell>
          <cell r="BS470">
            <v>0</v>
          </cell>
          <cell r="BT470">
            <v>0</v>
          </cell>
          <cell r="BU470" t="str">
            <v/>
          </cell>
          <cell r="BV470">
            <v>15</v>
          </cell>
          <cell r="BW470">
            <v>3</v>
          </cell>
          <cell r="BX470" t="str">
            <v>DOWNGRADE</v>
          </cell>
          <cell r="BY470" t="str">
            <v>RESET</v>
          </cell>
        </row>
        <row r="471">
          <cell r="A471" t="str">
            <v>A4362</v>
          </cell>
          <cell r="B471" t="str">
            <v>AGUNG BRAMASTA</v>
          </cell>
          <cell r="C471" t="str">
            <v>GC</v>
          </cell>
          <cell r="D471">
            <v>45572</v>
          </cell>
          <cell r="E471" t="str">
            <v>Oct-24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 t="str">
            <v>-</v>
          </cell>
          <cell r="AQ471" t="str">
            <v>-</v>
          </cell>
          <cell r="AR471" t="str">
            <v>-</v>
          </cell>
          <cell r="AS471" t="str">
            <v>-</v>
          </cell>
          <cell r="AT471" t="str">
            <v>REGULER</v>
          </cell>
          <cell r="AU471" t="str">
            <v>REGULER</v>
          </cell>
          <cell r="AV471" t="str">
            <v/>
          </cell>
          <cell r="AW471">
            <v>0</v>
          </cell>
          <cell r="AX471">
            <v>0</v>
          </cell>
          <cell r="AY471">
            <v>0</v>
          </cell>
          <cell r="AZ471">
            <v>27</v>
          </cell>
          <cell r="BA471">
            <v>29</v>
          </cell>
          <cell r="BB471">
            <v>0</v>
          </cell>
          <cell r="BC471">
            <v>0</v>
          </cell>
          <cell r="BD471">
            <v>0</v>
          </cell>
          <cell r="BE471">
            <v>27</v>
          </cell>
          <cell r="BF471">
            <v>29</v>
          </cell>
          <cell r="BG471" t="str">
            <v/>
          </cell>
          <cell r="BH471">
            <v>0</v>
          </cell>
          <cell r="BI471">
            <v>0</v>
          </cell>
          <cell r="BJ471">
            <v>0</v>
          </cell>
          <cell r="BK471">
            <v>27</v>
          </cell>
          <cell r="BL471">
            <v>29</v>
          </cell>
          <cell r="BM471" t="str">
            <v/>
          </cell>
          <cell r="BN471">
            <v>56</v>
          </cell>
          <cell r="BO471" t="str">
            <v/>
          </cell>
          <cell r="BP471">
            <v>0</v>
          </cell>
          <cell r="BQ471">
            <v>0</v>
          </cell>
          <cell r="BR471">
            <v>0</v>
          </cell>
          <cell r="BS471">
            <v>27</v>
          </cell>
          <cell r="BT471">
            <v>29</v>
          </cell>
          <cell r="BU471" t="str">
            <v/>
          </cell>
          <cell r="BV471">
            <v>56</v>
          </cell>
          <cell r="BW471">
            <v>1</v>
          </cell>
          <cell r="BX471" t="str">
            <v>TIDAK</v>
          </cell>
          <cell r="BY471" t="str">
            <v>TIDAK</v>
          </cell>
        </row>
        <row r="472">
          <cell r="A472" t="str">
            <v>A4361</v>
          </cell>
          <cell r="B472" t="str">
            <v>YOFITA ANGGRAENI UTORO</v>
          </cell>
          <cell r="C472" t="str">
            <v>GC</v>
          </cell>
          <cell r="D472">
            <v>45573</v>
          </cell>
          <cell r="E472" t="str">
            <v>Oct-24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 t="str">
            <v>-</v>
          </cell>
          <cell r="AQ472" t="str">
            <v>-</v>
          </cell>
          <cell r="AR472" t="str">
            <v>-</v>
          </cell>
          <cell r="AS472" t="str">
            <v>-</v>
          </cell>
          <cell r="AT472" t="str">
            <v>REGULER</v>
          </cell>
          <cell r="AU472" t="str">
            <v>REGULER</v>
          </cell>
          <cell r="AV472" t="str">
            <v/>
          </cell>
          <cell r="AW472">
            <v>0</v>
          </cell>
          <cell r="AX472">
            <v>0</v>
          </cell>
          <cell r="AY472">
            <v>0</v>
          </cell>
          <cell r="AZ472">
            <v>4</v>
          </cell>
          <cell r="BA472">
            <v>5</v>
          </cell>
          <cell r="BB472">
            <v>0</v>
          </cell>
          <cell r="BC472">
            <v>0</v>
          </cell>
          <cell r="BD472">
            <v>0</v>
          </cell>
          <cell r="BE472">
            <v>4</v>
          </cell>
          <cell r="BF472">
            <v>5</v>
          </cell>
          <cell r="BG472" t="str">
            <v/>
          </cell>
          <cell r="BH472">
            <v>0</v>
          </cell>
          <cell r="BI472">
            <v>0</v>
          </cell>
          <cell r="BJ472">
            <v>0</v>
          </cell>
          <cell r="BK472">
            <v>4</v>
          </cell>
          <cell r="BL472">
            <v>5</v>
          </cell>
          <cell r="BM472">
            <v>5</v>
          </cell>
          <cell r="BN472">
            <v>14</v>
          </cell>
          <cell r="BO472" t="str">
            <v/>
          </cell>
          <cell r="BP472">
            <v>0</v>
          </cell>
          <cell r="BQ472">
            <v>0</v>
          </cell>
          <cell r="BR472">
            <v>0</v>
          </cell>
          <cell r="BS472">
            <v>4</v>
          </cell>
          <cell r="BT472">
            <v>5</v>
          </cell>
          <cell r="BU472">
            <v>5</v>
          </cell>
          <cell r="BV472">
            <v>14</v>
          </cell>
          <cell r="BW472">
            <v>0</v>
          </cell>
          <cell r="BX472" t="str">
            <v>TIDAK</v>
          </cell>
          <cell r="BY472" t="str">
            <v>TIDAK</v>
          </cell>
        </row>
        <row r="473">
          <cell r="A473" t="str">
            <v>A4359</v>
          </cell>
          <cell r="B473" t="str">
            <v>TIA VERONICA</v>
          </cell>
          <cell r="C473" t="str">
            <v>GC</v>
          </cell>
          <cell r="D473">
            <v>45572</v>
          </cell>
          <cell r="E473" t="str">
            <v>Oct-24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 t="str">
            <v>-</v>
          </cell>
          <cell r="AQ473" t="str">
            <v>-</v>
          </cell>
          <cell r="AR473" t="str">
            <v>-</v>
          </cell>
          <cell r="AS473" t="str">
            <v>-</v>
          </cell>
          <cell r="AT473" t="str">
            <v>REGULER</v>
          </cell>
          <cell r="AU473" t="str">
            <v>-</v>
          </cell>
          <cell r="AV473" t="str">
            <v/>
          </cell>
          <cell r="AW473">
            <v>0</v>
          </cell>
          <cell r="AX473">
            <v>0</v>
          </cell>
          <cell r="AY473">
            <v>0</v>
          </cell>
          <cell r="AZ473">
            <v>7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7</v>
          </cell>
          <cell r="BF473">
            <v>0</v>
          </cell>
          <cell r="BG473" t="str">
            <v/>
          </cell>
          <cell r="BH473">
            <v>0</v>
          </cell>
          <cell r="BI473">
            <v>0</v>
          </cell>
          <cell r="BJ473">
            <v>0</v>
          </cell>
          <cell r="BK473">
            <v>7</v>
          </cell>
          <cell r="BL473">
            <v>0</v>
          </cell>
          <cell r="BM473" t="str">
            <v/>
          </cell>
          <cell r="BN473">
            <v>7</v>
          </cell>
          <cell r="BO473" t="str">
            <v/>
          </cell>
          <cell r="BP473">
            <v>0</v>
          </cell>
          <cell r="BQ473">
            <v>0</v>
          </cell>
          <cell r="BR473">
            <v>0</v>
          </cell>
          <cell r="BS473">
            <v>7</v>
          </cell>
          <cell r="BT473">
            <v>0</v>
          </cell>
          <cell r="BU473" t="str">
            <v/>
          </cell>
          <cell r="BV473">
            <v>7</v>
          </cell>
          <cell r="BW473">
            <v>2</v>
          </cell>
          <cell r="BX473" t="str">
            <v>TIDAK</v>
          </cell>
          <cell r="BY473" t="str">
            <v>TIDAK</v>
          </cell>
        </row>
        <row r="474">
          <cell r="A474" t="str">
            <v>A2058</v>
          </cell>
          <cell r="B474" t="str">
            <v>Albert Kevin Golanda</v>
          </cell>
          <cell r="C474" t="str">
            <v>GC</v>
          </cell>
          <cell r="D474">
            <v>45020</v>
          </cell>
          <cell r="E474" t="str">
            <v>Apr-23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</row>
        <row r="475">
          <cell r="A475" t="str">
            <v>A4655</v>
          </cell>
          <cell r="B475" t="str">
            <v>INDYRA YASMIN</v>
          </cell>
          <cell r="C475" t="str">
            <v>GC</v>
          </cell>
          <cell r="D475" t="str">
            <v/>
          </cell>
          <cell r="E475" t="str">
            <v/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</row>
        <row r="476">
          <cell r="A476" t="str">
            <v>A4653</v>
          </cell>
          <cell r="B476" t="str">
            <v>IRENE MARKUS</v>
          </cell>
          <cell r="C476" t="str">
            <v>GC</v>
          </cell>
          <cell r="D476" t="str">
            <v/>
          </cell>
          <cell r="E476" t="str">
            <v/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</row>
        <row r="477">
          <cell r="A477" t="str">
            <v>A4652</v>
          </cell>
          <cell r="B477" t="str">
            <v>SUSATYA PRANAWA</v>
          </cell>
          <cell r="C477" t="str">
            <v>GC</v>
          </cell>
          <cell r="D477" t="str">
            <v/>
          </cell>
          <cell r="E477" t="str">
            <v/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</row>
        <row r="478">
          <cell r="A478" t="str">
            <v>A4654</v>
          </cell>
          <cell r="B478" t="str">
            <v>VERENA CANDRA</v>
          </cell>
          <cell r="C478" t="str">
            <v>GC</v>
          </cell>
          <cell r="D478" t="str">
            <v/>
          </cell>
          <cell r="E478" t="str">
            <v/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</row>
        <row r="479">
          <cell r="A479">
            <v>92000</v>
          </cell>
          <cell r="B479" t="str">
            <v>Achmad Kurniawan</v>
          </cell>
          <cell r="C479" t="str">
            <v>RVO</v>
          </cell>
          <cell r="D479">
            <v>44546</v>
          </cell>
          <cell r="E479" t="str">
            <v>Dec-21</v>
          </cell>
          <cell r="F479" t="str">
            <v>REGULER</v>
          </cell>
          <cell r="G479" t="str">
            <v>EKSKLUSIF</v>
          </cell>
          <cell r="H479" t="str">
            <v>EKSKLUSIF</v>
          </cell>
          <cell r="I479" t="str">
            <v>EKSKLUSIF</v>
          </cell>
          <cell r="J479" t="str">
            <v>REGULER</v>
          </cell>
          <cell r="K479" t="str">
            <v>REGULER</v>
          </cell>
          <cell r="L479" t="str">
            <v>EKSKLUSIF</v>
          </cell>
          <cell r="M479">
            <v>24</v>
          </cell>
          <cell r="N479">
            <v>49</v>
          </cell>
          <cell r="O479">
            <v>41</v>
          </cell>
          <cell r="P479">
            <v>48</v>
          </cell>
          <cell r="Q479">
            <v>27</v>
          </cell>
          <cell r="R479">
            <v>41</v>
          </cell>
          <cell r="S479">
            <v>0</v>
          </cell>
          <cell r="T479">
            <v>230</v>
          </cell>
          <cell r="U479">
            <v>24</v>
          </cell>
          <cell r="V479">
            <v>0</v>
          </cell>
          <cell r="W479">
            <v>0</v>
          </cell>
          <cell r="X479">
            <v>0</v>
          </cell>
          <cell r="Y479">
            <v>27</v>
          </cell>
          <cell r="Z479">
            <v>41</v>
          </cell>
          <cell r="AA479">
            <v>0</v>
          </cell>
          <cell r="AB479">
            <v>92</v>
          </cell>
          <cell r="AC479">
            <v>1</v>
          </cell>
          <cell r="AD479" t="str">
            <v>TIDAK</v>
          </cell>
          <cell r="AE479" t="str">
            <v>TIDAK</v>
          </cell>
          <cell r="AF479">
            <v>92</v>
          </cell>
          <cell r="AG479">
            <v>4</v>
          </cell>
          <cell r="AH479" t="str">
            <v>SAPHIRE</v>
          </cell>
          <cell r="AI479">
            <v>0</v>
          </cell>
          <cell r="AJ479" t="str">
            <v>Y</v>
          </cell>
          <cell r="AK479">
            <v>0</v>
          </cell>
          <cell r="AL479">
            <v>45261</v>
          </cell>
          <cell r="AM479">
            <v>45701</v>
          </cell>
          <cell r="AN479">
            <v>1</v>
          </cell>
          <cell r="AO479">
            <v>92</v>
          </cell>
          <cell r="AP479" t="str">
            <v>EKSKLUSIF</v>
          </cell>
          <cell r="AQ479" t="str">
            <v>-</v>
          </cell>
          <cell r="AR479" t="str">
            <v>EKSKLUSIF</v>
          </cell>
          <cell r="AS479" t="str">
            <v>REGULER</v>
          </cell>
          <cell r="AT479" t="str">
            <v>REGULER</v>
          </cell>
          <cell r="AU479" t="str">
            <v>REGULER</v>
          </cell>
          <cell r="AV479" t="str">
            <v/>
          </cell>
          <cell r="AW479">
            <v>51</v>
          </cell>
          <cell r="AX479">
            <v>50</v>
          </cell>
          <cell r="AY479">
            <v>4</v>
          </cell>
          <cell r="AZ479">
            <v>44</v>
          </cell>
          <cell r="BA479">
            <v>36</v>
          </cell>
          <cell r="BB479">
            <v>51</v>
          </cell>
          <cell r="BC479">
            <v>50</v>
          </cell>
          <cell r="BD479">
            <v>4</v>
          </cell>
          <cell r="BE479">
            <v>44</v>
          </cell>
          <cell r="BF479">
            <v>36</v>
          </cell>
          <cell r="BG479">
            <v>25</v>
          </cell>
          <cell r="BH479">
            <v>51</v>
          </cell>
          <cell r="BI479">
            <v>50</v>
          </cell>
          <cell r="BJ479">
            <v>4</v>
          </cell>
          <cell r="BK479">
            <v>44</v>
          </cell>
          <cell r="BL479">
            <v>36</v>
          </cell>
          <cell r="BM479">
            <v>19</v>
          </cell>
          <cell r="BN479">
            <v>229</v>
          </cell>
          <cell r="BO479">
            <v>0</v>
          </cell>
          <cell r="BP479">
            <v>51</v>
          </cell>
          <cell r="BQ479">
            <v>0</v>
          </cell>
          <cell r="BR479">
            <v>4</v>
          </cell>
          <cell r="BS479">
            <v>44</v>
          </cell>
          <cell r="BT479">
            <v>36</v>
          </cell>
          <cell r="BU479">
            <v>19</v>
          </cell>
          <cell r="BV479">
            <v>154</v>
          </cell>
          <cell r="BW479">
            <v>0</v>
          </cell>
          <cell r="BX479" t="str">
            <v>TIDAK</v>
          </cell>
          <cell r="BY479" t="str">
            <v>TIDAK</v>
          </cell>
        </row>
        <row r="480">
          <cell r="A480" t="str">
            <v>A2164</v>
          </cell>
          <cell r="B480" t="str">
            <v>Adellia Rizky Handayanik</v>
          </cell>
          <cell r="C480" t="str">
            <v>RVO</v>
          </cell>
          <cell r="D480">
            <v>45057</v>
          </cell>
          <cell r="E480" t="str">
            <v>May-23</v>
          </cell>
          <cell r="F480" t="str">
            <v>REGULER</v>
          </cell>
          <cell r="G480" t="str">
            <v>REGULER</v>
          </cell>
          <cell r="H480" t="str">
            <v>-</v>
          </cell>
          <cell r="I480" t="str">
            <v>-</v>
          </cell>
          <cell r="J480" t="str">
            <v>-</v>
          </cell>
          <cell r="K480" t="str">
            <v>-</v>
          </cell>
          <cell r="L480" t="str">
            <v>-</v>
          </cell>
          <cell r="M480">
            <v>9</v>
          </cell>
          <cell r="N480">
            <v>6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15</v>
          </cell>
          <cell r="U480">
            <v>9</v>
          </cell>
          <cell r="V480">
            <v>6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15</v>
          </cell>
          <cell r="AC480">
            <v>5</v>
          </cell>
          <cell r="AD480" t="str">
            <v>DOWNGRADE</v>
          </cell>
          <cell r="AE480" t="str">
            <v>RESET</v>
          </cell>
          <cell r="AF480">
            <v>0</v>
          </cell>
          <cell r="AG480">
            <v>2</v>
          </cell>
          <cell r="AH480" t="str">
            <v>SAPHIRE</v>
          </cell>
          <cell r="AI480">
            <v>0</v>
          </cell>
          <cell r="AJ480" t="str">
            <v>FALSE</v>
          </cell>
          <cell r="AK480">
            <v>0</v>
          </cell>
          <cell r="AL480">
            <v>45261</v>
          </cell>
          <cell r="AM480">
            <v>45701</v>
          </cell>
          <cell r="AN480">
            <v>1</v>
          </cell>
          <cell r="AO480">
            <v>0</v>
          </cell>
          <cell r="AP480" t="str">
            <v>-</v>
          </cell>
          <cell r="AQ480" t="str">
            <v>-</v>
          </cell>
          <cell r="AR480" t="str">
            <v>-</v>
          </cell>
          <cell r="AS480" t="str">
            <v>-</v>
          </cell>
          <cell r="AT480" t="str">
            <v>-</v>
          </cell>
          <cell r="AU480" t="str">
            <v>-</v>
          </cell>
          <cell r="AV480" t="str">
            <v/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 t="str">
            <v/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 t="str">
            <v/>
          </cell>
          <cell r="BN480">
            <v>0</v>
          </cell>
          <cell r="BO480" t="str">
            <v/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 t="str">
            <v/>
          </cell>
          <cell r="BV480">
            <v>0</v>
          </cell>
          <cell r="BW480">
            <v>7</v>
          </cell>
          <cell r="BX480" t="str">
            <v>DOWNGRADE</v>
          </cell>
          <cell r="BY480" t="str">
            <v>RESET</v>
          </cell>
        </row>
        <row r="481">
          <cell r="A481">
            <v>92067</v>
          </cell>
          <cell r="B481" t="str">
            <v>Adjie Ilham</v>
          </cell>
          <cell r="C481" t="str">
            <v>RVO</v>
          </cell>
          <cell r="D481">
            <v>44578</v>
          </cell>
          <cell r="E481" t="str">
            <v>Jan-22</v>
          </cell>
          <cell r="F481" t="str">
            <v>REGULER</v>
          </cell>
          <cell r="G481" t="str">
            <v>EKSKLUSIF</v>
          </cell>
          <cell r="H481" t="str">
            <v>EKSKLUSIF</v>
          </cell>
          <cell r="I481" t="str">
            <v>EKSKLUSIF</v>
          </cell>
          <cell r="J481" t="str">
            <v>REGULER</v>
          </cell>
          <cell r="K481" t="str">
            <v>REGULER</v>
          </cell>
          <cell r="L481" t="str">
            <v>REGULER</v>
          </cell>
          <cell r="M481">
            <v>14</v>
          </cell>
          <cell r="N481">
            <v>45</v>
          </cell>
          <cell r="O481">
            <v>39</v>
          </cell>
          <cell r="P481">
            <v>43</v>
          </cell>
          <cell r="Q481">
            <v>33</v>
          </cell>
          <cell r="R481">
            <v>31</v>
          </cell>
          <cell r="S481">
            <v>14</v>
          </cell>
          <cell r="T481">
            <v>219</v>
          </cell>
          <cell r="U481">
            <v>14</v>
          </cell>
          <cell r="V481">
            <v>0</v>
          </cell>
          <cell r="W481">
            <v>0</v>
          </cell>
          <cell r="X481">
            <v>0</v>
          </cell>
          <cell r="Y481">
            <v>33</v>
          </cell>
          <cell r="Z481">
            <v>31</v>
          </cell>
          <cell r="AA481">
            <v>14</v>
          </cell>
          <cell r="AB481">
            <v>92</v>
          </cell>
          <cell r="AC481">
            <v>0</v>
          </cell>
          <cell r="AD481" t="str">
            <v>TIDAK</v>
          </cell>
          <cell r="AE481" t="str">
            <v>TIDAK</v>
          </cell>
          <cell r="AF481">
            <v>92</v>
          </cell>
          <cell r="AG481">
            <v>3</v>
          </cell>
          <cell r="AH481" t="str">
            <v>SAPHIRE</v>
          </cell>
          <cell r="AI481">
            <v>0</v>
          </cell>
          <cell r="AJ481" t="str">
            <v>Y</v>
          </cell>
          <cell r="AK481">
            <v>0</v>
          </cell>
          <cell r="AL481">
            <v>45261</v>
          </cell>
          <cell r="AM481">
            <v>45701</v>
          </cell>
          <cell r="AN481">
            <v>1</v>
          </cell>
          <cell r="AO481">
            <v>92</v>
          </cell>
          <cell r="AP481" t="str">
            <v>-</v>
          </cell>
          <cell r="AQ481" t="str">
            <v>-</v>
          </cell>
          <cell r="AR481" t="str">
            <v>REGULER</v>
          </cell>
          <cell r="AS481" t="str">
            <v>REGULER</v>
          </cell>
          <cell r="AT481" t="str">
            <v>REGULER</v>
          </cell>
          <cell r="AU481" t="str">
            <v>-</v>
          </cell>
          <cell r="AV481" t="str">
            <v/>
          </cell>
          <cell r="AW481">
            <v>32</v>
          </cell>
          <cell r="AX481">
            <v>30</v>
          </cell>
          <cell r="AY481">
            <v>33</v>
          </cell>
          <cell r="AZ481">
            <v>38</v>
          </cell>
          <cell r="BA481">
            <v>0</v>
          </cell>
          <cell r="BB481">
            <v>32</v>
          </cell>
          <cell r="BC481">
            <v>30</v>
          </cell>
          <cell r="BD481">
            <v>33</v>
          </cell>
          <cell r="BE481">
            <v>38</v>
          </cell>
          <cell r="BF481">
            <v>0</v>
          </cell>
          <cell r="BG481">
            <v>16</v>
          </cell>
          <cell r="BH481">
            <v>32</v>
          </cell>
          <cell r="BI481">
            <v>30</v>
          </cell>
          <cell r="BJ481">
            <v>33</v>
          </cell>
          <cell r="BK481">
            <v>38</v>
          </cell>
          <cell r="BL481">
            <v>0</v>
          </cell>
          <cell r="BM481">
            <v>1</v>
          </cell>
          <cell r="BN481">
            <v>150</v>
          </cell>
          <cell r="BO481">
            <v>16</v>
          </cell>
          <cell r="BP481">
            <v>32</v>
          </cell>
          <cell r="BQ481">
            <v>30</v>
          </cell>
          <cell r="BR481">
            <v>33</v>
          </cell>
          <cell r="BS481">
            <v>38</v>
          </cell>
          <cell r="BT481">
            <v>0</v>
          </cell>
          <cell r="BU481">
            <v>1</v>
          </cell>
          <cell r="BV481">
            <v>150</v>
          </cell>
          <cell r="BW481">
            <v>1</v>
          </cell>
          <cell r="BX481" t="str">
            <v>TIDAK</v>
          </cell>
          <cell r="BY481" t="str">
            <v>TIDAK</v>
          </cell>
        </row>
        <row r="482">
          <cell r="A482" t="str">
            <v>A2219</v>
          </cell>
          <cell r="B482" t="str">
            <v>Afrinda Thesalonika</v>
          </cell>
          <cell r="C482" t="str">
            <v>RVO</v>
          </cell>
          <cell r="D482">
            <v>45082</v>
          </cell>
          <cell r="E482" t="str">
            <v>Jun-23</v>
          </cell>
          <cell r="F482" t="str">
            <v>EKSKLUSIF</v>
          </cell>
          <cell r="G482" t="str">
            <v>EKSKLUSIF</v>
          </cell>
          <cell r="H482" t="str">
            <v>EKSKLUSIF</v>
          </cell>
          <cell r="I482" t="str">
            <v>EKSKLUSIF</v>
          </cell>
          <cell r="J482" t="str">
            <v>EKSKLUSIF</v>
          </cell>
          <cell r="K482" t="str">
            <v>EKSKLUSIF</v>
          </cell>
          <cell r="L482" t="str">
            <v>EKSKLUSIF</v>
          </cell>
          <cell r="M482">
            <v>22</v>
          </cell>
          <cell r="N482">
            <v>49</v>
          </cell>
          <cell r="O482">
            <v>42</v>
          </cell>
          <cell r="P482">
            <v>47</v>
          </cell>
          <cell r="Q482">
            <v>40</v>
          </cell>
          <cell r="R482">
            <v>42</v>
          </cell>
          <cell r="S482">
            <v>0</v>
          </cell>
          <cell r="T482">
            <v>242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1</v>
          </cell>
          <cell r="AD482" t="str">
            <v>TIDAK</v>
          </cell>
          <cell r="AE482" t="str">
            <v>TIDAK</v>
          </cell>
          <cell r="AF482">
            <v>0</v>
          </cell>
          <cell r="AG482">
            <v>2</v>
          </cell>
          <cell r="AH482" t="str">
            <v>SAPHIRE</v>
          </cell>
          <cell r="AI482">
            <v>0</v>
          </cell>
          <cell r="AJ482" t="str">
            <v>FALSE</v>
          </cell>
          <cell r="AK482">
            <v>0</v>
          </cell>
          <cell r="AL482">
            <v>45261</v>
          </cell>
          <cell r="AM482">
            <v>45701</v>
          </cell>
          <cell r="AN482">
            <v>1</v>
          </cell>
          <cell r="AO482">
            <v>0</v>
          </cell>
          <cell r="AP482" t="str">
            <v>-</v>
          </cell>
          <cell r="AQ482" t="str">
            <v>-</v>
          </cell>
          <cell r="AR482" t="str">
            <v>EKSKLUSIF</v>
          </cell>
          <cell r="AS482" t="str">
            <v>EKSKLUSIF</v>
          </cell>
          <cell r="AT482" t="str">
            <v>EKSKLUSIF</v>
          </cell>
          <cell r="AU482" t="str">
            <v>EKSKLUSIF</v>
          </cell>
          <cell r="AV482" t="str">
            <v/>
          </cell>
          <cell r="AW482">
            <v>50</v>
          </cell>
          <cell r="AX482">
            <v>50</v>
          </cell>
          <cell r="AY482">
            <v>46</v>
          </cell>
          <cell r="AZ482">
            <v>52</v>
          </cell>
          <cell r="BA482">
            <v>48</v>
          </cell>
          <cell r="BB482">
            <v>50</v>
          </cell>
          <cell r="BC482">
            <v>50</v>
          </cell>
          <cell r="BD482">
            <v>46</v>
          </cell>
          <cell r="BE482">
            <v>52</v>
          </cell>
          <cell r="BF482">
            <v>48</v>
          </cell>
          <cell r="BG482">
            <v>20</v>
          </cell>
          <cell r="BH482">
            <v>50</v>
          </cell>
          <cell r="BI482">
            <v>50</v>
          </cell>
          <cell r="BJ482">
            <v>46</v>
          </cell>
          <cell r="BK482">
            <v>52</v>
          </cell>
          <cell r="BL482">
            <v>48</v>
          </cell>
          <cell r="BM482">
            <v>22</v>
          </cell>
          <cell r="BN482">
            <v>288</v>
          </cell>
          <cell r="BO482">
            <v>20</v>
          </cell>
          <cell r="BP482">
            <v>50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22</v>
          </cell>
          <cell r="BV482">
            <v>92</v>
          </cell>
          <cell r="BW482">
            <v>0</v>
          </cell>
          <cell r="BX482" t="str">
            <v>TIDAK</v>
          </cell>
          <cell r="BY482" t="str">
            <v>TIDAK</v>
          </cell>
        </row>
        <row r="483">
          <cell r="A483">
            <v>92582</v>
          </cell>
          <cell r="B483" t="str">
            <v>Agnes Ruwintyas Putri</v>
          </cell>
          <cell r="C483" t="str">
            <v>RVO</v>
          </cell>
          <cell r="D483">
            <v>44805</v>
          </cell>
          <cell r="E483" t="str">
            <v>Sep-22</v>
          </cell>
          <cell r="F483" t="str">
            <v>REGULER</v>
          </cell>
          <cell r="G483" t="str">
            <v>REGULER</v>
          </cell>
          <cell r="H483" t="str">
            <v>EKSKLUSIF</v>
          </cell>
          <cell r="I483" t="str">
            <v>EKSKLUSIF</v>
          </cell>
          <cell r="J483" t="str">
            <v>EKSKLUSIF</v>
          </cell>
          <cell r="K483" t="str">
            <v>REGULER</v>
          </cell>
          <cell r="L483" t="str">
            <v>REGULER</v>
          </cell>
          <cell r="M483">
            <v>23</v>
          </cell>
          <cell r="N483">
            <v>24</v>
          </cell>
          <cell r="O483">
            <v>37</v>
          </cell>
          <cell r="P483">
            <v>47</v>
          </cell>
          <cell r="Q483">
            <v>40</v>
          </cell>
          <cell r="R483">
            <v>24</v>
          </cell>
          <cell r="S483">
            <v>4</v>
          </cell>
          <cell r="T483">
            <v>199</v>
          </cell>
          <cell r="U483">
            <v>23</v>
          </cell>
          <cell r="V483">
            <v>24</v>
          </cell>
          <cell r="W483">
            <v>0</v>
          </cell>
          <cell r="X483">
            <v>0</v>
          </cell>
          <cell r="Y483">
            <v>0</v>
          </cell>
          <cell r="Z483">
            <v>24</v>
          </cell>
          <cell r="AA483">
            <v>4</v>
          </cell>
          <cell r="AB483">
            <v>75</v>
          </cell>
          <cell r="AC483">
            <v>0</v>
          </cell>
          <cell r="AD483" t="str">
            <v>TIDAK</v>
          </cell>
          <cell r="AE483" t="str">
            <v>TIDAK</v>
          </cell>
          <cell r="AF483">
            <v>75</v>
          </cell>
          <cell r="AG483">
            <v>2</v>
          </cell>
          <cell r="AH483" t="str">
            <v>SAPHIRE</v>
          </cell>
          <cell r="AI483">
            <v>0</v>
          </cell>
          <cell r="AJ483" t="str">
            <v>Y</v>
          </cell>
          <cell r="AK483">
            <v>0</v>
          </cell>
          <cell r="AL483">
            <v>45261</v>
          </cell>
          <cell r="AM483">
            <v>45701</v>
          </cell>
          <cell r="AN483">
            <v>1</v>
          </cell>
          <cell r="AO483">
            <v>75</v>
          </cell>
          <cell r="AP483" t="str">
            <v>-</v>
          </cell>
          <cell r="AQ483" t="str">
            <v>-</v>
          </cell>
          <cell r="AR483" t="str">
            <v>REGULER</v>
          </cell>
          <cell r="AS483" t="str">
            <v>EKSKLUSIF</v>
          </cell>
          <cell r="AT483" t="str">
            <v>EKSKLUSIF</v>
          </cell>
          <cell r="AU483" t="str">
            <v>EKSKLUSIF</v>
          </cell>
          <cell r="AV483" t="str">
            <v/>
          </cell>
          <cell r="AW483">
            <v>31</v>
          </cell>
          <cell r="AX483">
            <v>40</v>
          </cell>
          <cell r="AY483">
            <v>46</v>
          </cell>
          <cell r="AZ483">
            <v>54</v>
          </cell>
          <cell r="BA483">
            <v>51</v>
          </cell>
          <cell r="BB483">
            <v>31</v>
          </cell>
          <cell r="BC483">
            <v>40</v>
          </cell>
          <cell r="BD483">
            <v>46</v>
          </cell>
          <cell r="BE483">
            <v>54</v>
          </cell>
          <cell r="BF483">
            <v>24</v>
          </cell>
          <cell r="BG483">
            <v>18</v>
          </cell>
          <cell r="BH483">
            <v>31</v>
          </cell>
          <cell r="BI483">
            <v>40</v>
          </cell>
          <cell r="BJ483">
            <v>46</v>
          </cell>
          <cell r="BK483">
            <v>54</v>
          </cell>
          <cell r="BL483">
            <v>51</v>
          </cell>
          <cell r="BM483" t="str">
            <v/>
          </cell>
          <cell r="BN483">
            <v>240</v>
          </cell>
          <cell r="BO483">
            <v>18</v>
          </cell>
          <cell r="BP483">
            <v>31</v>
          </cell>
          <cell r="BQ483">
            <v>40</v>
          </cell>
          <cell r="BR483">
            <v>0</v>
          </cell>
          <cell r="BS483">
            <v>0</v>
          </cell>
          <cell r="BT483">
            <v>0</v>
          </cell>
          <cell r="BU483" t="str">
            <v/>
          </cell>
          <cell r="BV483">
            <v>89</v>
          </cell>
          <cell r="BW483">
            <v>1</v>
          </cell>
          <cell r="BX483" t="str">
            <v>TIDAK</v>
          </cell>
          <cell r="BY483" t="str">
            <v>TIDAK</v>
          </cell>
        </row>
        <row r="484">
          <cell r="A484">
            <v>92213</v>
          </cell>
          <cell r="B484" t="str">
            <v>Agung Pambudi</v>
          </cell>
          <cell r="C484" t="str">
            <v>RVO</v>
          </cell>
          <cell r="D484">
            <v>44644</v>
          </cell>
          <cell r="E484" t="str">
            <v>Mar-22</v>
          </cell>
          <cell r="F484" t="str">
            <v>REGULER</v>
          </cell>
          <cell r="G484" t="str">
            <v>REGULER</v>
          </cell>
          <cell r="H484" t="str">
            <v>REGULER</v>
          </cell>
          <cell r="I484" t="str">
            <v>REGULER</v>
          </cell>
          <cell r="J484" t="str">
            <v>REGULER</v>
          </cell>
          <cell r="K484" t="str">
            <v>REGULER</v>
          </cell>
          <cell r="L484" t="str">
            <v>REGULER</v>
          </cell>
          <cell r="M484">
            <v>17</v>
          </cell>
          <cell r="N484">
            <v>25</v>
          </cell>
          <cell r="O484">
            <v>9</v>
          </cell>
          <cell r="P484">
            <v>8</v>
          </cell>
          <cell r="Q484">
            <v>7</v>
          </cell>
          <cell r="R484">
            <v>12</v>
          </cell>
          <cell r="S484">
            <v>1</v>
          </cell>
          <cell r="T484">
            <v>79</v>
          </cell>
          <cell r="U484">
            <v>17</v>
          </cell>
          <cell r="V484">
            <v>25</v>
          </cell>
          <cell r="W484">
            <v>9</v>
          </cell>
          <cell r="X484">
            <v>8</v>
          </cell>
          <cell r="Y484">
            <v>7</v>
          </cell>
          <cell r="Z484">
            <v>12</v>
          </cell>
          <cell r="AA484">
            <v>1</v>
          </cell>
          <cell r="AB484">
            <v>79</v>
          </cell>
          <cell r="AC484">
            <v>0</v>
          </cell>
          <cell r="AD484" t="str">
            <v>TIDAK</v>
          </cell>
          <cell r="AE484" t="str">
            <v>TIDAK</v>
          </cell>
          <cell r="AF484">
            <v>79</v>
          </cell>
          <cell r="AG484">
            <v>3</v>
          </cell>
          <cell r="AH484" t="str">
            <v>SAPHIRE</v>
          </cell>
          <cell r="AI484">
            <v>0</v>
          </cell>
          <cell r="AJ484" t="str">
            <v>Y</v>
          </cell>
          <cell r="AK484">
            <v>0</v>
          </cell>
          <cell r="AL484">
            <v>45261</v>
          </cell>
          <cell r="AM484">
            <v>45701</v>
          </cell>
          <cell r="AN484">
            <v>1</v>
          </cell>
          <cell r="AO484">
            <v>79</v>
          </cell>
          <cell r="AP484" t="str">
            <v>-</v>
          </cell>
          <cell r="AQ484" t="str">
            <v>-</v>
          </cell>
          <cell r="AR484" t="str">
            <v>REGULER</v>
          </cell>
          <cell r="AS484" t="str">
            <v>REGULER</v>
          </cell>
          <cell r="AT484" t="str">
            <v>REGULER</v>
          </cell>
          <cell r="AU484" t="str">
            <v>-</v>
          </cell>
          <cell r="AV484" t="str">
            <v/>
          </cell>
          <cell r="AW484">
            <v>27</v>
          </cell>
          <cell r="AX484">
            <v>3</v>
          </cell>
          <cell r="AY484">
            <v>2</v>
          </cell>
          <cell r="AZ484">
            <v>3</v>
          </cell>
          <cell r="BA484">
            <v>0</v>
          </cell>
          <cell r="BB484">
            <v>27</v>
          </cell>
          <cell r="BC484">
            <v>3</v>
          </cell>
          <cell r="BD484">
            <v>2</v>
          </cell>
          <cell r="BE484">
            <v>3</v>
          </cell>
          <cell r="BF484">
            <v>0</v>
          </cell>
          <cell r="BG484" t="str">
            <v/>
          </cell>
          <cell r="BH484">
            <v>27</v>
          </cell>
          <cell r="BI484">
            <v>3</v>
          </cell>
          <cell r="BJ484">
            <v>2</v>
          </cell>
          <cell r="BK484">
            <v>3</v>
          </cell>
          <cell r="BL484">
            <v>0</v>
          </cell>
          <cell r="BM484">
            <v>1</v>
          </cell>
          <cell r="BN484">
            <v>36</v>
          </cell>
          <cell r="BO484" t="str">
            <v/>
          </cell>
          <cell r="BP484">
            <v>27</v>
          </cell>
          <cell r="BQ484">
            <v>3</v>
          </cell>
          <cell r="BR484">
            <v>2</v>
          </cell>
          <cell r="BS484">
            <v>3</v>
          </cell>
          <cell r="BT484">
            <v>0</v>
          </cell>
          <cell r="BU484">
            <v>1</v>
          </cell>
          <cell r="BV484">
            <v>36</v>
          </cell>
          <cell r="BW484">
            <v>2</v>
          </cell>
          <cell r="BX484" t="str">
            <v>TIDAK</v>
          </cell>
          <cell r="BY484" t="str">
            <v>TIDAK</v>
          </cell>
        </row>
        <row r="485">
          <cell r="A485">
            <v>92699</v>
          </cell>
          <cell r="B485" t="str">
            <v>Ahmad Irfai</v>
          </cell>
          <cell r="C485" t="str">
            <v>RVO</v>
          </cell>
          <cell r="D485">
            <v>44825</v>
          </cell>
          <cell r="E485" t="str">
            <v>Sep-22</v>
          </cell>
          <cell r="F485" t="str">
            <v>EKSKLUSIF</v>
          </cell>
          <cell r="G485" t="str">
            <v>EKSKLUSIF</v>
          </cell>
          <cell r="H485" t="str">
            <v>REGULER</v>
          </cell>
          <cell r="I485" t="str">
            <v>REGULER</v>
          </cell>
          <cell r="J485" t="str">
            <v>REGULER</v>
          </cell>
          <cell r="K485" t="str">
            <v>REGULER</v>
          </cell>
          <cell r="L485" t="str">
            <v>REGULER</v>
          </cell>
          <cell r="M485">
            <v>24</v>
          </cell>
          <cell r="N485">
            <v>48</v>
          </cell>
          <cell r="O485">
            <v>15</v>
          </cell>
          <cell r="P485">
            <v>34</v>
          </cell>
          <cell r="Q485">
            <v>22</v>
          </cell>
          <cell r="R485">
            <v>24</v>
          </cell>
          <cell r="S485">
            <v>16</v>
          </cell>
          <cell r="T485">
            <v>183</v>
          </cell>
          <cell r="U485">
            <v>0</v>
          </cell>
          <cell r="V485">
            <v>0</v>
          </cell>
          <cell r="W485">
            <v>15</v>
          </cell>
          <cell r="X485">
            <v>34</v>
          </cell>
          <cell r="Y485">
            <v>22</v>
          </cell>
          <cell r="Z485">
            <v>24</v>
          </cell>
          <cell r="AA485">
            <v>16</v>
          </cell>
          <cell r="AB485">
            <v>111</v>
          </cell>
          <cell r="AC485">
            <v>0</v>
          </cell>
          <cell r="AD485" t="str">
            <v>TIDAK</v>
          </cell>
          <cell r="AE485" t="str">
            <v>TIDAK</v>
          </cell>
          <cell r="AF485">
            <v>111</v>
          </cell>
          <cell r="AG485">
            <v>4</v>
          </cell>
          <cell r="AH485" t="str">
            <v>SAPHIRE</v>
          </cell>
          <cell r="AI485">
            <v>0</v>
          </cell>
          <cell r="AJ485" t="str">
            <v>Y</v>
          </cell>
          <cell r="AK485">
            <v>0</v>
          </cell>
          <cell r="AL485">
            <v>45261</v>
          </cell>
          <cell r="AM485">
            <v>45701</v>
          </cell>
          <cell r="AN485">
            <v>1</v>
          </cell>
          <cell r="AO485">
            <v>111</v>
          </cell>
          <cell r="AP485" t="str">
            <v>-</v>
          </cell>
          <cell r="AQ485" t="str">
            <v>-</v>
          </cell>
          <cell r="AR485" t="str">
            <v>EKSKLUSIF</v>
          </cell>
          <cell r="AS485" t="str">
            <v>EKSKLUSIF</v>
          </cell>
          <cell r="AT485" t="str">
            <v>EKSKLUSIF</v>
          </cell>
          <cell r="AU485" t="str">
            <v>REGULER</v>
          </cell>
          <cell r="AV485" t="str">
            <v/>
          </cell>
          <cell r="AW485">
            <v>36</v>
          </cell>
          <cell r="AX485">
            <v>49</v>
          </cell>
          <cell r="AY485">
            <v>44</v>
          </cell>
          <cell r="AZ485">
            <v>49</v>
          </cell>
          <cell r="BA485">
            <v>16</v>
          </cell>
          <cell r="BB485">
            <v>36</v>
          </cell>
          <cell r="BC485">
            <v>49</v>
          </cell>
          <cell r="BD485">
            <v>44</v>
          </cell>
          <cell r="BE485">
            <v>49</v>
          </cell>
          <cell r="BF485">
            <v>16</v>
          </cell>
          <cell r="BG485">
            <v>6</v>
          </cell>
          <cell r="BH485">
            <v>36</v>
          </cell>
          <cell r="BI485">
            <v>49</v>
          </cell>
          <cell r="BJ485">
            <v>44</v>
          </cell>
          <cell r="BK485">
            <v>49</v>
          </cell>
          <cell r="BL485">
            <v>16</v>
          </cell>
          <cell r="BM485">
            <v>12</v>
          </cell>
          <cell r="BN485">
            <v>212</v>
          </cell>
          <cell r="BO485">
            <v>6</v>
          </cell>
          <cell r="BP485">
            <v>36</v>
          </cell>
          <cell r="BQ485">
            <v>0</v>
          </cell>
          <cell r="BR485">
            <v>0</v>
          </cell>
          <cell r="BS485">
            <v>0</v>
          </cell>
          <cell r="BT485">
            <v>16</v>
          </cell>
          <cell r="BU485">
            <v>12</v>
          </cell>
          <cell r="BV485">
            <v>70</v>
          </cell>
          <cell r="BW485">
            <v>0</v>
          </cell>
          <cell r="BX485" t="str">
            <v>TIDAK</v>
          </cell>
          <cell r="BY485" t="str">
            <v>TIDAK</v>
          </cell>
        </row>
        <row r="486">
          <cell r="A486">
            <v>90374</v>
          </cell>
          <cell r="B486" t="str">
            <v>Aisyah Dinda Wahyuningsih</v>
          </cell>
          <cell r="C486" t="str">
            <v>RVO</v>
          </cell>
          <cell r="D486">
            <v>44322</v>
          </cell>
          <cell r="E486" t="str">
            <v>May-21</v>
          </cell>
          <cell r="F486" t="str">
            <v>REGULER</v>
          </cell>
          <cell r="G486" t="str">
            <v>REGULER</v>
          </cell>
          <cell r="H486" t="str">
            <v>REGULER</v>
          </cell>
          <cell r="I486" t="str">
            <v>REGULER</v>
          </cell>
          <cell r="J486" t="str">
            <v>REGULER</v>
          </cell>
          <cell r="K486" t="str">
            <v>REGULER</v>
          </cell>
          <cell r="L486" t="str">
            <v>REGULER</v>
          </cell>
          <cell r="M486">
            <v>20</v>
          </cell>
          <cell r="N486">
            <v>34</v>
          </cell>
          <cell r="O486">
            <v>31</v>
          </cell>
          <cell r="P486">
            <v>37</v>
          </cell>
          <cell r="Q486">
            <v>34</v>
          </cell>
          <cell r="R486">
            <v>39</v>
          </cell>
          <cell r="S486">
            <v>18</v>
          </cell>
          <cell r="T486">
            <v>213</v>
          </cell>
          <cell r="U486">
            <v>20</v>
          </cell>
          <cell r="V486">
            <v>34</v>
          </cell>
          <cell r="W486">
            <v>31</v>
          </cell>
          <cell r="X486">
            <v>37</v>
          </cell>
          <cell r="Y486">
            <v>34</v>
          </cell>
          <cell r="Z486">
            <v>39</v>
          </cell>
          <cell r="AA486">
            <v>18</v>
          </cell>
          <cell r="AB486">
            <v>213</v>
          </cell>
          <cell r="AC486">
            <v>0</v>
          </cell>
          <cell r="AD486" t="str">
            <v>TIDAK</v>
          </cell>
          <cell r="AE486" t="str">
            <v>TIDAK</v>
          </cell>
          <cell r="AF486">
            <v>213</v>
          </cell>
          <cell r="AG486">
            <v>3</v>
          </cell>
          <cell r="AH486" t="str">
            <v>SAPHIRE</v>
          </cell>
          <cell r="AI486">
            <v>0</v>
          </cell>
          <cell r="AJ486" t="str">
            <v>Y</v>
          </cell>
          <cell r="AK486">
            <v>0</v>
          </cell>
          <cell r="AL486">
            <v>45261</v>
          </cell>
          <cell r="AM486">
            <v>45701</v>
          </cell>
          <cell r="AN486">
            <v>1</v>
          </cell>
          <cell r="AO486">
            <v>213</v>
          </cell>
          <cell r="AP486" t="str">
            <v>-</v>
          </cell>
          <cell r="AQ486" t="str">
            <v>-</v>
          </cell>
          <cell r="AR486" t="str">
            <v>REGULER</v>
          </cell>
          <cell r="AS486" t="str">
            <v>REGULER</v>
          </cell>
          <cell r="AT486" t="str">
            <v>REGULER</v>
          </cell>
          <cell r="AU486" t="str">
            <v>REGULER</v>
          </cell>
          <cell r="AV486" t="str">
            <v/>
          </cell>
          <cell r="AW486">
            <v>40</v>
          </cell>
          <cell r="AX486">
            <v>41</v>
          </cell>
          <cell r="AY486">
            <v>39</v>
          </cell>
          <cell r="AZ486">
            <v>41</v>
          </cell>
          <cell r="BA486">
            <v>36</v>
          </cell>
          <cell r="BB486">
            <v>40</v>
          </cell>
          <cell r="BC486">
            <v>41</v>
          </cell>
          <cell r="BD486">
            <v>39</v>
          </cell>
          <cell r="BE486">
            <v>41</v>
          </cell>
          <cell r="BF486">
            <v>36</v>
          </cell>
          <cell r="BG486">
            <v>17</v>
          </cell>
          <cell r="BH486">
            <v>40</v>
          </cell>
          <cell r="BI486">
            <v>41</v>
          </cell>
          <cell r="BJ486">
            <v>39</v>
          </cell>
          <cell r="BK486">
            <v>41</v>
          </cell>
          <cell r="BL486">
            <v>36</v>
          </cell>
          <cell r="BM486">
            <v>18</v>
          </cell>
          <cell r="BN486">
            <v>232</v>
          </cell>
          <cell r="BO486">
            <v>17</v>
          </cell>
          <cell r="BP486">
            <v>40</v>
          </cell>
          <cell r="BQ486">
            <v>41</v>
          </cell>
          <cell r="BR486">
            <v>39</v>
          </cell>
          <cell r="BS486">
            <v>41</v>
          </cell>
          <cell r="BT486">
            <v>36</v>
          </cell>
          <cell r="BU486">
            <v>18</v>
          </cell>
          <cell r="BV486">
            <v>232</v>
          </cell>
          <cell r="BW486">
            <v>0</v>
          </cell>
          <cell r="BX486" t="str">
            <v>TIDAK</v>
          </cell>
          <cell r="BY486" t="str">
            <v>TIDAK</v>
          </cell>
        </row>
        <row r="487">
          <cell r="A487" t="str">
            <v>A3919</v>
          </cell>
          <cell r="B487" t="str">
            <v>Aldina Fajar Rizkiani</v>
          </cell>
          <cell r="C487" t="str">
            <v>RVO</v>
          </cell>
          <cell r="D487">
            <v>45384</v>
          </cell>
          <cell r="E487" t="str">
            <v>Apr-24</v>
          </cell>
          <cell r="F487" t="str">
            <v>-</v>
          </cell>
          <cell r="G487" t="str">
            <v>-</v>
          </cell>
          <cell r="H487" t="str">
            <v>-</v>
          </cell>
          <cell r="I487" t="str">
            <v>REGULER</v>
          </cell>
          <cell r="J487" t="str">
            <v>REGULER</v>
          </cell>
          <cell r="K487" t="str">
            <v>-</v>
          </cell>
          <cell r="L487" t="str">
            <v>-</v>
          </cell>
          <cell r="M487">
            <v>0</v>
          </cell>
          <cell r="N487">
            <v>0</v>
          </cell>
          <cell r="O487">
            <v>0</v>
          </cell>
          <cell r="P487">
            <v>5</v>
          </cell>
          <cell r="Q487">
            <v>11</v>
          </cell>
          <cell r="R487">
            <v>0</v>
          </cell>
          <cell r="S487">
            <v>0</v>
          </cell>
          <cell r="T487">
            <v>16</v>
          </cell>
          <cell r="U487">
            <v>0</v>
          </cell>
          <cell r="V487">
            <v>0</v>
          </cell>
          <cell r="W487">
            <v>0</v>
          </cell>
          <cell r="X487">
            <v>5</v>
          </cell>
          <cell r="Y487">
            <v>11</v>
          </cell>
          <cell r="Z487">
            <v>0</v>
          </cell>
          <cell r="AA487">
            <v>0</v>
          </cell>
          <cell r="AB487">
            <v>16</v>
          </cell>
          <cell r="AC487">
            <v>2</v>
          </cell>
          <cell r="AD487" t="str">
            <v>TIDAK</v>
          </cell>
          <cell r="AE487" t="str">
            <v>TIDAK</v>
          </cell>
          <cell r="AF487">
            <v>16</v>
          </cell>
          <cell r="AG487">
            <v>1</v>
          </cell>
          <cell r="AH487" t="str">
            <v>SAPHIRE</v>
          </cell>
          <cell r="AI487">
            <v>0</v>
          </cell>
          <cell r="AJ487" t="str">
            <v>FALSE</v>
          </cell>
          <cell r="AK487">
            <v>0</v>
          </cell>
          <cell r="AL487">
            <v>45261</v>
          </cell>
          <cell r="AM487">
            <v>45701</v>
          </cell>
          <cell r="AN487">
            <v>1</v>
          </cell>
          <cell r="AO487">
            <v>16</v>
          </cell>
          <cell r="AP487" t="str">
            <v>-</v>
          </cell>
          <cell r="AQ487" t="str">
            <v>-</v>
          </cell>
          <cell r="AR487" t="str">
            <v>-</v>
          </cell>
          <cell r="AS487" t="str">
            <v>-</v>
          </cell>
          <cell r="AT487" t="str">
            <v>-</v>
          </cell>
          <cell r="AU487" t="str">
            <v>-</v>
          </cell>
          <cell r="AV487" t="str">
            <v/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 t="str">
            <v/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 t="str">
            <v/>
          </cell>
          <cell r="BN487">
            <v>0</v>
          </cell>
          <cell r="BO487" t="str">
            <v/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 t="str">
            <v/>
          </cell>
          <cell r="BV487">
            <v>0</v>
          </cell>
          <cell r="BW487">
            <v>7</v>
          </cell>
          <cell r="BX487" t="str">
            <v>DOWNGRADE</v>
          </cell>
          <cell r="BY487" t="str">
            <v>RESET</v>
          </cell>
        </row>
        <row r="488">
          <cell r="A488" t="str">
            <v>A0046</v>
          </cell>
          <cell r="B488" t="str">
            <v>Ali Wafa</v>
          </cell>
          <cell r="C488" t="str">
            <v>RVO</v>
          </cell>
          <cell r="D488">
            <v>44900</v>
          </cell>
          <cell r="E488" t="str">
            <v>Dec-22</v>
          </cell>
          <cell r="F488" t="str">
            <v>REGULER</v>
          </cell>
          <cell r="G488" t="str">
            <v>REGULER</v>
          </cell>
          <cell r="H488" t="str">
            <v>REGULER</v>
          </cell>
          <cell r="I488" t="str">
            <v>REGULER</v>
          </cell>
          <cell r="J488" t="str">
            <v>-</v>
          </cell>
          <cell r="K488" t="str">
            <v>REGULER</v>
          </cell>
          <cell r="L488" t="str">
            <v>REGULER</v>
          </cell>
          <cell r="M488">
            <v>13</v>
          </cell>
          <cell r="N488">
            <v>25</v>
          </cell>
          <cell r="O488">
            <v>26</v>
          </cell>
          <cell r="P488">
            <v>29</v>
          </cell>
          <cell r="Q488">
            <v>0</v>
          </cell>
          <cell r="R488">
            <v>27</v>
          </cell>
          <cell r="S488">
            <v>11</v>
          </cell>
          <cell r="T488">
            <v>131</v>
          </cell>
          <cell r="U488">
            <v>13</v>
          </cell>
          <cell r="V488">
            <v>25</v>
          </cell>
          <cell r="W488">
            <v>26</v>
          </cell>
          <cell r="X488">
            <v>29</v>
          </cell>
          <cell r="Y488">
            <v>0</v>
          </cell>
          <cell r="Z488">
            <v>27</v>
          </cell>
          <cell r="AA488">
            <v>11</v>
          </cell>
          <cell r="AB488">
            <v>131</v>
          </cell>
          <cell r="AC488">
            <v>1</v>
          </cell>
          <cell r="AD488" t="str">
            <v>TIDAK</v>
          </cell>
          <cell r="AE488" t="str">
            <v>TIDAK</v>
          </cell>
          <cell r="AF488">
            <v>131</v>
          </cell>
          <cell r="AG488">
            <v>3</v>
          </cell>
          <cell r="AH488" t="str">
            <v>SAPHIRE</v>
          </cell>
          <cell r="AI488">
            <v>0</v>
          </cell>
          <cell r="AJ488" t="str">
            <v>Y</v>
          </cell>
          <cell r="AK488">
            <v>0</v>
          </cell>
          <cell r="AL488">
            <v>45261</v>
          </cell>
          <cell r="AM488">
            <v>45701</v>
          </cell>
          <cell r="AN488">
            <v>1</v>
          </cell>
          <cell r="AO488">
            <v>131</v>
          </cell>
          <cell r="AP488" t="str">
            <v>-</v>
          </cell>
          <cell r="AQ488" t="str">
            <v>-</v>
          </cell>
          <cell r="AR488" t="str">
            <v>REGULER</v>
          </cell>
          <cell r="AS488" t="str">
            <v>REGULER</v>
          </cell>
          <cell r="AT488" t="str">
            <v>REGULER</v>
          </cell>
          <cell r="AU488" t="str">
            <v>REGULER</v>
          </cell>
          <cell r="AV488" t="str">
            <v/>
          </cell>
          <cell r="AW488">
            <v>30</v>
          </cell>
          <cell r="AX488">
            <v>38</v>
          </cell>
          <cell r="AY488">
            <v>15</v>
          </cell>
          <cell r="AZ488">
            <v>39</v>
          </cell>
          <cell r="BA488">
            <v>19</v>
          </cell>
          <cell r="BB488">
            <v>30</v>
          </cell>
          <cell r="BC488">
            <v>38</v>
          </cell>
          <cell r="BD488">
            <v>15</v>
          </cell>
          <cell r="BE488">
            <v>39</v>
          </cell>
          <cell r="BF488">
            <v>19</v>
          </cell>
          <cell r="BG488">
            <v>13</v>
          </cell>
          <cell r="BH488">
            <v>30</v>
          </cell>
          <cell r="BI488">
            <v>38</v>
          </cell>
          <cell r="BJ488">
            <v>15</v>
          </cell>
          <cell r="BK488">
            <v>39</v>
          </cell>
          <cell r="BL488">
            <v>19</v>
          </cell>
          <cell r="BM488">
            <v>17</v>
          </cell>
          <cell r="BN488">
            <v>171</v>
          </cell>
          <cell r="BO488">
            <v>13</v>
          </cell>
          <cell r="BP488">
            <v>30</v>
          </cell>
          <cell r="BQ488">
            <v>38</v>
          </cell>
          <cell r="BR488">
            <v>15</v>
          </cell>
          <cell r="BS488">
            <v>39</v>
          </cell>
          <cell r="BT488">
            <v>19</v>
          </cell>
          <cell r="BU488">
            <v>17</v>
          </cell>
          <cell r="BV488">
            <v>171</v>
          </cell>
          <cell r="BW488">
            <v>0</v>
          </cell>
          <cell r="BX488" t="str">
            <v>TIDAK</v>
          </cell>
          <cell r="BY488" t="str">
            <v>TIDAK</v>
          </cell>
        </row>
        <row r="489">
          <cell r="A489" t="str">
            <v>A2204</v>
          </cell>
          <cell r="B489" t="str">
            <v>Anisa Nur Fitriani</v>
          </cell>
          <cell r="C489" t="str">
            <v>RVO</v>
          </cell>
          <cell r="D489">
            <v>45058</v>
          </cell>
          <cell r="E489" t="str">
            <v>May-23</v>
          </cell>
          <cell r="F489" t="str">
            <v>REGULER</v>
          </cell>
          <cell r="G489" t="str">
            <v>REGULER</v>
          </cell>
          <cell r="H489" t="str">
            <v>-</v>
          </cell>
          <cell r="I489" t="str">
            <v>-</v>
          </cell>
          <cell r="J489" t="str">
            <v>-</v>
          </cell>
          <cell r="K489" t="str">
            <v>-</v>
          </cell>
          <cell r="L489" t="str">
            <v>-</v>
          </cell>
          <cell r="M489">
            <v>12</v>
          </cell>
          <cell r="N489">
            <v>4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16</v>
          </cell>
          <cell r="U489">
            <v>12</v>
          </cell>
          <cell r="V489">
            <v>4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16</v>
          </cell>
          <cell r="AC489">
            <v>5</v>
          </cell>
          <cell r="AD489" t="str">
            <v>DOWNGRADE</v>
          </cell>
          <cell r="AE489" t="str">
            <v>RESET</v>
          </cell>
          <cell r="AF489">
            <v>0</v>
          </cell>
          <cell r="AG489">
            <v>1</v>
          </cell>
          <cell r="AH489" t="str">
            <v>SAPHIRE</v>
          </cell>
          <cell r="AI489">
            <v>0</v>
          </cell>
          <cell r="AJ489" t="str">
            <v>FALSE</v>
          </cell>
          <cell r="AK489">
            <v>0</v>
          </cell>
          <cell r="AL489">
            <v>45261</v>
          </cell>
          <cell r="AM489">
            <v>45701</v>
          </cell>
          <cell r="AN489">
            <v>1</v>
          </cell>
          <cell r="AO489">
            <v>0</v>
          </cell>
          <cell r="AP489" t="str">
            <v>-</v>
          </cell>
          <cell r="AQ489" t="str">
            <v>-</v>
          </cell>
          <cell r="AR489" t="str">
            <v>-</v>
          </cell>
          <cell r="AS489" t="str">
            <v>-</v>
          </cell>
          <cell r="AT489" t="str">
            <v>-</v>
          </cell>
          <cell r="AU489" t="str">
            <v>-</v>
          </cell>
          <cell r="AV489" t="str">
            <v/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 t="str">
            <v/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 t="str">
            <v/>
          </cell>
          <cell r="BN489">
            <v>0</v>
          </cell>
          <cell r="BO489" t="str">
            <v/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 t="str">
            <v/>
          </cell>
          <cell r="BV489">
            <v>0</v>
          </cell>
          <cell r="BW489">
            <v>7</v>
          </cell>
          <cell r="BX489" t="str">
            <v>DOWNGRADE</v>
          </cell>
          <cell r="BY489" t="str">
            <v>RESET</v>
          </cell>
        </row>
        <row r="490">
          <cell r="A490" t="str">
            <v>A3436</v>
          </cell>
          <cell r="B490" t="str">
            <v>Anita Kristiana Laia</v>
          </cell>
          <cell r="C490" t="str">
            <v>RVO</v>
          </cell>
          <cell r="D490">
            <v>45282</v>
          </cell>
          <cell r="E490" t="str">
            <v>Dec-23</v>
          </cell>
          <cell r="F490" t="str">
            <v>REGULER</v>
          </cell>
          <cell r="G490" t="str">
            <v>REGULER</v>
          </cell>
          <cell r="H490" t="str">
            <v>REGULER</v>
          </cell>
          <cell r="I490" t="str">
            <v>EKSKLUSIF</v>
          </cell>
          <cell r="J490" t="str">
            <v>EKSKLUSIF</v>
          </cell>
          <cell r="K490" t="str">
            <v>EKSKLUSIF</v>
          </cell>
          <cell r="L490" t="str">
            <v>EKSKLUSIF</v>
          </cell>
          <cell r="M490">
            <v>14</v>
          </cell>
          <cell r="N490">
            <v>17</v>
          </cell>
          <cell r="O490">
            <v>20</v>
          </cell>
          <cell r="P490">
            <v>43</v>
          </cell>
          <cell r="Q490">
            <v>44</v>
          </cell>
          <cell r="R490">
            <v>46</v>
          </cell>
          <cell r="S490">
            <v>0</v>
          </cell>
          <cell r="T490">
            <v>184</v>
          </cell>
          <cell r="U490">
            <v>14</v>
          </cell>
          <cell r="V490">
            <v>17</v>
          </cell>
          <cell r="W490">
            <v>20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51</v>
          </cell>
          <cell r="AC490">
            <v>1</v>
          </cell>
          <cell r="AD490" t="str">
            <v>TIDAK</v>
          </cell>
          <cell r="AE490" t="str">
            <v>TIDAK</v>
          </cell>
          <cell r="AF490">
            <v>51</v>
          </cell>
          <cell r="AG490">
            <v>2</v>
          </cell>
          <cell r="AH490" t="str">
            <v>SAPHIRE</v>
          </cell>
          <cell r="AI490">
            <v>0</v>
          </cell>
          <cell r="AJ490" t="str">
            <v>FALSE</v>
          </cell>
          <cell r="AK490">
            <v>0</v>
          </cell>
          <cell r="AL490">
            <v>45261</v>
          </cell>
          <cell r="AM490">
            <v>45701</v>
          </cell>
          <cell r="AN490">
            <v>1</v>
          </cell>
          <cell r="AO490">
            <v>51</v>
          </cell>
          <cell r="AP490" t="str">
            <v>EKSKLUSIF</v>
          </cell>
          <cell r="AQ490" t="str">
            <v>-</v>
          </cell>
          <cell r="AR490" t="str">
            <v>EKSKLUSIF</v>
          </cell>
          <cell r="AS490" t="str">
            <v>REGULER</v>
          </cell>
          <cell r="AT490" t="str">
            <v>REGULER</v>
          </cell>
          <cell r="AU490" t="str">
            <v>REGULER</v>
          </cell>
          <cell r="AV490" t="str">
            <v/>
          </cell>
          <cell r="AW490">
            <v>45</v>
          </cell>
          <cell r="AX490">
            <v>52</v>
          </cell>
          <cell r="AY490">
            <v>40</v>
          </cell>
          <cell r="AZ490">
            <v>44</v>
          </cell>
          <cell r="BA490">
            <v>36</v>
          </cell>
          <cell r="BB490">
            <v>45</v>
          </cell>
          <cell r="BC490">
            <v>52</v>
          </cell>
          <cell r="BD490">
            <v>40</v>
          </cell>
          <cell r="BE490">
            <v>44</v>
          </cell>
          <cell r="BF490">
            <v>36</v>
          </cell>
          <cell r="BG490">
            <v>22</v>
          </cell>
          <cell r="BH490">
            <v>45</v>
          </cell>
          <cell r="BI490">
            <v>52</v>
          </cell>
          <cell r="BJ490">
            <v>40</v>
          </cell>
          <cell r="BK490">
            <v>44</v>
          </cell>
          <cell r="BL490">
            <v>36</v>
          </cell>
          <cell r="BM490">
            <v>12</v>
          </cell>
          <cell r="BN490">
            <v>251</v>
          </cell>
          <cell r="BO490">
            <v>0</v>
          </cell>
          <cell r="BP490">
            <v>45</v>
          </cell>
          <cell r="BQ490">
            <v>0</v>
          </cell>
          <cell r="BR490">
            <v>40</v>
          </cell>
          <cell r="BS490">
            <v>44</v>
          </cell>
          <cell r="BT490">
            <v>36</v>
          </cell>
          <cell r="BU490">
            <v>12</v>
          </cell>
          <cell r="BV490">
            <v>177</v>
          </cell>
          <cell r="BW490">
            <v>0</v>
          </cell>
          <cell r="BX490" t="str">
            <v>TIDAK</v>
          </cell>
          <cell r="BY490" t="str">
            <v>TIDAK</v>
          </cell>
        </row>
        <row r="491">
          <cell r="A491" t="str">
            <v>A2356</v>
          </cell>
          <cell r="B491" t="str">
            <v>Antonia Andriani</v>
          </cell>
          <cell r="C491" t="str">
            <v>RVO</v>
          </cell>
          <cell r="D491">
            <v>45066</v>
          </cell>
          <cell r="E491" t="str">
            <v>May-23</v>
          </cell>
          <cell r="F491" t="str">
            <v>REGULER</v>
          </cell>
          <cell r="G491" t="str">
            <v>REGULER</v>
          </cell>
          <cell r="H491" t="str">
            <v>REGULER</v>
          </cell>
          <cell r="I491" t="str">
            <v>REGULER</v>
          </cell>
          <cell r="J491" t="str">
            <v>REGULER</v>
          </cell>
          <cell r="K491" t="str">
            <v>REGULER</v>
          </cell>
          <cell r="L491" t="str">
            <v>REGULER</v>
          </cell>
          <cell r="M491">
            <v>6</v>
          </cell>
          <cell r="N491">
            <v>18</v>
          </cell>
          <cell r="O491">
            <v>27</v>
          </cell>
          <cell r="P491">
            <v>24</v>
          </cell>
          <cell r="Q491">
            <v>21</v>
          </cell>
          <cell r="R491">
            <v>12</v>
          </cell>
          <cell r="S491">
            <v>16</v>
          </cell>
          <cell r="T491">
            <v>124</v>
          </cell>
          <cell r="U491">
            <v>6</v>
          </cell>
          <cell r="V491">
            <v>18</v>
          </cell>
          <cell r="W491">
            <v>27</v>
          </cell>
          <cell r="X491">
            <v>24</v>
          </cell>
          <cell r="Y491">
            <v>21</v>
          </cell>
          <cell r="Z491">
            <v>12</v>
          </cell>
          <cell r="AA491">
            <v>16</v>
          </cell>
          <cell r="AB491">
            <v>124</v>
          </cell>
          <cell r="AC491">
            <v>0</v>
          </cell>
          <cell r="AD491" t="str">
            <v>TIDAK</v>
          </cell>
          <cell r="AE491" t="str">
            <v>TIDAK</v>
          </cell>
          <cell r="AF491">
            <v>124</v>
          </cell>
          <cell r="AG491">
            <v>3</v>
          </cell>
          <cell r="AH491" t="str">
            <v>SAPHIRE</v>
          </cell>
          <cell r="AI491">
            <v>0</v>
          </cell>
          <cell r="AJ491" t="str">
            <v>Y</v>
          </cell>
          <cell r="AK491">
            <v>0</v>
          </cell>
          <cell r="AL491">
            <v>45261</v>
          </cell>
          <cell r="AM491">
            <v>45701</v>
          </cell>
          <cell r="AN491">
            <v>1</v>
          </cell>
          <cell r="AO491">
            <v>124</v>
          </cell>
          <cell r="AP491" t="str">
            <v>-</v>
          </cell>
          <cell r="AQ491" t="str">
            <v>-</v>
          </cell>
          <cell r="AR491" t="str">
            <v>REGULER</v>
          </cell>
          <cell r="AS491" t="str">
            <v>REGULER</v>
          </cell>
          <cell r="AT491" t="str">
            <v>REGULER</v>
          </cell>
          <cell r="AU491" t="str">
            <v>REGULER</v>
          </cell>
          <cell r="AV491" t="str">
            <v/>
          </cell>
          <cell r="AW491">
            <v>42</v>
          </cell>
          <cell r="AX491">
            <v>38</v>
          </cell>
          <cell r="AY491">
            <v>28</v>
          </cell>
          <cell r="AZ491">
            <v>26</v>
          </cell>
          <cell r="BA491">
            <v>24</v>
          </cell>
          <cell r="BB491">
            <v>42</v>
          </cell>
          <cell r="BC491">
            <v>38</v>
          </cell>
          <cell r="BD491">
            <v>28</v>
          </cell>
          <cell r="BE491">
            <v>26</v>
          </cell>
          <cell r="BF491">
            <v>24</v>
          </cell>
          <cell r="BG491">
            <v>12</v>
          </cell>
          <cell r="BH491">
            <v>42</v>
          </cell>
          <cell r="BI491">
            <v>38</v>
          </cell>
          <cell r="BJ491">
            <v>28</v>
          </cell>
          <cell r="BK491">
            <v>26</v>
          </cell>
          <cell r="BL491">
            <v>24</v>
          </cell>
          <cell r="BM491">
            <v>12</v>
          </cell>
          <cell r="BN491">
            <v>182</v>
          </cell>
          <cell r="BO491">
            <v>12</v>
          </cell>
          <cell r="BP491">
            <v>42</v>
          </cell>
          <cell r="BQ491">
            <v>38</v>
          </cell>
          <cell r="BR491">
            <v>28</v>
          </cell>
          <cell r="BS491">
            <v>26</v>
          </cell>
          <cell r="BT491">
            <v>24</v>
          </cell>
          <cell r="BU491">
            <v>12</v>
          </cell>
          <cell r="BV491">
            <v>182</v>
          </cell>
          <cell r="BW491">
            <v>0</v>
          </cell>
          <cell r="BX491" t="str">
            <v>TIDAK</v>
          </cell>
          <cell r="BY491" t="str">
            <v>TIDAK</v>
          </cell>
        </row>
        <row r="492">
          <cell r="A492">
            <v>92603</v>
          </cell>
          <cell r="B492" t="str">
            <v>Ardi Supriadi</v>
          </cell>
          <cell r="C492" t="str">
            <v>RVO</v>
          </cell>
          <cell r="D492">
            <v>44809</v>
          </cell>
          <cell r="E492" t="str">
            <v>Sep-22</v>
          </cell>
          <cell r="F492" t="str">
            <v>REGULER</v>
          </cell>
          <cell r="G492" t="str">
            <v>REGULER</v>
          </cell>
          <cell r="H492" t="str">
            <v>REGULER</v>
          </cell>
          <cell r="I492" t="str">
            <v>REGULER</v>
          </cell>
          <cell r="J492" t="str">
            <v>REGULER</v>
          </cell>
          <cell r="K492" t="str">
            <v>REGULER</v>
          </cell>
          <cell r="L492" t="str">
            <v>REGULER</v>
          </cell>
          <cell r="M492">
            <v>20</v>
          </cell>
          <cell r="N492">
            <v>42</v>
          </cell>
          <cell r="O492">
            <v>39</v>
          </cell>
          <cell r="P492">
            <v>42</v>
          </cell>
          <cell r="Q492">
            <v>26</v>
          </cell>
          <cell r="R492">
            <v>41</v>
          </cell>
          <cell r="S492">
            <v>0</v>
          </cell>
          <cell r="T492">
            <v>210</v>
          </cell>
          <cell r="U492">
            <v>20</v>
          </cell>
          <cell r="V492">
            <v>42</v>
          </cell>
          <cell r="W492">
            <v>39</v>
          </cell>
          <cell r="X492">
            <v>42</v>
          </cell>
          <cell r="Y492">
            <v>26</v>
          </cell>
          <cell r="Z492">
            <v>41</v>
          </cell>
          <cell r="AA492">
            <v>0</v>
          </cell>
          <cell r="AB492">
            <v>210</v>
          </cell>
          <cell r="AC492">
            <v>1</v>
          </cell>
          <cell r="AD492" t="str">
            <v>TIDAK</v>
          </cell>
          <cell r="AE492" t="str">
            <v>TIDAK</v>
          </cell>
          <cell r="AF492">
            <v>210</v>
          </cell>
          <cell r="AG492">
            <v>5</v>
          </cell>
          <cell r="AH492" t="str">
            <v>SAPHIRE</v>
          </cell>
          <cell r="AI492">
            <v>0</v>
          </cell>
          <cell r="AJ492" t="str">
            <v>Y</v>
          </cell>
          <cell r="AK492">
            <v>0</v>
          </cell>
          <cell r="AL492">
            <v>45261</v>
          </cell>
          <cell r="AM492">
            <v>45701</v>
          </cell>
          <cell r="AN492">
            <v>1</v>
          </cell>
          <cell r="AO492">
            <v>210</v>
          </cell>
          <cell r="AP492" t="str">
            <v>-</v>
          </cell>
          <cell r="AQ492" t="str">
            <v>-</v>
          </cell>
          <cell r="AR492" t="str">
            <v>EKSKLUSIF</v>
          </cell>
          <cell r="AS492" t="str">
            <v>EKSKLUSIF</v>
          </cell>
          <cell r="AT492" t="str">
            <v>REGULER</v>
          </cell>
          <cell r="AU492" t="str">
            <v>REGULER</v>
          </cell>
          <cell r="AV492" t="str">
            <v/>
          </cell>
          <cell r="AW492">
            <v>55</v>
          </cell>
          <cell r="AX492">
            <v>45</v>
          </cell>
          <cell r="AY492">
            <v>54</v>
          </cell>
          <cell r="AZ492">
            <v>40</v>
          </cell>
          <cell r="BA492">
            <v>45</v>
          </cell>
          <cell r="BB492">
            <v>55</v>
          </cell>
          <cell r="BC492">
            <v>45</v>
          </cell>
          <cell r="BD492">
            <v>54</v>
          </cell>
          <cell r="BE492">
            <v>40</v>
          </cell>
          <cell r="BF492">
            <v>45</v>
          </cell>
          <cell r="BG492">
            <v>19</v>
          </cell>
          <cell r="BH492">
            <v>55</v>
          </cell>
          <cell r="BI492">
            <v>45</v>
          </cell>
          <cell r="BJ492">
            <v>54</v>
          </cell>
          <cell r="BK492">
            <v>40</v>
          </cell>
          <cell r="BL492">
            <v>45</v>
          </cell>
          <cell r="BM492">
            <v>17</v>
          </cell>
          <cell r="BN492">
            <v>275</v>
          </cell>
          <cell r="BO492">
            <v>19</v>
          </cell>
          <cell r="BP492">
            <v>55</v>
          </cell>
          <cell r="BQ492">
            <v>0</v>
          </cell>
          <cell r="BR492">
            <v>0</v>
          </cell>
          <cell r="BS492">
            <v>40</v>
          </cell>
          <cell r="BT492">
            <v>45</v>
          </cell>
          <cell r="BU492">
            <v>17</v>
          </cell>
          <cell r="BV492">
            <v>176</v>
          </cell>
          <cell r="BW492">
            <v>0</v>
          </cell>
          <cell r="BX492" t="str">
            <v>TIDAK</v>
          </cell>
          <cell r="BY492" t="str">
            <v>TIDAK</v>
          </cell>
        </row>
        <row r="493">
          <cell r="A493">
            <v>90625</v>
          </cell>
          <cell r="B493" t="str">
            <v>Arif Ahmad Nugroho</v>
          </cell>
          <cell r="C493" t="str">
            <v>RVO</v>
          </cell>
          <cell r="D493">
            <v>44776</v>
          </cell>
          <cell r="E493" t="str">
            <v>Aug-22</v>
          </cell>
          <cell r="F493" t="str">
            <v>REGULER</v>
          </cell>
          <cell r="G493" t="str">
            <v>REGULER</v>
          </cell>
          <cell r="H493" t="str">
            <v>REGULER</v>
          </cell>
          <cell r="I493" t="str">
            <v>REGULER</v>
          </cell>
          <cell r="J493" t="str">
            <v>REGULER</v>
          </cell>
          <cell r="K493" t="str">
            <v>REGULER</v>
          </cell>
          <cell r="L493" t="str">
            <v>REGULER</v>
          </cell>
          <cell r="M493">
            <v>5</v>
          </cell>
          <cell r="N493">
            <v>17</v>
          </cell>
          <cell r="O493">
            <v>22</v>
          </cell>
          <cell r="P493">
            <v>26</v>
          </cell>
          <cell r="Q493">
            <v>23</v>
          </cell>
          <cell r="R493">
            <v>32</v>
          </cell>
          <cell r="S493">
            <v>12</v>
          </cell>
          <cell r="T493">
            <v>137</v>
          </cell>
          <cell r="U493">
            <v>5</v>
          </cell>
          <cell r="V493">
            <v>17</v>
          </cell>
          <cell r="W493">
            <v>22</v>
          </cell>
          <cell r="X493">
            <v>26</v>
          </cell>
          <cell r="Y493">
            <v>23</v>
          </cell>
          <cell r="Z493">
            <v>32</v>
          </cell>
          <cell r="AA493">
            <v>12</v>
          </cell>
          <cell r="AB493">
            <v>137</v>
          </cell>
          <cell r="AC493">
            <v>0</v>
          </cell>
          <cell r="AD493" t="str">
            <v>TIDAK</v>
          </cell>
          <cell r="AE493" t="str">
            <v>TIDAK</v>
          </cell>
          <cell r="AF493">
            <v>137</v>
          </cell>
          <cell r="AG493">
            <v>3</v>
          </cell>
          <cell r="AH493" t="str">
            <v>SAPHIRE</v>
          </cell>
          <cell r="AI493">
            <v>0</v>
          </cell>
          <cell r="AJ493" t="str">
            <v>Y</v>
          </cell>
          <cell r="AK493">
            <v>0</v>
          </cell>
          <cell r="AL493">
            <v>45261</v>
          </cell>
          <cell r="AM493">
            <v>45701</v>
          </cell>
          <cell r="AN493">
            <v>1</v>
          </cell>
          <cell r="AO493">
            <v>137</v>
          </cell>
          <cell r="AP493" t="str">
            <v>-</v>
          </cell>
          <cell r="AQ493" t="str">
            <v>-</v>
          </cell>
          <cell r="AR493" t="str">
            <v>REGULER</v>
          </cell>
          <cell r="AS493" t="str">
            <v>REGULER</v>
          </cell>
          <cell r="AT493" t="str">
            <v>REGULER</v>
          </cell>
          <cell r="AU493" t="str">
            <v>REGULER</v>
          </cell>
          <cell r="AV493" t="str">
            <v/>
          </cell>
          <cell r="AW493">
            <v>39</v>
          </cell>
          <cell r="AX493">
            <v>29</v>
          </cell>
          <cell r="AY493">
            <v>24</v>
          </cell>
          <cell r="AZ493">
            <v>34</v>
          </cell>
          <cell r="BA493">
            <v>30</v>
          </cell>
          <cell r="BB493">
            <v>39</v>
          </cell>
          <cell r="BC493">
            <v>29</v>
          </cell>
          <cell r="BD493">
            <v>24</v>
          </cell>
          <cell r="BE493">
            <v>34</v>
          </cell>
          <cell r="BF493">
            <v>30</v>
          </cell>
          <cell r="BG493">
            <v>13</v>
          </cell>
          <cell r="BH493">
            <v>39</v>
          </cell>
          <cell r="BI493">
            <v>29</v>
          </cell>
          <cell r="BJ493">
            <v>24</v>
          </cell>
          <cell r="BK493">
            <v>34</v>
          </cell>
          <cell r="BL493">
            <v>30</v>
          </cell>
          <cell r="BM493">
            <v>14</v>
          </cell>
          <cell r="BN493">
            <v>183</v>
          </cell>
          <cell r="BO493">
            <v>13</v>
          </cell>
          <cell r="BP493">
            <v>39</v>
          </cell>
          <cell r="BQ493">
            <v>29</v>
          </cell>
          <cell r="BR493">
            <v>24</v>
          </cell>
          <cell r="BS493">
            <v>34</v>
          </cell>
          <cell r="BT493">
            <v>30</v>
          </cell>
          <cell r="BU493">
            <v>14</v>
          </cell>
          <cell r="BV493">
            <v>183</v>
          </cell>
          <cell r="BW493">
            <v>0</v>
          </cell>
          <cell r="BX493" t="str">
            <v>TIDAK</v>
          </cell>
          <cell r="BY493" t="str">
            <v>TIDAK</v>
          </cell>
        </row>
        <row r="494">
          <cell r="A494" t="str">
            <v>A2466</v>
          </cell>
          <cell r="B494" t="str">
            <v>Arni Febriani Manurung</v>
          </cell>
          <cell r="C494" t="str">
            <v>RVO</v>
          </cell>
          <cell r="D494">
            <v>45102</v>
          </cell>
          <cell r="E494" t="str">
            <v>Jun-23</v>
          </cell>
          <cell r="F494" t="str">
            <v>-</v>
          </cell>
          <cell r="G494" t="str">
            <v>-</v>
          </cell>
          <cell r="H494" t="str">
            <v>REGULER</v>
          </cell>
          <cell r="I494" t="str">
            <v>-</v>
          </cell>
          <cell r="J494" t="str">
            <v>REGULER</v>
          </cell>
          <cell r="K494" t="str">
            <v>REGULER</v>
          </cell>
          <cell r="L494" t="str">
            <v>-</v>
          </cell>
          <cell r="M494">
            <v>0</v>
          </cell>
          <cell r="N494">
            <v>0</v>
          </cell>
          <cell r="O494">
            <v>6</v>
          </cell>
          <cell r="P494">
            <v>0</v>
          </cell>
          <cell r="Q494">
            <v>6</v>
          </cell>
          <cell r="R494">
            <v>2</v>
          </cell>
          <cell r="S494">
            <v>0</v>
          </cell>
          <cell r="T494">
            <v>14</v>
          </cell>
          <cell r="U494">
            <v>0</v>
          </cell>
          <cell r="V494">
            <v>0</v>
          </cell>
          <cell r="W494">
            <v>6</v>
          </cell>
          <cell r="X494">
            <v>0</v>
          </cell>
          <cell r="Y494">
            <v>6</v>
          </cell>
          <cell r="Z494">
            <v>2</v>
          </cell>
          <cell r="AA494">
            <v>0</v>
          </cell>
          <cell r="AB494">
            <v>14</v>
          </cell>
          <cell r="AC494">
            <v>4</v>
          </cell>
          <cell r="AD494" t="str">
            <v>DOWNGRADE</v>
          </cell>
          <cell r="AE494" t="str">
            <v>TIDAK</v>
          </cell>
          <cell r="AF494">
            <v>7</v>
          </cell>
          <cell r="AG494">
            <v>1</v>
          </cell>
          <cell r="AH494" t="str">
            <v>SAPHIRE</v>
          </cell>
          <cell r="AI494">
            <v>0</v>
          </cell>
          <cell r="AJ494" t="str">
            <v>FALSE</v>
          </cell>
          <cell r="AK494">
            <v>0</v>
          </cell>
          <cell r="AL494">
            <v>45261</v>
          </cell>
          <cell r="AM494">
            <v>45701</v>
          </cell>
          <cell r="AN494">
            <v>1</v>
          </cell>
          <cell r="AO494">
            <v>7</v>
          </cell>
          <cell r="AP494" t="str">
            <v>-</v>
          </cell>
          <cell r="AQ494" t="str">
            <v>-</v>
          </cell>
          <cell r="AR494" t="str">
            <v>-</v>
          </cell>
          <cell r="AS494" t="str">
            <v>REGULER</v>
          </cell>
          <cell r="AT494" t="str">
            <v>-</v>
          </cell>
          <cell r="AU494" t="str">
            <v>-</v>
          </cell>
          <cell r="AV494" t="str">
            <v/>
          </cell>
          <cell r="AW494">
            <v>0</v>
          </cell>
          <cell r="AX494">
            <v>0</v>
          </cell>
          <cell r="AY494">
            <v>4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4</v>
          </cell>
          <cell r="BE494">
            <v>0</v>
          </cell>
          <cell r="BF494">
            <v>0</v>
          </cell>
          <cell r="BG494">
            <v>9</v>
          </cell>
          <cell r="BH494">
            <v>0</v>
          </cell>
          <cell r="BI494">
            <v>0</v>
          </cell>
          <cell r="BJ494">
            <v>4</v>
          </cell>
          <cell r="BK494">
            <v>0</v>
          </cell>
          <cell r="BL494">
            <v>0</v>
          </cell>
          <cell r="BM494" t="str">
            <v/>
          </cell>
          <cell r="BN494">
            <v>13</v>
          </cell>
          <cell r="BO494">
            <v>9</v>
          </cell>
          <cell r="BP494">
            <v>0</v>
          </cell>
          <cell r="BQ494">
            <v>0</v>
          </cell>
          <cell r="BR494">
            <v>4</v>
          </cell>
          <cell r="BS494">
            <v>0</v>
          </cell>
          <cell r="BT494">
            <v>0</v>
          </cell>
          <cell r="BU494" t="str">
            <v/>
          </cell>
          <cell r="BV494">
            <v>13</v>
          </cell>
          <cell r="BW494">
            <v>5</v>
          </cell>
          <cell r="BX494" t="str">
            <v>DOWNGRADE</v>
          </cell>
          <cell r="BY494" t="str">
            <v>RESET</v>
          </cell>
        </row>
        <row r="495">
          <cell r="A495">
            <v>92199</v>
          </cell>
          <cell r="B495" t="str">
            <v>Astri Kurniawati</v>
          </cell>
          <cell r="C495" t="str">
            <v>RVO</v>
          </cell>
          <cell r="D495">
            <v>44653</v>
          </cell>
          <cell r="E495" t="str">
            <v>Apr-22</v>
          </cell>
          <cell r="F495" t="str">
            <v>EKSKLUSIF</v>
          </cell>
          <cell r="G495" t="str">
            <v>EKSKLUSIF</v>
          </cell>
          <cell r="H495" t="str">
            <v>EKSKLUSIF</v>
          </cell>
          <cell r="I495" t="str">
            <v>EKSKLUSIF</v>
          </cell>
          <cell r="J495" t="str">
            <v>EKSKLUSIF</v>
          </cell>
          <cell r="K495" t="str">
            <v>EKSKLUSIF</v>
          </cell>
          <cell r="L495" t="str">
            <v>EKSKLUSIF</v>
          </cell>
          <cell r="M495">
            <v>24</v>
          </cell>
          <cell r="N495">
            <v>51</v>
          </cell>
          <cell r="O495">
            <v>46</v>
          </cell>
          <cell r="P495">
            <v>55</v>
          </cell>
          <cell r="Q495">
            <v>48</v>
          </cell>
          <cell r="R495">
            <v>53</v>
          </cell>
          <cell r="S495">
            <v>0</v>
          </cell>
          <cell r="T495">
            <v>277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1</v>
          </cell>
          <cell r="AD495" t="str">
            <v>TIDAK</v>
          </cell>
          <cell r="AE495" t="str">
            <v>TIDAK</v>
          </cell>
          <cell r="AF495">
            <v>0</v>
          </cell>
          <cell r="AG495">
            <v>4</v>
          </cell>
          <cell r="AH495" t="str">
            <v>SAPHIRE</v>
          </cell>
          <cell r="AI495">
            <v>0</v>
          </cell>
          <cell r="AJ495" t="str">
            <v>FALSE</v>
          </cell>
          <cell r="AK495">
            <v>0</v>
          </cell>
          <cell r="AL495">
            <v>45261</v>
          </cell>
          <cell r="AM495">
            <v>45701</v>
          </cell>
          <cell r="AN495">
            <v>1</v>
          </cell>
          <cell r="AO495">
            <v>0</v>
          </cell>
          <cell r="AP495" t="str">
            <v>EKSKLUSIF</v>
          </cell>
          <cell r="AQ495" t="str">
            <v>-</v>
          </cell>
          <cell r="AR495" t="str">
            <v>EKSKLUSIF</v>
          </cell>
          <cell r="AS495" t="str">
            <v>EKSKLUSIF</v>
          </cell>
          <cell r="AT495" t="str">
            <v>EKSKLUSIF</v>
          </cell>
          <cell r="AU495" t="str">
            <v>REGULER</v>
          </cell>
          <cell r="AV495" t="str">
            <v/>
          </cell>
          <cell r="AW495">
            <v>54</v>
          </cell>
          <cell r="AX495">
            <v>59</v>
          </cell>
          <cell r="AY495">
            <v>58</v>
          </cell>
          <cell r="AZ495">
            <v>63</v>
          </cell>
          <cell r="BA495">
            <v>52</v>
          </cell>
          <cell r="BB495">
            <v>54</v>
          </cell>
          <cell r="BC495">
            <v>59</v>
          </cell>
          <cell r="BD495">
            <v>58</v>
          </cell>
          <cell r="BE495">
            <v>63</v>
          </cell>
          <cell r="BF495">
            <v>52</v>
          </cell>
          <cell r="BG495">
            <v>24</v>
          </cell>
          <cell r="BH495">
            <v>54</v>
          </cell>
          <cell r="BI495">
            <v>59</v>
          </cell>
          <cell r="BJ495">
            <v>58</v>
          </cell>
          <cell r="BK495">
            <v>63</v>
          </cell>
          <cell r="BL495">
            <v>52</v>
          </cell>
          <cell r="BM495">
            <v>19</v>
          </cell>
          <cell r="BN495">
            <v>329</v>
          </cell>
          <cell r="BO495">
            <v>0</v>
          </cell>
          <cell r="BP495">
            <v>54</v>
          </cell>
          <cell r="BQ495">
            <v>0</v>
          </cell>
          <cell r="BR495">
            <v>0</v>
          </cell>
          <cell r="BS495">
            <v>0</v>
          </cell>
          <cell r="BT495">
            <v>52</v>
          </cell>
          <cell r="BU495">
            <v>19</v>
          </cell>
          <cell r="BV495">
            <v>125</v>
          </cell>
          <cell r="BW495">
            <v>0</v>
          </cell>
          <cell r="BX495" t="str">
            <v>TIDAK</v>
          </cell>
          <cell r="BY495" t="str">
            <v>TIDAK</v>
          </cell>
        </row>
        <row r="496">
          <cell r="A496">
            <v>90974</v>
          </cell>
          <cell r="B496" t="str">
            <v>Aulia Anisa</v>
          </cell>
          <cell r="C496" t="str">
            <v>RVO</v>
          </cell>
          <cell r="D496">
            <v>44544</v>
          </cell>
          <cell r="E496" t="str">
            <v>Dec-21</v>
          </cell>
          <cell r="F496" t="str">
            <v>REGULER</v>
          </cell>
          <cell r="G496" t="str">
            <v>REGULER</v>
          </cell>
          <cell r="H496" t="str">
            <v>REGULER</v>
          </cell>
          <cell r="I496" t="str">
            <v>REGULER</v>
          </cell>
          <cell r="J496" t="str">
            <v>-</v>
          </cell>
          <cell r="K496" t="str">
            <v>-</v>
          </cell>
          <cell r="L496" t="str">
            <v>-</v>
          </cell>
          <cell r="M496">
            <v>15</v>
          </cell>
          <cell r="N496">
            <v>35</v>
          </cell>
          <cell r="O496">
            <v>21</v>
          </cell>
          <cell r="P496">
            <v>7</v>
          </cell>
          <cell r="Q496">
            <v>0</v>
          </cell>
          <cell r="R496">
            <v>0</v>
          </cell>
          <cell r="S496">
            <v>0</v>
          </cell>
          <cell r="T496">
            <v>78</v>
          </cell>
          <cell r="U496">
            <v>15</v>
          </cell>
          <cell r="V496">
            <v>35</v>
          </cell>
          <cell r="W496">
            <v>21</v>
          </cell>
          <cell r="X496">
            <v>7</v>
          </cell>
          <cell r="Y496">
            <v>0</v>
          </cell>
          <cell r="Z496">
            <v>0</v>
          </cell>
          <cell r="AA496">
            <v>0</v>
          </cell>
          <cell r="AB496">
            <v>78</v>
          </cell>
          <cell r="AC496">
            <v>3</v>
          </cell>
          <cell r="AD496" t="str">
            <v>DOWNGRADE</v>
          </cell>
          <cell r="AE496" t="str">
            <v>RESET</v>
          </cell>
          <cell r="AF496">
            <v>0</v>
          </cell>
          <cell r="AG496">
            <v>3</v>
          </cell>
          <cell r="AH496" t="str">
            <v>SAPHIRE</v>
          </cell>
          <cell r="AI496">
            <v>0</v>
          </cell>
          <cell r="AJ496" t="str">
            <v>FALSE</v>
          </cell>
          <cell r="AK496">
            <v>0</v>
          </cell>
          <cell r="AL496">
            <v>45261</v>
          </cell>
          <cell r="AM496">
            <v>45701</v>
          </cell>
          <cell r="AN496">
            <v>1</v>
          </cell>
          <cell r="AO496">
            <v>0</v>
          </cell>
          <cell r="AP496" t="str">
            <v>-</v>
          </cell>
          <cell r="AQ496" t="str">
            <v>-</v>
          </cell>
          <cell r="AR496" t="str">
            <v>-</v>
          </cell>
          <cell r="AS496" t="str">
            <v>-</v>
          </cell>
          <cell r="AT496" t="str">
            <v>-</v>
          </cell>
          <cell r="AU496" t="str">
            <v>-</v>
          </cell>
          <cell r="AV496" t="str">
            <v/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 t="str">
            <v/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 t="str">
            <v/>
          </cell>
          <cell r="BN496">
            <v>0</v>
          </cell>
          <cell r="BO496" t="str">
            <v/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 t="str">
            <v/>
          </cell>
          <cell r="BV496">
            <v>0</v>
          </cell>
          <cell r="BW496">
            <v>7</v>
          </cell>
          <cell r="BX496" t="str">
            <v>DOWNGRADE</v>
          </cell>
          <cell r="BY496" t="str">
            <v>RESET</v>
          </cell>
        </row>
        <row r="497">
          <cell r="A497">
            <v>92403</v>
          </cell>
          <cell r="B497" t="str">
            <v>Aulia Ashfahani</v>
          </cell>
          <cell r="C497" t="str">
            <v>RVO</v>
          </cell>
          <cell r="D497">
            <v>44746</v>
          </cell>
          <cell r="E497" t="str">
            <v>Jul-22</v>
          </cell>
          <cell r="F497" t="str">
            <v>REGULER</v>
          </cell>
          <cell r="G497" t="str">
            <v>REGULER</v>
          </cell>
          <cell r="H497" t="str">
            <v>REGULER</v>
          </cell>
          <cell r="I497" t="str">
            <v>REGULER</v>
          </cell>
          <cell r="J497" t="str">
            <v>REGULER</v>
          </cell>
          <cell r="K497" t="str">
            <v>REGULER</v>
          </cell>
          <cell r="L497" t="str">
            <v>REGULER</v>
          </cell>
          <cell r="M497">
            <v>17</v>
          </cell>
          <cell r="N497">
            <v>33</v>
          </cell>
          <cell r="O497">
            <v>23</v>
          </cell>
          <cell r="P497">
            <v>28</v>
          </cell>
          <cell r="Q497">
            <v>14</v>
          </cell>
          <cell r="R497">
            <v>37</v>
          </cell>
          <cell r="S497">
            <v>18</v>
          </cell>
          <cell r="T497">
            <v>170</v>
          </cell>
          <cell r="U497">
            <v>17</v>
          </cell>
          <cell r="V497">
            <v>33</v>
          </cell>
          <cell r="W497">
            <v>23</v>
          </cell>
          <cell r="X497">
            <v>28</v>
          </cell>
          <cell r="Y497">
            <v>14</v>
          </cell>
          <cell r="Z497">
            <v>37</v>
          </cell>
          <cell r="AA497">
            <v>18</v>
          </cell>
          <cell r="AB497">
            <v>170</v>
          </cell>
          <cell r="AC497">
            <v>0</v>
          </cell>
          <cell r="AD497" t="str">
            <v>TIDAK</v>
          </cell>
          <cell r="AE497" t="str">
            <v>TIDAK</v>
          </cell>
          <cell r="AF497">
            <v>170</v>
          </cell>
          <cell r="AG497">
            <v>3</v>
          </cell>
          <cell r="AH497" t="str">
            <v>SAPHIRE</v>
          </cell>
          <cell r="AI497">
            <v>0</v>
          </cell>
          <cell r="AJ497" t="str">
            <v>Y</v>
          </cell>
          <cell r="AK497">
            <v>0</v>
          </cell>
          <cell r="AL497">
            <v>45261</v>
          </cell>
          <cell r="AM497">
            <v>45701</v>
          </cell>
          <cell r="AN497">
            <v>1</v>
          </cell>
          <cell r="AO497">
            <v>170</v>
          </cell>
          <cell r="AP497" t="str">
            <v>-</v>
          </cell>
          <cell r="AQ497" t="str">
            <v>-</v>
          </cell>
          <cell r="AR497" t="str">
            <v>REGULER</v>
          </cell>
          <cell r="AS497" t="str">
            <v>REGULER</v>
          </cell>
          <cell r="AT497" t="str">
            <v>REGULER</v>
          </cell>
          <cell r="AU497" t="str">
            <v>REGULER</v>
          </cell>
          <cell r="AV497" t="str">
            <v/>
          </cell>
          <cell r="AW497">
            <v>43</v>
          </cell>
          <cell r="AX497">
            <v>31</v>
          </cell>
          <cell r="AY497">
            <v>28</v>
          </cell>
          <cell r="AZ497">
            <v>44</v>
          </cell>
          <cell r="BA497">
            <v>36</v>
          </cell>
          <cell r="BB497">
            <v>43</v>
          </cell>
          <cell r="BC497">
            <v>31</v>
          </cell>
          <cell r="BD497">
            <v>28</v>
          </cell>
          <cell r="BE497">
            <v>44</v>
          </cell>
          <cell r="BF497">
            <v>36</v>
          </cell>
          <cell r="BG497">
            <v>10</v>
          </cell>
          <cell r="BH497">
            <v>43</v>
          </cell>
          <cell r="BI497">
            <v>31</v>
          </cell>
          <cell r="BJ497">
            <v>28</v>
          </cell>
          <cell r="BK497">
            <v>44</v>
          </cell>
          <cell r="BL497">
            <v>36</v>
          </cell>
          <cell r="BM497">
            <v>20</v>
          </cell>
          <cell r="BN497">
            <v>212</v>
          </cell>
          <cell r="BO497">
            <v>10</v>
          </cell>
          <cell r="BP497">
            <v>43</v>
          </cell>
          <cell r="BQ497">
            <v>31</v>
          </cell>
          <cell r="BR497">
            <v>28</v>
          </cell>
          <cell r="BS497">
            <v>44</v>
          </cell>
          <cell r="BT497">
            <v>36</v>
          </cell>
          <cell r="BU497">
            <v>20</v>
          </cell>
          <cell r="BV497">
            <v>212</v>
          </cell>
          <cell r="BW497">
            <v>0</v>
          </cell>
          <cell r="BX497" t="str">
            <v>TIDAK</v>
          </cell>
          <cell r="BY497" t="str">
            <v>TIDAK</v>
          </cell>
        </row>
        <row r="498">
          <cell r="A498" t="str">
            <v>A3580</v>
          </cell>
          <cell r="B498" t="str">
            <v>Bekti Solehudin</v>
          </cell>
          <cell r="C498" t="str">
            <v>RVO</v>
          </cell>
          <cell r="D498">
            <v>45291</v>
          </cell>
          <cell r="E498" t="str">
            <v>Dec-23</v>
          </cell>
          <cell r="F498" t="str">
            <v>REGULER</v>
          </cell>
          <cell r="G498" t="str">
            <v>-</v>
          </cell>
          <cell r="H498" t="str">
            <v>-</v>
          </cell>
          <cell r="I498" t="str">
            <v>-</v>
          </cell>
          <cell r="J498" t="str">
            <v>-</v>
          </cell>
          <cell r="K498" t="str">
            <v>-</v>
          </cell>
          <cell r="L498" t="str">
            <v>-</v>
          </cell>
          <cell r="M498">
            <v>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2</v>
          </cell>
          <cell r="U498">
            <v>2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2</v>
          </cell>
          <cell r="AC498">
            <v>6</v>
          </cell>
          <cell r="AD498" t="str">
            <v>DOWNGRADE</v>
          </cell>
          <cell r="AE498" t="str">
            <v>RESET</v>
          </cell>
          <cell r="AF498">
            <v>0</v>
          </cell>
          <cell r="AG498">
            <v>1</v>
          </cell>
          <cell r="AH498" t="str">
            <v>SAPHIRE</v>
          </cell>
          <cell r="AI498">
            <v>0</v>
          </cell>
          <cell r="AJ498" t="str">
            <v>FALSE</v>
          </cell>
          <cell r="AK498">
            <v>0</v>
          </cell>
          <cell r="AL498">
            <v>45261</v>
          </cell>
          <cell r="AM498">
            <v>45701</v>
          </cell>
          <cell r="AN498">
            <v>1</v>
          </cell>
          <cell r="AO498">
            <v>0</v>
          </cell>
          <cell r="AP498" t="str">
            <v>-</v>
          </cell>
          <cell r="AQ498" t="str">
            <v>-</v>
          </cell>
          <cell r="AR498" t="str">
            <v>-</v>
          </cell>
          <cell r="AS498" t="str">
            <v>-</v>
          </cell>
          <cell r="AT498" t="str">
            <v>-</v>
          </cell>
          <cell r="AU498" t="str">
            <v>-</v>
          </cell>
          <cell r="AV498" t="str">
            <v/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 t="str">
            <v/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 t="str">
            <v/>
          </cell>
          <cell r="BN498">
            <v>0</v>
          </cell>
          <cell r="BO498" t="str">
            <v/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 t="str">
            <v/>
          </cell>
          <cell r="BV498">
            <v>0</v>
          </cell>
          <cell r="BW498">
            <v>7</v>
          </cell>
          <cell r="BX498" t="str">
            <v>DOWNGRADE</v>
          </cell>
          <cell r="BY498" t="str">
            <v>RESET</v>
          </cell>
        </row>
        <row r="499">
          <cell r="A499" t="str">
            <v>A3439</v>
          </cell>
          <cell r="B499" t="str">
            <v>Berllita Cornella Devi</v>
          </cell>
          <cell r="C499" t="str">
            <v>RVO</v>
          </cell>
          <cell r="D499">
            <v>45283</v>
          </cell>
          <cell r="E499" t="str">
            <v>Dec-23</v>
          </cell>
          <cell r="F499" t="str">
            <v>REGULER</v>
          </cell>
          <cell r="G499" t="str">
            <v>REGULER</v>
          </cell>
          <cell r="H499" t="str">
            <v>REGULER</v>
          </cell>
          <cell r="I499" t="str">
            <v>-</v>
          </cell>
          <cell r="J499" t="str">
            <v>REGULER</v>
          </cell>
          <cell r="K499" t="str">
            <v>-</v>
          </cell>
          <cell r="L499" t="str">
            <v>-</v>
          </cell>
          <cell r="M499">
            <v>4</v>
          </cell>
          <cell r="N499">
            <v>1</v>
          </cell>
          <cell r="O499">
            <v>5</v>
          </cell>
          <cell r="P499">
            <v>0</v>
          </cell>
          <cell r="Q499">
            <v>1</v>
          </cell>
          <cell r="R499">
            <v>0</v>
          </cell>
          <cell r="S499">
            <v>0</v>
          </cell>
          <cell r="T499">
            <v>11</v>
          </cell>
          <cell r="U499">
            <v>4</v>
          </cell>
          <cell r="V499">
            <v>1</v>
          </cell>
          <cell r="W499">
            <v>5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11</v>
          </cell>
          <cell r="AC499">
            <v>3</v>
          </cell>
          <cell r="AD499" t="str">
            <v>DOWNGRADE</v>
          </cell>
          <cell r="AE499" t="str">
            <v>TIDAK</v>
          </cell>
          <cell r="AF499">
            <v>5.5</v>
          </cell>
          <cell r="AG499">
            <v>1</v>
          </cell>
          <cell r="AH499" t="str">
            <v>SAPHIRE</v>
          </cell>
          <cell r="AI499">
            <v>0</v>
          </cell>
          <cell r="AJ499" t="str">
            <v>FALSE</v>
          </cell>
          <cell r="AK499">
            <v>0</v>
          </cell>
          <cell r="AL499">
            <v>45261</v>
          </cell>
          <cell r="AM499">
            <v>45701</v>
          </cell>
          <cell r="AN499">
            <v>1</v>
          </cell>
          <cell r="AO499">
            <v>5.5</v>
          </cell>
          <cell r="AP499" t="str">
            <v>-</v>
          </cell>
          <cell r="AQ499" t="str">
            <v>-</v>
          </cell>
          <cell r="AR499" t="str">
            <v>-</v>
          </cell>
          <cell r="AS499" t="str">
            <v>REGULER</v>
          </cell>
          <cell r="AT499" t="str">
            <v>-</v>
          </cell>
          <cell r="AU499" t="str">
            <v>REGULER</v>
          </cell>
          <cell r="AV499" t="str">
            <v/>
          </cell>
          <cell r="AW499">
            <v>2</v>
          </cell>
          <cell r="AX499">
            <v>0</v>
          </cell>
          <cell r="AY499">
            <v>1</v>
          </cell>
          <cell r="AZ499">
            <v>0</v>
          </cell>
          <cell r="BA499">
            <v>6</v>
          </cell>
          <cell r="BB499">
            <v>2</v>
          </cell>
          <cell r="BC499">
            <v>0</v>
          </cell>
          <cell r="BD499">
            <v>1</v>
          </cell>
          <cell r="BE499">
            <v>0</v>
          </cell>
          <cell r="BF499">
            <v>6</v>
          </cell>
          <cell r="BG499">
            <v>2</v>
          </cell>
          <cell r="BH499">
            <v>2</v>
          </cell>
          <cell r="BI499">
            <v>0</v>
          </cell>
          <cell r="BJ499">
            <v>1</v>
          </cell>
          <cell r="BK499">
            <v>0</v>
          </cell>
          <cell r="BL499">
            <v>6</v>
          </cell>
          <cell r="BM499">
            <v>3</v>
          </cell>
          <cell r="BN499">
            <v>14</v>
          </cell>
          <cell r="BO499">
            <v>2</v>
          </cell>
          <cell r="BP499">
            <v>2</v>
          </cell>
          <cell r="BQ499">
            <v>0</v>
          </cell>
          <cell r="BR499">
            <v>1</v>
          </cell>
          <cell r="BS499">
            <v>0</v>
          </cell>
          <cell r="BT499">
            <v>6</v>
          </cell>
          <cell r="BU499">
            <v>3</v>
          </cell>
          <cell r="BV499">
            <v>14</v>
          </cell>
          <cell r="BW499">
            <v>2</v>
          </cell>
          <cell r="BX499" t="str">
            <v>TIDAK</v>
          </cell>
          <cell r="BY499" t="str">
            <v>TIDAK</v>
          </cell>
        </row>
        <row r="500">
          <cell r="A500">
            <v>92594</v>
          </cell>
          <cell r="B500" t="str">
            <v>Bryan Juliano Imantaka</v>
          </cell>
          <cell r="C500" t="str">
            <v>RVO</v>
          </cell>
          <cell r="D500">
            <v>44805</v>
          </cell>
          <cell r="E500" t="str">
            <v>Sep-22</v>
          </cell>
          <cell r="F500" t="str">
            <v>REGULER</v>
          </cell>
          <cell r="G500" t="str">
            <v>REGULER</v>
          </cell>
          <cell r="H500" t="str">
            <v>REGULER</v>
          </cell>
          <cell r="I500" t="str">
            <v>REGULER</v>
          </cell>
          <cell r="J500" t="str">
            <v>-</v>
          </cell>
          <cell r="K500" t="str">
            <v>REGULER</v>
          </cell>
          <cell r="L500" t="str">
            <v>REGULER</v>
          </cell>
          <cell r="M500">
            <v>17</v>
          </cell>
          <cell r="N500">
            <v>34</v>
          </cell>
          <cell r="O500">
            <v>27</v>
          </cell>
          <cell r="P500">
            <v>34</v>
          </cell>
          <cell r="Q500">
            <v>0</v>
          </cell>
          <cell r="R500">
            <v>2</v>
          </cell>
          <cell r="S500">
            <v>15</v>
          </cell>
          <cell r="T500">
            <v>129</v>
          </cell>
          <cell r="U500">
            <v>17</v>
          </cell>
          <cell r="V500">
            <v>34</v>
          </cell>
          <cell r="W500">
            <v>27</v>
          </cell>
          <cell r="X500">
            <v>34</v>
          </cell>
          <cell r="Y500">
            <v>0</v>
          </cell>
          <cell r="Z500">
            <v>2</v>
          </cell>
          <cell r="AA500">
            <v>15</v>
          </cell>
          <cell r="AB500">
            <v>129</v>
          </cell>
          <cell r="AC500">
            <v>1</v>
          </cell>
          <cell r="AD500" t="str">
            <v>TIDAK</v>
          </cell>
          <cell r="AE500" t="str">
            <v>TIDAK</v>
          </cell>
          <cell r="AF500">
            <v>129</v>
          </cell>
          <cell r="AG500">
            <v>4</v>
          </cell>
          <cell r="AH500" t="str">
            <v>SAPHIRE</v>
          </cell>
          <cell r="AI500">
            <v>0</v>
          </cell>
          <cell r="AJ500" t="str">
            <v>Y</v>
          </cell>
          <cell r="AK500">
            <v>0</v>
          </cell>
          <cell r="AL500">
            <v>45261</v>
          </cell>
          <cell r="AM500">
            <v>45701</v>
          </cell>
          <cell r="AN500">
            <v>1</v>
          </cell>
          <cell r="AO500">
            <v>129</v>
          </cell>
          <cell r="AP500" t="str">
            <v>-</v>
          </cell>
          <cell r="AQ500" t="str">
            <v>-</v>
          </cell>
          <cell r="AR500" t="str">
            <v>REGULER</v>
          </cell>
          <cell r="AS500" t="str">
            <v>REGULER</v>
          </cell>
          <cell r="AT500" t="str">
            <v>REGULER</v>
          </cell>
          <cell r="AU500" t="str">
            <v>REGULER</v>
          </cell>
          <cell r="AV500" t="str">
            <v/>
          </cell>
          <cell r="AW500">
            <v>41</v>
          </cell>
          <cell r="AX500">
            <v>46</v>
          </cell>
          <cell r="AY500">
            <v>41</v>
          </cell>
          <cell r="AZ500">
            <v>46</v>
          </cell>
          <cell r="BA500">
            <v>40</v>
          </cell>
          <cell r="BB500">
            <v>41</v>
          </cell>
          <cell r="BC500">
            <v>46</v>
          </cell>
          <cell r="BD500">
            <v>41</v>
          </cell>
          <cell r="BE500">
            <v>46</v>
          </cell>
          <cell r="BF500">
            <v>40</v>
          </cell>
          <cell r="BG500">
            <v>17</v>
          </cell>
          <cell r="BH500">
            <v>41</v>
          </cell>
          <cell r="BI500">
            <v>46</v>
          </cell>
          <cell r="BJ500">
            <v>41</v>
          </cell>
          <cell r="BK500">
            <v>46</v>
          </cell>
          <cell r="BL500">
            <v>40</v>
          </cell>
          <cell r="BM500">
            <v>14</v>
          </cell>
          <cell r="BN500">
            <v>245</v>
          </cell>
          <cell r="BO500">
            <v>17</v>
          </cell>
          <cell r="BP500">
            <v>41</v>
          </cell>
          <cell r="BQ500">
            <v>46</v>
          </cell>
          <cell r="BR500">
            <v>41</v>
          </cell>
          <cell r="BS500">
            <v>46</v>
          </cell>
          <cell r="BT500">
            <v>40</v>
          </cell>
          <cell r="BU500">
            <v>14</v>
          </cell>
          <cell r="BV500">
            <v>245</v>
          </cell>
          <cell r="BW500">
            <v>0</v>
          </cell>
          <cell r="BX500" t="str">
            <v>TIDAK</v>
          </cell>
          <cell r="BY500" t="str">
            <v>TIDAK</v>
          </cell>
        </row>
        <row r="501">
          <cell r="A501" t="str">
            <v>A3581</v>
          </cell>
          <cell r="B501" t="str">
            <v>Cantika Tasya Nirmala</v>
          </cell>
          <cell r="C501" t="str">
            <v>RVO</v>
          </cell>
          <cell r="D501">
            <v>45626</v>
          </cell>
          <cell r="E501" t="str">
            <v>Nov-24</v>
          </cell>
          <cell r="F501" t="str">
            <v>-</v>
          </cell>
          <cell r="G501" t="str">
            <v>REGULER</v>
          </cell>
          <cell r="H501" t="str">
            <v>-</v>
          </cell>
          <cell r="I501" t="str">
            <v>-</v>
          </cell>
          <cell r="J501" t="str">
            <v>-</v>
          </cell>
          <cell r="K501" t="str">
            <v>-</v>
          </cell>
          <cell r="L501" t="str">
            <v>-</v>
          </cell>
          <cell r="M501">
            <v>0</v>
          </cell>
          <cell r="N501">
            <v>9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9</v>
          </cell>
          <cell r="U501">
            <v>0</v>
          </cell>
          <cell r="V501">
            <v>9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9</v>
          </cell>
          <cell r="AC501">
            <v>6</v>
          </cell>
          <cell r="AD501" t="str">
            <v>DOWNGRADE</v>
          </cell>
          <cell r="AE501" t="str">
            <v>RESET</v>
          </cell>
          <cell r="AF501">
            <v>0</v>
          </cell>
          <cell r="AG501">
            <v>1</v>
          </cell>
          <cell r="AH501" t="str">
            <v>SAPHIRE</v>
          </cell>
          <cell r="AI501">
            <v>0</v>
          </cell>
          <cell r="AJ501" t="str">
            <v>FALSE</v>
          </cell>
          <cell r="AK501">
            <v>0</v>
          </cell>
          <cell r="AL501">
            <v>45261</v>
          </cell>
          <cell r="AM501">
            <v>45701</v>
          </cell>
          <cell r="AN501">
            <v>1</v>
          </cell>
          <cell r="AO501">
            <v>0</v>
          </cell>
          <cell r="AP501" t="str">
            <v>-</v>
          </cell>
          <cell r="AQ501" t="str">
            <v>-</v>
          </cell>
          <cell r="AR501" t="str">
            <v>-</v>
          </cell>
          <cell r="AS501" t="str">
            <v>-</v>
          </cell>
          <cell r="AT501" t="str">
            <v>-</v>
          </cell>
          <cell r="AU501" t="str">
            <v>-</v>
          </cell>
          <cell r="AV501" t="str">
            <v/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 t="str">
            <v/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 t="str">
            <v/>
          </cell>
          <cell r="BN501">
            <v>0</v>
          </cell>
          <cell r="BO501" t="str">
            <v/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 t="str">
            <v/>
          </cell>
          <cell r="BV501">
            <v>0</v>
          </cell>
          <cell r="BW501">
            <v>2</v>
          </cell>
          <cell r="BX501" t="str">
            <v>TIDAK</v>
          </cell>
          <cell r="BY501" t="str">
            <v>TIDAK</v>
          </cell>
        </row>
        <row r="502">
          <cell r="A502" t="str">
            <v>A3180</v>
          </cell>
          <cell r="B502" t="str">
            <v>Clara Osa Diprastiwi</v>
          </cell>
          <cell r="C502" t="str">
            <v>RVO</v>
          </cell>
          <cell r="D502">
            <v>45283</v>
          </cell>
          <cell r="E502" t="str">
            <v>Dec-23</v>
          </cell>
          <cell r="F502" t="str">
            <v>REGULER</v>
          </cell>
          <cell r="G502" t="str">
            <v>REGULER</v>
          </cell>
          <cell r="H502" t="str">
            <v>REGULER</v>
          </cell>
          <cell r="I502" t="str">
            <v>EKSKLUSIF</v>
          </cell>
          <cell r="J502" t="str">
            <v>EKSKLUSIF</v>
          </cell>
          <cell r="K502" t="str">
            <v>EKSKLUSIF</v>
          </cell>
          <cell r="L502" t="str">
            <v>REGULER</v>
          </cell>
          <cell r="M502">
            <v>8</v>
          </cell>
          <cell r="N502">
            <v>12</v>
          </cell>
          <cell r="O502">
            <v>15</v>
          </cell>
          <cell r="P502">
            <v>47</v>
          </cell>
          <cell r="Q502">
            <v>43</v>
          </cell>
          <cell r="R502">
            <v>43</v>
          </cell>
          <cell r="S502">
            <v>15</v>
          </cell>
          <cell r="T502">
            <v>183</v>
          </cell>
          <cell r="U502">
            <v>8</v>
          </cell>
          <cell r="V502">
            <v>12</v>
          </cell>
          <cell r="W502">
            <v>15</v>
          </cell>
          <cell r="X502">
            <v>0</v>
          </cell>
          <cell r="Y502">
            <v>0</v>
          </cell>
          <cell r="Z502">
            <v>0</v>
          </cell>
          <cell r="AA502">
            <v>15</v>
          </cell>
          <cell r="AB502">
            <v>50</v>
          </cell>
          <cell r="AC502">
            <v>0</v>
          </cell>
          <cell r="AD502" t="str">
            <v>TIDAK</v>
          </cell>
          <cell r="AE502" t="str">
            <v>TIDAK</v>
          </cell>
          <cell r="AF502">
            <v>50</v>
          </cell>
          <cell r="AG502">
            <v>2</v>
          </cell>
          <cell r="AH502" t="str">
            <v>SAPHIRE</v>
          </cell>
          <cell r="AI502">
            <v>0</v>
          </cell>
          <cell r="AJ502" t="str">
            <v>FALSE</v>
          </cell>
          <cell r="AK502">
            <v>0</v>
          </cell>
          <cell r="AL502">
            <v>45261</v>
          </cell>
          <cell r="AM502">
            <v>45701</v>
          </cell>
          <cell r="AN502">
            <v>1</v>
          </cell>
          <cell r="AO502">
            <v>50</v>
          </cell>
          <cell r="AP502" t="str">
            <v>-</v>
          </cell>
          <cell r="AQ502" t="str">
            <v>-</v>
          </cell>
          <cell r="AR502" t="str">
            <v>REGULER</v>
          </cell>
          <cell r="AS502" t="str">
            <v>REGULER</v>
          </cell>
          <cell r="AT502" t="str">
            <v>REGULER</v>
          </cell>
          <cell r="AU502" t="str">
            <v>REGULER</v>
          </cell>
          <cell r="AV502" t="str">
            <v/>
          </cell>
          <cell r="AW502">
            <v>39</v>
          </cell>
          <cell r="AX502">
            <v>23</v>
          </cell>
          <cell r="AY502">
            <v>30</v>
          </cell>
          <cell r="AZ502">
            <v>43</v>
          </cell>
          <cell r="BA502">
            <v>32</v>
          </cell>
          <cell r="BB502">
            <v>39</v>
          </cell>
          <cell r="BC502">
            <v>23</v>
          </cell>
          <cell r="BD502">
            <v>30</v>
          </cell>
          <cell r="BE502">
            <v>43</v>
          </cell>
          <cell r="BF502">
            <v>32</v>
          </cell>
          <cell r="BG502">
            <v>9</v>
          </cell>
          <cell r="BH502">
            <v>39</v>
          </cell>
          <cell r="BI502">
            <v>23</v>
          </cell>
          <cell r="BJ502">
            <v>30</v>
          </cell>
          <cell r="BK502">
            <v>43</v>
          </cell>
          <cell r="BL502">
            <v>32</v>
          </cell>
          <cell r="BM502">
            <v>16</v>
          </cell>
          <cell r="BN502">
            <v>192</v>
          </cell>
          <cell r="BO502">
            <v>9</v>
          </cell>
          <cell r="BP502">
            <v>39</v>
          </cell>
          <cell r="BQ502">
            <v>23</v>
          </cell>
          <cell r="BR502">
            <v>30</v>
          </cell>
          <cell r="BS502">
            <v>43</v>
          </cell>
          <cell r="BT502">
            <v>32</v>
          </cell>
          <cell r="BU502">
            <v>16</v>
          </cell>
          <cell r="BV502">
            <v>192</v>
          </cell>
          <cell r="BW502">
            <v>0</v>
          </cell>
          <cell r="BX502" t="str">
            <v>TIDAK</v>
          </cell>
          <cell r="BY502" t="str">
            <v>TIDAK</v>
          </cell>
        </row>
        <row r="503">
          <cell r="A503" t="str">
            <v>A2394</v>
          </cell>
          <cell r="B503" t="str">
            <v>Danish Zaki Dhiyaulhaq</v>
          </cell>
          <cell r="C503" t="str">
            <v>RVO</v>
          </cell>
          <cell r="D503">
            <v>45107</v>
          </cell>
          <cell r="E503" t="str">
            <v>Jun-23</v>
          </cell>
          <cell r="F503" t="str">
            <v>REGULER</v>
          </cell>
          <cell r="G503" t="str">
            <v>REGULER</v>
          </cell>
          <cell r="H503" t="str">
            <v>REGULER</v>
          </cell>
          <cell r="I503" t="str">
            <v>-</v>
          </cell>
          <cell r="J503" t="str">
            <v>-</v>
          </cell>
          <cell r="K503" t="str">
            <v>-</v>
          </cell>
          <cell r="L503" t="str">
            <v>-</v>
          </cell>
          <cell r="M503">
            <v>21</v>
          </cell>
          <cell r="N503">
            <v>16</v>
          </cell>
          <cell r="O503">
            <v>28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65</v>
          </cell>
          <cell r="U503">
            <v>21</v>
          </cell>
          <cell r="V503">
            <v>16</v>
          </cell>
          <cell r="W503">
            <v>28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65</v>
          </cell>
          <cell r="AC503">
            <v>4</v>
          </cell>
          <cell r="AD503" t="str">
            <v>DOWNGRADE</v>
          </cell>
          <cell r="AE503" t="str">
            <v>RESET</v>
          </cell>
          <cell r="AF503">
            <v>0</v>
          </cell>
          <cell r="AG503">
            <v>2</v>
          </cell>
          <cell r="AH503" t="str">
            <v>SAPHIRE</v>
          </cell>
          <cell r="AI503">
            <v>0</v>
          </cell>
          <cell r="AJ503" t="str">
            <v>FALSE</v>
          </cell>
          <cell r="AK503">
            <v>0</v>
          </cell>
          <cell r="AL503">
            <v>45261</v>
          </cell>
          <cell r="AM503">
            <v>45701</v>
          </cell>
          <cell r="AN503">
            <v>1</v>
          </cell>
          <cell r="AO503">
            <v>0</v>
          </cell>
          <cell r="AP503" t="str">
            <v>-</v>
          </cell>
          <cell r="AQ503" t="str">
            <v>-</v>
          </cell>
          <cell r="AR503" t="str">
            <v>-</v>
          </cell>
          <cell r="AS503" t="str">
            <v>-</v>
          </cell>
          <cell r="AT503" t="str">
            <v>-</v>
          </cell>
          <cell r="AU503" t="str">
            <v>-</v>
          </cell>
          <cell r="AV503" t="str">
            <v/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 t="str">
            <v/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 t="str">
            <v/>
          </cell>
          <cell r="BN503">
            <v>0</v>
          </cell>
          <cell r="BO503" t="str">
            <v/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 t="str">
            <v/>
          </cell>
          <cell r="BV503">
            <v>0</v>
          </cell>
          <cell r="BW503">
            <v>7</v>
          </cell>
          <cell r="BX503" t="str">
            <v>DOWNGRADE</v>
          </cell>
          <cell r="BY503" t="str">
            <v>RESET</v>
          </cell>
        </row>
        <row r="504">
          <cell r="A504">
            <v>92709</v>
          </cell>
          <cell r="B504" t="str">
            <v>Dany Ahmad Farrastio</v>
          </cell>
          <cell r="C504" t="str">
            <v>RVO</v>
          </cell>
          <cell r="D504">
            <v>44852</v>
          </cell>
          <cell r="E504" t="str">
            <v>Oct-22</v>
          </cell>
          <cell r="F504" t="str">
            <v>REGULER</v>
          </cell>
          <cell r="G504" t="str">
            <v>REGULER</v>
          </cell>
          <cell r="H504" t="str">
            <v>REGULER</v>
          </cell>
          <cell r="I504" t="str">
            <v>REGULER</v>
          </cell>
          <cell r="J504" t="str">
            <v>REGULER</v>
          </cell>
          <cell r="K504" t="str">
            <v>EKSKLUSIF</v>
          </cell>
          <cell r="L504" t="str">
            <v>EKSKLUSIF</v>
          </cell>
          <cell r="M504">
            <v>19</v>
          </cell>
          <cell r="N504">
            <v>40</v>
          </cell>
          <cell r="O504">
            <v>44</v>
          </cell>
          <cell r="P504">
            <v>53</v>
          </cell>
          <cell r="Q504">
            <v>45</v>
          </cell>
          <cell r="R504">
            <v>53</v>
          </cell>
          <cell r="S504">
            <v>0</v>
          </cell>
          <cell r="T504">
            <v>254</v>
          </cell>
          <cell r="U504">
            <v>19</v>
          </cell>
          <cell r="V504">
            <v>40</v>
          </cell>
          <cell r="W504">
            <v>44</v>
          </cell>
          <cell r="X504">
            <v>53</v>
          </cell>
          <cell r="Y504">
            <v>45</v>
          </cell>
          <cell r="Z504">
            <v>0</v>
          </cell>
          <cell r="AA504">
            <v>0</v>
          </cell>
          <cell r="AB504">
            <v>201</v>
          </cell>
          <cell r="AC504">
            <v>1</v>
          </cell>
          <cell r="AD504" t="str">
            <v>TIDAK</v>
          </cell>
          <cell r="AE504" t="str">
            <v>TIDAK</v>
          </cell>
          <cell r="AF504">
            <v>201</v>
          </cell>
          <cell r="AG504">
            <v>4</v>
          </cell>
          <cell r="AH504" t="str">
            <v>SAPHIRE</v>
          </cell>
          <cell r="AI504">
            <v>0</v>
          </cell>
          <cell r="AJ504" t="str">
            <v>Y</v>
          </cell>
          <cell r="AK504">
            <v>0</v>
          </cell>
          <cell r="AL504">
            <v>45261</v>
          </cell>
          <cell r="AM504">
            <v>45701</v>
          </cell>
          <cell r="AN504">
            <v>1</v>
          </cell>
          <cell r="AO504">
            <v>201</v>
          </cell>
          <cell r="AP504" t="str">
            <v>EKSKLUSIF</v>
          </cell>
          <cell r="AQ504" t="str">
            <v>-</v>
          </cell>
          <cell r="AR504" t="str">
            <v>EKSKLUSIF</v>
          </cell>
          <cell r="AS504" t="str">
            <v>EKSKLUSIF</v>
          </cell>
          <cell r="AT504" t="str">
            <v>EKSKLUSIF</v>
          </cell>
          <cell r="AU504" t="str">
            <v>EKSKLUSIF</v>
          </cell>
          <cell r="AV504" t="str">
            <v/>
          </cell>
          <cell r="AW504">
            <v>59</v>
          </cell>
          <cell r="AX504">
            <v>57</v>
          </cell>
          <cell r="AY504">
            <v>58</v>
          </cell>
          <cell r="AZ504">
            <v>63</v>
          </cell>
          <cell r="BA504">
            <v>57</v>
          </cell>
          <cell r="BB504">
            <v>59</v>
          </cell>
          <cell r="BC504">
            <v>57</v>
          </cell>
          <cell r="BD504">
            <v>58</v>
          </cell>
          <cell r="BE504">
            <v>63</v>
          </cell>
          <cell r="BF504">
            <v>57</v>
          </cell>
          <cell r="BG504">
            <v>25</v>
          </cell>
          <cell r="BH504">
            <v>59</v>
          </cell>
          <cell r="BI504">
            <v>57</v>
          </cell>
          <cell r="BJ504">
            <v>58</v>
          </cell>
          <cell r="BK504">
            <v>63</v>
          </cell>
          <cell r="BL504">
            <v>57</v>
          </cell>
          <cell r="BM504">
            <v>26</v>
          </cell>
          <cell r="BN504">
            <v>345</v>
          </cell>
          <cell r="BO504">
            <v>0</v>
          </cell>
          <cell r="BP504">
            <v>59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26</v>
          </cell>
          <cell r="BV504">
            <v>85</v>
          </cell>
          <cell r="BW504">
            <v>0</v>
          </cell>
          <cell r="BX504" t="str">
            <v>TIDAK</v>
          </cell>
          <cell r="BY504" t="str">
            <v>TIDAK</v>
          </cell>
        </row>
        <row r="505">
          <cell r="A505" t="str">
            <v>A0047</v>
          </cell>
          <cell r="B505" t="str">
            <v>David Izza Pangestu</v>
          </cell>
          <cell r="C505" t="str">
            <v>RVO</v>
          </cell>
          <cell r="D505">
            <v>44839</v>
          </cell>
          <cell r="E505" t="str">
            <v>Oct-22</v>
          </cell>
          <cell r="F505" t="str">
            <v>REGULER</v>
          </cell>
          <cell r="G505" t="str">
            <v>REGULER</v>
          </cell>
          <cell r="H505" t="str">
            <v>-</v>
          </cell>
          <cell r="I505" t="str">
            <v>REGULER</v>
          </cell>
          <cell r="J505" t="str">
            <v>-</v>
          </cell>
          <cell r="K505" t="str">
            <v>REGULER</v>
          </cell>
          <cell r="L505" t="str">
            <v>-</v>
          </cell>
          <cell r="M505">
            <v>6</v>
          </cell>
          <cell r="N505">
            <v>1</v>
          </cell>
          <cell r="O505">
            <v>0</v>
          </cell>
          <cell r="P505">
            <v>7</v>
          </cell>
          <cell r="Q505">
            <v>0</v>
          </cell>
          <cell r="R505">
            <v>11</v>
          </cell>
          <cell r="S505">
            <v>0</v>
          </cell>
          <cell r="T505">
            <v>25</v>
          </cell>
          <cell r="U505">
            <v>6</v>
          </cell>
          <cell r="V505">
            <v>1</v>
          </cell>
          <cell r="W505">
            <v>0</v>
          </cell>
          <cell r="X505">
            <v>7</v>
          </cell>
          <cell r="Y505">
            <v>0</v>
          </cell>
          <cell r="Z505">
            <v>11</v>
          </cell>
          <cell r="AA505">
            <v>0</v>
          </cell>
          <cell r="AB505">
            <v>25</v>
          </cell>
          <cell r="AC505">
            <v>3</v>
          </cell>
          <cell r="AD505" t="str">
            <v>DOWNGRADE</v>
          </cell>
          <cell r="AE505" t="str">
            <v>TIDAK</v>
          </cell>
          <cell r="AF505">
            <v>12.5</v>
          </cell>
          <cell r="AG505">
            <v>1</v>
          </cell>
          <cell r="AH505" t="str">
            <v>SAPHIRE</v>
          </cell>
          <cell r="AI505">
            <v>0</v>
          </cell>
          <cell r="AJ505" t="str">
            <v>FALSE</v>
          </cell>
          <cell r="AK505">
            <v>0</v>
          </cell>
          <cell r="AL505">
            <v>45261</v>
          </cell>
          <cell r="AM505">
            <v>45701</v>
          </cell>
          <cell r="AN505">
            <v>1</v>
          </cell>
          <cell r="AO505">
            <v>12.5</v>
          </cell>
          <cell r="AP505" t="str">
            <v>-</v>
          </cell>
          <cell r="AQ505" t="str">
            <v>-</v>
          </cell>
          <cell r="AR505" t="str">
            <v>-</v>
          </cell>
          <cell r="AS505" t="str">
            <v>REGULER</v>
          </cell>
          <cell r="AT505" t="str">
            <v>REGULER</v>
          </cell>
          <cell r="AU505" t="str">
            <v>-</v>
          </cell>
          <cell r="AV505" t="str">
            <v/>
          </cell>
          <cell r="AW505">
            <v>5</v>
          </cell>
          <cell r="AX505">
            <v>0</v>
          </cell>
          <cell r="AY505">
            <v>4</v>
          </cell>
          <cell r="AZ505">
            <v>6</v>
          </cell>
          <cell r="BA505">
            <v>0</v>
          </cell>
          <cell r="BB505">
            <v>5</v>
          </cell>
          <cell r="BC505">
            <v>0</v>
          </cell>
          <cell r="BD505">
            <v>4</v>
          </cell>
          <cell r="BE505">
            <v>6</v>
          </cell>
          <cell r="BF505">
            <v>0</v>
          </cell>
          <cell r="BG505" t="str">
            <v/>
          </cell>
          <cell r="BH505">
            <v>5</v>
          </cell>
          <cell r="BI505">
            <v>0</v>
          </cell>
          <cell r="BJ505">
            <v>4</v>
          </cell>
          <cell r="BK505">
            <v>6</v>
          </cell>
          <cell r="BL505">
            <v>0</v>
          </cell>
          <cell r="BM505">
            <v>3</v>
          </cell>
          <cell r="BN505">
            <v>18</v>
          </cell>
          <cell r="BO505" t="str">
            <v/>
          </cell>
          <cell r="BP505">
            <v>5</v>
          </cell>
          <cell r="BQ505">
            <v>0</v>
          </cell>
          <cell r="BR505">
            <v>4</v>
          </cell>
          <cell r="BS505">
            <v>6</v>
          </cell>
          <cell r="BT505">
            <v>0</v>
          </cell>
          <cell r="BU505">
            <v>3</v>
          </cell>
          <cell r="BV505">
            <v>18</v>
          </cell>
          <cell r="BW505">
            <v>3</v>
          </cell>
          <cell r="BX505" t="str">
            <v>DOWNGRADE</v>
          </cell>
          <cell r="BY505" t="str">
            <v>TIDAK</v>
          </cell>
        </row>
        <row r="506">
          <cell r="A506">
            <v>90165</v>
          </cell>
          <cell r="B506" t="str">
            <v>Dewi Nurjannah</v>
          </cell>
          <cell r="C506" t="str">
            <v>RVO</v>
          </cell>
          <cell r="D506">
            <v>44302</v>
          </cell>
          <cell r="E506" t="str">
            <v>Apr-21</v>
          </cell>
          <cell r="F506" t="str">
            <v>REGULER</v>
          </cell>
          <cell r="G506" t="str">
            <v>REGULER</v>
          </cell>
          <cell r="H506" t="str">
            <v>REGULER</v>
          </cell>
          <cell r="I506" t="str">
            <v>REGULER</v>
          </cell>
          <cell r="J506" t="str">
            <v>-</v>
          </cell>
          <cell r="K506" t="str">
            <v>-</v>
          </cell>
          <cell r="L506" t="str">
            <v>-</v>
          </cell>
          <cell r="M506">
            <v>14</v>
          </cell>
          <cell r="N506">
            <v>26</v>
          </cell>
          <cell r="O506">
            <v>26</v>
          </cell>
          <cell r="P506">
            <v>17</v>
          </cell>
          <cell r="Q506">
            <v>0</v>
          </cell>
          <cell r="R506">
            <v>0</v>
          </cell>
          <cell r="S506">
            <v>0</v>
          </cell>
          <cell r="T506">
            <v>83</v>
          </cell>
          <cell r="U506">
            <v>14</v>
          </cell>
          <cell r="V506">
            <v>26</v>
          </cell>
          <cell r="W506">
            <v>26</v>
          </cell>
          <cell r="X506">
            <v>17</v>
          </cell>
          <cell r="Y506">
            <v>0</v>
          </cell>
          <cell r="Z506">
            <v>0</v>
          </cell>
          <cell r="AA506">
            <v>0</v>
          </cell>
          <cell r="AB506">
            <v>83</v>
          </cell>
          <cell r="AC506">
            <v>3</v>
          </cell>
          <cell r="AD506" t="str">
            <v>DOWNGRADE</v>
          </cell>
          <cell r="AE506" t="str">
            <v>RESET</v>
          </cell>
          <cell r="AF506">
            <v>0</v>
          </cell>
          <cell r="AG506">
            <v>3</v>
          </cell>
          <cell r="AH506" t="str">
            <v>SAPHIRE</v>
          </cell>
          <cell r="AI506">
            <v>0</v>
          </cell>
          <cell r="AJ506" t="str">
            <v>FALSE</v>
          </cell>
          <cell r="AK506">
            <v>0</v>
          </cell>
          <cell r="AL506">
            <v>45261</v>
          </cell>
          <cell r="AM506">
            <v>45701</v>
          </cell>
          <cell r="AN506">
            <v>1</v>
          </cell>
          <cell r="AO506">
            <v>0</v>
          </cell>
          <cell r="AP506" t="str">
            <v>-</v>
          </cell>
          <cell r="AQ506" t="str">
            <v>-</v>
          </cell>
          <cell r="AR506" t="str">
            <v>-</v>
          </cell>
          <cell r="AS506" t="str">
            <v>-</v>
          </cell>
          <cell r="AT506" t="str">
            <v>-</v>
          </cell>
          <cell r="AU506" t="str">
            <v>-</v>
          </cell>
          <cell r="AV506" t="str">
            <v/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 t="str">
            <v/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 t="str">
            <v/>
          </cell>
          <cell r="BN506">
            <v>0</v>
          </cell>
          <cell r="BO506" t="str">
            <v/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 t="str">
            <v/>
          </cell>
          <cell r="BV506">
            <v>0</v>
          </cell>
          <cell r="BW506">
            <v>7</v>
          </cell>
          <cell r="BX506" t="str">
            <v>DOWNGRADE</v>
          </cell>
          <cell r="BY506" t="str">
            <v>RESET</v>
          </cell>
        </row>
        <row r="507">
          <cell r="A507" t="str">
            <v>A0137</v>
          </cell>
          <cell r="B507" t="str">
            <v>Dhian Karunia</v>
          </cell>
          <cell r="C507" t="str">
            <v>RVO</v>
          </cell>
          <cell r="D507">
            <v>44848</v>
          </cell>
          <cell r="E507" t="str">
            <v>Oct-22</v>
          </cell>
          <cell r="F507" t="str">
            <v>REGULER</v>
          </cell>
          <cell r="G507" t="str">
            <v>EKSKLUSIF</v>
          </cell>
          <cell r="H507" t="str">
            <v>EKSKLUSIF</v>
          </cell>
          <cell r="I507" t="str">
            <v>EKSKLUSIF</v>
          </cell>
          <cell r="J507" t="str">
            <v>REGULER</v>
          </cell>
          <cell r="K507" t="str">
            <v>EKSKLUSIF</v>
          </cell>
          <cell r="L507" t="str">
            <v>EKSKLUSIF</v>
          </cell>
          <cell r="M507">
            <v>9</v>
          </cell>
          <cell r="N507">
            <v>48</v>
          </cell>
          <cell r="O507">
            <v>39</v>
          </cell>
          <cell r="P507">
            <v>47</v>
          </cell>
          <cell r="Q507">
            <v>21</v>
          </cell>
          <cell r="R507">
            <v>42</v>
          </cell>
          <cell r="S507">
            <v>22</v>
          </cell>
          <cell r="T507">
            <v>228</v>
          </cell>
          <cell r="U507">
            <v>9</v>
          </cell>
          <cell r="V507">
            <v>0</v>
          </cell>
          <cell r="W507">
            <v>0</v>
          </cell>
          <cell r="X507">
            <v>0</v>
          </cell>
          <cell r="Y507">
            <v>21</v>
          </cell>
          <cell r="Z507">
            <v>0</v>
          </cell>
          <cell r="AA507">
            <v>0</v>
          </cell>
          <cell r="AB507">
            <v>30</v>
          </cell>
          <cell r="AC507">
            <v>0</v>
          </cell>
          <cell r="AD507" t="str">
            <v>TIDAK</v>
          </cell>
          <cell r="AE507" t="str">
            <v>TIDAK</v>
          </cell>
          <cell r="AF507">
            <v>30</v>
          </cell>
          <cell r="AG507">
            <v>3</v>
          </cell>
          <cell r="AH507" t="str">
            <v>SAPHIRE</v>
          </cell>
          <cell r="AI507">
            <v>0</v>
          </cell>
          <cell r="AJ507" t="str">
            <v>FALSE</v>
          </cell>
          <cell r="AK507">
            <v>0</v>
          </cell>
          <cell r="AL507">
            <v>45261</v>
          </cell>
          <cell r="AM507">
            <v>45701</v>
          </cell>
          <cell r="AN507">
            <v>1</v>
          </cell>
          <cell r="AO507">
            <v>30</v>
          </cell>
          <cell r="AP507" t="str">
            <v>EKSKLUSIF</v>
          </cell>
          <cell r="AQ507" t="str">
            <v>-</v>
          </cell>
          <cell r="AR507" t="str">
            <v>EKSKLUSIF</v>
          </cell>
          <cell r="AS507" t="str">
            <v>EKSKLUSIF</v>
          </cell>
          <cell r="AT507" t="str">
            <v>EKSKLUSIF</v>
          </cell>
          <cell r="AU507" t="str">
            <v>REGULER</v>
          </cell>
          <cell r="AV507" t="str">
            <v/>
          </cell>
          <cell r="AW507">
            <v>46</v>
          </cell>
          <cell r="AX507">
            <v>49</v>
          </cell>
          <cell r="AY507">
            <v>47</v>
          </cell>
          <cell r="AZ507">
            <v>52</v>
          </cell>
          <cell r="BA507">
            <v>29</v>
          </cell>
          <cell r="BB507">
            <v>46</v>
          </cell>
          <cell r="BC507">
            <v>49</v>
          </cell>
          <cell r="BD507">
            <v>47</v>
          </cell>
          <cell r="BE507">
            <v>52</v>
          </cell>
          <cell r="BF507">
            <v>29</v>
          </cell>
          <cell r="BG507">
            <v>19</v>
          </cell>
          <cell r="BH507">
            <v>46</v>
          </cell>
          <cell r="BI507">
            <v>49</v>
          </cell>
          <cell r="BJ507">
            <v>47</v>
          </cell>
          <cell r="BK507">
            <v>52</v>
          </cell>
          <cell r="BL507">
            <v>29</v>
          </cell>
          <cell r="BM507">
            <v>10</v>
          </cell>
          <cell r="BN507">
            <v>252</v>
          </cell>
          <cell r="BO507">
            <v>0</v>
          </cell>
          <cell r="BP507">
            <v>46</v>
          </cell>
          <cell r="BQ507">
            <v>0</v>
          </cell>
          <cell r="BR507">
            <v>0</v>
          </cell>
          <cell r="BS507">
            <v>0</v>
          </cell>
          <cell r="BT507">
            <v>29</v>
          </cell>
          <cell r="BU507">
            <v>10</v>
          </cell>
          <cell r="BV507">
            <v>85</v>
          </cell>
          <cell r="BW507">
            <v>0</v>
          </cell>
          <cell r="BX507" t="str">
            <v>TIDAK</v>
          </cell>
          <cell r="BY507" t="str">
            <v>TIDAK</v>
          </cell>
        </row>
        <row r="508">
          <cell r="A508">
            <v>92677</v>
          </cell>
          <cell r="B508" t="str">
            <v>Dhiki Satria Septiano</v>
          </cell>
          <cell r="C508" t="str">
            <v>RVO</v>
          </cell>
          <cell r="D508">
            <v>44816</v>
          </cell>
          <cell r="E508" t="str">
            <v>Sep-22</v>
          </cell>
          <cell r="F508" t="str">
            <v>REGULER</v>
          </cell>
          <cell r="G508" t="str">
            <v>REGULER</v>
          </cell>
          <cell r="H508" t="str">
            <v>EKSKLUSIF</v>
          </cell>
          <cell r="I508" t="str">
            <v>EKSKLUSIF</v>
          </cell>
          <cell r="J508" t="str">
            <v>EKSKLUSIF</v>
          </cell>
          <cell r="K508" t="str">
            <v>EKSKLUSIF</v>
          </cell>
          <cell r="L508" t="str">
            <v>EKSKLUSIF</v>
          </cell>
          <cell r="M508">
            <v>24</v>
          </cell>
          <cell r="N508">
            <v>52</v>
          </cell>
          <cell r="O508">
            <v>52</v>
          </cell>
          <cell r="P508">
            <v>44</v>
          </cell>
          <cell r="Q508">
            <v>48</v>
          </cell>
          <cell r="R508">
            <v>52</v>
          </cell>
          <cell r="S508">
            <v>0</v>
          </cell>
          <cell r="T508">
            <v>272</v>
          </cell>
          <cell r="U508">
            <v>24</v>
          </cell>
          <cell r="V508">
            <v>52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76</v>
          </cell>
          <cell r="AC508">
            <v>1</v>
          </cell>
          <cell r="AD508" t="str">
            <v>TIDAK</v>
          </cell>
          <cell r="AE508" t="str">
            <v>TIDAK</v>
          </cell>
          <cell r="AF508">
            <v>76</v>
          </cell>
          <cell r="AG508">
            <v>3</v>
          </cell>
          <cell r="AH508" t="str">
            <v>SAPHIRE</v>
          </cell>
          <cell r="AI508">
            <v>0</v>
          </cell>
          <cell r="AJ508" t="str">
            <v>Y</v>
          </cell>
          <cell r="AK508">
            <v>0</v>
          </cell>
          <cell r="AL508">
            <v>45261</v>
          </cell>
          <cell r="AM508">
            <v>45701</v>
          </cell>
          <cell r="AN508">
            <v>1</v>
          </cell>
          <cell r="AO508">
            <v>76</v>
          </cell>
          <cell r="AP508" t="str">
            <v>EKSKLUSIF</v>
          </cell>
          <cell r="AQ508" t="str">
            <v>-</v>
          </cell>
          <cell r="AR508" t="str">
            <v>EKSKLUSIF</v>
          </cell>
          <cell r="AS508" t="str">
            <v>EKSKLUSIF</v>
          </cell>
          <cell r="AT508" t="str">
            <v>EKSKLUSIF</v>
          </cell>
          <cell r="AU508" t="str">
            <v>REGULER</v>
          </cell>
          <cell r="AV508" t="str">
            <v/>
          </cell>
          <cell r="AW508">
            <v>53</v>
          </cell>
          <cell r="AX508">
            <v>50</v>
          </cell>
          <cell r="AY508">
            <v>45</v>
          </cell>
          <cell r="AZ508">
            <v>46</v>
          </cell>
          <cell r="BA508">
            <v>26</v>
          </cell>
          <cell r="BB508">
            <v>53</v>
          </cell>
          <cell r="BC508">
            <v>50</v>
          </cell>
          <cell r="BD508">
            <v>45</v>
          </cell>
          <cell r="BE508">
            <v>46</v>
          </cell>
          <cell r="BF508">
            <v>26</v>
          </cell>
          <cell r="BG508">
            <v>23</v>
          </cell>
          <cell r="BH508">
            <v>53</v>
          </cell>
          <cell r="BI508">
            <v>50</v>
          </cell>
          <cell r="BJ508">
            <v>45</v>
          </cell>
          <cell r="BK508">
            <v>46</v>
          </cell>
          <cell r="BL508">
            <v>26</v>
          </cell>
          <cell r="BM508">
            <v>8</v>
          </cell>
          <cell r="BN508">
            <v>251</v>
          </cell>
          <cell r="BO508">
            <v>0</v>
          </cell>
          <cell r="BP508">
            <v>53</v>
          </cell>
          <cell r="BQ508">
            <v>0</v>
          </cell>
          <cell r="BR508">
            <v>0</v>
          </cell>
          <cell r="BS508">
            <v>0</v>
          </cell>
          <cell r="BT508">
            <v>26</v>
          </cell>
          <cell r="BU508">
            <v>8</v>
          </cell>
          <cell r="BV508">
            <v>87</v>
          </cell>
          <cell r="BW508">
            <v>0</v>
          </cell>
          <cell r="BX508" t="str">
            <v>TIDAK</v>
          </cell>
          <cell r="BY508" t="str">
            <v>TIDAK</v>
          </cell>
        </row>
        <row r="509">
          <cell r="A509" t="str">
            <v>A3922</v>
          </cell>
          <cell r="B509" t="str">
            <v>Dimas Sundawa</v>
          </cell>
          <cell r="C509" t="str">
            <v>RVO</v>
          </cell>
          <cell r="D509">
            <v>45384</v>
          </cell>
          <cell r="E509" t="str">
            <v>Apr-24</v>
          </cell>
          <cell r="F509" t="str">
            <v>-</v>
          </cell>
          <cell r="G509" t="str">
            <v>-</v>
          </cell>
          <cell r="H509" t="str">
            <v>-</v>
          </cell>
          <cell r="I509" t="str">
            <v>REGULER</v>
          </cell>
          <cell r="J509" t="str">
            <v>REGULER</v>
          </cell>
          <cell r="K509" t="str">
            <v>REGULER</v>
          </cell>
          <cell r="L509" t="str">
            <v>REGULER</v>
          </cell>
          <cell r="M509">
            <v>0</v>
          </cell>
          <cell r="N509">
            <v>0</v>
          </cell>
          <cell r="O509">
            <v>0</v>
          </cell>
          <cell r="P509">
            <v>3</v>
          </cell>
          <cell r="Q509">
            <v>17</v>
          </cell>
          <cell r="R509">
            <v>11</v>
          </cell>
          <cell r="S509">
            <v>3</v>
          </cell>
          <cell r="T509">
            <v>34</v>
          </cell>
          <cell r="U509">
            <v>0</v>
          </cell>
          <cell r="V509">
            <v>0</v>
          </cell>
          <cell r="W509">
            <v>0</v>
          </cell>
          <cell r="X509">
            <v>3</v>
          </cell>
          <cell r="Y509">
            <v>17</v>
          </cell>
          <cell r="Z509">
            <v>11</v>
          </cell>
          <cell r="AA509">
            <v>3</v>
          </cell>
          <cell r="AB509">
            <v>34</v>
          </cell>
          <cell r="AC509">
            <v>0</v>
          </cell>
          <cell r="AD509" t="str">
            <v>TIDAK</v>
          </cell>
          <cell r="AE509" t="str">
            <v>TIDAK</v>
          </cell>
          <cell r="AF509">
            <v>34</v>
          </cell>
          <cell r="AG509">
            <v>1</v>
          </cell>
          <cell r="AH509" t="str">
            <v>SAPHIRE</v>
          </cell>
          <cell r="AI509">
            <v>0</v>
          </cell>
          <cell r="AJ509" t="str">
            <v>FALSE</v>
          </cell>
          <cell r="AK509">
            <v>0</v>
          </cell>
          <cell r="AL509">
            <v>45261</v>
          </cell>
          <cell r="AM509">
            <v>45701</v>
          </cell>
          <cell r="AN509">
            <v>1</v>
          </cell>
          <cell r="AO509">
            <v>34</v>
          </cell>
          <cell r="AP509" t="str">
            <v>-</v>
          </cell>
          <cell r="AQ509" t="str">
            <v>-</v>
          </cell>
          <cell r="AR509" t="str">
            <v>-</v>
          </cell>
          <cell r="AS509" t="str">
            <v>-</v>
          </cell>
          <cell r="AT509" t="str">
            <v>-</v>
          </cell>
          <cell r="AU509" t="str">
            <v>-</v>
          </cell>
          <cell r="AV509" t="str">
            <v/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 t="str">
            <v/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 t="str">
            <v/>
          </cell>
          <cell r="BN509">
            <v>0</v>
          </cell>
          <cell r="BO509" t="str">
            <v/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 t="str">
            <v/>
          </cell>
          <cell r="BV509">
            <v>0</v>
          </cell>
          <cell r="BW509">
            <v>7</v>
          </cell>
          <cell r="BX509" t="str">
            <v>DOWNGRADE</v>
          </cell>
          <cell r="BY509" t="str">
            <v>RESET</v>
          </cell>
        </row>
        <row r="510">
          <cell r="A510">
            <v>90357</v>
          </cell>
          <cell r="B510" t="str">
            <v>Ela Indriani</v>
          </cell>
          <cell r="C510" t="str">
            <v>RVO</v>
          </cell>
          <cell r="D510">
            <v>44319</v>
          </cell>
          <cell r="E510" t="str">
            <v>May-21</v>
          </cell>
          <cell r="F510" t="str">
            <v>REGULER</v>
          </cell>
          <cell r="G510" t="str">
            <v>REGULER</v>
          </cell>
          <cell r="H510" t="str">
            <v>-</v>
          </cell>
          <cell r="I510" t="str">
            <v>-</v>
          </cell>
          <cell r="J510" t="str">
            <v>-</v>
          </cell>
          <cell r="K510" t="str">
            <v>-</v>
          </cell>
          <cell r="L510" t="str">
            <v>-</v>
          </cell>
          <cell r="M510">
            <v>21</v>
          </cell>
          <cell r="N510">
            <v>24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45</v>
          </cell>
          <cell r="U510">
            <v>21</v>
          </cell>
          <cell r="V510">
            <v>24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45</v>
          </cell>
          <cell r="AC510">
            <v>5</v>
          </cell>
          <cell r="AD510" t="str">
            <v>DOWNGRADE</v>
          </cell>
          <cell r="AE510" t="str">
            <v>RESET</v>
          </cell>
          <cell r="AF510">
            <v>0</v>
          </cell>
          <cell r="AG510">
            <v>4</v>
          </cell>
          <cell r="AH510" t="str">
            <v>SAPHIRE</v>
          </cell>
          <cell r="AI510">
            <v>0</v>
          </cell>
          <cell r="AJ510" t="str">
            <v>FALSE</v>
          </cell>
          <cell r="AK510">
            <v>0</v>
          </cell>
          <cell r="AL510">
            <v>45261</v>
          </cell>
          <cell r="AM510">
            <v>45701</v>
          </cell>
          <cell r="AN510">
            <v>1</v>
          </cell>
          <cell r="AO510">
            <v>0</v>
          </cell>
          <cell r="AP510" t="str">
            <v>-</v>
          </cell>
          <cell r="AQ510" t="str">
            <v>-</v>
          </cell>
          <cell r="AR510" t="str">
            <v>-</v>
          </cell>
          <cell r="AS510" t="str">
            <v>-</v>
          </cell>
          <cell r="AT510" t="str">
            <v>-</v>
          </cell>
          <cell r="AU510" t="str">
            <v>-</v>
          </cell>
          <cell r="AV510" t="str">
            <v/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 t="str">
            <v/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 t="str">
            <v/>
          </cell>
          <cell r="BN510">
            <v>0</v>
          </cell>
          <cell r="BO510" t="str">
            <v/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 t="str">
            <v/>
          </cell>
          <cell r="BV510">
            <v>0</v>
          </cell>
          <cell r="BW510">
            <v>7</v>
          </cell>
          <cell r="BX510" t="str">
            <v>DOWNGRADE</v>
          </cell>
          <cell r="BY510" t="str">
            <v>RESET</v>
          </cell>
        </row>
        <row r="511">
          <cell r="A511" t="str">
            <v>A0149</v>
          </cell>
          <cell r="B511" t="str">
            <v>Eufrasia Almela  Vicky</v>
          </cell>
          <cell r="C511" t="str">
            <v>RVO</v>
          </cell>
          <cell r="D511">
            <v>44848</v>
          </cell>
          <cell r="E511" t="str">
            <v>Oct-22</v>
          </cell>
          <cell r="F511" t="str">
            <v>EKSKLUSIF</v>
          </cell>
          <cell r="G511" t="str">
            <v>EKSKLUSIF</v>
          </cell>
          <cell r="H511" t="str">
            <v>EKSKLUSIF</v>
          </cell>
          <cell r="I511" t="str">
            <v>EKSKLUSIF</v>
          </cell>
          <cell r="J511" t="str">
            <v>EKSKLUSIF</v>
          </cell>
          <cell r="K511" t="str">
            <v>EKSKLUSIF</v>
          </cell>
          <cell r="L511" t="str">
            <v>EKSKLUSIF</v>
          </cell>
          <cell r="M511">
            <v>24</v>
          </cell>
          <cell r="N511">
            <v>53</v>
          </cell>
          <cell r="O511">
            <v>43</v>
          </cell>
          <cell r="P511">
            <v>50</v>
          </cell>
          <cell r="Q511">
            <v>46</v>
          </cell>
          <cell r="R511">
            <v>52</v>
          </cell>
          <cell r="S511">
            <v>22</v>
          </cell>
          <cell r="T511">
            <v>290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 t="str">
            <v>TIDAK</v>
          </cell>
          <cell r="AE511" t="str">
            <v>TIDAK</v>
          </cell>
          <cell r="AF511">
            <v>0</v>
          </cell>
          <cell r="AG511">
            <v>2</v>
          </cell>
          <cell r="AH511" t="str">
            <v>SAPHIRE</v>
          </cell>
          <cell r="AI511">
            <v>0</v>
          </cell>
          <cell r="AJ511" t="str">
            <v>FALSE</v>
          </cell>
          <cell r="AK511">
            <v>0</v>
          </cell>
          <cell r="AL511">
            <v>45261</v>
          </cell>
          <cell r="AM511">
            <v>45701</v>
          </cell>
          <cell r="AN511">
            <v>1</v>
          </cell>
          <cell r="AO511">
            <v>0</v>
          </cell>
          <cell r="AP511" t="str">
            <v>EKSKLUSIF</v>
          </cell>
          <cell r="AQ511" t="str">
            <v>-</v>
          </cell>
          <cell r="AR511" t="str">
            <v>REGULER</v>
          </cell>
          <cell r="AS511" t="str">
            <v>REGULER</v>
          </cell>
          <cell r="AT511" t="str">
            <v>REGULER</v>
          </cell>
          <cell r="AU511" t="str">
            <v>REGULER</v>
          </cell>
          <cell r="AV511" t="str">
            <v/>
          </cell>
          <cell r="AW511">
            <v>46</v>
          </cell>
          <cell r="AX511">
            <v>37</v>
          </cell>
          <cell r="AY511">
            <v>40</v>
          </cell>
          <cell r="AZ511">
            <v>43</v>
          </cell>
          <cell r="BA511">
            <v>37</v>
          </cell>
          <cell r="BB511">
            <v>46</v>
          </cell>
          <cell r="BC511">
            <v>37</v>
          </cell>
          <cell r="BD511">
            <v>40</v>
          </cell>
          <cell r="BE511">
            <v>43</v>
          </cell>
          <cell r="BF511">
            <v>37</v>
          </cell>
          <cell r="BG511">
            <v>25</v>
          </cell>
          <cell r="BH511">
            <v>46</v>
          </cell>
          <cell r="BI511">
            <v>37</v>
          </cell>
          <cell r="BJ511">
            <v>40</v>
          </cell>
          <cell r="BK511">
            <v>43</v>
          </cell>
          <cell r="BL511">
            <v>37</v>
          </cell>
          <cell r="BM511">
            <v>19</v>
          </cell>
          <cell r="BN511">
            <v>247</v>
          </cell>
          <cell r="BO511">
            <v>0</v>
          </cell>
          <cell r="BP511">
            <v>46</v>
          </cell>
          <cell r="BQ511">
            <v>37</v>
          </cell>
          <cell r="BR511">
            <v>40</v>
          </cell>
          <cell r="BS511">
            <v>43</v>
          </cell>
          <cell r="BT511">
            <v>37</v>
          </cell>
          <cell r="BU511">
            <v>19</v>
          </cell>
          <cell r="BV511">
            <v>222</v>
          </cell>
          <cell r="BW511">
            <v>0</v>
          </cell>
          <cell r="BX511" t="str">
            <v>TIDAK</v>
          </cell>
          <cell r="BY511" t="str">
            <v>TIDAK</v>
          </cell>
        </row>
        <row r="512">
          <cell r="A512" t="str">
            <v>A2216</v>
          </cell>
          <cell r="B512" t="str">
            <v>Eva Latifah Puspita Sari</v>
          </cell>
          <cell r="C512" t="str">
            <v>RVO</v>
          </cell>
          <cell r="D512">
            <v>45055</v>
          </cell>
          <cell r="E512" t="str">
            <v>May-23</v>
          </cell>
          <cell r="F512" t="str">
            <v>REGULER</v>
          </cell>
          <cell r="G512" t="str">
            <v>REGULER</v>
          </cell>
          <cell r="H512" t="str">
            <v>REGULER</v>
          </cell>
          <cell r="I512" t="str">
            <v>REGULER</v>
          </cell>
          <cell r="J512" t="str">
            <v>REGULER</v>
          </cell>
          <cell r="K512" t="str">
            <v>REGULER</v>
          </cell>
          <cell r="L512" t="str">
            <v>REGULER</v>
          </cell>
          <cell r="M512">
            <v>11</v>
          </cell>
          <cell r="N512">
            <v>22</v>
          </cell>
          <cell r="O512">
            <v>22</v>
          </cell>
          <cell r="P512">
            <v>28</v>
          </cell>
          <cell r="Q512">
            <v>21</v>
          </cell>
          <cell r="R512">
            <v>23</v>
          </cell>
          <cell r="S512">
            <v>13</v>
          </cell>
          <cell r="T512">
            <v>140</v>
          </cell>
          <cell r="U512">
            <v>11</v>
          </cell>
          <cell r="V512">
            <v>22</v>
          </cell>
          <cell r="W512">
            <v>22</v>
          </cell>
          <cell r="X512">
            <v>28</v>
          </cell>
          <cell r="Y512">
            <v>21</v>
          </cell>
          <cell r="Z512">
            <v>23</v>
          </cell>
          <cell r="AA512">
            <v>13</v>
          </cell>
          <cell r="AB512">
            <v>140</v>
          </cell>
          <cell r="AC512">
            <v>0</v>
          </cell>
          <cell r="AD512" t="str">
            <v>TIDAK</v>
          </cell>
          <cell r="AE512" t="str">
            <v>TIDAK</v>
          </cell>
          <cell r="AF512">
            <v>140</v>
          </cell>
          <cell r="AG512">
            <v>2</v>
          </cell>
          <cell r="AH512" t="str">
            <v>SAPHIRE</v>
          </cell>
          <cell r="AI512">
            <v>0</v>
          </cell>
          <cell r="AJ512" t="str">
            <v>Y</v>
          </cell>
          <cell r="AK512">
            <v>0</v>
          </cell>
          <cell r="AL512">
            <v>45261</v>
          </cell>
          <cell r="AM512">
            <v>45701</v>
          </cell>
          <cell r="AN512">
            <v>1</v>
          </cell>
          <cell r="AO512">
            <v>140</v>
          </cell>
          <cell r="AP512" t="str">
            <v>-</v>
          </cell>
          <cell r="AQ512" t="str">
            <v>-</v>
          </cell>
          <cell r="AR512" t="str">
            <v>REGULER</v>
          </cell>
          <cell r="AS512" t="str">
            <v>REGULER</v>
          </cell>
          <cell r="AT512" t="str">
            <v>-</v>
          </cell>
          <cell r="AU512" t="str">
            <v>-</v>
          </cell>
          <cell r="AV512" t="str">
            <v/>
          </cell>
          <cell r="AW512">
            <v>38</v>
          </cell>
          <cell r="AX512">
            <v>32</v>
          </cell>
          <cell r="AY512">
            <v>28</v>
          </cell>
          <cell r="AZ512">
            <v>0</v>
          </cell>
          <cell r="BA512">
            <v>0</v>
          </cell>
          <cell r="BB512">
            <v>38</v>
          </cell>
          <cell r="BC512">
            <v>32</v>
          </cell>
          <cell r="BD512">
            <v>28</v>
          </cell>
          <cell r="BE512">
            <v>0</v>
          </cell>
          <cell r="BF512">
            <v>0</v>
          </cell>
          <cell r="BG512">
            <v>4</v>
          </cell>
          <cell r="BH512">
            <v>38</v>
          </cell>
          <cell r="BI512">
            <v>32</v>
          </cell>
          <cell r="BJ512">
            <v>28</v>
          </cell>
          <cell r="BK512">
            <v>0</v>
          </cell>
          <cell r="BL512">
            <v>0</v>
          </cell>
          <cell r="BM512" t="str">
            <v/>
          </cell>
          <cell r="BN512">
            <v>102</v>
          </cell>
          <cell r="BO512">
            <v>4</v>
          </cell>
          <cell r="BP512">
            <v>38</v>
          </cell>
          <cell r="BQ512">
            <v>32</v>
          </cell>
          <cell r="BR512">
            <v>28</v>
          </cell>
          <cell r="BS512">
            <v>0</v>
          </cell>
          <cell r="BT512">
            <v>0</v>
          </cell>
          <cell r="BU512" t="str">
            <v/>
          </cell>
          <cell r="BV512">
            <v>102</v>
          </cell>
          <cell r="BW512">
            <v>3</v>
          </cell>
          <cell r="BX512" t="str">
            <v>DOWNGRADE</v>
          </cell>
          <cell r="BY512" t="str">
            <v>RESET</v>
          </cell>
        </row>
        <row r="513">
          <cell r="A513" t="str">
            <v>A3801</v>
          </cell>
          <cell r="B513" t="str">
            <v>Eva Putri Wahyuningsih</v>
          </cell>
          <cell r="C513" t="str">
            <v>RVO</v>
          </cell>
          <cell r="D513">
            <v>45384</v>
          </cell>
          <cell r="E513" t="str">
            <v>Apr-24</v>
          </cell>
          <cell r="F513" t="str">
            <v>-</v>
          </cell>
          <cell r="G513" t="str">
            <v>-</v>
          </cell>
          <cell r="H513" t="str">
            <v>-</v>
          </cell>
          <cell r="I513" t="str">
            <v>REGULER</v>
          </cell>
          <cell r="J513" t="str">
            <v>REGULER</v>
          </cell>
          <cell r="K513" t="str">
            <v>REGULER</v>
          </cell>
          <cell r="L513" t="str">
            <v>REGULER</v>
          </cell>
          <cell r="M513">
            <v>0</v>
          </cell>
          <cell r="N513">
            <v>0</v>
          </cell>
          <cell r="O513">
            <v>0</v>
          </cell>
          <cell r="P513">
            <v>7</v>
          </cell>
          <cell r="Q513">
            <v>18</v>
          </cell>
          <cell r="R513">
            <v>9</v>
          </cell>
          <cell r="S513">
            <v>5</v>
          </cell>
          <cell r="T513">
            <v>39</v>
          </cell>
          <cell r="U513">
            <v>0</v>
          </cell>
          <cell r="V513">
            <v>0</v>
          </cell>
          <cell r="W513">
            <v>0</v>
          </cell>
          <cell r="X513">
            <v>7</v>
          </cell>
          <cell r="Y513">
            <v>18</v>
          </cell>
          <cell r="Z513">
            <v>9</v>
          </cell>
          <cell r="AA513">
            <v>5</v>
          </cell>
          <cell r="AB513">
            <v>39</v>
          </cell>
          <cell r="AC513">
            <v>0</v>
          </cell>
          <cell r="AD513" t="str">
            <v>TIDAK</v>
          </cell>
          <cell r="AE513" t="str">
            <v>TIDAK</v>
          </cell>
          <cell r="AF513">
            <v>39</v>
          </cell>
          <cell r="AG513">
            <v>1</v>
          </cell>
          <cell r="AH513" t="str">
            <v>SAPHIRE</v>
          </cell>
          <cell r="AI513">
            <v>0</v>
          </cell>
          <cell r="AJ513" t="str">
            <v>FALSE</v>
          </cell>
          <cell r="AK513">
            <v>0</v>
          </cell>
          <cell r="AL513">
            <v>45261</v>
          </cell>
          <cell r="AM513">
            <v>45701</v>
          </cell>
          <cell r="AN513">
            <v>1</v>
          </cell>
          <cell r="AO513">
            <v>39</v>
          </cell>
          <cell r="AP513" t="str">
            <v>-</v>
          </cell>
          <cell r="AQ513" t="str">
            <v>-</v>
          </cell>
          <cell r="AR513" t="str">
            <v>-</v>
          </cell>
          <cell r="AS513" t="str">
            <v>-</v>
          </cell>
          <cell r="AT513" t="str">
            <v>-</v>
          </cell>
          <cell r="AU513" t="str">
            <v>-</v>
          </cell>
          <cell r="AV513" t="str">
            <v/>
          </cell>
          <cell r="AW513">
            <v>12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12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2</v>
          </cell>
          <cell r="BH513">
            <v>12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 t="str">
            <v/>
          </cell>
          <cell r="BN513">
            <v>14</v>
          </cell>
          <cell r="BO513">
            <v>2</v>
          </cell>
          <cell r="BP513">
            <v>12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 t="str">
            <v/>
          </cell>
          <cell r="BV513">
            <v>14</v>
          </cell>
          <cell r="BW513">
            <v>5</v>
          </cell>
          <cell r="BX513" t="str">
            <v>DOWNGRADE</v>
          </cell>
          <cell r="BY513" t="str">
            <v>RESET</v>
          </cell>
        </row>
        <row r="514">
          <cell r="A514" t="str">
            <v>A2355</v>
          </cell>
          <cell r="B514" t="str">
            <v>Evanayeda Anindita</v>
          </cell>
          <cell r="C514" t="str">
            <v>RVO</v>
          </cell>
          <cell r="D514">
            <v>45079</v>
          </cell>
          <cell r="E514" t="str">
            <v>Jun-23</v>
          </cell>
          <cell r="F514" t="str">
            <v>REGULER</v>
          </cell>
          <cell r="G514" t="str">
            <v>REGULER</v>
          </cell>
          <cell r="H514" t="str">
            <v>REGULER</v>
          </cell>
          <cell r="I514" t="str">
            <v>REGULER</v>
          </cell>
          <cell r="J514" t="str">
            <v>-</v>
          </cell>
          <cell r="K514" t="str">
            <v>REGULER</v>
          </cell>
          <cell r="L514" t="str">
            <v>REGULER</v>
          </cell>
          <cell r="M514">
            <v>7</v>
          </cell>
          <cell r="N514">
            <v>14</v>
          </cell>
          <cell r="O514">
            <v>19</v>
          </cell>
          <cell r="P514">
            <v>16</v>
          </cell>
          <cell r="Q514">
            <v>0</v>
          </cell>
          <cell r="R514">
            <v>25</v>
          </cell>
          <cell r="S514">
            <v>12</v>
          </cell>
          <cell r="T514">
            <v>93</v>
          </cell>
          <cell r="U514">
            <v>7</v>
          </cell>
          <cell r="V514">
            <v>14</v>
          </cell>
          <cell r="W514">
            <v>19</v>
          </cell>
          <cell r="X514">
            <v>16</v>
          </cell>
          <cell r="Y514">
            <v>0</v>
          </cell>
          <cell r="Z514">
            <v>25</v>
          </cell>
          <cell r="AA514">
            <v>12</v>
          </cell>
          <cell r="AB514">
            <v>93</v>
          </cell>
          <cell r="AC514">
            <v>1</v>
          </cell>
          <cell r="AD514" t="str">
            <v>TIDAK</v>
          </cell>
          <cell r="AE514" t="str">
            <v>TIDAK</v>
          </cell>
          <cell r="AF514">
            <v>93</v>
          </cell>
          <cell r="AG514">
            <v>2</v>
          </cell>
          <cell r="AH514" t="str">
            <v>SAPHIRE</v>
          </cell>
          <cell r="AI514">
            <v>0</v>
          </cell>
          <cell r="AJ514" t="str">
            <v>Y</v>
          </cell>
          <cell r="AK514">
            <v>0</v>
          </cell>
          <cell r="AL514">
            <v>45261</v>
          </cell>
          <cell r="AM514">
            <v>45701</v>
          </cell>
          <cell r="AN514">
            <v>1</v>
          </cell>
          <cell r="AO514">
            <v>93</v>
          </cell>
          <cell r="AP514" t="str">
            <v>-</v>
          </cell>
          <cell r="AQ514" t="str">
            <v>-</v>
          </cell>
          <cell r="AR514" t="str">
            <v>REGULER</v>
          </cell>
          <cell r="AS514" t="str">
            <v>REGULER</v>
          </cell>
          <cell r="AT514" t="str">
            <v>REGULER</v>
          </cell>
          <cell r="AU514" t="str">
            <v>REGULER</v>
          </cell>
          <cell r="AV514" t="str">
            <v/>
          </cell>
          <cell r="AW514">
            <v>19</v>
          </cell>
          <cell r="AX514">
            <v>23</v>
          </cell>
          <cell r="AY514">
            <v>24</v>
          </cell>
          <cell r="AZ514">
            <v>17</v>
          </cell>
          <cell r="BA514">
            <v>16</v>
          </cell>
          <cell r="BB514">
            <v>19</v>
          </cell>
          <cell r="BC514">
            <v>23</v>
          </cell>
          <cell r="BD514">
            <v>24</v>
          </cell>
          <cell r="BE514">
            <v>17</v>
          </cell>
          <cell r="BF514">
            <v>16</v>
          </cell>
          <cell r="BG514">
            <v>8</v>
          </cell>
          <cell r="BH514">
            <v>19</v>
          </cell>
          <cell r="BI514">
            <v>23</v>
          </cell>
          <cell r="BJ514">
            <v>24</v>
          </cell>
          <cell r="BK514">
            <v>17</v>
          </cell>
          <cell r="BL514">
            <v>16</v>
          </cell>
          <cell r="BM514" t="str">
            <v/>
          </cell>
          <cell r="BN514">
            <v>107</v>
          </cell>
          <cell r="BO514">
            <v>8</v>
          </cell>
          <cell r="BP514">
            <v>19</v>
          </cell>
          <cell r="BQ514">
            <v>23</v>
          </cell>
          <cell r="BR514">
            <v>24</v>
          </cell>
          <cell r="BS514">
            <v>17</v>
          </cell>
          <cell r="BT514">
            <v>16</v>
          </cell>
          <cell r="BU514" t="str">
            <v/>
          </cell>
          <cell r="BV514">
            <v>107</v>
          </cell>
          <cell r="BW514">
            <v>1</v>
          </cell>
          <cell r="BX514" t="str">
            <v>TIDAK</v>
          </cell>
          <cell r="BY514" t="str">
            <v>TIDAK</v>
          </cell>
        </row>
        <row r="515">
          <cell r="A515">
            <v>92600</v>
          </cell>
          <cell r="B515" t="str">
            <v>Evelina Widodo</v>
          </cell>
          <cell r="C515" t="str">
            <v>RVO</v>
          </cell>
          <cell r="D515">
            <v>44805</v>
          </cell>
          <cell r="E515" t="str">
            <v>Sep-22</v>
          </cell>
          <cell r="F515" t="str">
            <v>REGULER</v>
          </cell>
          <cell r="G515" t="str">
            <v>REGULER</v>
          </cell>
          <cell r="H515" t="str">
            <v>REGULER</v>
          </cell>
          <cell r="I515" t="str">
            <v>REGULER</v>
          </cell>
          <cell r="J515" t="str">
            <v>REGULER</v>
          </cell>
          <cell r="K515" t="str">
            <v>REGULER</v>
          </cell>
          <cell r="L515" t="str">
            <v>REGULER</v>
          </cell>
          <cell r="M515">
            <v>21</v>
          </cell>
          <cell r="N515">
            <v>37</v>
          </cell>
          <cell r="O515">
            <v>31</v>
          </cell>
          <cell r="P515">
            <v>36</v>
          </cell>
          <cell r="Q515">
            <v>35</v>
          </cell>
          <cell r="R515">
            <v>36</v>
          </cell>
          <cell r="S515">
            <v>19</v>
          </cell>
          <cell r="T515">
            <v>215</v>
          </cell>
          <cell r="U515">
            <v>21</v>
          </cell>
          <cell r="V515">
            <v>37</v>
          </cell>
          <cell r="W515">
            <v>31</v>
          </cell>
          <cell r="X515">
            <v>36</v>
          </cell>
          <cell r="Y515">
            <v>35</v>
          </cell>
          <cell r="Z515">
            <v>36</v>
          </cell>
          <cell r="AA515">
            <v>19</v>
          </cell>
          <cell r="AB515">
            <v>215</v>
          </cell>
          <cell r="AC515">
            <v>0</v>
          </cell>
          <cell r="AD515" t="str">
            <v>TIDAK</v>
          </cell>
          <cell r="AE515" t="str">
            <v>TIDAK</v>
          </cell>
          <cell r="AF515">
            <v>215</v>
          </cell>
          <cell r="AG515">
            <v>4</v>
          </cell>
          <cell r="AH515" t="str">
            <v>SAPHIRE</v>
          </cell>
          <cell r="AI515">
            <v>0</v>
          </cell>
          <cell r="AJ515" t="str">
            <v>Y</v>
          </cell>
          <cell r="AK515">
            <v>0</v>
          </cell>
          <cell r="AL515">
            <v>45261</v>
          </cell>
          <cell r="AM515">
            <v>45701</v>
          </cell>
          <cell r="AN515">
            <v>1</v>
          </cell>
          <cell r="AO515">
            <v>215</v>
          </cell>
          <cell r="AP515" t="str">
            <v>-</v>
          </cell>
          <cell r="AQ515" t="str">
            <v>-</v>
          </cell>
          <cell r="AR515" t="str">
            <v>REGULER</v>
          </cell>
          <cell r="AS515" t="str">
            <v>REGULER</v>
          </cell>
          <cell r="AT515" t="str">
            <v>REGULER</v>
          </cell>
          <cell r="AU515" t="str">
            <v>REGULER</v>
          </cell>
          <cell r="AV515" t="str">
            <v/>
          </cell>
          <cell r="AW515">
            <v>40</v>
          </cell>
          <cell r="AX515">
            <v>42</v>
          </cell>
          <cell r="AY515">
            <v>37</v>
          </cell>
          <cell r="AZ515">
            <v>42</v>
          </cell>
          <cell r="BA515">
            <v>38</v>
          </cell>
          <cell r="BB515">
            <v>40</v>
          </cell>
          <cell r="BC515">
            <v>42</v>
          </cell>
          <cell r="BD515">
            <v>37</v>
          </cell>
          <cell r="BE515">
            <v>42</v>
          </cell>
          <cell r="BF515">
            <v>38</v>
          </cell>
          <cell r="BG515">
            <v>13</v>
          </cell>
          <cell r="BH515">
            <v>40</v>
          </cell>
          <cell r="BI515">
            <v>42</v>
          </cell>
          <cell r="BJ515">
            <v>37</v>
          </cell>
          <cell r="BK515">
            <v>42</v>
          </cell>
          <cell r="BL515">
            <v>38</v>
          </cell>
          <cell r="BM515">
            <v>16</v>
          </cell>
          <cell r="BN515">
            <v>228</v>
          </cell>
          <cell r="BO515">
            <v>13</v>
          </cell>
          <cell r="BP515">
            <v>40</v>
          </cell>
          <cell r="BQ515">
            <v>42</v>
          </cell>
          <cell r="BR515">
            <v>37</v>
          </cell>
          <cell r="BS515">
            <v>42</v>
          </cell>
          <cell r="BT515">
            <v>38</v>
          </cell>
          <cell r="BU515">
            <v>16</v>
          </cell>
          <cell r="BV515">
            <v>228</v>
          </cell>
          <cell r="BW515">
            <v>0</v>
          </cell>
          <cell r="BX515" t="str">
            <v>TIDAK</v>
          </cell>
          <cell r="BY515" t="str">
            <v>TIDAK</v>
          </cell>
        </row>
        <row r="516">
          <cell r="A516">
            <v>92740</v>
          </cell>
          <cell r="B516" t="str">
            <v>Fani Rahmawati</v>
          </cell>
          <cell r="C516" t="str">
            <v>RVO</v>
          </cell>
          <cell r="D516">
            <v>44805</v>
          </cell>
          <cell r="E516" t="str">
            <v>Sep-22</v>
          </cell>
          <cell r="F516" t="str">
            <v>REGULER</v>
          </cell>
          <cell r="G516" t="str">
            <v>REGULER</v>
          </cell>
          <cell r="H516" t="str">
            <v>REGULER</v>
          </cell>
          <cell r="I516" t="str">
            <v>REGULER</v>
          </cell>
          <cell r="J516" t="str">
            <v>REGULER</v>
          </cell>
          <cell r="K516" t="str">
            <v>EKSKLUSIF</v>
          </cell>
          <cell r="L516" t="str">
            <v>EKSKLUSIF</v>
          </cell>
          <cell r="M516">
            <v>16</v>
          </cell>
          <cell r="N516">
            <v>27</v>
          </cell>
          <cell r="O516">
            <v>3</v>
          </cell>
          <cell r="P516">
            <v>22</v>
          </cell>
          <cell r="Q516">
            <v>22</v>
          </cell>
          <cell r="R516">
            <v>40</v>
          </cell>
          <cell r="S516">
            <v>0</v>
          </cell>
          <cell r="T516">
            <v>130</v>
          </cell>
          <cell r="U516">
            <v>16</v>
          </cell>
          <cell r="V516">
            <v>27</v>
          </cell>
          <cell r="W516">
            <v>3</v>
          </cell>
          <cell r="X516">
            <v>22</v>
          </cell>
          <cell r="Y516">
            <v>22</v>
          </cell>
          <cell r="Z516">
            <v>0</v>
          </cell>
          <cell r="AA516">
            <v>0</v>
          </cell>
          <cell r="AB516">
            <v>90</v>
          </cell>
          <cell r="AC516">
            <v>1</v>
          </cell>
          <cell r="AD516" t="str">
            <v>TIDAK</v>
          </cell>
          <cell r="AE516" t="str">
            <v>TIDAK</v>
          </cell>
          <cell r="AF516">
            <v>90</v>
          </cell>
          <cell r="AG516">
            <v>4</v>
          </cell>
          <cell r="AH516" t="str">
            <v>SAPHIRE</v>
          </cell>
          <cell r="AI516">
            <v>0</v>
          </cell>
          <cell r="AJ516" t="str">
            <v>Y</v>
          </cell>
          <cell r="AK516">
            <v>0</v>
          </cell>
          <cell r="AL516">
            <v>45261</v>
          </cell>
          <cell r="AM516">
            <v>45701</v>
          </cell>
          <cell r="AN516">
            <v>1</v>
          </cell>
          <cell r="AO516">
            <v>90</v>
          </cell>
          <cell r="AP516" t="str">
            <v>EKSKLUSIF</v>
          </cell>
          <cell r="AQ516" t="str">
            <v>-</v>
          </cell>
          <cell r="AR516" t="str">
            <v>REGULER</v>
          </cell>
          <cell r="AS516" t="str">
            <v>-</v>
          </cell>
          <cell r="AT516" t="str">
            <v>-</v>
          </cell>
          <cell r="AU516" t="str">
            <v>REGULER</v>
          </cell>
          <cell r="AV516" t="str">
            <v/>
          </cell>
          <cell r="AW516">
            <v>49</v>
          </cell>
          <cell r="AX516">
            <v>1</v>
          </cell>
          <cell r="AY516">
            <v>0</v>
          </cell>
          <cell r="AZ516">
            <v>0</v>
          </cell>
          <cell r="BA516">
            <v>13</v>
          </cell>
          <cell r="BB516">
            <v>49</v>
          </cell>
          <cell r="BC516">
            <v>1</v>
          </cell>
          <cell r="BD516">
            <v>0</v>
          </cell>
          <cell r="BE516">
            <v>0</v>
          </cell>
          <cell r="BF516">
            <v>13</v>
          </cell>
          <cell r="BG516">
            <v>22</v>
          </cell>
          <cell r="BH516">
            <v>49</v>
          </cell>
          <cell r="BI516">
            <v>1</v>
          </cell>
          <cell r="BJ516">
            <v>0</v>
          </cell>
          <cell r="BK516">
            <v>0</v>
          </cell>
          <cell r="BL516">
            <v>13</v>
          </cell>
          <cell r="BM516">
            <v>19</v>
          </cell>
          <cell r="BN516">
            <v>104</v>
          </cell>
          <cell r="BO516">
            <v>0</v>
          </cell>
          <cell r="BP516">
            <v>49</v>
          </cell>
          <cell r="BQ516">
            <v>1</v>
          </cell>
          <cell r="BR516">
            <v>0</v>
          </cell>
          <cell r="BS516">
            <v>0</v>
          </cell>
          <cell r="BT516">
            <v>13</v>
          </cell>
          <cell r="BU516">
            <v>19</v>
          </cell>
          <cell r="BV516">
            <v>82</v>
          </cell>
          <cell r="BW516">
            <v>2</v>
          </cell>
          <cell r="BX516" t="str">
            <v>TIDAK</v>
          </cell>
          <cell r="BY516" t="str">
            <v>TIDAK</v>
          </cell>
        </row>
        <row r="517">
          <cell r="A517" t="str">
            <v>A3435</v>
          </cell>
          <cell r="B517" t="str">
            <v>Fetri Citra</v>
          </cell>
          <cell r="C517" t="str">
            <v>RVO</v>
          </cell>
          <cell r="D517">
            <v>45286</v>
          </cell>
          <cell r="E517" t="str">
            <v>Dec-23</v>
          </cell>
          <cell r="F517" t="str">
            <v>REGULER</v>
          </cell>
          <cell r="G517" t="str">
            <v>REGULER</v>
          </cell>
          <cell r="H517" t="str">
            <v>REGULER</v>
          </cell>
          <cell r="I517" t="str">
            <v>REGULER</v>
          </cell>
          <cell r="J517" t="str">
            <v>REGULER</v>
          </cell>
          <cell r="K517" t="str">
            <v>REGULER</v>
          </cell>
          <cell r="L517" t="str">
            <v>REGULER</v>
          </cell>
          <cell r="M517">
            <v>6</v>
          </cell>
          <cell r="N517">
            <v>3</v>
          </cell>
          <cell r="O517">
            <v>18</v>
          </cell>
          <cell r="P517">
            <v>32</v>
          </cell>
          <cell r="Q517">
            <v>9</v>
          </cell>
          <cell r="R517">
            <v>11</v>
          </cell>
          <cell r="S517">
            <v>14</v>
          </cell>
          <cell r="T517">
            <v>93</v>
          </cell>
          <cell r="U517">
            <v>6</v>
          </cell>
          <cell r="V517">
            <v>3</v>
          </cell>
          <cell r="W517">
            <v>18</v>
          </cell>
          <cell r="X517">
            <v>32</v>
          </cell>
          <cell r="Y517">
            <v>9</v>
          </cell>
          <cell r="Z517">
            <v>11</v>
          </cell>
          <cell r="AA517">
            <v>14</v>
          </cell>
          <cell r="AB517">
            <v>93</v>
          </cell>
          <cell r="AC517">
            <v>0</v>
          </cell>
          <cell r="AD517" t="str">
            <v>TIDAK</v>
          </cell>
          <cell r="AE517" t="str">
            <v>TIDAK</v>
          </cell>
          <cell r="AF517">
            <v>93</v>
          </cell>
          <cell r="AG517">
            <v>1</v>
          </cell>
          <cell r="AH517" t="str">
            <v>SAPHIRE</v>
          </cell>
          <cell r="AI517">
            <v>0</v>
          </cell>
          <cell r="AJ517" t="str">
            <v>Y</v>
          </cell>
          <cell r="AK517">
            <v>0</v>
          </cell>
          <cell r="AL517">
            <v>45261</v>
          </cell>
          <cell r="AM517">
            <v>45701</v>
          </cell>
          <cell r="AN517">
            <v>1</v>
          </cell>
          <cell r="AO517">
            <v>93</v>
          </cell>
          <cell r="AP517" t="str">
            <v>-</v>
          </cell>
          <cell r="AQ517" t="str">
            <v>-</v>
          </cell>
          <cell r="AR517" t="str">
            <v>REGULER</v>
          </cell>
          <cell r="AS517" t="str">
            <v>REGULER</v>
          </cell>
          <cell r="AT517" t="str">
            <v>REGULER</v>
          </cell>
          <cell r="AU517" t="str">
            <v>REGULER</v>
          </cell>
          <cell r="AV517" t="str">
            <v/>
          </cell>
          <cell r="AW517">
            <v>37</v>
          </cell>
          <cell r="AX517">
            <v>17</v>
          </cell>
          <cell r="AY517">
            <v>14</v>
          </cell>
          <cell r="AZ517">
            <v>27</v>
          </cell>
          <cell r="BA517">
            <v>16</v>
          </cell>
          <cell r="BB517">
            <v>37</v>
          </cell>
          <cell r="BC517">
            <v>17</v>
          </cell>
          <cell r="BD517">
            <v>14</v>
          </cell>
          <cell r="BE517">
            <v>27</v>
          </cell>
          <cell r="BF517">
            <v>1</v>
          </cell>
          <cell r="BG517">
            <v>12</v>
          </cell>
          <cell r="BH517">
            <v>37</v>
          </cell>
          <cell r="BI517">
            <v>17</v>
          </cell>
          <cell r="BJ517">
            <v>14</v>
          </cell>
          <cell r="BK517">
            <v>27</v>
          </cell>
          <cell r="BL517">
            <v>16</v>
          </cell>
          <cell r="BM517" t="str">
            <v/>
          </cell>
          <cell r="BN517">
            <v>123</v>
          </cell>
          <cell r="BO517">
            <v>12</v>
          </cell>
          <cell r="BP517">
            <v>37</v>
          </cell>
          <cell r="BQ517">
            <v>17</v>
          </cell>
          <cell r="BR517">
            <v>14</v>
          </cell>
          <cell r="BS517">
            <v>27</v>
          </cell>
          <cell r="BT517">
            <v>16</v>
          </cell>
          <cell r="BU517" t="str">
            <v/>
          </cell>
          <cell r="BV517">
            <v>123</v>
          </cell>
          <cell r="BW517">
            <v>1</v>
          </cell>
          <cell r="BX517" t="str">
            <v>TIDAK</v>
          </cell>
          <cell r="BY517" t="str">
            <v>TIDAK</v>
          </cell>
        </row>
        <row r="518">
          <cell r="A518" t="str">
            <v>A2289</v>
          </cell>
          <cell r="B518" t="str">
            <v>Fijar Sintata</v>
          </cell>
          <cell r="C518" t="str">
            <v>RVO</v>
          </cell>
          <cell r="D518">
            <v>45189</v>
          </cell>
          <cell r="E518" t="str">
            <v>Sep-23</v>
          </cell>
          <cell r="F518" t="str">
            <v>REGULER</v>
          </cell>
          <cell r="G518" t="str">
            <v>REGULER</v>
          </cell>
          <cell r="H518" t="str">
            <v>REGULER</v>
          </cell>
          <cell r="I518" t="str">
            <v>REGULER</v>
          </cell>
          <cell r="J518" t="str">
            <v>REGULER</v>
          </cell>
          <cell r="K518" t="str">
            <v>REGULER</v>
          </cell>
          <cell r="L518" t="str">
            <v>REGULER</v>
          </cell>
          <cell r="M518">
            <v>1</v>
          </cell>
          <cell r="N518">
            <v>7</v>
          </cell>
          <cell r="O518">
            <v>8</v>
          </cell>
          <cell r="P518">
            <v>14</v>
          </cell>
          <cell r="Q518">
            <v>13</v>
          </cell>
          <cell r="R518">
            <v>11</v>
          </cell>
          <cell r="S518">
            <v>3</v>
          </cell>
          <cell r="T518">
            <v>57</v>
          </cell>
          <cell r="U518">
            <v>1</v>
          </cell>
          <cell r="V518">
            <v>7</v>
          </cell>
          <cell r="W518">
            <v>8</v>
          </cell>
          <cell r="X518">
            <v>14</v>
          </cell>
          <cell r="Y518">
            <v>13</v>
          </cell>
          <cell r="Z518">
            <v>11</v>
          </cell>
          <cell r="AA518">
            <v>3</v>
          </cell>
          <cell r="AB518">
            <v>57</v>
          </cell>
          <cell r="AC518">
            <v>0</v>
          </cell>
          <cell r="AD518" t="str">
            <v>TIDAK</v>
          </cell>
          <cell r="AE518" t="str">
            <v>TIDAK</v>
          </cell>
          <cell r="AF518">
            <v>57</v>
          </cell>
          <cell r="AG518">
            <v>1</v>
          </cell>
          <cell r="AH518" t="str">
            <v>SAPHIRE</v>
          </cell>
          <cell r="AI518">
            <v>0</v>
          </cell>
          <cell r="AJ518" t="str">
            <v>FALSE</v>
          </cell>
          <cell r="AK518">
            <v>0</v>
          </cell>
          <cell r="AL518">
            <v>45261</v>
          </cell>
          <cell r="AM518">
            <v>45701</v>
          </cell>
          <cell r="AN518">
            <v>1</v>
          </cell>
          <cell r="AO518">
            <v>57</v>
          </cell>
          <cell r="AP518" t="str">
            <v>-</v>
          </cell>
          <cell r="AQ518" t="str">
            <v>-</v>
          </cell>
          <cell r="AR518" t="str">
            <v>REGULER</v>
          </cell>
          <cell r="AS518" t="str">
            <v>REGULER</v>
          </cell>
          <cell r="AT518" t="str">
            <v>REGULER</v>
          </cell>
          <cell r="AU518" t="str">
            <v>REGULER</v>
          </cell>
          <cell r="AV518" t="str">
            <v/>
          </cell>
          <cell r="AW518">
            <v>15</v>
          </cell>
          <cell r="AX518">
            <v>8</v>
          </cell>
          <cell r="AY518">
            <v>6</v>
          </cell>
          <cell r="AZ518">
            <v>13</v>
          </cell>
          <cell r="BA518">
            <v>10</v>
          </cell>
          <cell r="BB518">
            <v>15</v>
          </cell>
          <cell r="BC518">
            <v>8</v>
          </cell>
          <cell r="BD518">
            <v>6</v>
          </cell>
          <cell r="BE518">
            <v>13</v>
          </cell>
          <cell r="BF518">
            <v>10</v>
          </cell>
          <cell r="BG518">
            <v>9</v>
          </cell>
          <cell r="BH518">
            <v>15</v>
          </cell>
          <cell r="BI518">
            <v>8</v>
          </cell>
          <cell r="BJ518">
            <v>6</v>
          </cell>
          <cell r="BK518">
            <v>13</v>
          </cell>
          <cell r="BL518">
            <v>10</v>
          </cell>
          <cell r="BM518" t="str">
            <v/>
          </cell>
          <cell r="BN518">
            <v>61</v>
          </cell>
          <cell r="BO518">
            <v>9</v>
          </cell>
          <cell r="BP518">
            <v>15</v>
          </cell>
          <cell r="BQ518">
            <v>8</v>
          </cell>
          <cell r="BR518">
            <v>6</v>
          </cell>
          <cell r="BS518">
            <v>13</v>
          </cell>
          <cell r="BT518">
            <v>10</v>
          </cell>
          <cell r="BU518" t="str">
            <v/>
          </cell>
          <cell r="BV518">
            <v>61</v>
          </cell>
          <cell r="BW518">
            <v>1</v>
          </cell>
          <cell r="BX518" t="str">
            <v>TIDAK</v>
          </cell>
          <cell r="BY518" t="str">
            <v>TIDAK</v>
          </cell>
        </row>
        <row r="519">
          <cell r="A519">
            <v>90317</v>
          </cell>
          <cell r="B519" t="str">
            <v>Filbert Sanchia Ferdiansah Modok</v>
          </cell>
          <cell r="C519" t="str">
            <v>RVO</v>
          </cell>
          <cell r="D519">
            <v>44302</v>
          </cell>
          <cell r="E519" t="str">
            <v>Apr-21</v>
          </cell>
          <cell r="F519" t="str">
            <v>REGULER</v>
          </cell>
          <cell r="G519" t="str">
            <v>EKSKLUSIF</v>
          </cell>
          <cell r="H519" t="str">
            <v>EKSKLUSIF</v>
          </cell>
          <cell r="I519" t="str">
            <v>EKSKLUSIF</v>
          </cell>
          <cell r="J519" t="str">
            <v>EKSKLUSIF</v>
          </cell>
          <cell r="K519" t="str">
            <v>EKSKLUSIF</v>
          </cell>
          <cell r="L519" t="str">
            <v>EKSKLUSIF</v>
          </cell>
          <cell r="M519">
            <v>5</v>
          </cell>
          <cell r="N519">
            <v>56</v>
          </cell>
          <cell r="O519">
            <v>52</v>
          </cell>
          <cell r="P519">
            <v>57</v>
          </cell>
          <cell r="Q519">
            <v>45</v>
          </cell>
          <cell r="R519">
            <v>53</v>
          </cell>
          <cell r="S519">
            <v>0</v>
          </cell>
          <cell r="T519">
            <v>268</v>
          </cell>
          <cell r="U519">
            <v>5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5</v>
          </cell>
          <cell r="AC519">
            <v>1</v>
          </cell>
          <cell r="AD519" t="str">
            <v>TIDAK</v>
          </cell>
          <cell r="AE519" t="str">
            <v>TIDAK</v>
          </cell>
          <cell r="AF519">
            <v>5</v>
          </cell>
          <cell r="AG519">
            <v>3</v>
          </cell>
          <cell r="AH519" t="str">
            <v>SAPHIRE</v>
          </cell>
          <cell r="AI519">
            <v>0</v>
          </cell>
          <cell r="AJ519" t="str">
            <v>FALSE</v>
          </cell>
          <cell r="AK519">
            <v>0</v>
          </cell>
          <cell r="AL519">
            <v>45261</v>
          </cell>
          <cell r="AM519">
            <v>45701</v>
          </cell>
          <cell r="AN519">
            <v>1</v>
          </cell>
          <cell r="AO519">
            <v>5</v>
          </cell>
          <cell r="AP519" t="str">
            <v>-</v>
          </cell>
          <cell r="AQ519" t="str">
            <v>-</v>
          </cell>
          <cell r="AR519" t="str">
            <v>EKSKLUSIF</v>
          </cell>
          <cell r="AS519" t="str">
            <v>EKSKLUSIF</v>
          </cell>
          <cell r="AT519" t="str">
            <v>EKSKLUSIF</v>
          </cell>
          <cell r="AU519" t="str">
            <v>EKSKLUSIF</v>
          </cell>
          <cell r="AV519" t="str">
            <v/>
          </cell>
          <cell r="AW519">
            <v>63</v>
          </cell>
          <cell r="AX519">
            <v>59</v>
          </cell>
          <cell r="AY519">
            <v>55</v>
          </cell>
          <cell r="AZ519">
            <v>62</v>
          </cell>
          <cell r="BA519">
            <v>54</v>
          </cell>
          <cell r="BB519">
            <v>63</v>
          </cell>
          <cell r="BC519">
            <v>59</v>
          </cell>
          <cell r="BD519">
            <v>55</v>
          </cell>
          <cell r="BE519">
            <v>62</v>
          </cell>
          <cell r="BF519">
            <v>54</v>
          </cell>
          <cell r="BG519">
            <v>27</v>
          </cell>
          <cell r="BH519">
            <v>63</v>
          </cell>
          <cell r="BI519">
            <v>59</v>
          </cell>
          <cell r="BJ519">
            <v>55</v>
          </cell>
          <cell r="BK519">
            <v>62</v>
          </cell>
          <cell r="BL519">
            <v>54</v>
          </cell>
          <cell r="BM519">
            <v>26</v>
          </cell>
          <cell r="BN519">
            <v>346</v>
          </cell>
          <cell r="BO519">
            <v>27</v>
          </cell>
          <cell r="BP519">
            <v>63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26</v>
          </cell>
          <cell r="BV519">
            <v>116</v>
          </cell>
          <cell r="BW519">
            <v>0</v>
          </cell>
          <cell r="BX519" t="str">
            <v>TIDAK</v>
          </cell>
          <cell r="BY519" t="str">
            <v>TIDAK</v>
          </cell>
        </row>
        <row r="520">
          <cell r="A520">
            <v>92702</v>
          </cell>
          <cell r="B520" t="str">
            <v>Franciska Deliphia Sunarya</v>
          </cell>
          <cell r="C520" t="str">
            <v>RVO</v>
          </cell>
          <cell r="D520">
            <v>44837</v>
          </cell>
          <cell r="E520" t="str">
            <v>Oct-22</v>
          </cell>
          <cell r="F520" t="str">
            <v>REGULER</v>
          </cell>
          <cell r="G520" t="str">
            <v>REGULER</v>
          </cell>
          <cell r="H520" t="str">
            <v>REGULER</v>
          </cell>
          <cell r="I520" t="str">
            <v>REGULER</v>
          </cell>
          <cell r="J520" t="str">
            <v>REGULER</v>
          </cell>
          <cell r="K520" t="str">
            <v>REGULER</v>
          </cell>
          <cell r="L520" t="str">
            <v>REGULER</v>
          </cell>
          <cell r="M520">
            <v>11</v>
          </cell>
          <cell r="N520">
            <v>18</v>
          </cell>
          <cell r="O520">
            <v>29</v>
          </cell>
          <cell r="P520">
            <v>24</v>
          </cell>
          <cell r="Q520">
            <v>10</v>
          </cell>
          <cell r="R520">
            <v>20</v>
          </cell>
          <cell r="S520">
            <v>11</v>
          </cell>
          <cell r="T520">
            <v>123</v>
          </cell>
          <cell r="U520">
            <v>11</v>
          </cell>
          <cell r="V520">
            <v>18</v>
          </cell>
          <cell r="W520">
            <v>29</v>
          </cell>
          <cell r="X520">
            <v>24</v>
          </cell>
          <cell r="Y520">
            <v>10</v>
          </cell>
          <cell r="Z520">
            <v>20</v>
          </cell>
          <cell r="AA520">
            <v>11</v>
          </cell>
          <cell r="AB520">
            <v>123</v>
          </cell>
          <cell r="AC520">
            <v>0</v>
          </cell>
          <cell r="AD520" t="str">
            <v>TIDAK</v>
          </cell>
          <cell r="AE520" t="str">
            <v>TIDAK</v>
          </cell>
          <cell r="AF520">
            <v>123</v>
          </cell>
          <cell r="AG520">
            <v>3</v>
          </cell>
          <cell r="AH520" t="str">
            <v>SAPHIRE</v>
          </cell>
          <cell r="AI520">
            <v>0</v>
          </cell>
          <cell r="AJ520" t="str">
            <v>Y</v>
          </cell>
          <cell r="AK520">
            <v>0</v>
          </cell>
          <cell r="AL520">
            <v>45261</v>
          </cell>
          <cell r="AM520">
            <v>45701</v>
          </cell>
          <cell r="AN520">
            <v>1</v>
          </cell>
          <cell r="AO520">
            <v>123</v>
          </cell>
          <cell r="AP520" t="str">
            <v>-</v>
          </cell>
          <cell r="AQ520" t="str">
            <v>-</v>
          </cell>
          <cell r="AR520" t="str">
            <v>-</v>
          </cell>
          <cell r="AS520" t="str">
            <v>-</v>
          </cell>
          <cell r="AT520" t="str">
            <v>-</v>
          </cell>
          <cell r="AU520" t="str">
            <v>-</v>
          </cell>
          <cell r="AV520" t="str">
            <v/>
          </cell>
          <cell r="AW520">
            <v>10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10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15</v>
          </cell>
          <cell r="BH520">
            <v>10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 t="str">
            <v/>
          </cell>
          <cell r="BN520">
            <v>25</v>
          </cell>
          <cell r="BO520">
            <v>15</v>
          </cell>
          <cell r="BP520">
            <v>10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 t="str">
            <v/>
          </cell>
          <cell r="BV520">
            <v>25</v>
          </cell>
          <cell r="BW520">
            <v>5</v>
          </cell>
          <cell r="BX520" t="str">
            <v>DOWNGRADE</v>
          </cell>
          <cell r="BY520" t="str">
            <v>RESET</v>
          </cell>
        </row>
        <row r="521">
          <cell r="A521" t="str">
            <v>A2807</v>
          </cell>
          <cell r="B521" t="str">
            <v>Gaudentia Sheningdiaz Res</v>
          </cell>
          <cell r="C521" t="str">
            <v>RVO</v>
          </cell>
          <cell r="D521">
            <v>45199</v>
          </cell>
          <cell r="E521" t="str">
            <v>Sep-23</v>
          </cell>
          <cell r="F521" t="str">
            <v>EKSKLUSIF</v>
          </cell>
          <cell r="G521" t="str">
            <v>EKSKLUSIF</v>
          </cell>
          <cell r="H521" t="str">
            <v>EKSKLUSIF</v>
          </cell>
          <cell r="I521" t="str">
            <v>REGULER</v>
          </cell>
          <cell r="J521" t="str">
            <v>-</v>
          </cell>
          <cell r="K521" t="str">
            <v>-</v>
          </cell>
          <cell r="L521" t="str">
            <v>-</v>
          </cell>
          <cell r="M521">
            <v>23</v>
          </cell>
          <cell r="N521">
            <v>46</v>
          </cell>
          <cell r="O521">
            <v>41</v>
          </cell>
          <cell r="P521">
            <v>7</v>
          </cell>
          <cell r="Q521">
            <v>0</v>
          </cell>
          <cell r="R521">
            <v>0</v>
          </cell>
          <cell r="S521">
            <v>0</v>
          </cell>
          <cell r="T521">
            <v>117</v>
          </cell>
          <cell r="U521">
            <v>0</v>
          </cell>
          <cell r="V521">
            <v>0</v>
          </cell>
          <cell r="W521">
            <v>0</v>
          </cell>
          <cell r="X521">
            <v>7</v>
          </cell>
          <cell r="Y521">
            <v>0</v>
          </cell>
          <cell r="Z521">
            <v>0</v>
          </cell>
          <cell r="AA521">
            <v>0</v>
          </cell>
          <cell r="AB521">
            <v>7</v>
          </cell>
          <cell r="AC521">
            <v>3</v>
          </cell>
          <cell r="AD521" t="str">
            <v>DOWNGRADE</v>
          </cell>
          <cell r="AE521" t="str">
            <v>RESET</v>
          </cell>
          <cell r="AF521">
            <v>0</v>
          </cell>
          <cell r="AG521">
            <v>1</v>
          </cell>
          <cell r="AH521" t="str">
            <v>SAPHIRE</v>
          </cell>
          <cell r="AI521">
            <v>0</v>
          </cell>
          <cell r="AJ521" t="str">
            <v>FALSE</v>
          </cell>
          <cell r="AK521">
            <v>0</v>
          </cell>
          <cell r="AL521">
            <v>45261</v>
          </cell>
          <cell r="AM521">
            <v>45701</v>
          </cell>
          <cell r="AN521">
            <v>1</v>
          </cell>
          <cell r="AO521">
            <v>0</v>
          </cell>
          <cell r="AP521" t="str">
            <v>-</v>
          </cell>
          <cell r="AQ521" t="str">
            <v>-</v>
          </cell>
          <cell r="AR521" t="str">
            <v>-</v>
          </cell>
          <cell r="AS521" t="str">
            <v>-</v>
          </cell>
          <cell r="AT521" t="str">
            <v>-</v>
          </cell>
          <cell r="AU521" t="str">
            <v>-</v>
          </cell>
          <cell r="AV521" t="str">
            <v/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 t="str">
            <v/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 t="str">
            <v/>
          </cell>
          <cell r="BN521">
            <v>0</v>
          </cell>
          <cell r="BO521" t="str">
            <v/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 t="str">
            <v/>
          </cell>
          <cell r="BV521">
            <v>0</v>
          </cell>
          <cell r="BW521">
            <v>7</v>
          </cell>
          <cell r="BX521" t="str">
            <v>DOWNGRADE</v>
          </cell>
          <cell r="BY521" t="str">
            <v>RESET</v>
          </cell>
        </row>
        <row r="522">
          <cell r="A522">
            <v>92436</v>
          </cell>
          <cell r="B522" t="str">
            <v>Gilang Wiradana</v>
          </cell>
          <cell r="C522" t="str">
            <v>RVO</v>
          </cell>
          <cell r="D522">
            <v>44749</v>
          </cell>
          <cell r="E522" t="str">
            <v>Jul-22</v>
          </cell>
          <cell r="F522" t="str">
            <v>REGULER</v>
          </cell>
          <cell r="G522" t="str">
            <v>REGULER</v>
          </cell>
          <cell r="H522" t="str">
            <v>REGULER</v>
          </cell>
          <cell r="I522" t="str">
            <v>REGULER</v>
          </cell>
          <cell r="J522" t="str">
            <v>REGULER</v>
          </cell>
          <cell r="K522" t="str">
            <v>REGULER</v>
          </cell>
          <cell r="L522" t="str">
            <v>REGULER</v>
          </cell>
          <cell r="M522">
            <v>16</v>
          </cell>
          <cell r="N522">
            <v>15</v>
          </cell>
          <cell r="O522">
            <v>19</v>
          </cell>
          <cell r="P522">
            <v>25</v>
          </cell>
          <cell r="Q522">
            <v>30</v>
          </cell>
          <cell r="R522">
            <v>1</v>
          </cell>
          <cell r="S522">
            <v>1</v>
          </cell>
          <cell r="T522">
            <v>107</v>
          </cell>
          <cell r="U522">
            <v>16</v>
          </cell>
          <cell r="V522">
            <v>15</v>
          </cell>
          <cell r="W522">
            <v>19</v>
          </cell>
          <cell r="X522">
            <v>25</v>
          </cell>
          <cell r="Y522">
            <v>30</v>
          </cell>
          <cell r="Z522">
            <v>1</v>
          </cell>
          <cell r="AA522">
            <v>1</v>
          </cell>
          <cell r="AB522">
            <v>107</v>
          </cell>
          <cell r="AC522">
            <v>0</v>
          </cell>
          <cell r="AD522" t="str">
            <v>TIDAK</v>
          </cell>
          <cell r="AE522" t="str">
            <v>TIDAK</v>
          </cell>
          <cell r="AF522">
            <v>107</v>
          </cell>
          <cell r="AG522">
            <v>4</v>
          </cell>
          <cell r="AH522" t="str">
            <v>SAPHIRE</v>
          </cell>
          <cell r="AI522">
            <v>0</v>
          </cell>
          <cell r="AJ522" t="str">
            <v>Y</v>
          </cell>
          <cell r="AK522">
            <v>0</v>
          </cell>
          <cell r="AL522">
            <v>45261</v>
          </cell>
          <cell r="AM522">
            <v>45701</v>
          </cell>
          <cell r="AN522">
            <v>1</v>
          </cell>
          <cell r="AO522">
            <v>107</v>
          </cell>
          <cell r="AP522" t="str">
            <v>-</v>
          </cell>
          <cell r="AQ522" t="str">
            <v>-</v>
          </cell>
          <cell r="AR522" t="str">
            <v>REGULER</v>
          </cell>
          <cell r="AS522" t="str">
            <v>REGULER</v>
          </cell>
          <cell r="AT522" t="str">
            <v>REGULER</v>
          </cell>
          <cell r="AU522" t="str">
            <v>REGULER</v>
          </cell>
          <cell r="AV522" t="str">
            <v/>
          </cell>
          <cell r="AW522">
            <v>41</v>
          </cell>
          <cell r="AX522">
            <v>42</v>
          </cell>
          <cell r="AY522">
            <v>38</v>
          </cell>
          <cell r="AZ522">
            <v>33</v>
          </cell>
          <cell r="BA522">
            <v>36</v>
          </cell>
          <cell r="BB522">
            <v>41</v>
          </cell>
          <cell r="BC522">
            <v>42</v>
          </cell>
          <cell r="BD522">
            <v>38</v>
          </cell>
          <cell r="BE522">
            <v>33</v>
          </cell>
          <cell r="BF522">
            <v>36</v>
          </cell>
          <cell r="BG522">
            <v>11</v>
          </cell>
          <cell r="BH522">
            <v>41</v>
          </cell>
          <cell r="BI522">
            <v>42</v>
          </cell>
          <cell r="BJ522">
            <v>38</v>
          </cell>
          <cell r="BK522">
            <v>33</v>
          </cell>
          <cell r="BL522">
            <v>36</v>
          </cell>
          <cell r="BM522">
            <v>9</v>
          </cell>
          <cell r="BN522">
            <v>210</v>
          </cell>
          <cell r="BO522">
            <v>11</v>
          </cell>
          <cell r="BP522">
            <v>41</v>
          </cell>
          <cell r="BQ522">
            <v>42</v>
          </cell>
          <cell r="BR522">
            <v>38</v>
          </cell>
          <cell r="BS522">
            <v>33</v>
          </cell>
          <cell r="BT522">
            <v>36</v>
          </cell>
          <cell r="BU522">
            <v>9</v>
          </cell>
          <cell r="BV522">
            <v>210</v>
          </cell>
          <cell r="BW522">
            <v>0</v>
          </cell>
          <cell r="BX522" t="str">
            <v>TIDAK</v>
          </cell>
          <cell r="BY522" t="str">
            <v>TIDAK</v>
          </cell>
        </row>
        <row r="523">
          <cell r="A523">
            <v>92430</v>
          </cell>
          <cell r="B523" t="str">
            <v>Gracia Kithara Musica Geraldia</v>
          </cell>
          <cell r="C523" t="str">
            <v>RVO</v>
          </cell>
          <cell r="D523">
            <v>44747</v>
          </cell>
          <cell r="E523" t="str">
            <v>Jul-22</v>
          </cell>
          <cell r="F523" t="str">
            <v>REGULER</v>
          </cell>
          <cell r="G523" t="str">
            <v>REGULER</v>
          </cell>
          <cell r="H523" t="str">
            <v>REGULER</v>
          </cell>
          <cell r="I523" t="str">
            <v>REGULER</v>
          </cell>
          <cell r="J523" t="str">
            <v>REGULER</v>
          </cell>
          <cell r="K523" t="str">
            <v>REGULER</v>
          </cell>
          <cell r="L523" t="str">
            <v>REGULER</v>
          </cell>
          <cell r="M523">
            <v>17</v>
          </cell>
          <cell r="N523">
            <v>36</v>
          </cell>
          <cell r="O523">
            <v>28</v>
          </cell>
          <cell r="P523">
            <v>32</v>
          </cell>
          <cell r="Q523">
            <v>29</v>
          </cell>
          <cell r="R523">
            <v>30</v>
          </cell>
          <cell r="S523">
            <v>11</v>
          </cell>
          <cell r="T523">
            <v>183</v>
          </cell>
          <cell r="U523">
            <v>17</v>
          </cell>
          <cell r="V523">
            <v>36</v>
          </cell>
          <cell r="W523">
            <v>28</v>
          </cell>
          <cell r="X523">
            <v>32</v>
          </cell>
          <cell r="Y523">
            <v>29</v>
          </cell>
          <cell r="Z523">
            <v>30</v>
          </cell>
          <cell r="AA523">
            <v>11</v>
          </cell>
          <cell r="AB523">
            <v>183</v>
          </cell>
          <cell r="AC523">
            <v>0</v>
          </cell>
          <cell r="AD523" t="str">
            <v>TIDAK</v>
          </cell>
          <cell r="AE523" t="str">
            <v>TIDAK</v>
          </cell>
          <cell r="AF523">
            <v>183</v>
          </cell>
          <cell r="AG523">
            <v>3</v>
          </cell>
          <cell r="AH523" t="str">
            <v>SAPHIRE</v>
          </cell>
          <cell r="AI523">
            <v>0</v>
          </cell>
          <cell r="AJ523" t="str">
            <v>Y</v>
          </cell>
          <cell r="AK523">
            <v>0</v>
          </cell>
          <cell r="AL523">
            <v>45261</v>
          </cell>
          <cell r="AM523">
            <v>45701</v>
          </cell>
          <cell r="AN523">
            <v>1</v>
          </cell>
          <cell r="AO523">
            <v>183</v>
          </cell>
          <cell r="AP523" t="str">
            <v>-</v>
          </cell>
          <cell r="AQ523" t="str">
            <v>-</v>
          </cell>
          <cell r="AR523" t="str">
            <v>REGULER</v>
          </cell>
          <cell r="AS523" t="str">
            <v>REGULER</v>
          </cell>
          <cell r="AT523" t="str">
            <v>REGULER</v>
          </cell>
          <cell r="AU523" t="str">
            <v>REGULER</v>
          </cell>
          <cell r="AV523" t="str">
            <v/>
          </cell>
          <cell r="AW523">
            <v>42</v>
          </cell>
          <cell r="AX523">
            <v>42</v>
          </cell>
          <cell r="AY523">
            <v>40</v>
          </cell>
          <cell r="AZ523">
            <v>42</v>
          </cell>
          <cell r="BA523">
            <v>44</v>
          </cell>
          <cell r="BB523">
            <v>42</v>
          </cell>
          <cell r="BC523">
            <v>42</v>
          </cell>
          <cell r="BD523">
            <v>40</v>
          </cell>
          <cell r="BE523">
            <v>42</v>
          </cell>
          <cell r="BF523">
            <v>44</v>
          </cell>
          <cell r="BG523">
            <v>15</v>
          </cell>
          <cell r="BH523">
            <v>42</v>
          </cell>
          <cell r="BI523">
            <v>42</v>
          </cell>
          <cell r="BJ523">
            <v>40</v>
          </cell>
          <cell r="BK523">
            <v>42</v>
          </cell>
          <cell r="BL523">
            <v>44</v>
          </cell>
          <cell r="BM523">
            <v>19</v>
          </cell>
          <cell r="BN523">
            <v>244</v>
          </cell>
          <cell r="BO523">
            <v>15</v>
          </cell>
          <cell r="BP523">
            <v>42</v>
          </cell>
          <cell r="BQ523">
            <v>42</v>
          </cell>
          <cell r="BR523">
            <v>40</v>
          </cell>
          <cell r="BS523">
            <v>42</v>
          </cell>
          <cell r="BT523">
            <v>44</v>
          </cell>
          <cell r="BU523">
            <v>19</v>
          </cell>
          <cell r="BV523">
            <v>244</v>
          </cell>
          <cell r="BW523">
            <v>0</v>
          </cell>
          <cell r="BX523" t="str">
            <v>TIDAK</v>
          </cell>
          <cell r="BY523" t="str">
            <v>TIDAK</v>
          </cell>
        </row>
        <row r="524">
          <cell r="A524">
            <v>92717</v>
          </cell>
          <cell r="B524" t="str">
            <v>Gresmilen Bilgis</v>
          </cell>
          <cell r="C524" t="str">
            <v>RVO</v>
          </cell>
          <cell r="D524">
            <v>44852</v>
          </cell>
          <cell r="E524" t="str">
            <v>Oct-22</v>
          </cell>
          <cell r="F524" t="str">
            <v>REGULER</v>
          </cell>
          <cell r="G524" t="str">
            <v>EKSKLUSIF</v>
          </cell>
          <cell r="H524" t="str">
            <v>EKSKLUSIF</v>
          </cell>
          <cell r="I524" t="str">
            <v>EKSKLUSIF</v>
          </cell>
          <cell r="J524" t="str">
            <v>REGULER</v>
          </cell>
          <cell r="K524" t="str">
            <v>EKSKLUSIF</v>
          </cell>
          <cell r="L524" t="str">
            <v>EKSKLUSIF</v>
          </cell>
          <cell r="M524">
            <v>22</v>
          </cell>
          <cell r="N524">
            <v>52</v>
          </cell>
          <cell r="O524">
            <v>44</v>
          </cell>
          <cell r="P524">
            <v>46</v>
          </cell>
          <cell r="Q524">
            <v>33</v>
          </cell>
          <cell r="R524">
            <v>49</v>
          </cell>
          <cell r="S524">
            <v>0</v>
          </cell>
          <cell r="T524">
            <v>246</v>
          </cell>
          <cell r="U524">
            <v>22</v>
          </cell>
          <cell r="V524">
            <v>0</v>
          </cell>
          <cell r="W524">
            <v>0</v>
          </cell>
          <cell r="X524">
            <v>0</v>
          </cell>
          <cell r="Y524">
            <v>33</v>
          </cell>
          <cell r="Z524">
            <v>0</v>
          </cell>
          <cell r="AA524">
            <v>0</v>
          </cell>
          <cell r="AB524">
            <v>55</v>
          </cell>
          <cell r="AC524">
            <v>1</v>
          </cell>
          <cell r="AD524" t="str">
            <v>TIDAK</v>
          </cell>
          <cell r="AE524" t="str">
            <v>TIDAK</v>
          </cell>
          <cell r="AF524">
            <v>55</v>
          </cell>
          <cell r="AG524">
            <v>4</v>
          </cell>
          <cell r="AH524" t="str">
            <v>SAPHIRE</v>
          </cell>
          <cell r="AI524">
            <v>0</v>
          </cell>
          <cell r="AJ524" t="str">
            <v>FALSE</v>
          </cell>
          <cell r="AK524">
            <v>0</v>
          </cell>
          <cell r="AL524">
            <v>45261</v>
          </cell>
          <cell r="AM524">
            <v>45701</v>
          </cell>
          <cell r="AN524">
            <v>1</v>
          </cell>
          <cell r="AO524">
            <v>55</v>
          </cell>
          <cell r="AP524" t="str">
            <v>EKSKLUSIF</v>
          </cell>
          <cell r="AQ524" t="str">
            <v>-</v>
          </cell>
          <cell r="AR524" t="str">
            <v>REGULER</v>
          </cell>
          <cell r="AS524" t="str">
            <v>EKSKLUSIF</v>
          </cell>
          <cell r="AT524" t="str">
            <v>EKSKLUSIF</v>
          </cell>
          <cell r="AU524" t="str">
            <v>EKSKLUSIF</v>
          </cell>
          <cell r="AV524" t="str">
            <v/>
          </cell>
          <cell r="AW524">
            <v>54</v>
          </cell>
          <cell r="AX524">
            <v>44</v>
          </cell>
          <cell r="AY524">
            <v>46</v>
          </cell>
          <cell r="AZ524">
            <v>56</v>
          </cell>
          <cell r="BA524">
            <v>51</v>
          </cell>
          <cell r="BB524">
            <v>54</v>
          </cell>
          <cell r="BC524">
            <v>44</v>
          </cell>
          <cell r="BD524">
            <v>46</v>
          </cell>
          <cell r="BE524">
            <v>56</v>
          </cell>
          <cell r="BF524">
            <v>51</v>
          </cell>
          <cell r="BG524">
            <v>21</v>
          </cell>
          <cell r="BH524">
            <v>54</v>
          </cell>
          <cell r="BI524">
            <v>44</v>
          </cell>
          <cell r="BJ524">
            <v>46</v>
          </cell>
          <cell r="BK524">
            <v>56</v>
          </cell>
          <cell r="BL524">
            <v>51</v>
          </cell>
          <cell r="BM524">
            <v>26</v>
          </cell>
          <cell r="BN524">
            <v>298</v>
          </cell>
          <cell r="BO524">
            <v>0</v>
          </cell>
          <cell r="BP524">
            <v>54</v>
          </cell>
          <cell r="BQ524">
            <v>44</v>
          </cell>
          <cell r="BR524">
            <v>0</v>
          </cell>
          <cell r="BS524">
            <v>0</v>
          </cell>
          <cell r="BT524">
            <v>0</v>
          </cell>
          <cell r="BU524">
            <v>26</v>
          </cell>
          <cell r="BV524">
            <v>124</v>
          </cell>
          <cell r="BW524">
            <v>0</v>
          </cell>
          <cell r="BX524" t="str">
            <v>TIDAK</v>
          </cell>
          <cell r="BY524" t="str">
            <v>TIDAK</v>
          </cell>
        </row>
        <row r="525">
          <cell r="A525" t="str">
            <v>A2187</v>
          </cell>
          <cell r="B525" t="str">
            <v>Hana Fauzia</v>
          </cell>
          <cell r="C525" t="str">
            <v>RVO</v>
          </cell>
          <cell r="D525">
            <v>45052</v>
          </cell>
          <cell r="E525" t="str">
            <v>May-23</v>
          </cell>
          <cell r="F525" t="str">
            <v>REGULER</v>
          </cell>
          <cell r="G525" t="str">
            <v>REGULER</v>
          </cell>
          <cell r="H525" t="str">
            <v>REGULER</v>
          </cell>
          <cell r="I525" t="str">
            <v>REGULER</v>
          </cell>
          <cell r="J525" t="str">
            <v>REGULER</v>
          </cell>
          <cell r="K525" t="str">
            <v>REGULER</v>
          </cell>
          <cell r="L525" t="str">
            <v>-</v>
          </cell>
          <cell r="M525">
            <v>11</v>
          </cell>
          <cell r="N525">
            <v>35</v>
          </cell>
          <cell r="O525">
            <v>14</v>
          </cell>
          <cell r="P525">
            <v>11</v>
          </cell>
          <cell r="Q525">
            <v>8</v>
          </cell>
          <cell r="R525">
            <v>5</v>
          </cell>
          <cell r="S525">
            <v>0</v>
          </cell>
          <cell r="T525">
            <v>84</v>
          </cell>
          <cell r="U525">
            <v>11</v>
          </cell>
          <cell r="V525">
            <v>35</v>
          </cell>
          <cell r="W525">
            <v>14</v>
          </cell>
          <cell r="X525">
            <v>11</v>
          </cell>
          <cell r="Y525">
            <v>8</v>
          </cell>
          <cell r="Z525">
            <v>5</v>
          </cell>
          <cell r="AA525">
            <v>0</v>
          </cell>
          <cell r="AB525">
            <v>84</v>
          </cell>
          <cell r="AC525">
            <v>1</v>
          </cell>
          <cell r="AD525" t="str">
            <v>TIDAK</v>
          </cell>
          <cell r="AE525" t="str">
            <v>TIDAK</v>
          </cell>
          <cell r="AF525">
            <v>84</v>
          </cell>
          <cell r="AG525">
            <v>3</v>
          </cell>
          <cell r="AH525" t="str">
            <v>SAPHIRE</v>
          </cell>
          <cell r="AI525">
            <v>0</v>
          </cell>
          <cell r="AJ525" t="str">
            <v>Y</v>
          </cell>
          <cell r="AK525">
            <v>0</v>
          </cell>
          <cell r="AL525">
            <v>45261</v>
          </cell>
          <cell r="AM525">
            <v>45701</v>
          </cell>
          <cell r="AN525">
            <v>1</v>
          </cell>
          <cell r="AO525">
            <v>84</v>
          </cell>
          <cell r="AP525" t="str">
            <v>-</v>
          </cell>
          <cell r="AQ525" t="str">
            <v>-</v>
          </cell>
          <cell r="AR525" t="str">
            <v>REGULER</v>
          </cell>
          <cell r="AS525" t="str">
            <v>REGULER</v>
          </cell>
          <cell r="AT525" t="str">
            <v>REGULER</v>
          </cell>
          <cell r="AU525" t="str">
            <v>REGULER</v>
          </cell>
          <cell r="AV525" t="str">
            <v/>
          </cell>
          <cell r="AW525">
            <v>32</v>
          </cell>
          <cell r="AX525">
            <v>7</v>
          </cell>
          <cell r="AY525">
            <v>17</v>
          </cell>
          <cell r="AZ525">
            <v>20</v>
          </cell>
          <cell r="BA525">
            <v>14</v>
          </cell>
          <cell r="BB525">
            <v>32</v>
          </cell>
          <cell r="BC525">
            <v>7</v>
          </cell>
          <cell r="BD525">
            <v>17</v>
          </cell>
          <cell r="BE525">
            <v>20</v>
          </cell>
          <cell r="BF525">
            <v>14</v>
          </cell>
          <cell r="BG525" t="str">
            <v/>
          </cell>
          <cell r="BH525">
            <v>32</v>
          </cell>
          <cell r="BI525">
            <v>7</v>
          </cell>
          <cell r="BJ525">
            <v>17</v>
          </cell>
          <cell r="BK525">
            <v>20</v>
          </cell>
          <cell r="BL525">
            <v>14</v>
          </cell>
          <cell r="BM525" t="str">
            <v/>
          </cell>
          <cell r="BN525">
            <v>90</v>
          </cell>
          <cell r="BO525" t="str">
            <v/>
          </cell>
          <cell r="BP525">
            <v>32</v>
          </cell>
          <cell r="BQ525">
            <v>7</v>
          </cell>
          <cell r="BR525">
            <v>17</v>
          </cell>
          <cell r="BS525">
            <v>20</v>
          </cell>
          <cell r="BT525">
            <v>14</v>
          </cell>
          <cell r="BU525" t="str">
            <v/>
          </cell>
          <cell r="BV525">
            <v>90</v>
          </cell>
          <cell r="BW525">
            <v>2</v>
          </cell>
          <cell r="BX525" t="str">
            <v>TIDAK</v>
          </cell>
          <cell r="BY525" t="str">
            <v>TIDAK</v>
          </cell>
        </row>
        <row r="526">
          <cell r="A526" t="str">
            <v>A2396</v>
          </cell>
          <cell r="B526" t="str">
            <v>Ilyas Fahmi</v>
          </cell>
          <cell r="C526" t="str">
            <v>RVO</v>
          </cell>
          <cell r="D526">
            <v>45079</v>
          </cell>
          <cell r="E526" t="str">
            <v>Jun-23</v>
          </cell>
          <cell r="F526" t="str">
            <v>REGULER</v>
          </cell>
          <cell r="G526" t="str">
            <v>REGULER</v>
          </cell>
          <cell r="H526" t="str">
            <v>REGULER</v>
          </cell>
          <cell r="I526" t="str">
            <v>REGULER</v>
          </cell>
          <cell r="J526" t="str">
            <v>EKSKLUSIF</v>
          </cell>
          <cell r="K526" t="str">
            <v>EKSKLUSIF</v>
          </cell>
          <cell r="L526" t="str">
            <v>EKSKLUSIF</v>
          </cell>
          <cell r="M526">
            <v>12</v>
          </cell>
          <cell r="N526">
            <v>24</v>
          </cell>
          <cell r="O526">
            <v>32</v>
          </cell>
          <cell r="P526">
            <v>29</v>
          </cell>
          <cell r="Q526">
            <v>41</v>
          </cell>
          <cell r="R526">
            <v>44</v>
          </cell>
          <cell r="S526">
            <v>0</v>
          </cell>
          <cell r="T526">
            <v>182</v>
          </cell>
          <cell r="U526">
            <v>12</v>
          </cell>
          <cell r="V526">
            <v>24</v>
          </cell>
          <cell r="W526">
            <v>32</v>
          </cell>
          <cell r="X526">
            <v>29</v>
          </cell>
          <cell r="Y526">
            <v>0</v>
          </cell>
          <cell r="Z526">
            <v>0</v>
          </cell>
          <cell r="AA526">
            <v>0</v>
          </cell>
          <cell r="AB526">
            <v>97</v>
          </cell>
          <cell r="AC526">
            <v>1</v>
          </cell>
          <cell r="AD526" t="str">
            <v>TIDAK</v>
          </cell>
          <cell r="AE526" t="str">
            <v>TIDAK</v>
          </cell>
          <cell r="AF526">
            <v>97</v>
          </cell>
          <cell r="AG526">
            <v>3</v>
          </cell>
          <cell r="AH526" t="str">
            <v>SAPHIRE</v>
          </cell>
          <cell r="AI526">
            <v>0</v>
          </cell>
          <cell r="AJ526" t="str">
            <v>Y</v>
          </cell>
          <cell r="AK526">
            <v>0</v>
          </cell>
          <cell r="AL526">
            <v>45261</v>
          </cell>
          <cell r="AM526">
            <v>45701</v>
          </cell>
          <cell r="AN526">
            <v>1</v>
          </cell>
          <cell r="AO526">
            <v>97</v>
          </cell>
          <cell r="AP526" t="str">
            <v>EKSKLUSIF</v>
          </cell>
          <cell r="AQ526" t="str">
            <v>-</v>
          </cell>
          <cell r="AR526" t="str">
            <v>EKSKLUSIF</v>
          </cell>
          <cell r="AS526" t="str">
            <v>EKSKLUSIF</v>
          </cell>
          <cell r="AT526" t="str">
            <v>REGULER</v>
          </cell>
          <cell r="AU526" t="str">
            <v>REGULER</v>
          </cell>
          <cell r="AV526" t="str">
            <v/>
          </cell>
          <cell r="AW526">
            <v>52</v>
          </cell>
          <cell r="AX526">
            <v>47</v>
          </cell>
          <cell r="AY526">
            <v>47</v>
          </cell>
          <cell r="AZ526">
            <v>29</v>
          </cell>
          <cell r="BA526">
            <v>13</v>
          </cell>
          <cell r="BB526">
            <v>52</v>
          </cell>
          <cell r="BC526">
            <v>47</v>
          </cell>
          <cell r="BD526">
            <v>47</v>
          </cell>
          <cell r="BE526">
            <v>29</v>
          </cell>
          <cell r="BF526">
            <v>13</v>
          </cell>
          <cell r="BG526">
            <v>23</v>
          </cell>
          <cell r="BH526">
            <v>52</v>
          </cell>
          <cell r="BI526">
            <v>47</v>
          </cell>
          <cell r="BJ526">
            <v>47</v>
          </cell>
          <cell r="BK526">
            <v>29</v>
          </cell>
          <cell r="BL526">
            <v>13</v>
          </cell>
          <cell r="BM526" t="str">
            <v/>
          </cell>
          <cell r="BN526">
            <v>211</v>
          </cell>
          <cell r="BO526">
            <v>0</v>
          </cell>
          <cell r="BP526">
            <v>52</v>
          </cell>
          <cell r="BQ526">
            <v>0</v>
          </cell>
          <cell r="BR526">
            <v>0</v>
          </cell>
          <cell r="BS526">
            <v>29</v>
          </cell>
          <cell r="BT526">
            <v>13</v>
          </cell>
          <cell r="BU526" t="str">
            <v/>
          </cell>
          <cell r="BV526">
            <v>94</v>
          </cell>
          <cell r="BW526">
            <v>1</v>
          </cell>
          <cell r="BX526" t="str">
            <v>TIDAK</v>
          </cell>
          <cell r="BY526" t="str">
            <v>TIDAK</v>
          </cell>
        </row>
        <row r="527">
          <cell r="A527" t="str">
            <v>A3443</v>
          </cell>
          <cell r="B527" t="str">
            <v>Imam Marzuki</v>
          </cell>
          <cell r="C527" t="str">
            <v>RVO</v>
          </cell>
          <cell r="D527">
            <v>45286</v>
          </cell>
          <cell r="E527" t="str">
            <v>Dec-23</v>
          </cell>
          <cell r="F527" t="str">
            <v>REGULER</v>
          </cell>
          <cell r="G527" t="str">
            <v>REGULER</v>
          </cell>
          <cell r="H527" t="str">
            <v>-</v>
          </cell>
          <cell r="I527" t="str">
            <v>-</v>
          </cell>
          <cell r="J527" t="str">
            <v>-</v>
          </cell>
          <cell r="K527" t="str">
            <v>-</v>
          </cell>
          <cell r="L527" t="str">
            <v>-</v>
          </cell>
          <cell r="M527">
            <v>4</v>
          </cell>
          <cell r="N527">
            <v>5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9</v>
          </cell>
          <cell r="U527">
            <v>4</v>
          </cell>
          <cell r="V527">
            <v>5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9</v>
          </cell>
          <cell r="AC527">
            <v>5</v>
          </cell>
          <cell r="AD527" t="str">
            <v>DOWNGRADE</v>
          </cell>
          <cell r="AE527" t="str">
            <v>RESET</v>
          </cell>
          <cell r="AF527">
            <v>0</v>
          </cell>
          <cell r="AG527">
            <v>1</v>
          </cell>
          <cell r="AH527" t="str">
            <v>SAPHIRE</v>
          </cell>
          <cell r="AI527">
            <v>0</v>
          </cell>
          <cell r="AJ527" t="str">
            <v>FALSE</v>
          </cell>
          <cell r="AK527">
            <v>0</v>
          </cell>
          <cell r="AL527">
            <v>45261</v>
          </cell>
          <cell r="AM527">
            <v>45701</v>
          </cell>
          <cell r="AN527">
            <v>1</v>
          </cell>
          <cell r="AO527">
            <v>0</v>
          </cell>
          <cell r="AP527" t="str">
            <v>-</v>
          </cell>
          <cell r="AQ527" t="str">
            <v>-</v>
          </cell>
          <cell r="AR527" t="str">
            <v>-</v>
          </cell>
          <cell r="AS527" t="str">
            <v>-</v>
          </cell>
          <cell r="AT527" t="str">
            <v>-</v>
          </cell>
          <cell r="AU527" t="str">
            <v>-</v>
          </cell>
          <cell r="AV527" t="str">
            <v/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 t="str">
            <v/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 t="str">
            <v/>
          </cell>
          <cell r="BN527">
            <v>0</v>
          </cell>
          <cell r="BO527" t="str">
            <v/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 t="str">
            <v/>
          </cell>
          <cell r="BV527">
            <v>0</v>
          </cell>
          <cell r="BW527">
            <v>7</v>
          </cell>
          <cell r="BX527" t="str">
            <v>DOWNGRADE</v>
          </cell>
          <cell r="BY527" t="str">
            <v>RESET</v>
          </cell>
        </row>
        <row r="528">
          <cell r="A528" t="str">
            <v>A3442</v>
          </cell>
          <cell r="B528" t="str">
            <v>Irfan Febriyantoro</v>
          </cell>
          <cell r="C528" t="str">
            <v>RVO</v>
          </cell>
          <cell r="D528">
            <v>45286</v>
          </cell>
          <cell r="E528" t="str">
            <v>Dec-23</v>
          </cell>
          <cell r="F528" t="str">
            <v>REGULER</v>
          </cell>
          <cell r="G528" t="str">
            <v>REGULER</v>
          </cell>
          <cell r="H528" t="str">
            <v>REGULER</v>
          </cell>
          <cell r="I528" t="str">
            <v>REGULER</v>
          </cell>
          <cell r="J528" t="str">
            <v>EKSKLUSIF</v>
          </cell>
          <cell r="K528" t="str">
            <v>EKSKLUSIF</v>
          </cell>
          <cell r="L528" t="str">
            <v>EKSKLUSIF</v>
          </cell>
          <cell r="M528">
            <v>5</v>
          </cell>
          <cell r="N528">
            <v>6</v>
          </cell>
          <cell r="O528">
            <v>20</v>
          </cell>
          <cell r="P528">
            <v>33</v>
          </cell>
          <cell r="Q528">
            <v>44</v>
          </cell>
          <cell r="R528">
            <v>47</v>
          </cell>
          <cell r="S528">
            <v>23</v>
          </cell>
          <cell r="T528">
            <v>178</v>
          </cell>
          <cell r="U528">
            <v>5</v>
          </cell>
          <cell r="V528">
            <v>6</v>
          </cell>
          <cell r="W528">
            <v>20</v>
          </cell>
          <cell r="X528">
            <v>33</v>
          </cell>
          <cell r="Y528">
            <v>0</v>
          </cell>
          <cell r="Z528">
            <v>0</v>
          </cell>
          <cell r="AA528">
            <v>0</v>
          </cell>
          <cell r="AB528">
            <v>64</v>
          </cell>
          <cell r="AC528">
            <v>0</v>
          </cell>
          <cell r="AD528" t="str">
            <v>TIDAK</v>
          </cell>
          <cell r="AE528" t="str">
            <v>TIDAK</v>
          </cell>
          <cell r="AF528">
            <v>64</v>
          </cell>
          <cell r="AG528">
            <v>1</v>
          </cell>
          <cell r="AH528" t="str">
            <v>SAPHIRE</v>
          </cell>
          <cell r="AI528">
            <v>0</v>
          </cell>
          <cell r="AJ528" t="str">
            <v>FALSE</v>
          </cell>
          <cell r="AK528">
            <v>0</v>
          </cell>
          <cell r="AL528">
            <v>45261</v>
          </cell>
          <cell r="AM528">
            <v>45701</v>
          </cell>
          <cell r="AN528">
            <v>1</v>
          </cell>
          <cell r="AO528">
            <v>64</v>
          </cell>
          <cell r="AP528" t="str">
            <v>EKSKLUSIF</v>
          </cell>
          <cell r="AQ528" t="str">
            <v>-</v>
          </cell>
          <cell r="AR528" t="str">
            <v>REGULER</v>
          </cell>
          <cell r="AS528" t="str">
            <v>REGULER</v>
          </cell>
          <cell r="AT528" t="str">
            <v>EKSKLUSIF</v>
          </cell>
          <cell r="AU528" t="str">
            <v>EKSKLUSIF</v>
          </cell>
          <cell r="AV528" t="str">
            <v/>
          </cell>
          <cell r="AW528">
            <v>50</v>
          </cell>
          <cell r="AX528">
            <v>36</v>
          </cell>
          <cell r="AY528">
            <v>35</v>
          </cell>
          <cell r="AZ528">
            <v>51</v>
          </cell>
          <cell r="BA528">
            <v>44</v>
          </cell>
          <cell r="BB528">
            <v>50</v>
          </cell>
          <cell r="BC528">
            <v>36</v>
          </cell>
          <cell r="BD528">
            <v>35</v>
          </cell>
          <cell r="BE528">
            <v>51</v>
          </cell>
          <cell r="BF528">
            <v>44</v>
          </cell>
          <cell r="BG528">
            <v>24</v>
          </cell>
          <cell r="BH528">
            <v>50</v>
          </cell>
          <cell r="BI528">
            <v>36</v>
          </cell>
          <cell r="BJ528">
            <v>35</v>
          </cell>
          <cell r="BK528">
            <v>51</v>
          </cell>
          <cell r="BL528">
            <v>44</v>
          </cell>
          <cell r="BM528">
            <v>22</v>
          </cell>
          <cell r="BN528">
            <v>262</v>
          </cell>
          <cell r="BO528">
            <v>0</v>
          </cell>
          <cell r="BP528">
            <v>50</v>
          </cell>
          <cell r="BQ528">
            <v>36</v>
          </cell>
          <cell r="BR528">
            <v>35</v>
          </cell>
          <cell r="BS528">
            <v>0</v>
          </cell>
          <cell r="BT528">
            <v>0</v>
          </cell>
          <cell r="BU528">
            <v>22</v>
          </cell>
          <cell r="BV528">
            <v>143</v>
          </cell>
          <cell r="BW528">
            <v>0</v>
          </cell>
          <cell r="BX528" t="str">
            <v>TIDAK</v>
          </cell>
          <cell r="BY528" t="str">
            <v>TIDAK</v>
          </cell>
        </row>
        <row r="529">
          <cell r="A529" t="str">
            <v>A3974</v>
          </cell>
          <cell r="B529" t="str">
            <v>ISTIQOMAH KHUSNUL SYAFAAH</v>
          </cell>
          <cell r="C529" t="str">
            <v>RVO</v>
          </cell>
          <cell r="D529">
            <v>45427</v>
          </cell>
          <cell r="E529" t="str">
            <v>May-24</v>
          </cell>
          <cell r="F529" t="str">
            <v>-</v>
          </cell>
          <cell r="G529" t="str">
            <v>-</v>
          </cell>
          <cell r="H529" t="str">
            <v>-</v>
          </cell>
          <cell r="I529" t="str">
            <v>-</v>
          </cell>
          <cell r="J529" t="str">
            <v>-</v>
          </cell>
          <cell r="K529" t="str">
            <v>REGULER</v>
          </cell>
          <cell r="L529" t="str">
            <v>-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5</v>
          </cell>
          <cell r="S529">
            <v>0</v>
          </cell>
          <cell r="T529">
            <v>5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5</v>
          </cell>
          <cell r="AA529">
            <v>0</v>
          </cell>
          <cell r="AB529">
            <v>5</v>
          </cell>
          <cell r="AC529">
            <v>1</v>
          </cell>
          <cell r="AD529" t="str">
            <v>TIDAK</v>
          </cell>
          <cell r="AE529" t="str">
            <v>TIDAK</v>
          </cell>
          <cell r="AF529">
            <v>5</v>
          </cell>
          <cell r="AG529">
            <v>1</v>
          </cell>
          <cell r="AH529" t="str">
            <v>SAPHIRE</v>
          </cell>
          <cell r="AI529">
            <v>0</v>
          </cell>
          <cell r="AJ529" t="str">
            <v>FALSE</v>
          </cell>
          <cell r="AK529">
            <v>0</v>
          </cell>
          <cell r="AL529">
            <v>45261</v>
          </cell>
          <cell r="AM529">
            <v>45701</v>
          </cell>
          <cell r="AN529">
            <v>1</v>
          </cell>
          <cell r="AO529">
            <v>5</v>
          </cell>
          <cell r="AP529" t="str">
            <v>-</v>
          </cell>
          <cell r="AQ529" t="str">
            <v>-</v>
          </cell>
          <cell r="AR529" t="str">
            <v>-</v>
          </cell>
          <cell r="AS529" t="str">
            <v>-</v>
          </cell>
          <cell r="AT529" t="str">
            <v>-</v>
          </cell>
          <cell r="AU529" t="str">
            <v>-</v>
          </cell>
          <cell r="AV529" t="str">
            <v/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 t="str">
            <v/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 t="str">
            <v/>
          </cell>
          <cell r="BN529">
            <v>0</v>
          </cell>
          <cell r="BO529" t="str">
            <v/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 t="str">
            <v/>
          </cell>
          <cell r="BV529">
            <v>0</v>
          </cell>
          <cell r="BW529">
            <v>7</v>
          </cell>
          <cell r="BX529" t="str">
            <v>DOWNGRADE</v>
          </cell>
          <cell r="BY529" t="str">
            <v>RESET</v>
          </cell>
        </row>
        <row r="530">
          <cell r="A530">
            <v>92463</v>
          </cell>
          <cell r="B530" t="str">
            <v>Ivah Desty Tiurlina Purba</v>
          </cell>
          <cell r="C530" t="str">
            <v>RVO</v>
          </cell>
          <cell r="D530">
            <v>44744</v>
          </cell>
          <cell r="E530" t="str">
            <v>Jul-22</v>
          </cell>
          <cell r="F530" t="str">
            <v>REGULER</v>
          </cell>
          <cell r="G530" t="str">
            <v>REGULER</v>
          </cell>
          <cell r="H530" t="str">
            <v>EKSKLUSIF</v>
          </cell>
          <cell r="I530" t="str">
            <v>EKSKLUSIF</v>
          </cell>
          <cell r="J530" t="str">
            <v>EKSKLUSIF</v>
          </cell>
          <cell r="K530" t="str">
            <v>REGULER</v>
          </cell>
          <cell r="L530" t="str">
            <v>-</v>
          </cell>
          <cell r="M530">
            <v>10</v>
          </cell>
          <cell r="N530">
            <v>22</v>
          </cell>
          <cell r="O530">
            <v>41</v>
          </cell>
          <cell r="P530">
            <v>41</v>
          </cell>
          <cell r="Q530">
            <v>36</v>
          </cell>
          <cell r="R530">
            <v>31</v>
          </cell>
          <cell r="S530">
            <v>0</v>
          </cell>
          <cell r="T530">
            <v>181</v>
          </cell>
          <cell r="U530">
            <v>10</v>
          </cell>
          <cell r="V530">
            <v>22</v>
          </cell>
          <cell r="W530">
            <v>0</v>
          </cell>
          <cell r="X530">
            <v>0</v>
          </cell>
          <cell r="Y530">
            <v>0</v>
          </cell>
          <cell r="Z530">
            <v>31</v>
          </cell>
          <cell r="AA530">
            <v>0</v>
          </cell>
          <cell r="AB530">
            <v>63</v>
          </cell>
          <cell r="AC530">
            <v>1</v>
          </cell>
          <cell r="AD530" t="str">
            <v>TIDAK</v>
          </cell>
          <cell r="AE530" t="str">
            <v>TIDAK</v>
          </cell>
          <cell r="AF530">
            <v>63</v>
          </cell>
          <cell r="AG530">
            <v>3</v>
          </cell>
          <cell r="AH530" t="str">
            <v>SAPHIRE</v>
          </cell>
          <cell r="AI530">
            <v>0</v>
          </cell>
          <cell r="AJ530" t="str">
            <v>FALSE</v>
          </cell>
          <cell r="AK530">
            <v>0</v>
          </cell>
          <cell r="AL530">
            <v>45261</v>
          </cell>
          <cell r="AM530">
            <v>45701</v>
          </cell>
          <cell r="AN530">
            <v>1</v>
          </cell>
          <cell r="AO530">
            <v>63</v>
          </cell>
          <cell r="AP530" t="str">
            <v>-</v>
          </cell>
          <cell r="AQ530" t="str">
            <v>-</v>
          </cell>
          <cell r="AR530" t="str">
            <v>-</v>
          </cell>
          <cell r="AS530" t="str">
            <v>-</v>
          </cell>
          <cell r="AT530" t="str">
            <v>-</v>
          </cell>
          <cell r="AU530" t="str">
            <v>-</v>
          </cell>
          <cell r="AV530" t="str">
            <v/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 t="str">
            <v/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 t="str">
            <v/>
          </cell>
          <cell r="BN530">
            <v>0</v>
          </cell>
          <cell r="BO530" t="str">
            <v/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 t="str">
            <v/>
          </cell>
          <cell r="BV530">
            <v>0</v>
          </cell>
          <cell r="BW530">
            <v>7</v>
          </cell>
          <cell r="BX530" t="str">
            <v>DOWNGRADE</v>
          </cell>
          <cell r="BY530" t="str">
            <v>RESET</v>
          </cell>
        </row>
        <row r="531">
          <cell r="A531">
            <v>92511</v>
          </cell>
          <cell r="B531" t="str">
            <v>Jeni Brian Pratiwi</v>
          </cell>
          <cell r="C531" t="str">
            <v>RVO</v>
          </cell>
          <cell r="D531">
            <v>44851</v>
          </cell>
          <cell r="E531" t="str">
            <v>Oct-22</v>
          </cell>
          <cell r="F531" t="str">
            <v>REGULER</v>
          </cell>
          <cell r="G531" t="str">
            <v>REGULER</v>
          </cell>
          <cell r="H531" t="str">
            <v>REGULER</v>
          </cell>
          <cell r="I531" t="str">
            <v>REGULER</v>
          </cell>
          <cell r="J531" t="str">
            <v>REGULER</v>
          </cell>
          <cell r="K531" t="str">
            <v>REGULER</v>
          </cell>
          <cell r="L531" t="str">
            <v>REGULER</v>
          </cell>
          <cell r="M531">
            <v>6</v>
          </cell>
          <cell r="N531">
            <v>18</v>
          </cell>
          <cell r="O531">
            <v>13</v>
          </cell>
          <cell r="P531">
            <v>17</v>
          </cell>
          <cell r="Q531">
            <v>11</v>
          </cell>
          <cell r="R531">
            <v>18</v>
          </cell>
          <cell r="S531">
            <v>9</v>
          </cell>
          <cell r="T531">
            <v>92</v>
          </cell>
          <cell r="U531">
            <v>6</v>
          </cell>
          <cell r="V531">
            <v>18</v>
          </cell>
          <cell r="W531">
            <v>13</v>
          </cell>
          <cell r="X531">
            <v>17</v>
          </cell>
          <cell r="Y531">
            <v>11</v>
          </cell>
          <cell r="Z531">
            <v>18</v>
          </cell>
          <cell r="AA531">
            <v>9</v>
          </cell>
          <cell r="AB531">
            <v>92</v>
          </cell>
          <cell r="AC531">
            <v>0</v>
          </cell>
          <cell r="AD531" t="str">
            <v>TIDAK</v>
          </cell>
          <cell r="AE531" t="str">
            <v>TIDAK</v>
          </cell>
          <cell r="AF531">
            <v>92</v>
          </cell>
          <cell r="AG531">
            <v>3</v>
          </cell>
          <cell r="AH531" t="str">
            <v>SAPHIRE</v>
          </cell>
          <cell r="AI531">
            <v>0</v>
          </cell>
          <cell r="AJ531" t="str">
            <v>Y</v>
          </cell>
          <cell r="AK531">
            <v>0</v>
          </cell>
          <cell r="AL531">
            <v>45261</v>
          </cell>
          <cell r="AM531">
            <v>45701</v>
          </cell>
          <cell r="AN531">
            <v>1</v>
          </cell>
          <cell r="AO531">
            <v>92</v>
          </cell>
          <cell r="AP531" t="str">
            <v>-</v>
          </cell>
          <cell r="AQ531" t="str">
            <v>-</v>
          </cell>
          <cell r="AR531" t="str">
            <v>REGULER</v>
          </cell>
          <cell r="AS531" t="str">
            <v>REGULER</v>
          </cell>
          <cell r="AT531" t="str">
            <v>REGULER</v>
          </cell>
          <cell r="AU531" t="str">
            <v>REGULER</v>
          </cell>
          <cell r="AV531" t="str">
            <v/>
          </cell>
          <cell r="AW531">
            <v>19</v>
          </cell>
          <cell r="AX531">
            <v>22</v>
          </cell>
          <cell r="AY531">
            <v>20</v>
          </cell>
          <cell r="AZ531">
            <v>26</v>
          </cell>
          <cell r="BA531">
            <v>28</v>
          </cell>
          <cell r="BB531">
            <v>19</v>
          </cell>
          <cell r="BC531">
            <v>22</v>
          </cell>
          <cell r="BD531">
            <v>20</v>
          </cell>
          <cell r="BE531">
            <v>26</v>
          </cell>
          <cell r="BF531">
            <v>28</v>
          </cell>
          <cell r="BG531">
            <v>8</v>
          </cell>
          <cell r="BH531">
            <v>19</v>
          </cell>
          <cell r="BI531">
            <v>22</v>
          </cell>
          <cell r="BJ531">
            <v>20</v>
          </cell>
          <cell r="BK531">
            <v>26</v>
          </cell>
          <cell r="BL531">
            <v>28</v>
          </cell>
          <cell r="BM531">
            <v>10</v>
          </cell>
          <cell r="BN531">
            <v>133</v>
          </cell>
          <cell r="BO531">
            <v>8</v>
          </cell>
          <cell r="BP531">
            <v>19</v>
          </cell>
          <cell r="BQ531">
            <v>22</v>
          </cell>
          <cell r="BR531">
            <v>20</v>
          </cell>
          <cell r="BS531">
            <v>26</v>
          </cell>
          <cell r="BT531">
            <v>28</v>
          </cell>
          <cell r="BU531">
            <v>10</v>
          </cell>
          <cell r="BV531">
            <v>133</v>
          </cell>
          <cell r="BW531">
            <v>0</v>
          </cell>
          <cell r="BX531" t="str">
            <v>TIDAK</v>
          </cell>
          <cell r="BY531" t="str">
            <v>TIDAK</v>
          </cell>
        </row>
        <row r="532">
          <cell r="A532" t="str">
            <v>A2808</v>
          </cell>
          <cell r="B532" t="str">
            <v>Jerry Christofer</v>
          </cell>
          <cell r="C532" t="str">
            <v>RVO</v>
          </cell>
          <cell r="D532">
            <v>45199</v>
          </cell>
          <cell r="E532" t="str">
            <v>Sep-23</v>
          </cell>
          <cell r="F532" t="str">
            <v>REGULER</v>
          </cell>
          <cell r="G532" t="str">
            <v>REGULER</v>
          </cell>
          <cell r="H532" t="str">
            <v>REGULER</v>
          </cell>
          <cell r="I532" t="str">
            <v>REGULER</v>
          </cell>
          <cell r="J532" t="str">
            <v>REGULER</v>
          </cell>
          <cell r="K532" t="str">
            <v>REGULER</v>
          </cell>
          <cell r="L532" t="str">
            <v>REGULER</v>
          </cell>
          <cell r="M532">
            <v>17</v>
          </cell>
          <cell r="N532">
            <v>35</v>
          </cell>
          <cell r="O532">
            <v>25</v>
          </cell>
          <cell r="P532">
            <v>11</v>
          </cell>
          <cell r="Q532">
            <v>28</v>
          </cell>
          <cell r="R532">
            <v>3</v>
          </cell>
          <cell r="S532">
            <v>4</v>
          </cell>
          <cell r="T532">
            <v>123</v>
          </cell>
          <cell r="U532">
            <v>17</v>
          </cell>
          <cell r="V532">
            <v>35</v>
          </cell>
          <cell r="W532">
            <v>25</v>
          </cell>
          <cell r="X532">
            <v>11</v>
          </cell>
          <cell r="Y532">
            <v>28</v>
          </cell>
          <cell r="Z532">
            <v>3</v>
          </cell>
          <cell r="AA532">
            <v>4</v>
          </cell>
          <cell r="AB532">
            <v>123</v>
          </cell>
          <cell r="AC532">
            <v>0</v>
          </cell>
          <cell r="AD532" t="str">
            <v>TIDAK</v>
          </cell>
          <cell r="AE532" t="str">
            <v>TIDAK</v>
          </cell>
          <cell r="AF532">
            <v>123</v>
          </cell>
          <cell r="AG532">
            <v>2</v>
          </cell>
          <cell r="AH532" t="str">
            <v>SAPHIRE</v>
          </cell>
          <cell r="AI532">
            <v>0</v>
          </cell>
          <cell r="AJ532" t="str">
            <v>Y</v>
          </cell>
          <cell r="AK532">
            <v>0</v>
          </cell>
          <cell r="AL532">
            <v>45261</v>
          </cell>
          <cell r="AM532">
            <v>45701</v>
          </cell>
          <cell r="AN532">
            <v>1</v>
          </cell>
          <cell r="AO532">
            <v>123</v>
          </cell>
          <cell r="AP532" t="str">
            <v>-</v>
          </cell>
          <cell r="AQ532" t="str">
            <v>-</v>
          </cell>
          <cell r="AR532" t="str">
            <v>REGULER</v>
          </cell>
          <cell r="AS532" t="str">
            <v>-</v>
          </cell>
          <cell r="AT532" t="str">
            <v>-</v>
          </cell>
          <cell r="AU532" t="str">
            <v>-</v>
          </cell>
          <cell r="AV532" t="str">
            <v/>
          </cell>
          <cell r="AW532">
            <v>15</v>
          </cell>
          <cell r="AX532">
            <v>8</v>
          </cell>
          <cell r="AY532">
            <v>0</v>
          </cell>
          <cell r="AZ532">
            <v>0</v>
          </cell>
          <cell r="BA532">
            <v>0</v>
          </cell>
          <cell r="BB532">
            <v>15</v>
          </cell>
          <cell r="BC532">
            <v>8</v>
          </cell>
          <cell r="BD532">
            <v>0</v>
          </cell>
          <cell r="BE532">
            <v>0</v>
          </cell>
          <cell r="BF532">
            <v>0</v>
          </cell>
          <cell r="BG532">
            <v>4</v>
          </cell>
          <cell r="BH532">
            <v>15</v>
          </cell>
          <cell r="BI532">
            <v>8</v>
          </cell>
          <cell r="BJ532">
            <v>0</v>
          </cell>
          <cell r="BK532">
            <v>0</v>
          </cell>
          <cell r="BL532">
            <v>0</v>
          </cell>
          <cell r="BM532" t="str">
            <v/>
          </cell>
          <cell r="BN532">
            <v>27</v>
          </cell>
          <cell r="BO532">
            <v>4</v>
          </cell>
          <cell r="BP532">
            <v>15</v>
          </cell>
          <cell r="BQ532">
            <v>8</v>
          </cell>
          <cell r="BR532">
            <v>0</v>
          </cell>
          <cell r="BS532">
            <v>0</v>
          </cell>
          <cell r="BT532">
            <v>0</v>
          </cell>
          <cell r="BU532" t="str">
            <v/>
          </cell>
          <cell r="BV532">
            <v>27</v>
          </cell>
          <cell r="BW532">
            <v>4</v>
          </cell>
          <cell r="BX532" t="str">
            <v>DOWNGRADE</v>
          </cell>
          <cell r="BY532" t="str">
            <v>RESET</v>
          </cell>
        </row>
        <row r="533">
          <cell r="A533">
            <v>90613</v>
          </cell>
          <cell r="B533" t="str">
            <v>Johan Aiman Rais</v>
          </cell>
          <cell r="C533" t="str">
            <v>RVO</v>
          </cell>
          <cell r="D533">
            <v>44393</v>
          </cell>
          <cell r="E533" t="str">
            <v>Jul-21</v>
          </cell>
          <cell r="F533" t="str">
            <v>EKSKLUSIF</v>
          </cell>
          <cell r="G533" t="str">
            <v>EKSKLUSIF</v>
          </cell>
          <cell r="H533" t="str">
            <v>EKSKLUSIF</v>
          </cell>
          <cell r="I533" t="str">
            <v>EKSKLUSIF</v>
          </cell>
          <cell r="J533" t="str">
            <v>EKSKLUSIF</v>
          </cell>
          <cell r="K533" t="str">
            <v>EKSKLUSIF</v>
          </cell>
          <cell r="L533" t="str">
            <v>EKSKLUSIF</v>
          </cell>
          <cell r="M533">
            <v>26</v>
          </cell>
          <cell r="N533">
            <v>51</v>
          </cell>
          <cell r="O533">
            <v>45</v>
          </cell>
          <cell r="P533">
            <v>49</v>
          </cell>
          <cell r="Q533">
            <v>34</v>
          </cell>
          <cell r="R533">
            <v>43</v>
          </cell>
          <cell r="S533">
            <v>0</v>
          </cell>
          <cell r="T533">
            <v>248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1</v>
          </cell>
          <cell r="AD533" t="str">
            <v>TIDAK</v>
          </cell>
          <cell r="AE533" t="str">
            <v>TIDAK</v>
          </cell>
          <cell r="AF533">
            <v>0</v>
          </cell>
          <cell r="AG533">
            <v>3</v>
          </cell>
          <cell r="AH533" t="str">
            <v>SAPHIRE</v>
          </cell>
          <cell r="AI533">
            <v>0</v>
          </cell>
          <cell r="AJ533" t="str">
            <v>FALSE</v>
          </cell>
          <cell r="AK533">
            <v>0</v>
          </cell>
          <cell r="AL533">
            <v>45261</v>
          </cell>
          <cell r="AM533">
            <v>45701</v>
          </cell>
          <cell r="AN533">
            <v>1</v>
          </cell>
          <cell r="AO533">
            <v>0</v>
          </cell>
          <cell r="AP533" t="str">
            <v>EKSKLUSIF</v>
          </cell>
          <cell r="AQ533" t="str">
            <v>-</v>
          </cell>
          <cell r="AR533" t="str">
            <v>EKSKLUSIF</v>
          </cell>
          <cell r="AS533" t="str">
            <v>EKSKLUSIF</v>
          </cell>
          <cell r="AT533" t="str">
            <v>EKSKLUSIF</v>
          </cell>
          <cell r="AU533" t="str">
            <v>EKSKLUSIF</v>
          </cell>
          <cell r="AV533" t="str">
            <v/>
          </cell>
          <cell r="AW533">
            <v>60</v>
          </cell>
          <cell r="AX533">
            <v>56</v>
          </cell>
          <cell r="AY533">
            <v>56</v>
          </cell>
          <cell r="AZ533">
            <v>59</v>
          </cell>
          <cell r="BA533">
            <v>57</v>
          </cell>
          <cell r="BB533">
            <v>60</v>
          </cell>
          <cell r="BC533">
            <v>56</v>
          </cell>
          <cell r="BD533">
            <v>56</v>
          </cell>
          <cell r="BE533">
            <v>59</v>
          </cell>
          <cell r="BF533">
            <v>57</v>
          </cell>
          <cell r="BG533">
            <v>25</v>
          </cell>
          <cell r="BH533">
            <v>60</v>
          </cell>
          <cell r="BI533">
            <v>56</v>
          </cell>
          <cell r="BJ533">
            <v>56</v>
          </cell>
          <cell r="BK533">
            <v>59</v>
          </cell>
          <cell r="BL533">
            <v>57</v>
          </cell>
          <cell r="BM533">
            <v>27</v>
          </cell>
          <cell r="BN533">
            <v>340</v>
          </cell>
          <cell r="BO533">
            <v>0</v>
          </cell>
          <cell r="BP533">
            <v>60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27</v>
          </cell>
          <cell r="BV533">
            <v>87</v>
          </cell>
          <cell r="BW533">
            <v>0</v>
          </cell>
          <cell r="BX533" t="str">
            <v>TIDAK</v>
          </cell>
          <cell r="BY533" t="str">
            <v>TIDAK</v>
          </cell>
        </row>
        <row r="534">
          <cell r="A534" t="str">
            <v>A3977</v>
          </cell>
          <cell r="B534" t="str">
            <v>Kharistia Eka Kusuma</v>
          </cell>
          <cell r="C534" t="str">
            <v>RVO</v>
          </cell>
          <cell r="D534">
            <v>45415</v>
          </cell>
          <cell r="E534" t="str">
            <v>May-24</v>
          </cell>
          <cell r="F534" t="str">
            <v>-</v>
          </cell>
          <cell r="G534" t="str">
            <v>-</v>
          </cell>
          <cell r="H534" t="str">
            <v>-</v>
          </cell>
          <cell r="I534" t="str">
            <v>-</v>
          </cell>
          <cell r="J534" t="str">
            <v>REGULER</v>
          </cell>
          <cell r="K534" t="str">
            <v>REGULER</v>
          </cell>
          <cell r="L534" t="str">
            <v>REGULER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1</v>
          </cell>
          <cell r="R534">
            <v>24</v>
          </cell>
          <cell r="S534">
            <v>4</v>
          </cell>
          <cell r="T534">
            <v>29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1</v>
          </cell>
          <cell r="Z534">
            <v>24</v>
          </cell>
          <cell r="AA534">
            <v>4</v>
          </cell>
          <cell r="AB534">
            <v>29</v>
          </cell>
          <cell r="AC534">
            <v>0</v>
          </cell>
          <cell r="AD534" t="str">
            <v>TIDAK</v>
          </cell>
          <cell r="AE534" t="str">
            <v>TIDAK</v>
          </cell>
          <cell r="AF534">
            <v>29</v>
          </cell>
          <cell r="AG534">
            <v>1</v>
          </cell>
          <cell r="AH534" t="str">
            <v>SAPHIRE</v>
          </cell>
          <cell r="AI534">
            <v>0</v>
          </cell>
          <cell r="AJ534" t="str">
            <v>FALSE</v>
          </cell>
          <cell r="AK534">
            <v>0</v>
          </cell>
          <cell r="AL534">
            <v>45261</v>
          </cell>
          <cell r="AM534">
            <v>45701</v>
          </cell>
          <cell r="AN534">
            <v>1</v>
          </cell>
          <cell r="AO534">
            <v>29</v>
          </cell>
          <cell r="AP534" t="str">
            <v>-</v>
          </cell>
          <cell r="AQ534" t="str">
            <v>-</v>
          </cell>
          <cell r="AR534" t="str">
            <v>-</v>
          </cell>
          <cell r="AS534" t="str">
            <v>-</v>
          </cell>
          <cell r="AT534" t="str">
            <v>-</v>
          </cell>
          <cell r="AU534" t="str">
            <v>-</v>
          </cell>
          <cell r="AV534" t="str">
            <v/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 t="str">
            <v/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 t="str">
            <v/>
          </cell>
          <cell r="BN534">
            <v>0</v>
          </cell>
          <cell r="BO534" t="str">
            <v/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 t="str">
            <v/>
          </cell>
          <cell r="BV534">
            <v>0</v>
          </cell>
          <cell r="BW534">
            <v>7</v>
          </cell>
          <cell r="BX534" t="str">
            <v>DOWNGRADE</v>
          </cell>
          <cell r="BY534" t="str">
            <v>RESET</v>
          </cell>
        </row>
        <row r="535">
          <cell r="A535">
            <v>92619</v>
          </cell>
          <cell r="B535" t="str">
            <v>Klementine Novia Andriani</v>
          </cell>
          <cell r="C535" t="str">
            <v>RVO</v>
          </cell>
          <cell r="D535">
            <v>44805</v>
          </cell>
          <cell r="E535" t="str">
            <v>Sep-22</v>
          </cell>
          <cell r="F535" t="str">
            <v>REGULER</v>
          </cell>
          <cell r="G535" t="str">
            <v>-</v>
          </cell>
          <cell r="H535" t="str">
            <v>REGULER</v>
          </cell>
          <cell r="I535" t="str">
            <v>-</v>
          </cell>
          <cell r="J535" t="str">
            <v>-</v>
          </cell>
          <cell r="K535" t="str">
            <v>-</v>
          </cell>
          <cell r="L535" t="str">
            <v>-</v>
          </cell>
          <cell r="M535">
            <v>1</v>
          </cell>
          <cell r="N535">
            <v>0</v>
          </cell>
          <cell r="O535">
            <v>1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2</v>
          </cell>
          <cell r="U535">
            <v>1</v>
          </cell>
          <cell r="V535">
            <v>0</v>
          </cell>
          <cell r="W535">
            <v>1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2</v>
          </cell>
          <cell r="AC535">
            <v>5</v>
          </cell>
          <cell r="AD535" t="str">
            <v>DOWNGRADE</v>
          </cell>
          <cell r="AE535" t="str">
            <v>RESET</v>
          </cell>
          <cell r="AF535">
            <v>0</v>
          </cell>
          <cell r="AG535">
            <v>1</v>
          </cell>
          <cell r="AH535" t="str">
            <v>SAPHIRE</v>
          </cell>
          <cell r="AI535">
            <v>0</v>
          </cell>
          <cell r="AJ535" t="str">
            <v>FALSE</v>
          </cell>
          <cell r="AK535">
            <v>0</v>
          </cell>
          <cell r="AL535">
            <v>45261</v>
          </cell>
          <cell r="AM535">
            <v>45701</v>
          </cell>
          <cell r="AN535">
            <v>1</v>
          </cell>
          <cell r="AO535">
            <v>0</v>
          </cell>
          <cell r="AP535" t="str">
            <v>-</v>
          </cell>
          <cell r="AQ535" t="str">
            <v>-</v>
          </cell>
          <cell r="AR535" t="str">
            <v>-</v>
          </cell>
          <cell r="AS535" t="str">
            <v>-</v>
          </cell>
          <cell r="AT535" t="str">
            <v>-</v>
          </cell>
          <cell r="AU535" t="str">
            <v>-</v>
          </cell>
          <cell r="AV535" t="str">
            <v/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 t="str">
            <v/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 t="str">
            <v/>
          </cell>
          <cell r="BN535">
            <v>0</v>
          </cell>
          <cell r="BO535" t="str">
            <v/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 t="str">
            <v/>
          </cell>
          <cell r="BV535">
            <v>0</v>
          </cell>
          <cell r="BW535">
            <v>7</v>
          </cell>
          <cell r="BX535" t="str">
            <v>DOWNGRADE</v>
          </cell>
          <cell r="BY535" t="str">
            <v>RESET</v>
          </cell>
        </row>
        <row r="536">
          <cell r="A536">
            <v>92170</v>
          </cell>
          <cell r="B536" t="str">
            <v>Laras Sekar Ningtyas</v>
          </cell>
          <cell r="C536" t="str">
            <v>RVO</v>
          </cell>
          <cell r="D536">
            <v>44602</v>
          </cell>
          <cell r="E536" t="str">
            <v>Feb-22</v>
          </cell>
          <cell r="F536" t="str">
            <v>EKSKLUSIF</v>
          </cell>
          <cell r="G536" t="str">
            <v>EKSKLUSIF</v>
          </cell>
          <cell r="H536" t="str">
            <v>EKSKLUSIF</v>
          </cell>
          <cell r="I536" t="str">
            <v>REGULER</v>
          </cell>
          <cell r="J536" t="str">
            <v>REGULER</v>
          </cell>
          <cell r="K536" t="str">
            <v>-</v>
          </cell>
          <cell r="L536" t="str">
            <v>-</v>
          </cell>
          <cell r="M536">
            <v>20</v>
          </cell>
          <cell r="N536">
            <v>46</v>
          </cell>
          <cell r="O536">
            <v>34</v>
          </cell>
          <cell r="P536">
            <v>22</v>
          </cell>
          <cell r="Q536">
            <v>10</v>
          </cell>
          <cell r="R536">
            <v>0</v>
          </cell>
          <cell r="S536">
            <v>0</v>
          </cell>
          <cell r="T536">
            <v>132</v>
          </cell>
          <cell r="U536">
            <v>0</v>
          </cell>
          <cell r="V536">
            <v>0</v>
          </cell>
          <cell r="W536">
            <v>0</v>
          </cell>
          <cell r="X536">
            <v>22</v>
          </cell>
          <cell r="Y536">
            <v>10</v>
          </cell>
          <cell r="Z536">
            <v>0</v>
          </cell>
          <cell r="AA536">
            <v>0</v>
          </cell>
          <cell r="AB536">
            <v>32</v>
          </cell>
          <cell r="AC536">
            <v>2</v>
          </cell>
          <cell r="AD536" t="str">
            <v>TIDAK</v>
          </cell>
          <cell r="AE536" t="str">
            <v>TIDAK</v>
          </cell>
          <cell r="AF536">
            <v>32</v>
          </cell>
          <cell r="AG536">
            <v>2</v>
          </cell>
          <cell r="AH536" t="str">
            <v>SAPHIRE</v>
          </cell>
          <cell r="AI536">
            <v>0</v>
          </cell>
          <cell r="AJ536" t="str">
            <v>FALSE</v>
          </cell>
          <cell r="AK536">
            <v>0</v>
          </cell>
          <cell r="AL536">
            <v>45261</v>
          </cell>
          <cell r="AM536">
            <v>45701</v>
          </cell>
          <cell r="AN536">
            <v>1</v>
          </cell>
          <cell r="AO536">
            <v>32</v>
          </cell>
          <cell r="AP536" t="str">
            <v>-</v>
          </cell>
          <cell r="AQ536" t="str">
            <v>-</v>
          </cell>
          <cell r="AR536" t="str">
            <v>-</v>
          </cell>
          <cell r="AS536" t="str">
            <v>-</v>
          </cell>
          <cell r="AT536" t="str">
            <v>-</v>
          </cell>
          <cell r="AU536" t="str">
            <v>-</v>
          </cell>
          <cell r="AV536" t="str">
            <v/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 t="str">
            <v/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 t="str">
            <v/>
          </cell>
          <cell r="BN536">
            <v>0</v>
          </cell>
          <cell r="BO536" t="str">
            <v/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 t="str">
            <v/>
          </cell>
          <cell r="BV536">
            <v>0</v>
          </cell>
          <cell r="BW536">
            <v>7</v>
          </cell>
          <cell r="BX536" t="str">
            <v>DOWNGRADE</v>
          </cell>
          <cell r="BY536" t="str">
            <v>RESET</v>
          </cell>
        </row>
        <row r="537">
          <cell r="A537" t="str">
            <v>A1952</v>
          </cell>
          <cell r="B537" t="str">
            <v>Laurensius Axel Raditya P</v>
          </cell>
          <cell r="C537" t="str">
            <v>RVO</v>
          </cell>
          <cell r="D537">
            <v>45050</v>
          </cell>
          <cell r="E537" t="str">
            <v>May-23</v>
          </cell>
          <cell r="F537" t="str">
            <v>EKSKLUSIF</v>
          </cell>
          <cell r="G537" t="str">
            <v>EKSKLUSIF</v>
          </cell>
          <cell r="H537" t="str">
            <v>REGULER</v>
          </cell>
          <cell r="I537" t="str">
            <v>REGULER</v>
          </cell>
          <cell r="J537" t="str">
            <v>REGULER</v>
          </cell>
          <cell r="K537" t="str">
            <v>REGULER</v>
          </cell>
          <cell r="L537" t="str">
            <v>REGULER</v>
          </cell>
          <cell r="M537">
            <v>18</v>
          </cell>
          <cell r="N537">
            <v>44</v>
          </cell>
          <cell r="O537">
            <v>27</v>
          </cell>
          <cell r="P537">
            <v>23</v>
          </cell>
          <cell r="Q537">
            <v>32</v>
          </cell>
          <cell r="R537">
            <v>50</v>
          </cell>
          <cell r="S537">
            <v>22</v>
          </cell>
          <cell r="T537">
            <v>216</v>
          </cell>
          <cell r="U537">
            <v>0</v>
          </cell>
          <cell r="V537">
            <v>0</v>
          </cell>
          <cell r="W537">
            <v>27</v>
          </cell>
          <cell r="X537">
            <v>23</v>
          </cell>
          <cell r="Y537">
            <v>32</v>
          </cell>
          <cell r="Z537">
            <v>50</v>
          </cell>
          <cell r="AA537">
            <v>22</v>
          </cell>
          <cell r="AB537">
            <v>154</v>
          </cell>
          <cell r="AC537">
            <v>0</v>
          </cell>
          <cell r="AD537" t="str">
            <v>TIDAK</v>
          </cell>
          <cell r="AE537" t="str">
            <v>TIDAK</v>
          </cell>
          <cell r="AF537">
            <v>154</v>
          </cell>
          <cell r="AG537">
            <v>1</v>
          </cell>
          <cell r="AH537" t="str">
            <v>SAPHIRE</v>
          </cell>
          <cell r="AI537">
            <v>0</v>
          </cell>
          <cell r="AJ537" t="str">
            <v>Y</v>
          </cell>
          <cell r="AK537">
            <v>0</v>
          </cell>
          <cell r="AL537">
            <v>45261</v>
          </cell>
          <cell r="AM537">
            <v>45701</v>
          </cell>
          <cell r="AN537">
            <v>1</v>
          </cell>
          <cell r="AO537">
            <v>154</v>
          </cell>
          <cell r="AP537" t="str">
            <v>-</v>
          </cell>
          <cell r="AQ537" t="str">
            <v>-</v>
          </cell>
          <cell r="AR537" t="str">
            <v>REGULER</v>
          </cell>
          <cell r="AS537" t="str">
            <v>EKSKLUSIF</v>
          </cell>
          <cell r="AT537" t="str">
            <v>EKSKLUSIF</v>
          </cell>
          <cell r="AU537" t="str">
            <v>EKSKLUSIF</v>
          </cell>
          <cell r="AV537" t="str">
            <v/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56</v>
          </cell>
          <cell r="BC537">
            <v>44</v>
          </cell>
          <cell r="BD537">
            <v>58</v>
          </cell>
          <cell r="BE537">
            <v>65</v>
          </cell>
          <cell r="BF537">
            <v>63</v>
          </cell>
          <cell r="BG537">
            <v>27</v>
          </cell>
          <cell r="BH537">
            <v>56</v>
          </cell>
          <cell r="BI537">
            <v>44</v>
          </cell>
          <cell r="BJ537">
            <v>58</v>
          </cell>
          <cell r="BK537">
            <v>65</v>
          </cell>
          <cell r="BL537">
            <v>63</v>
          </cell>
          <cell r="BM537">
            <v>29</v>
          </cell>
          <cell r="BN537">
            <v>342</v>
          </cell>
          <cell r="BO537">
            <v>27</v>
          </cell>
          <cell r="BP537">
            <v>56</v>
          </cell>
          <cell r="BQ537">
            <v>44</v>
          </cell>
          <cell r="BR537">
            <v>0</v>
          </cell>
          <cell r="BS537">
            <v>0</v>
          </cell>
          <cell r="BT537">
            <v>0</v>
          </cell>
          <cell r="BU537">
            <v>29</v>
          </cell>
          <cell r="BV537">
            <v>156</v>
          </cell>
          <cell r="BW537">
            <v>0</v>
          </cell>
          <cell r="BX537" t="str">
            <v>TIDAK</v>
          </cell>
          <cell r="BY537" t="str">
            <v>TIDAK</v>
          </cell>
        </row>
        <row r="538">
          <cell r="A538">
            <v>92356</v>
          </cell>
          <cell r="B538" t="str">
            <v>Lia Firliana</v>
          </cell>
          <cell r="C538" t="str">
            <v>RVO</v>
          </cell>
          <cell r="D538">
            <v>44663</v>
          </cell>
          <cell r="E538" t="str">
            <v>Apr-22</v>
          </cell>
          <cell r="F538" t="str">
            <v>REGULER</v>
          </cell>
          <cell r="G538" t="str">
            <v>REGULER</v>
          </cell>
          <cell r="H538" t="str">
            <v>REGULER</v>
          </cell>
          <cell r="I538" t="str">
            <v>REGULER</v>
          </cell>
          <cell r="J538" t="str">
            <v>REGULER</v>
          </cell>
          <cell r="K538" t="str">
            <v>REGULER</v>
          </cell>
          <cell r="L538" t="str">
            <v>REGULER</v>
          </cell>
          <cell r="M538">
            <v>9</v>
          </cell>
          <cell r="N538">
            <v>17</v>
          </cell>
          <cell r="O538">
            <v>18</v>
          </cell>
          <cell r="P538">
            <v>5</v>
          </cell>
          <cell r="Q538">
            <v>6</v>
          </cell>
          <cell r="R538">
            <v>16</v>
          </cell>
          <cell r="S538">
            <v>10</v>
          </cell>
          <cell r="T538">
            <v>81</v>
          </cell>
          <cell r="U538">
            <v>9</v>
          </cell>
          <cell r="V538">
            <v>17</v>
          </cell>
          <cell r="W538">
            <v>18</v>
          </cell>
          <cell r="X538">
            <v>5</v>
          </cell>
          <cell r="Y538">
            <v>6</v>
          </cell>
          <cell r="Z538">
            <v>16</v>
          </cell>
          <cell r="AA538">
            <v>10</v>
          </cell>
          <cell r="AB538">
            <v>81</v>
          </cell>
          <cell r="AC538">
            <v>0</v>
          </cell>
          <cell r="AD538" t="str">
            <v>TIDAK</v>
          </cell>
          <cell r="AE538" t="str">
            <v>TIDAK</v>
          </cell>
          <cell r="AF538">
            <v>81</v>
          </cell>
          <cell r="AG538">
            <v>3</v>
          </cell>
          <cell r="AH538" t="str">
            <v>SAPHIRE</v>
          </cell>
          <cell r="AI538">
            <v>0</v>
          </cell>
          <cell r="AJ538" t="str">
            <v>Y</v>
          </cell>
          <cell r="AK538">
            <v>0</v>
          </cell>
          <cell r="AL538">
            <v>45261</v>
          </cell>
          <cell r="AM538">
            <v>45701</v>
          </cell>
          <cell r="AN538">
            <v>1</v>
          </cell>
          <cell r="AO538">
            <v>81</v>
          </cell>
          <cell r="AP538" t="str">
            <v>-</v>
          </cell>
          <cell r="AQ538" t="str">
            <v>-</v>
          </cell>
          <cell r="AR538" t="str">
            <v>REGULER</v>
          </cell>
          <cell r="AS538" t="str">
            <v>REGULER</v>
          </cell>
          <cell r="AT538" t="str">
            <v>REGULER</v>
          </cell>
          <cell r="AU538" t="str">
            <v>REGULER</v>
          </cell>
          <cell r="AV538" t="str">
            <v/>
          </cell>
          <cell r="AW538">
            <v>19</v>
          </cell>
          <cell r="AX538">
            <v>32</v>
          </cell>
          <cell r="AY538">
            <v>24</v>
          </cell>
          <cell r="AZ538">
            <v>33</v>
          </cell>
          <cell r="BA538">
            <v>29</v>
          </cell>
          <cell r="BB538">
            <v>19</v>
          </cell>
          <cell r="BC538">
            <v>32</v>
          </cell>
          <cell r="BD538">
            <v>24</v>
          </cell>
          <cell r="BE538">
            <v>33</v>
          </cell>
          <cell r="BF538">
            <v>29</v>
          </cell>
          <cell r="BG538">
            <v>11</v>
          </cell>
          <cell r="BH538">
            <v>19</v>
          </cell>
          <cell r="BI538">
            <v>32</v>
          </cell>
          <cell r="BJ538">
            <v>24</v>
          </cell>
          <cell r="BK538">
            <v>33</v>
          </cell>
          <cell r="BL538">
            <v>29</v>
          </cell>
          <cell r="BM538">
            <v>12</v>
          </cell>
          <cell r="BN538">
            <v>160</v>
          </cell>
          <cell r="BO538">
            <v>11</v>
          </cell>
          <cell r="BP538">
            <v>19</v>
          </cell>
          <cell r="BQ538">
            <v>32</v>
          </cell>
          <cell r="BR538">
            <v>24</v>
          </cell>
          <cell r="BS538">
            <v>33</v>
          </cell>
          <cell r="BT538">
            <v>29</v>
          </cell>
          <cell r="BU538">
            <v>12</v>
          </cell>
          <cell r="BV538">
            <v>160</v>
          </cell>
          <cell r="BW538">
            <v>0</v>
          </cell>
          <cell r="BX538" t="str">
            <v>TIDAK</v>
          </cell>
          <cell r="BY538" t="str">
            <v>TIDAK</v>
          </cell>
        </row>
        <row r="539">
          <cell r="A539">
            <v>92042</v>
          </cell>
          <cell r="B539" t="str">
            <v>Litta Fajar Dellanova</v>
          </cell>
          <cell r="C539" t="str">
            <v>RVO</v>
          </cell>
          <cell r="D539">
            <v>44550</v>
          </cell>
          <cell r="E539" t="str">
            <v>Dec-21</v>
          </cell>
          <cell r="F539" t="str">
            <v>REGULER</v>
          </cell>
          <cell r="G539" t="str">
            <v>REGULER</v>
          </cell>
          <cell r="H539" t="str">
            <v>REGULER</v>
          </cell>
          <cell r="I539" t="str">
            <v>REGULER</v>
          </cell>
          <cell r="J539" t="str">
            <v>-</v>
          </cell>
          <cell r="K539" t="str">
            <v>-</v>
          </cell>
          <cell r="L539" t="str">
            <v>-</v>
          </cell>
          <cell r="M539">
            <v>4</v>
          </cell>
          <cell r="N539">
            <v>4</v>
          </cell>
          <cell r="O539">
            <v>2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11</v>
          </cell>
          <cell r="U539">
            <v>4</v>
          </cell>
          <cell r="V539">
            <v>4</v>
          </cell>
          <cell r="W539">
            <v>2</v>
          </cell>
          <cell r="X539">
            <v>1</v>
          </cell>
          <cell r="Y539">
            <v>0</v>
          </cell>
          <cell r="Z539">
            <v>0</v>
          </cell>
          <cell r="AA539">
            <v>0</v>
          </cell>
          <cell r="AB539">
            <v>11</v>
          </cell>
          <cell r="AC539">
            <v>3</v>
          </cell>
          <cell r="AD539" t="str">
            <v>DOWNGRADE</v>
          </cell>
          <cell r="AE539" t="str">
            <v>RESET</v>
          </cell>
          <cell r="AF539">
            <v>0</v>
          </cell>
          <cell r="AG539">
            <v>2</v>
          </cell>
          <cell r="AH539" t="str">
            <v>SAPHIRE</v>
          </cell>
          <cell r="AI539">
            <v>0</v>
          </cell>
          <cell r="AJ539" t="str">
            <v>FALSE</v>
          </cell>
          <cell r="AK539">
            <v>0</v>
          </cell>
          <cell r="AL539">
            <v>45261</v>
          </cell>
          <cell r="AM539">
            <v>45701</v>
          </cell>
          <cell r="AN539">
            <v>1</v>
          </cell>
          <cell r="AO539">
            <v>0</v>
          </cell>
          <cell r="AP539" t="str">
            <v>-</v>
          </cell>
          <cell r="AQ539" t="str">
            <v>-</v>
          </cell>
          <cell r="AR539" t="str">
            <v>-</v>
          </cell>
          <cell r="AS539" t="str">
            <v>-</v>
          </cell>
          <cell r="AT539" t="str">
            <v>-</v>
          </cell>
          <cell r="AU539" t="str">
            <v>-</v>
          </cell>
          <cell r="AV539" t="str">
            <v/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 t="str">
            <v/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 t="str">
            <v/>
          </cell>
          <cell r="BN539">
            <v>0</v>
          </cell>
          <cell r="BO539" t="str">
            <v/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 t="str">
            <v/>
          </cell>
          <cell r="BV539">
            <v>0</v>
          </cell>
          <cell r="BW539">
            <v>7</v>
          </cell>
          <cell r="BX539" t="str">
            <v>DOWNGRADE</v>
          </cell>
          <cell r="BY539" t="str">
            <v>RESET</v>
          </cell>
        </row>
        <row r="540">
          <cell r="A540" t="str">
            <v>A2390</v>
          </cell>
          <cell r="B540" t="str">
            <v>M Nuril Firdausy</v>
          </cell>
          <cell r="C540" t="str">
            <v>RVO</v>
          </cell>
          <cell r="D540">
            <v>45291</v>
          </cell>
          <cell r="E540" t="str">
            <v>Dec-23</v>
          </cell>
          <cell r="F540" t="str">
            <v>REGULER</v>
          </cell>
          <cell r="G540" t="str">
            <v>REGULER</v>
          </cell>
          <cell r="H540" t="str">
            <v>REGULER</v>
          </cell>
          <cell r="I540" t="str">
            <v>-</v>
          </cell>
          <cell r="J540" t="str">
            <v>-</v>
          </cell>
          <cell r="K540" t="str">
            <v>-</v>
          </cell>
          <cell r="L540" t="str">
            <v>-</v>
          </cell>
          <cell r="M540">
            <v>1</v>
          </cell>
          <cell r="N540">
            <v>3</v>
          </cell>
          <cell r="O540">
            <v>2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6</v>
          </cell>
          <cell r="U540">
            <v>1</v>
          </cell>
          <cell r="V540">
            <v>3</v>
          </cell>
          <cell r="W540">
            <v>2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6</v>
          </cell>
          <cell r="AC540">
            <v>4</v>
          </cell>
          <cell r="AD540" t="str">
            <v>DOWNGRADE</v>
          </cell>
          <cell r="AE540" t="str">
            <v>RESET</v>
          </cell>
          <cell r="AF540">
            <v>0</v>
          </cell>
          <cell r="AG540">
            <v>1</v>
          </cell>
          <cell r="AH540" t="str">
            <v>SAPHIRE</v>
          </cell>
          <cell r="AI540">
            <v>0</v>
          </cell>
          <cell r="AJ540" t="str">
            <v>FALSE</v>
          </cell>
          <cell r="AK540">
            <v>0</v>
          </cell>
          <cell r="AL540">
            <v>45261</v>
          </cell>
          <cell r="AM540">
            <v>45701</v>
          </cell>
          <cell r="AN540">
            <v>1</v>
          </cell>
          <cell r="AO540">
            <v>0</v>
          </cell>
          <cell r="AP540" t="str">
            <v>-</v>
          </cell>
          <cell r="AQ540" t="str">
            <v>-</v>
          </cell>
          <cell r="AR540" t="str">
            <v>-</v>
          </cell>
          <cell r="AS540" t="str">
            <v>-</v>
          </cell>
          <cell r="AT540" t="str">
            <v>-</v>
          </cell>
          <cell r="AU540" t="str">
            <v>-</v>
          </cell>
          <cell r="AV540" t="str">
            <v/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 t="str">
            <v/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 t="str">
            <v/>
          </cell>
          <cell r="BN540">
            <v>0</v>
          </cell>
          <cell r="BO540" t="str">
            <v/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 t="str">
            <v/>
          </cell>
          <cell r="BV540">
            <v>0</v>
          </cell>
          <cell r="BW540">
            <v>7</v>
          </cell>
          <cell r="BX540" t="str">
            <v>DOWNGRADE</v>
          </cell>
          <cell r="BY540" t="str">
            <v>RESET</v>
          </cell>
        </row>
        <row r="541">
          <cell r="A541">
            <v>92428</v>
          </cell>
          <cell r="B541" t="str">
            <v>Marcel Belmiro</v>
          </cell>
          <cell r="C541" t="str">
            <v>RVO</v>
          </cell>
          <cell r="D541">
            <v>44743</v>
          </cell>
          <cell r="E541" t="str">
            <v>Jul-22</v>
          </cell>
          <cell r="F541" t="str">
            <v>REGULER</v>
          </cell>
          <cell r="G541" t="str">
            <v>REGULER</v>
          </cell>
          <cell r="H541" t="str">
            <v>REGULER</v>
          </cell>
          <cell r="I541" t="str">
            <v>REGULER</v>
          </cell>
          <cell r="J541" t="str">
            <v>REGULER</v>
          </cell>
          <cell r="K541" t="str">
            <v>REGULER</v>
          </cell>
          <cell r="L541" t="str">
            <v>REGULER</v>
          </cell>
          <cell r="M541">
            <v>17</v>
          </cell>
          <cell r="N541">
            <v>36</v>
          </cell>
          <cell r="O541">
            <v>30</v>
          </cell>
          <cell r="P541">
            <v>34</v>
          </cell>
          <cell r="Q541">
            <v>29</v>
          </cell>
          <cell r="R541">
            <v>32</v>
          </cell>
          <cell r="S541">
            <v>13</v>
          </cell>
          <cell r="T541">
            <v>191</v>
          </cell>
          <cell r="U541">
            <v>17</v>
          </cell>
          <cell r="V541">
            <v>36</v>
          </cell>
          <cell r="W541">
            <v>30</v>
          </cell>
          <cell r="X541">
            <v>34</v>
          </cell>
          <cell r="Y541">
            <v>29</v>
          </cell>
          <cell r="Z541">
            <v>32</v>
          </cell>
          <cell r="AA541">
            <v>13</v>
          </cell>
          <cell r="AB541">
            <v>191</v>
          </cell>
          <cell r="AC541">
            <v>0</v>
          </cell>
          <cell r="AD541" t="str">
            <v>TIDAK</v>
          </cell>
          <cell r="AE541" t="str">
            <v>TIDAK</v>
          </cell>
          <cell r="AF541">
            <v>191</v>
          </cell>
          <cell r="AG541">
            <v>5</v>
          </cell>
          <cell r="AH541" t="str">
            <v>SAPHIRE</v>
          </cell>
          <cell r="AI541">
            <v>0</v>
          </cell>
          <cell r="AJ541" t="str">
            <v>Y</v>
          </cell>
          <cell r="AK541">
            <v>0</v>
          </cell>
          <cell r="AL541">
            <v>45261</v>
          </cell>
          <cell r="AM541">
            <v>45701</v>
          </cell>
          <cell r="AN541">
            <v>1</v>
          </cell>
          <cell r="AO541">
            <v>191</v>
          </cell>
          <cell r="AP541" t="str">
            <v>-</v>
          </cell>
          <cell r="AQ541" t="str">
            <v>-</v>
          </cell>
          <cell r="AR541" t="str">
            <v>REGULER</v>
          </cell>
          <cell r="AS541" t="str">
            <v>REGULER</v>
          </cell>
          <cell r="AT541" t="str">
            <v>REGULER</v>
          </cell>
          <cell r="AU541" t="str">
            <v>REGULER</v>
          </cell>
          <cell r="AV541" t="str">
            <v/>
          </cell>
          <cell r="AW541">
            <v>42</v>
          </cell>
          <cell r="AX541">
            <v>42</v>
          </cell>
          <cell r="AY541">
            <v>40</v>
          </cell>
          <cell r="AZ541">
            <v>42</v>
          </cell>
          <cell r="BA541">
            <v>44</v>
          </cell>
          <cell r="BB541">
            <v>42</v>
          </cell>
          <cell r="BC541">
            <v>42</v>
          </cell>
          <cell r="BD541">
            <v>40</v>
          </cell>
          <cell r="BE541">
            <v>42</v>
          </cell>
          <cell r="BF541">
            <v>44</v>
          </cell>
          <cell r="BG541">
            <v>15</v>
          </cell>
          <cell r="BH541">
            <v>42</v>
          </cell>
          <cell r="BI541">
            <v>42</v>
          </cell>
          <cell r="BJ541">
            <v>40</v>
          </cell>
          <cell r="BK541">
            <v>42</v>
          </cell>
          <cell r="BL541">
            <v>44</v>
          </cell>
          <cell r="BM541">
            <v>19</v>
          </cell>
          <cell r="BN541">
            <v>244</v>
          </cell>
          <cell r="BO541">
            <v>15</v>
          </cell>
          <cell r="BP541">
            <v>42</v>
          </cell>
          <cell r="BQ541">
            <v>42</v>
          </cell>
          <cell r="BR541">
            <v>40</v>
          </cell>
          <cell r="BS541">
            <v>42</v>
          </cell>
          <cell r="BT541">
            <v>44</v>
          </cell>
          <cell r="BU541">
            <v>19</v>
          </cell>
          <cell r="BV541">
            <v>244</v>
          </cell>
          <cell r="BW541">
            <v>0</v>
          </cell>
          <cell r="BX541" t="str">
            <v>TIDAK</v>
          </cell>
          <cell r="BY541" t="str">
            <v>TIDAK</v>
          </cell>
        </row>
        <row r="542">
          <cell r="A542" t="str">
            <v>A2467</v>
          </cell>
          <cell r="B542" t="str">
            <v>Melinda Ratna Permata Sari</v>
          </cell>
          <cell r="C542" t="str">
            <v>RVO</v>
          </cell>
          <cell r="D542">
            <v>45079</v>
          </cell>
          <cell r="E542" t="str">
            <v>Jun-23</v>
          </cell>
          <cell r="F542" t="str">
            <v>REGULER</v>
          </cell>
          <cell r="G542" t="str">
            <v>REGULER</v>
          </cell>
          <cell r="H542" t="str">
            <v>REGULER</v>
          </cell>
          <cell r="I542" t="str">
            <v>REGULER</v>
          </cell>
          <cell r="J542" t="str">
            <v>REGULER</v>
          </cell>
          <cell r="K542" t="str">
            <v>REGULER</v>
          </cell>
          <cell r="L542" t="str">
            <v>REGULER</v>
          </cell>
          <cell r="M542">
            <v>0</v>
          </cell>
          <cell r="N542">
            <v>22</v>
          </cell>
          <cell r="O542">
            <v>10</v>
          </cell>
          <cell r="P542">
            <v>14</v>
          </cell>
          <cell r="Q542">
            <v>12</v>
          </cell>
          <cell r="R542">
            <v>15</v>
          </cell>
          <cell r="S542">
            <v>6</v>
          </cell>
          <cell r="T542">
            <v>79</v>
          </cell>
          <cell r="U542">
            <v>0</v>
          </cell>
          <cell r="V542">
            <v>22</v>
          </cell>
          <cell r="W542">
            <v>10</v>
          </cell>
          <cell r="X542">
            <v>14</v>
          </cell>
          <cell r="Y542">
            <v>12</v>
          </cell>
          <cell r="Z542">
            <v>15</v>
          </cell>
          <cell r="AA542">
            <v>6</v>
          </cell>
          <cell r="AB542">
            <v>79</v>
          </cell>
          <cell r="AC542">
            <v>1</v>
          </cell>
          <cell r="AD542" t="str">
            <v>TIDAK</v>
          </cell>
          <cell r="AE542" t="str">
            <v>TIDAK</v>
          </cell>
          <cell r="AF542">
            <v>79</v>
          </cell>
          <cell r="AG542">
            <v>1</v>
          </cell>
          <cell r="AH542" t="str">
            <v>SAPHIRE</v>
          </cell>
          <cell r="AI542">
            <v>0</v>
          </cell>
          <cell r="AJ542" t="str">
            <v>Y</v>
          </cell>
          <cell r="AK542">
            <v>0</v>
          </cell>
          <cell r="AL542">
            <v>45261</v>
          </cell>
          <cell r="AM542">
            <v>45701</v>
          </cell>
          <cell r="AN542">
            <v>1</v>
          </cell>
          <cell r="AO542">
            <v>79</v>
          </cell>
          <cell r="AP542" t="str">
            <v>-</v>
          </cell>
          <cell r="AQ542" t="str">
            <v>-</v>
          </cell>
          <cell r="AR542" t="str">
            <v>REGULER</v>
          </cell>
          <cell r="AS542" t="str">
            <v>REGULER</v>
          </cell>
          <cell r="AT542" t="str">
            <v>REGULER</v>
          </cell>
          <cell r="AU542" t="str">
            <v>-</v>
          </cell>
          <cell r="AV542" t="str">
            <v/>
          </cell>
          <cell r="AW542">
            <v>20</v>
          </cell>
          <cell r="AX542">
            <v>12</v>
          </cell>
          <cell r="AY542">
            <v>15</v>
          </cell>
          <cell r="AZ542">
            <v>23</v>
          </cell>
          <cell r="BA542">
            <v>11</v>
          </cell>
          <cell r="BB542">
            <v>20</v>
          </cell>
          <cell r="BC542">
            <v>12</v>
          </cell>
          <cell r="BD542">
            <v>15</v>
          </cell>
          <cell r="BE542">
            <v>23</v>
          </cell>
          <cell r="BF542">
            <v>0</v>
          </cell>
          <cell r="BG542">
            <v>4</v>
          </cell>
          <cell r="BH542">
            <v>20</v>
          </cell>
          <cell r="BI542">
            <v>12</v>
          </cell>
          <cell r="BJ542">
            <v>15</v>
          </cell>
          <cell r="BK542">
            <v>23</v>
          </cell>
          <cell r="BL542">
            <v>11</v>
          </cell>
          <cell r="BM542">
            <v>0</v>
          </cell>
          <cell r="BN542">
            <v>85</v>
          </cell>
          <cell r="BO542">
            <v>4</v>
          </cell>
          <cell r="BP542">
            <v>20</v>
          </cell>
          <cell r="BQ542">
            <v>12</v>
          </cell>
          <cell r="BR542">
            <v>15</v>
          </cell>
          <cell r="BS542">
            <v>23</v>
          </cell>
          <cell r="BT542">
            <v>11</v>
          </cell>
          <cell r="BU542">
            <v>0</v>
          </cell>
          <cell r="BV542">
            <v>85</v>
          </cell>
          <cell r="BW542">
            <v>1</v>
          </cell>
          <cell r="BX542" t="str">
            <v>TIDAK</v>
          </cell>
          <cell r="BY542" t="str">
            <v>TIDAK</v>
          </cell>
        </row>
        <row r="543">
          <cell r="A543" t="str">
            <v>A3923</v>
          </cell>
          <cell r="B543" t="str">
            <v>Muhamad Fajar Meishfar</v>
          </cell>
          <cell r="C543" t="str">
            <v>RVO</v>
          </cell>
          <cell r="D543">
            <v>45409</v>
          </cell>
          <cell r="E543" t="str">
            <v>Apr-24</v>
          </cell>
          <cell r="F543" t="str">
            <v>-</v>
          </cell>
          <cell r="G543" t="str">
            <v>-</v>
          </cell>
          <cell r="H543" t="str">
            <v>-</v>
          </cell>
          <cell r="I543" t="str">
            <v>REGULER</v>
          </cell>
          <cell r="J543" t="str">
            <v>REGULER</v>
          </cell>
          <cell r="K543" t="str">
            <v>REGULER</v>
          </cell>
          <cell r="L543" t="str">
            <v>-</v>
          </cell>
          <cell r="M543">
            <v>0</v>
          </cell>
          <cell r="N543">
            <v>0</v>
          </cell>
          <cell r="O543">
            <v>0</v>
          </cell>
          <cell r="P543">
            <v>1</v>
          </cell>
          <cell r="Q543">
            <v>6</v>
          </cell>
          <cell r="R543">
            <v>13</v>
          </cell>
          <cell r="S543">
            <v>0</v>
          </cell>
          <cell r="T543">
            <v>20</v>
          </cell>
          <cell r="U543">
            <v>0</v>
          </cell>
          <cell r="V543">
            <v>0</v>
          </cell>
          <cell r="W543">
            <v>0</v>
          </cell>
          <cell r="X543">
            <v>1</v>
          </cell>
          <cell r="Y543">
            <v>6</v>
          </cell>
          <cell r="Z543">
            <v>13</v>
          </cell>
          <cell r="AA543">
            <v>0</v>
          </cell>
          <cell r="AB543">
            <v>20</v>
          </cell>
          <cell r="AC543">
            <v>1</v>
          </cell>
          <cell r="AD543" t="str">
            <v>TIDAK</v>
          </cell>
          <cell r="AE543" t="str">
            <v>TIDAK</v>
          </cell>
          <cell r="AF543">
            <v>20</v>
          </cell>
          <cell r="AG543">
            <v>1</v>
          </cell>
          <cell r="AH543" t="str">
            <v>SAPHIRE</v>
          </cell>
          <cell r="AI543">
            <v>0</v>
          </cell>
          <cell r="AJ543" t="str">
            <v>FALSE</v>
          </cell>
          <cell r="AK543">
            <v>0</v>
          </cell>
          <cell r="AL543">
            <v>45261</v>
          </cell>
          <cell r="AM543">
            <v>45701</v>
          </cell>
          <cell r="AN543">
            <v>1</v>
          </cell>
          <cell r="AO543">
            <v>20</v>
          </cell>
          <cell r="AP543" t="str">
            <v>-</v>
          </cell>
          <cell r="AQ543" t="str">
            <v>-</v>
          </cell>
          <cell r="AR543" t="str">
            <v>REGULER</v>
          </cell>
          <cell r="AS543" t="str">
            <v>REGULER</v>
          </cell>
          <cell r="AT543" t="str">
            <v>REGULER</v>
          </cell>
          <cell r="AU543" t="str">
            <v>REGULER</v>
          </cell>
          <cell r="AV543" t="str">
            <v/>
          </cell>
          <cell r="AW543">
            <v>10</v>
          </cell>
          <cell r="AX543">
            <v>14</v>
          </cell>
          <cell r="AY543">
            <v>10</v>
          </cell>
          <cell r="AZ543">
            <v>20</v>
          </cell>
          <cell r="BA543">
            <v>11</v>
          </cell>
          <cell r="BB543">
            <v>10</v>
          </cell>
          <cell r="BC543">
            <v>14</v>
          </cell>
          <cell r="BD543">
            <v>10</v>
          </cell>
          <cell r="BE543">
            <v>20</v>
          </cell>
          <cell r="BF543">
            <v>11</v>
          </cell>
          <cell r="BG543">
            <v>3</v>
          </cell>
          <cell r="BH543">
            <v>10</v>
          </cell>
          <cell r="BI543">
            <v>14</v>
          </cell>
          <cell r="BJ543">
            <v>10</v>
          </cell>
          <cell r="BK543">
            <v>20</v>
          </cell>
          <cell r="BL543">
            <v>11</v>
          </cell>
          <cell r="BM543">
            <v>2</v>
          </cell>
          <cell r="BN543">
            <v>70</v>
          </cell>
          <cell r="BO543">
            <v>3</v>
          </cell>
          <cell r="BP543">
            <v>10</v>
          </cell>
          <cell r="BQ543">
            <v>14</v>
          </cell>
          <cell r="BR543">
            <v>10</v>
          </cell>
          <cell r="BS543">
            <v>20</v>
          </cell>
          <cell r="BT543">
            <v>11</v>
          </cell>
          <cell r="BU543">
            <v>2</v>
          </cell>
          <cell r="BV543">
            <v>70</v>
          </cell>
          <cell r="BW543">
            <v>0</v>
          </cell>
          <cell r="BX543" t="str">
            <v>TIDAK</v>
          </cell>
          <cell r="BY543" t="str">
            <v>TIDAK</v>
          </cell>
        </row>
        <row r="544">
          <cell r="A544" t="str">
            <v>A0045</v>
          </cell>
          <cell r="B544" t="str">
            <v>Muhammad Afif Naufal Fadhilah</v>
          </cell>
          <cell r="C544" t="str">
            <v>RVO</v>
          </cell>
          <cell r="D544">
            <v>44832</v>
          </cell>
          <cell r="E544" t="str">
            <v>Sep-22</v>
          </cell>
          <cell r="F544" t="str">
            <v>REGULER</v>
          </cell>
          <cell r="G544" t="str">
            <v>REGULER</v>
          </cell>
          <cell r="H544" t="str">
            <v>REGULER</v>
          </cell>
          <cell r="I544" t="str">
            <v>REGULER</v>
          </cell>
          <cell r="J544" t="str">
            <v>REGULER</v>
          </cell>
          <cell r="K544" t="str">
            <v>REGULER</v>
          </cell>
          <cell r="L544" t="str">
            <v>REGULER</v>
          </cell>
          <cell r="M544">
            <v>15</v>
          </cell>
          <cell r="N544">
            <v>31</v>
          </cell>
          <cell r="O544">
            <v>10</v>
          </cell>
          <cell r="P544">
            <v>31</v>
          </cell>
          <cell r="Q544">
            <v>27</v>
          </cell>
          <cell r="R544">
            <v>37</v>
          </cell>
          <cell r="S544">
            <v>11</v>
          </cell>
          <cell r="T544">
            <v>162</v>
          </cell>
          <cell r="U544">
            <v>15</v>
          </cell>
          <cell r="V544">
            <v>31</v>
          </cell>
          <cell r="W544">
            <v>10</v>
          </cell>
          <cell r="X544">
            <v>31</v>
          </cell>
          <cell r="Y544">
            <v>27</v>
          </cell>
          <cell r="Z544">
            <v>37</v>
          </cell>
          <cell r="AA544">
            <v>11</v>
          </cell>
          <cell r="AB544">
            <v>162</v>
          </cell>
          <cell r="AC544">
            <v>0</v>
          </cell>
          <cell r="AD544" t="str">
            <v>TIDAK</v>
          </cell>
          <cell r="AE544" t="str">
            <v>TIDAK</v>
          </cell>
          <cell r="AF544">
            <v>162</v>
          </cell>
          <cell r="AG544">
            <v>4</v>
          </cell>
          <cell r="AH544" t="str">
            <v>SAPHIRE</v>
          </cell>
          <cell r="AI544">
            <v>0</v>
          </cell>
          <cell r="AJ544" t="str">
            <v>Y</v>
          </cell>
          <cell r="AK544">
            <v>0</v>
          </cell>
          <cell r="AL544">
            <v>45261</v>
          </cell>
          <cell r="AM544">
            <v>45701</v>
          </cell>
          <cell r="AN544">
            <v>1</v>
          </cell>
          <cell r="AO544">
            <v>162</v>
          </cell>
          <cell r="AP544" t="str">
            <v>-</v>
          </cell>
          <cell r="AQ544" t="str">
            <v>-</v>
          </cell>
          <cell r="AR544" t="str">
            <v>REGULER</v>
          </cell>
          <cell r="AS544" t="str">
            <v>REGULER</v>
          </cell>
          <cell r="AT544" t="str">
            <v>REGULER</v>
          </cell>
          <cell r="AU544" t="str">
            <v>REGULER</v>
          </cell>
          <cell r="AV544" t="str">
            <v/>
          </cell>
          <cell r="AW544">
            <v>40</v>
          </cell>
          <cell r="AX544">
            <v>33</v>
          </cell>
          <cell r="AY544">
            <v>31</v>
          </cell>
          <cell r="AZ544">
            <v>30</v>
          </cell>
          <cell r="BA544">
            <v>20</v>
          </cell>
          <cell r="BB544">
            <v>40</v>
          </cell>
          <cell r="BC544">
            <v>33</v>
          </cell>
          <cell r="BD544">
            <v>31</v>
          </cell>
          <cell r="BE544">
            <v>30</v>
          </cell>
          <cell r="BF544">
            <v>20</v>
          </cell>
          <cell r="BG544">
            <v>18</v>
          </cell>
          <cell r="BH544">
            <v>40</v>
          </cell>
          <cell r="BI544">
            <v>33</v>
          </cell>
          <cell r="BJ544">
            <v>31</v>
          </cell>
          <cell r="BK544">
            <v>30</v>
          </cell>
          <cell r="BL544">
            <v>20</v>
          </cell>
          <cell r="BM544">
            <v>17</v>
          </cell>
          <cell r="BN544">
            <v>189</v>
          </cell>
          <cell r="BO544">
            <v>18</v>
          </cell>
          <cell r="BP544">
            <v>40</v>
          </cell>
          <cell r="BQ544">
            <v>33</v>
          </cell>
          <cell r="BR544">
            <v>31</v>
          </cell>
          <cell r="BS544">
            <v>30</v>
          </cell>
          <cell r="BT544">
            <v>20</v>
          </cell>
          <cell r="BU544">
            <v>17</v>
          </cell>
          <cell r="BV544">
            <v>189</v>
          </cell>
          <cell r="BW544">
            <v>0</v>
          </cell>
          <cell r="BX544" t="str">
            <v>TIDAK</v>
          </cell>
          <cell r="BY544" t="str">
            <v>TIDAK</v>
          </cell>
        </row>
        <row r="545">
          <cell r="A545" t="str">
            <v>A3918</v>
          </cell>
          <cell r="B545" t="str">
            <v>Muhammad Ilham Utama</v>
          </cell>
          <cell r="C545" t="str">
            <v>RVO</v>
          </cell>
          <cell r="D545">
            <v>45402</v>
          </cell>
          <cell r="E545" t="str">
            <v>Apr-24</v>
          </cell>
          <cell r="F545" t="str">
            <v>-</v>
          </cell>
          <cell r="G545" t="str">
            <v>-</v>
          </cell>
          <cell r="H545" t="str">
            <v>-</v>
          </cell>
          <cell r="I545" t="str">
            <v>REGULER</v>
          </cell>
          <cell r="J545" t="str">
            <v>REGULER</v>
          </cell>
          <cell r="K545" t="str">
            <v>REGULER</v>
          </cell>
          <cell r="L545" t="str">
            <v>REGULER</v>
          </cell>
          <cell r="M545">
            <v>0</v>
          </cell>
          <cell r="N545">
            <v>0</v>
          </cell>
          <cell r="O545">
            <v>0</v>
          </cell>
          <cell r="P545">
            <v>4</v>
          </cell>
          <cell r="Q545">
            <v>3</v>
          </cell>
          <cell r="R545">
            <v>5</v>
          </cell>
          <cell r="S545">
            <v>1</v>
          </cell>
          <cell r="T545">
            <v>13</v>
          </cell>
          <cell r="U545">
            <v>0</v>
          </cell>
          <cell r="V545">
            <v>0</v>
          </cell>
          <cell r="W545">
            <v>0</v>
          </cell>
          <cell r="X545">
            <v>4</v>
          </cell>
          <cell r="Y545">
            <v>3</v>
          </cell>
          <cell r="Z545">
            <v>5</v>
          </cell>
          <cell r="AA545">
            <v>1</v>
          </cell>
          <cell r="AB545">
            <v>13</v>
          </cell>
          <cell r="AC545">
            <v>0</v>
          </cell>
          <cell r="AD545" t="str">
            <v>TIDAK</v>
          </cell>
          <cell r="AE545" t="str">
            <v>TIDAK</v>
          </cell>
          <cell r="AF545">
            <v>13</v>
          </cell>
          <cell r="AG545">
            <v>1</v>
          </cell>
          <cell r="AH545" t="str">
            <v>SAPHIRE</v>
          </cell>
          <cell r="AI545">
            <v>0</v>
          </cell>
          <cell r="AJ545" t="str">
            <v>FALSE</v>
          </cell>
          <cell r="AK545">
            <v>0</v>
          </cell>
          <cell r="AL545">
            <v>45261</v>
          </cell>
          <cell r="AM545">
            <v>45701</v>
          </cell>
          <cell r="AN545">
            <v>1</v>
          </cell>
          <cell r="AO545">
            <v>13</v>
          </cell>
          <cell r="AP545" t="str">
            <v>-</v>
          </cell>
          <cell r="AQ545" t="str">
            <v>-</v>
          </cell>
          <cell r="AR545" t="str">
            <v>REGULER</v>
          </cell>
          <cell r="AS545" t="str">
            <v>REGULER</v>
          </cell>
          <cell r="AT545" t="str">
            <v>REGULER</v>
          </cell>
          <cell r="AU545" t="str">
            <v>-</v>
          </cell>
          <cell r="AV545" t="str">
            <v/>
          </cell>
          <cell r="AW545">
            <v>30</v>
          </cell>
          <cell r="AX545">
            <v>18</v>
          </cell>
          <cell r="AY545">
            <v>13</v>
          </cell>
          <cell r="AZ545">
            <v>21</v>
          </cell>
          <cell r="BA545">
            <v>0</v>
          </cell>
          <cell r="BB545">
            <v>30</v>
          </cell>
          <cell r="BC545">
            <v>18</v>
          </cell>
          <cell r="BD545">
            <v>13</v>
          </cell>
          <cell r="BE545">
            <v>21</v>
          </cell>
          <cell r="BF545">
            <v>0</v>
          </cell>
          <cell r="BG545">
            <v>3</v>
          </cell>
          <cell r="BH545">
            <v>30</v>
          </cell>
          <cell r="BI545">
            <v>18</v>
          </cell>
          <cell r="BJ545">
            <v>13</v>
          </cell>
          <cell r="BK545">
            <v>21</v>
          </cell>
          <cell r="BL545">
            <v>0</v>
          </cell>
          <cell r="BM545" t="str">
            <v/>
          </cell>
          <cell r="BN545">
            <v>85</v>
          </cell>
          <cell r="BO545">
            <v>3</v>
          </cell>
          <cell r="BP545">
            <v>30</v>
          </cell>
          <cell r="BQ545">
            <v>18</v>
          </cell>
          <cell r="BR545">
            <v>13</v>
          </cell>
          <cell r="BS545">
            <v>21</v>
          </cell>
          <cell r="BT545">
            <v>0</v>
          </cell>
          <cell r="BU545" t="str">
            <v/>
          </cell>
          <cell r="BV545">
            <v>85</v>
          </cell>
          <cell r="BW545">
            <v>2</v>
          </cell>
          <cell r="BX545" t="str">
            <v>TIDAK</v>
          </cell>
          <cell r="BY545" t="str">
            <v>TIDAK</v>
          </cell>
        </row>
        <row r="546">
          <cell r="A546" t="str">
            <v>A3978</v>
          </cell>
          <cell r="B546" t="str">
            <v>Mulatsih Siswinarti</v>
          </cell>
          <cell r="C546" t="str">
            <v>RVO</v>
          </cell>
          <cell r="D546">
            <v>45415</v>
          </cell>
          <cell r="E546" t="str">
            <v>May-24</v>
          </cell>
          <cell r="F546" t="str">
            <v>-</v>
          </cell>
          <cell r="G546" t="str">
            <v>-</v>
          </cell>
          <cell r="H546" t="str">
            <v>-</v>
          </cell>
          <cell r="I546" t="str">
            <v>-</v>
          </cell>
          <cell r="J546" t="str">
            <v>REGULER</v>
          </cell>
          <cell r="K546" t="str">
            <v>REGULER</v>
          </cell>
          <cell r="L546" t="str">
            <v>REGULER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1</v>
          </cell>
          <cell r="R546">
            <v>32</v>
          </cell>
          <cell r="S546">
            <v>11</v>
          </cell>
          <cell r="T546">
            <v>44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1</v>
          </cell>
          <cell r="Z546">
            <v>32</v>
          </cell>
          <cell r="AA546">
            <v>11</v>
          </cell>
          <cell r="AB546">
            <v>44</v>
          </cell>
          <cell r="AC546">
            <v>0</v>
          </cell>
          <cell r="AD546" t="str">
            <v>TIDAK</v>
          </cell>
          <cell r="AE546" t="str">
            <v>TIDAK</v>
          </cell>
          <cell r="AF546">
            <v>44</v>
          </cell>
          <cell r="AG546">
            <v>1</v>
          </cell>
          <cell r="AH546" t="str">
            <v>SAPHIRE</v>
          </cell>
          <cell r="AI546">
            <v>0</v>
          </cell>
          <cell r="AJ546" t="str">
            <v>FALSE</v>
          </cell>
          <cell r="AK546">
            <v>0</v>
          </cell>
          <cell r="AL546">
            <v>45261</v>
          </cell>
          <cell r="AM546">
            <v>45701</v>
          </cell>
          <cell r="AN546">
            <v>1</v>
          </cell>
          <cell r="AO546">
            <v>44</v>
          </cell>
          <cell r="AP546" t="str">
            <v>-</v>
          </cell>
          <cell r="AQ546" t="str">
            <v>-</v>
          </cell>
          <cell r="AR546" t="str">
            <v>-</v>
          </cell>
          <cell r="AS546" t="str">
            <v>-</v>
          </cell>
          <cell r="AT546" t="str">
            <v>-</v>
          </cell>
          <cell r="AU546" t="str">
            <v>-</v>
          </cell>
          <cell r="AV546" t="str">
            <v/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 t="str">
            <v/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 t="str">
            <v/>
          </cell>
          <cell r="BN546">
            <v>0</v>
          </cell>
          <cell r="BO546" t="str">
            <v/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 t="str">
            <v/>
          </cell>
          <cell r="BV546">
            <v>0</v>
          </cell>
          <cell r="BW546">
            <v>7</v>
          </cell>
          <cell r="BX546" t="str">
            <v>DOWNGRADE</v>
          </cell>
          <cell r="BY546" t="str">
            <v>RESET</v>
          </cell>
        </row>
        <row r="547">
          <cell r="A547" t="str">
            <v>A0016</v>
          </cell>
          <cell r="B547" t="str">
            <v>Nahtania Verina Aprilia</v>
          </cell>
          <cell r="C547" t="str">
            <v>RVO</v>
          </cell>
          <cell r="D547">
            <v>44847</v>
          </cell>
          <cell r="E547" t="str">
            <v>Oct-22</v>
          </cell>
          <cell r="F547" t="str">
            <v>REGULER</v>
          </cell>
          <cell r="G547" t="str">
            <v>REGULER</v>
          </cell>
          <cell r="H547" t="str">
            <v>REGULER</v>
          </cell>
          <cell r="I547" t="str">
            <v>REGULER</v>
          </cell>
          <cell r="J547" t="str">
            <v>REGULER</v>
          </cell>
          <cell r="K547" t="str">
            <v>REGULER</v>
          </cell>
          <cell r="L547" t="str">
            <v>REGULER</v>
          </cell>
          <cell r="M547">
            <v>7</v>
          </cell>
          <cell r="N547">
            <v>11</v>
          </cell>
          <cell r="O547">
            <v>6</v>
          </cell>
          <cell r="P547">
            <v>12</v>
          </cell>
          <cell r="Q547">
            <v>3</v>
          </cell>
          <cell r="R547">
            <v>7</v>
          </cell>
          <cell r="S547">
            <v>4</v>
          </cell>
          <cell r="T547">
            <v>50</v>
          </cell>
          <cell r="U547">
            <v>7</v>
          </cell>
          <cell r="V547">
            <v>11</v>
          </cell>
          <cell r="W547">
            <v>6</v>
          </cell>
          <cell r="X547">
            <v>12</v>
          </cell>
          <cell r="Y547">
            <v>3</v>
          </cell>
          <cell r="Z547">
            <v>7</v>
          </cell>
          <cell r="AA547">
            <v>4</v>
          </cell>
          <cell r="AB547">
            <v>50</v>
          </cell>
          <cell r="AC547">
            <v>0</v>
          </cell>
          <cell r="AD547" t="str">
            <v>TIDAK</v>
          </cell>
          <cell r="AE547" t="str">
            <v>TIDAK</v>
          </cell>
          <cell r="AF547">
            <v>50</v>
          </cell>
          <cell r="AG547">
            <v>2</v>
          </cell>
          <cell r="AH547" t="str">
            <v>SAPHIRE</v>
          </cell>
          <cell r="AI547">
            <v>0</v>
          </cell>
          <cell r="AJ547" t="str">
            <v>FALSE</v>
          </cell>
          <cell r="AK547">
            <v>0</v>
          </cell>
          <cell r="AL547">
            <v>45261</v>
          </cell>
          <cell r="AM547">
            <v>45701</v>
          </cell>
          <cell r="AN547">
            <v>1</v>
          </cell>
          <cell r="AO547">
            <v>50</v>
          </cell>
          <cell r="AP547" t="str">
            <v>-</v>
          </cell>
          <cell r="AQ547" t="str">
            <v>-</v>
          </cell>
          <cell r="AR547" t="str">
            <v>REGULER</v>
          </cell>
          <cell r="AS547" t="str">
            <v>-</v>
          </cell>
          <cell r="AT547" t="str">
            <v>-</v>
          </cell>
          <cell r="AU547" t="str">
            <v>-</v>
          </cell>
          <cell r="AV547" t="str">
            <v/>
          </cell>
          <cell r="AW547">
            <v>11</v>
          </cell>
          <cell r="AX547">
            <v>7</v>
          </cell>
          <cell r="AY547">
            <v>0</v>
          </cell>
          <cell r="AZ547">
            <v>0</v>
          </cell>
          <cell r="BA547">
            <v>0</v>
          </cell>
          <cell r="BB547">
            <v>11</v>
          </cell>
          <cell r="BC547">
            <v>7</v>
          </cell>
          <cell r="BD547">
            <v>0</v>
          </cell>
          <cell r="BE547">
            <v>0</v>
          </cell>
          <cell r="BF547">
            <v>0</v>
          </cell>
          <cell r="BG547">
            <v>1</v>
          </cell>
          <cell r="BH547">
            <v>11</v>
          </cell>
          <cell r="BI547">
            <v>7</v>
          </cell>
          <cell r="BJ547">
            <v>0</v>
          </cell>
          <cell r="BK547">
            <v>0</v>
          </cell>
          <cell r="BL547">
            <v>0</v>
          </cell>
          <cell r="BM547" t="str">
            <v/>
          </cell>
          <cell r="BN547">
            <v>19</v>
          </cell>
          <cell r="BO547">
            <v>1</v>
          </cell>
          <cell r="BP547">
            <v>11</v>
          </cell>
          <cell r="BQ547">
            <v>7</v>
          </cell>
          <cell r="BR547">
            <v>0</v>
          </cell>
          <cell r="BS547">
            <v>0</v>
          </cell>
          <cell r="BT547">
            <v>0</v>
          </cell>
          <cell r="BU547" t="str">
            <v/>
          </cell>
          <cell r="BV547">
            <v>19</v>
          </cell>
          <cell r="BW547">
            <v>4</v>
          </cell>
          <cell r="BX547" t="str">
            <v>DOWNGRADE</v>
          </cell>
          <cell r="BY547" t="str">
            <v>RESET</v>
          </cell>
        </row>
        <row r="548">
          <cell r="A548">
            <v>92462</v>
          </cell>
          <cell r="B548" t="str">
            <v>Nara Sima Murti</v>
          </cell>
          <cell r="C548" t="str">
            <v>RVO</v>
          </cell>
          <cell r="D548">
            <v>44750</v>
          </cell>
          <cell r="E548" t="str">
            <v>Jul-22</v>
          </cell>
          <cell r="F548" t="str">
            <v>REGULER</v>
          </cell>
          <cell r="G548" t="str">
            <v>REGULER</v>
          </cell>
          <cell r="H548" t="str">
            <v>REGULER</v>
          </cell>
          <cell r="I548" t="str">
            <v>-</v>
          </cell>
          <cell r="J548" t="str">
            <v>-</v>
          </cell>
          <cell r="K548" t="str">
            <v>-</v>
          </cell>
          <cell r="L548" t="str">
            <v>-</v>
          </cell>
          <cell r="M548">
            <v>17</v>
          </cell>
          <cell r="N548">
            <v>26</v>
          </cell>
          <cell r="O548">
            <v>1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44</v>
          </cell>
          <cell r="U548">
            <v>17</v>
          </cell>
          <cell r="V548">
            <v>26</v>
          </cell>
          <cell r="W548">
            <v>1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44</v>
          </cell>
          <cell r="AC548">
            <v>4</v>
          </cell>
          <cell r="AD548" t="str">
            <v>DOWNGRADE</v>
          </cell>
          <cell r="AE548" t="str">
            <v>RESET</v>
          </cell>
          <cell r="AF548">
            <v>0</v>
          </cell>
          <cell r="AG548">
            <v>4</v>
          </cell>
          <cell r="AH548" t="str">
            <v>SAPHIRE</v>
          </cell>
          <cell r="AI548">
            <v>0</v>
          </cell>
          <cell r="AJ548" t="str">
            <v>FALSE</v>
          </cell>
          <cell r="AK548">
            <v>0</v>
          </cell>
          <cell r="AL548">
            <v>45261</v>
          </cell>
          <cell r="AM548">
            <v>45701</v>
          </cell>
          <cell r="AN548">
            <v>1</v>
          </cell>
          <cell r="AO548">
            <v>0</v>
          </cell>
          <cell r="AP548" t="str">
            <v>-</v>
          </cell>
          <cell r="AQ548" t="str">
            <v>-</v>
          </cell>
          <cell r="AR548" t="str">
            <v>-</v>
          </cell>
          <cell r="AS548" t="str">
            <v>-</v>
          </cell>
          <cell r="AT548" t="str">
            <v>-</v>
          </cell>
          <cell r="AU548" t="str">
            <v>-</v>
          </cell>
          <cell r="AV548" t="str">
            <v/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 t="str">
            <v/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 t="str">
            <v/>
          </cell>
          <cell r="BN548">
            <v>0</v>
          </cell>
          <cell r="BO548" t="str">
            <v/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 t="str">
            <v/>
          </cell>
          <cell r="BV548">
            <v>0</v>
          </cell>
          <cell r="BW548">
            <v>7</v>
          </cell>
          <cell r="BX548" t="str">
            <v>DOWNGRADE</v>
          </cell>
          <cell r="BY548" t="str">
            <v>RESET</v>
          </cell>
        </row>
        <row r="549">
          <cell r="A549" t="str">
            <v>A3921</v>
          </cell>
          <cell r="B549" t="str">
            <v>Nimas Suri Martiana</v>
          </cell>
          <cell r="C549" t="str">
            <v>RVO</v>
          </cell>
          <cell r="D549">
            <v>45386</v>
          </cell>
          <cell r="E549" t="str">
            <v>Apr-24</v>
          </cell>
          <cell r="F549" t="str">
            <v>-</v>
          </cell>
          <cell r="G549" t="str">
            <v>-</v>
          </cell>
          <cell r="H549" t="str">
            <v>-</v>
          </cell>
          <cell r="I549" t="str">
            <v>REGULER</v>
          </cell>
          <cell r="J549" t="str">
            <v>REGULER</v>
          </cell>
          <cell r="K549" t="str">
            <v>REGULER</v>
          </cell>
          <cell r="L549" t="str">
            <v>REGULER</v>
          </cell>
          <cell r="M549">
            <v>0</v>
          </cell>
          <cell r="N549">
            <v>0</v>
          </cell>
          <cell r="O549">
            <v>0</v>
          </cell>
          <cell r="P549">
            <v>4</v>
          </cell>
          <cell r="Q549">
            <v>18</v>
          </cell>
          <cell r="R549">
            <v>13</v>
          </cell>
          <cell r="S549">
            <v>15</v>
          </cell>
          <cell r="T549">
            <v>50</v>
          </cell>
          <cell r="U549">
            <v>0</v>
          </cell>
          <cell r="V549">
            <v>0</v>
          </cell>
          <cell r="W549">
            <v>0</v>
          </cell>
          <cell r="X549">
            <v>4</v>
          </cell>
          <cell r="Y549">
            <v>18</v>
          </cell>
          <cell r="Z549">
            <v>13</v>
          </cell>
          <cell r="AA549">
            <v>15</v>
          </cell>
          <cell r="AB549">
            <v>50</v>
          </cell>
          <cell r="AC549">
            <v>0</v>
          </cell>
          <cell r="AD549" t="str">
            <v>TIDAK</v>
          </cell>
          <cell r="AE549" t="str">
            <v>TIDAK</v>
          </cell>
          <cell r="AF549">
            <v>50</v>
          </cell>
          <cell r="AG549">
            <v>1</v>
          </cell>
          <cell r="AH549" t="str">
            <v>SAPHIRE</v>
          </cell>
          <cell r="AI549">
            <v>0</v>
          </cell>
          <cell r="AJ549" t="str">
            <v>FALSE</v>
          </cell>
          <cell r="AK549">
            <v>0</v>
          </cell>
          <cell r="AL549">
            <v>45261</v>
          </cell>
          <cell r="AM549">
            <v>45701</v>
          </cell>
          <cell r="AN549">
            <v>1</v>
          </cell>
          <cell r="AO549">
            <v>50</v>
          </cell>
          <cell r="AP549" t="str">
            <v>-</v>
          </cell>
          <cell r="AQ549" t="str">
            <v>-</v>
          </cell>
          <cell r="AR549" t="str">
            <v>REGULER</v>
          </cell>
          <cell r="AS549" t="str">
            <v>REGULER</v>
          </cell>
          <cell r="AT549" t="str">
            <v>REGULER</v>
          </cell>
          <cell r="AU549" t="str">
            <v>REGULER</v>
          </cell>
          <cell r="AV549" t="str">
            <v/>
          </cell>
          <cell r="AW549">
            <v>27</v>
          </cell>
          <cell r="AX549">
            <v>14</v>
          </cell>
          <cell r="AY549">
            <v>24</v>
          </cell>
          <cell r="AZ549">
            <v>23</v>
          </cell>
          <cell r="BA549">
            <v>27</v>
          </cell>
          <cell r="BB549">
            <v>27</v>
          </cell>
          <cell r="BC549">
            <v>14</v>
          </cell>
          <cell r="BD549">
            <v>24</v>
          </cell>
          <cell r="BE549">
            <v>23</v>
          </cell>
          <cell r="BF549">
            <v>27</v>
          </cell>
          <cell r="BG549">
            <v>9</v>
          </cell>
          <cell r="BH549">
            <v>27</v>
          </cell>
          <cell r="BI549">
            <v>14</v>
          </cell>
          <cell r="BJ549">
            <v>24</v>
          </cell>
          <cell r="BK549">
            <v>23</v>
          </cell>
          <cell r="BL549">
            <v>27</v>
          </cell>
          <cell r="BM549">
            <v>15</v>
          </cell>
          <cell r="BN549">
            <v>139</v>
          </cell>
          <cell r="BO549">
            <v>9</v>
          </cell>
          <cell r="BP549">
            <v>27</v>
          </cell>
          <cell r="BQ549">
            <v>14</v>
          </cell>
          <cell r="BR549">
            <v>24</v>
          </cell>
          <cell r="BS549">
            <v>23</v>
          </cell>
          <cell r="BT549">
            <v>27</v>
          </cell>
          <cell r="BU549">
            <v>15</v>
          </cell>
          <cell r="BV549">
            <v>139</v>
          </cell>
          <cell r="BW549">
            <v>0</v>
          </cell>
          <cell r="BX549" t="str">
            <v>TIDAK</v>
          </cell>
          <cell r="BY549" t="str">
            <v>TIDAK</v>
          </cell>
        </row>
        <row r="550">
          <cell r="A550">
            <v>92440</v>
          </cell>
          <cell r="B550" t="str">
            <v>Nova Serlina</v>
          </cell>
          <cell r="C550" t="str">
            <v>RVO</v>
          </cell>
          <cell r="D550">
            <v>44816</v>
          </cell>
          <cell r="E550" t="str">
            <v>Sep-22</v>
          </cell>
          <cell r="F550" t="str">
            <v>REGULER</v>
          </cell>
          <cell r="G550" t="str">
            <v>REGULER</v>
          </cell>
          <cell r="H550" t="str">
            <v>REGULER</v>
          </cell>
          <cell r="I550" t="str">
            <v>REGULER</v>
          </cell>
          <cell r="J550" t="str">
            <v>REGULER</v>
          </cell>
          <cell r="K550" t="str">
            <v>REGULER</v>
          </cell>
          <cell r="L550" t="str">
            <v>REGULER</v>
          </cell>
          <cell r="M550">
            <v>13</v>
          </cell>
          <cell r="N550">
            <v>20</v>
          </cell>
          <cell r="O550">
            <v>34</v>
          </cell>
          <cell r="P550">
            <v>44</v>
          </cell>
          <cell r="Q550">
            <v>37</v>
          </cell>
          <cell r="R550">
            <v>39</v>
          </cell>
          <cell r="S550">
            <v>0</v>
          </cell>
          <cell r="T550">
            <v>187</v>
          </cell>
          <cell r="U550">
            <v>13</v>
          </cell>
          <cell r="V550">
            <v>20</v>
          </cell>
          <cell r="W550">
            <v>34</v>
          </cell>
          <cell r="X550">
            <v>44</v>
          </cell>
          <cell r="Y550">
            <v>37</v>
          </cell>
          <cell r="Z550">
            <v>39</v>
          </cell>
          <cell r="AA550">
            <v>0</v>
          </cell>
          <cell r="AB550">
            <v>187</v>
          </cell>
          <cell r="AC550">
            <v>1</v>
          </cell>
          <cell r="AD550" t="str">
            <v>TIDAK</v>
          </cell>
          <cell r="AE550" t="str">
            <v>TIDAK</v>
          </cell>
          <cell r="AF550">
            <v>187</v>
          </cell>
          <cell r="AG550">
            <v>4</v>
          </cell>
          <cell r="AH550" t="str">
            <v>SAPHIRE</v>
          </cell>
          <cell r="AI550">
            <v>0</v>
          </cell>
          <cell r="AJ550" t="str">
            <v>Y</v>
          </cell>
          <cell r="AK550">
            <v>0</v>
          </cell>
          <cell r="AL550">
            <v>45261</v>
          </cell>
          <cell r="AM550">
            <v>45701</v>
          </cell>
          <cell r="AN550">
            <v>1</v>
          </cell>
          <cell r="AO550">
            <v>187</v>
          </cell>
          <cell r="AP550" t="str">
            <v>-</v>
          </cell>
          <cell r="AQ550" t="str">
            <v>-</v>
          </cell>
          <cell r="AR550" t="str">
            <v>EKSKLUSIF</v>
          </cell>
          <cell r="AS550" t="str">
            <v>EKSKLUSIF</v>
          </cell>
          <cell r="AT550" t="str">
            <v>REGULER</v>
          </cell>
          <cell r="AU550" t="str">
            <v>REGULER</v>
          </cell>
          <cell r="AV550" t="str">
            <v/>
          </cell>
          <cell r="AW550">
            <v>65</v>
          </cell>
          <cell r="AX550">
            <v>57</v>
          </cell>
          <cell r="AY550">
            <v>61</v>
          </cell>
          <cell r="AZ550">
            <v>42</v>
          </cell>
          <cell r="BA550">
            <v>45</v>
          </cell>
          <cell r="BB550">
            <v>65</v>
          </cell>
          <cell r="BC550">
            <v>57</v>
          </cell>
          <cell r="BD550">
            <v>61</v>
          </cell>
          <cell r="BE550">
            <v>42</v>
          </cell>
          <cell r="BF550">
            <v>45</v>
          </cell>
          <cell r="BG550">
            <v>18</v>
          </cell>
          <cell r="BH550">
            <v>65</v>
          </cell>
          <cell r="BI550">
            <v>57</v>
          </cell>
          <cell r="BJ550">
            <v>61</v>
          </cell>
          <cell r="BK550">
            <v>42</v>
          </cell>
          <cell r="BL550">
            <v>45</v>
          </cell>
          <cell r="BM550">
            <v>16</v>
          </cell>
          <cell r="BN550">
            <v>304</v>
          </cell>
          <cell r="BO550">
            <v>18</v>
          </cell>
          <cell r="BP550">
            <v>65</v>
          </cell>
          <cell r="BQ550">
            <v>0</v>
          </cell>
          <cell r="BR550">
            <v>0</v>
          </cell>
          <cell r="BS550">
            <v>42</v>
          </cell>
          <cell r="BT550">
            <v>45</v>
          </cell>
          <cell r="BU550">
            <v>16</v>
          </cell>
          <cell r="BV550">
            <v>186</v>
          </cell>
          <cell r="BW550">
            <v>0</v>
          </cell>
          <cell r="BX550" t="str">
            <v>TIDAK</v>
          </cell>
          <cell r="BY550" t="str">
            <v>TIDAK</v>
          </cell>
        </row>
        <row r="551">
          <cell r="A551" t="str">
            <v>A2400</v>
          </cell>
          <cell r="B551" t="str">
            <v>Novarenda Pawestri</v>
          </cell>
          <cell r="C551" t="str">
            <v>RVO</v>
          </cell>
          <cell r="D551">
            <v>45079</v>
          </cell>
          <cell r="E551" t="str">
            <v>Jun-23</v>
          </cell>
          <cell r="F551" t="str">
            <v>REGULER</v>
          </cell>
          <cell r="G551" t="str">
            <v>EKSKLUSIF</v>
          </cell>
          <cell r="H551" t="str">
            <v>EKSKLUSIF</v>
          </cell>
          <cell r="I551" t="str">
            <v>EKSKLUSIF</v>
          </cell>
          <cell r="J551" t="str">
            <v>EKSKLUSIF</v>
          </cell>
          <cell r="K551" t="str">
            <v>EKSKLUSIF</v>
          </cell>
          <cell r="L551" t="str">
            <v>EKSKLUSIF</v>
          </cell>
          <cell r="M551">
            <v>25</v>
          </cell>
          <cell r="N551">
            <v>49</v>
          </cell>
          <cell r="O551">
            <v>48</v>
          </cell>
          <cell r="P551">
            <v>51</v>
          </cell>
          <cell r="Q551">
            <v>42</v>
          </cell>
          <cell r="R551">
            <v>47</v>
          </cell>
          <cell r="S551">
            <v>24</v>
          </cell>
          <cell r="T551">
            <v>286</v>
          </cell>
          <cell r="U551">
            <v>25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25</v>
          </cell>
          <cell r="AC551">
            <v>0</v>
          </cell>
          <cell r="AD551" t="str">
            <v>TIDAK</v>
          </cell>
          <cell r="AE551" t="str">
            <v>TIDAK</v>
          </cell>
          <cell r="AF551">
            <v>25</v>
          </cell>
          <cell r="AG551">
            <v>3</v>
          </cell>
          <cell r="AH551" t="str">
            <v>SAPHIRE</v>
          </cell>
          <cell r="AI551">
            <v>0</v>
          </cell>
          <cell r="AJ551" t="str">
            <v>FALSE</v>
          </cell>
          <cell r="AK551">
            <v>0</v>
          </cell>
          <cell r="AL551">
            <v>45261</v>
          </cell>
          <cell r="AM551">
            <v>45701</v>
          </cell>
          <cell r="AN551">
            <v>1</v>
          </cell>
          <cell r="AO551">
            <v>25</v>
          </cell>
          <cell r="AP551" t="str">
            <v>EKSKLUSIF</v>
          </cell>
          <cell r="AQ551" t="str">
            <v>-</v>
          </cell>
          <cell r="AR551" t="str">
            <v>-</v>
          </cell>
          <cell r="AS551" t="str">
            <v>-</v>
          </cell>
          <cell r="AT551" t="str">
            <v>-</v>
          </cell>
          <cell r="AU551" t="str">
            <v>-</v>
          </cell>
          <cell r="AV551" t="str">
            <v/>
          </cell>
          <cell r="AW551">
            <v>21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21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24</v>
          </cell>
          <cell r="BH551">
            <v>21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 t="str">
            <v/>
          </cell>
          <cell r="BN551">
            <v>45</v>
          </cell>
          <cell r="BO551">
            <v>0</v>
          </cell>
          <cell r="BP551">
            <v>21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 t="str">
            <v/>
          </cell>
          <cell r="BV551">
            <v>21</v>
          </cell>
          <cell r="BW551">
            <v>5</v>
          </cell>
          <cell r="BX551" t="str">
            <v>DOWNGRADE</v>
          </cell>
          <cell r="BY551" t="str">
            <v>RESET</v>
          </cell>
        </row>
        <row r="552">
          <cell r="A552">
            <v>90363</v>
          </cell>
          <cell r="B552" t="str">
            <v>Nurma Hayu</v>
          </cell>
          <cell r="C552" t="str">
            <v>RVO</v>
          </cell>
          <cell r="D552">
            <v>44320</v>
          </cell>
          <cell r="E552" t="str">
            <v>May-21</v>
          </cell>
          <cell r="F552" t="str">
            <v>REGULER</v>
          </cell>
          <cell r="G552" t="str">
            <v>EKSKLUSIF</v>
          </cell>
          <cell r="H552" t="str">
            <v>EKSKLUSIF</v>
          </cell>
          <cell r="I552" t="str">
            <v>EKSKLUSIF</v>
          </cell>
          <cell r="J552" t="str">
            <v>REGULER</v>
          </cell>
          <cell r="K552" t="str">
            <v>-</v>
          </cell>
          <cell r="L552" t="str">
            <v>EKSKLUSIF</v>
          </cell>
          <cell r="M552">
            <v>10</v>
          </cell>
          <cell r="N552">
            <v>50</v>
          </cell>
          <cell r="O552">
            <v>42</v>
          </cell>
          <cell r="P552">
            <v>39</v>
          </cell>
          <cell r="Q552">
            <v>2</v>
          </cell>
          <cell r="R552">
            <v>0</v>
          </cell>
          <cell r="S552">
            <v>0</v>
          </cell>
          <cell r="T552">
            <v>143</v>
          </cell>
          <cell r="U552">
            <v>10</v>
          </cell>
          <cell r="V552">
            <v>0</v>
          </cell>
          <cell r="W552">
            <v>0</v>
          </cell>
          <cell r="X552">
            <v>0</v>
          </cell>
          <cell r="Y552">
            <v>2</v>
          </cell>
          <cell r="Z552">
            <v>0</v>
          </cell>
          <cell r="AA552">
            <v>0</v>
          </cell>
          <cell r="AB552">
            <v>12</v>
          </cell>
          <cell r="AC552">
            <v>2</v>
          </cell>
          <cell r="AD552" t="str">
            <v>TIDAK</v>
          </cell>
          <cell r="AE552" t="str">
            <v>TIDAK</v>
          </cell>
          <cell r="AF552">
            <v>12</v>
          </cell>
          <cell r="AG552">
            <v>4</v>
          </cell>
          <cell r="AH552" t="str">
            <v>SAPHIRE</v>
          </cell>
          <cell r="AI552">
            <v>0</v>
          </cell>
          <cell r="AJ552" t="str">
            <v>FALSE</v>
          </cell>
          <cell r="AK552">
            <v>0</v>
          </cell>
          <cell r="AL552">
            <v>45261</v>
          </cell>
          <cell r="AM552">
            <v>45701</v>
          </cell>
          <cell r="AN552">
            <v>1</v>
          </cell>
          <cell r="AO552">
            <v>12</v>
          </cell>
          <cell r="AP552" t="str">
            <v>EKSKLUSIF</v>
          </cell>
          <cell r="AQ552" t="str">
            <v>-</v>
          </cell>
          <cell r="AR552" t="str">
            <v>EKSKLUSIF</v>
          </cell>
          <cell r="AS552" t="str">
            <v>EKSKLUSIF</v>
          </cell>
          <cell r="AT552" t="str">
            <v>EKSKLUSIF</v>
          </cell>
          <cell r="AU552" t="str">
            <v>EKSKLUSIF</v>
          </cell>
          <cell r="AV552" t="str">
            <v/>
          </cell>
          <cell r="AW552">
            <v>55</v>
          </cell>
          <cell r="AX552">
            <v>46</v>
          </cell>
          <cell r="AY552">
            <v>45</v>
          </cell>
          <cell r="AZ552">
            <v>54</v>
          </cell>
          <cell r="BA552">
            <v>50</v>
          </cell>
          <cell r="BB552">
            <v>55</v>
          </cell>
          <cell r="BC552">
            <v>46</v>
          </cell>
          <cell r="BD552">
            <v>45</v>
          </cell>
          <cell r="BE552">
            <v>54</v>
          </cell>
          <cell r="BF552">
            <v>50</v>
          </cell>
          <cell r="BG552">
            <v>23</v>
          </cell>
          <cell r="BH552">
            <v>55</v>
          </cell>
          <cell r="BI552">
            <v>46</v>
          </cell>
          <cell r="BJ552">
            <v>45</v>
          </cell>
          <cell r="BK552">
            <v>54</v>
          </cell>
          <cell r="BL552">
            <v>50</v>
          </cell>
          <cell r="BM552">
            <v>26</v>
          </cell>
          <cell r="BN552">
            <v>299</v>
          </cell>
          <cell r="BO552">
            <v>0</v>
          </cell>
          <cell r="BP552">
            <v>55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26</v>
          </cell>
          <cell r="BV552">
            <v>81</v>
          </cell>
          <cell r="BW552">
            <v>0</v>
          </cell>
          <cell r="BX552" t="str">
            <v>TIDAK</v>
          </cell>
          <cell r="BY552" t="str">
            <v>TIDAK</v>
          </cell>
        </row>
        <row r="553">
          <cell r="A553">
            <v>92494</v>
          </cell>
          <cell r="B553" t="str">
            <v>Nurmansyah Amirudin</v>
          </cell>
          <cell r="C553" t="str">
            <v>RVO</v>
          </cell>
          <cell r="D553">
            <v>44753</v>
          </cell>
          <cell r="E553" t="str">
            <v>Jul-22</v>
          </cell>
          <cell r="F553" t="str">
            <v>REGULER</v>
          </cell>
          <cell r="G553" t="str">
            <v>REGULER</v>
          </cell>
          <cell r="H553" t="str">
            <v>EKSKLUSIF</v>
          </cell>
          <cell r="I553" t="str">
            <v>EKSKLUSIF</v>
          </cell>
          <cell r="J553" t="str">
            <v>EKSKLUSIF</v>
          </cell>
          <cell r="K553" t="str">
            <v>REGULER</v>
          </cell>
          <cell r="L553" t="str">
            <v>REGULER</v>
          </cell>
          <cell r="M553">
            <v>14</v>
          </cell>
          <cell r="N553">
            <v>37</v>
          </cell>
          <cell r="O553">
            <v>43</v>
          </cell>
          <cell r="P553">
            <v>45</v>
          </cell>
          <cell r="Q553">
            <v>42</v>
          </cell>
          <cell r="R553">
            <v>28</v>
          </cell>
          <cell r="S553">
            <v>0</v>
          </cell>
          <cell r="T553">
            <v>209</v>
          </cell>
          <cell r="U553">
            <v>14</v>
          </cell>
          <cell r="V553">
            <v>37</v>
          </cell>
          <cell r="W553">
            <v>0</v>
          </cell>
          <cell r="X553">
            <v>0</v>
          </cell>
          <cell r="Y553">
            <v>0</v>
          </cell>
          <cell r="Z553">
            <v>28</v>
          </cell>
          <cell r="AA553">
            <v>0</v>
          </cell>
          <cell r="AB553">
            <v>79</v>
          </cell>
          <cell r="AC553">
            <v>1</v>
          </cell>
          <cell r="AD553" t="str">
            <v>TIDAK</v>
          </cell>
          <cell r="AE553" t="str">
            <v>TIDAK</v>
          </cell>
          <cell r="AF553">
            <v>79</v>
          </cell>
          <cell r="AG553">
            <v>5</v>
          </cell>
          <cell r="AH553" t="str">
            <v>SAPHIRE</v>
          </cell>
          <cell r="AI553">
            <v>0</v>
          </cell>
          <cell r="AJ553" t="str">
            <v>Y</v>
          </cell>
          <cell r="AK553">
            <v>0</v>
          </cell>
          <cell r="AL553">
            <v>45261</v>
          </cell>
          <cell r="AM553">
            <v>45701</v>
          </cell>
          <cell r="AN553">
            <v>1</v>
          </cell>
          <cell r="AO553">
            <v>79</v>
          </cell>
          <cell r="AP553" t="str">
            <v>-</v>
          </cell>
          <cell r="AQ553" t="str">
            <v>-</v>
          </cell>
          <cell r="AR553" t="str">
            <v>EKSKLUSIF</v>
          </cell>
          <cell r="AS553" t="str">
            <v>EKSKLUSIF</v>
          </cell>
          <cell r="AT553" t="str">
            <v>EKSKLUSIF</v>
          </cell>
          <cell r="AU553" t="str">
            <v>REGULER</v>
          </cell>
          <cell r="AV553" t="str">
            <v/>
          </cell>
          <cell r="AW553">
            <v>51</v>
          </cell>
          <cell r="AX553">
            <v>49</v>
          </cell>
          <cell r="AY553">
            <v>45</v>
          </cell>
          <cell r="AZ553">
            <v>51</v>
          </cell>
          <cell r="BA553">
            <v>32</v>
          </cell>
          <cell r="BB553">
            <v>51</v>
          </cell>
          <cell r="BC553">
            <v>49</v>
          </cell>
          <cell r="BD553">
            <v>45</v>
          </cell>
          <cell r="BE553">
            <v>51</v>
          </cell>
          <cell r="BF553">
            <v>32</v>
          </cell>
          <cell r="BG553" t="str">
            <v/>
          </cell>
          <cell r="BH553">
            <v>51</v>
          </cell>
          <cell r="BI553">
            <v>49</v>
          </cell>
          <cell r="BJ553">
            <v>45</v>
          </cell>
          <cell r="BK553">
            <v>51</v>
          </cell>
          <cell r="BL553">
            <v>32</v>
          </cell>
          <cell r="BM553">
            <v>17</v>
          </cell>
          <cell r="BN553">
            <v>245</v>
          </cell>
          <cell r="BO553" t="str">
            <v/>
          </cell>
          <cell r="BP553">
            <v>51</v>
          </cell>
          <cell r="BQ553">
            <v>0</v>
          </cell>
          <cell r="BR553">
            <v>0</v>
          </cell>
          <cell r="BS553">
            <v>0</v>
          </cell>
          <cell r="BT553">
            <v>32</v>
          </cell>
          <cell r="BU553">
            <v>17</v>
          </cell>
          <cell r="BV553">
            <v>100</v>
          </cell>
          <cell r="BW553">
            <v>1</v>
          </cell>
          <cell r="BX553" t="str">
            <v>TIDAK</v>
          </cell>
          <cell r="BY553" t="str">
            <v>TIDAK</v>
          </cell>
        </row>
        <row r="554">
          <cell r="A554" t="str">
            <v>A0088</v>
          </cell>
          <cell r="B554" t="str">
            <v>Ogi Shofia Eka Anisia</v>
          </cell>
          <cell r="C554" t="str">
            <v>RVO</v>
          </cell>
          <cell r="D554">
            <v>44872</v>
          </cell>
          <cell r="E554" t="str">
            <v>Nov-22</v>
          </cell>
          <cell r="F554" t="str">
            <v>REGULER</v>
          </cell>
          <cell r="G554" t="str">
            <v>EKSKLUSIF</v>
          </cell>
          <cell r="H554" t="str">
            <v>EKSKLUSIF</v>
          </cell>
          <cell r="I554" t="str">
            <v>EKSKLUSIF</v>
          </cell>
          <cell r="J554" t="str">
            <v>REGULER</v>
          </cell>
          <cell r="K554" t="str">
            <v>REGULER</v>
          </cell>
          <cell r="L554" t="str">
            <v>REGULER</v>
          </cell>
          <cell r="M554">
            <v>19</v>
          </cell>
          <cell r="N554">
            <v>51</v>
          </cell>
          <cell r="O554">
            <v>43</v>
          </cell>
          <cell r="P554">
            <v>50</v>
          </cell>
          <cell r="Q554">
            <v>28</v>
          </cell>
          <cell r="R554">
            <v>50</v>
          </cell>
          <cell r="S554">
            <v>20</v>
          </cell>
          <cell r="T554">
            <v>261</v>
          </cell>
          <cell r="U554">
            <v>19</v>
          </cell>
          <cell r="V554">
            <v>0</v>
          </cell>
          <cell r="W554">
            <v>0</v>
          </cell>
          <cell r="X554">
            <v>0</v>
          </cell>
          <cell r="Y554">
            <v>28</v>
          </cell>
          <cell r="Z554">
            <v>50</v>
          </cell>
          <cell r="AA554">
            <v>20</v>
          </cell>
          <cell r="AB554">
            <v>117</v>
          </cell>
          <cell r="AC554">
            <v>0</v>
          </cell>
          <cell r="AD554" t="str">
            <v>TIDAK</v>
          </cell>
          <cell r="AE554" t="str">
            <v>TIDAK</v>
          </cell>
          <cell r="AF554">
            <v>117</v>
          </cell>
          <cell r="AG554">
            <v>3</v>
          </cell>
          <cell r="AH554" t="str">
            <v>SAPHIRE</v>
          </cell>
          <cell r="AI554">
            <v>0</v>
          </cell>
          <cell r="AJ554" t="str">
            <v>Y</v>
          </cell>
          <cell r="AK554">
            <v>0</v>
          </cell>
          <cell r="AL554">
            <v>45261</v>
          </cell>
          <cell r="AM554">
            <v>45701</v>
          </cell>
          <cell r="AN554">
            <v>1</v>
          </cell>
          <cell r="AO554">
            <v>117</v>
          </cell>
          <cell r="AP554" t="str">
            <v>-</v>
          </cell>
          <cell r="AQ554" t="str">
            <v>-</v>
          </cell>
          <cell r="AR554" t="str">
            <v>REGULER</v>
          </cell>
          <cell r="AS554" t="str">
            <v>REGULER</v>
          </cell>
          <cell r="AT554" t="str">
            <v>EKSKLUSIF</v>
          </cell>
          <cell r="AU554" t="str">
            <v>EKSKLUSIF</v>
          </cell>
          <cell r="AV554" t="str">
            <v/>
          </cell>
          <cell r="AW554">
            <v>52</v>
          </cell>
          <cell r="AX554">
            <v>51</v>
          </cell>
          <cell r="AY554">
            <v>31</v>
          </cell>
          <cell r="AZ554">
            <v>63</v>
          </cell>
          <cell r="BA554">
            <v>51</v>
          </cell>
          <cell r="BB554">
            <v>52</v>
          </cell>
          <cell r="BC554">
            <v>51</v>
          </cell>
          <cell r="BD554">
            <v>31</v>
          </cell>
          <cell r="BE554">
            <v>63</v>
          </cell>
          <cell r="BF554">
            <v>51</v>
          </cell>
          <cell r="BG554">
            <v>6</v>
          </cell>
          <cell r="BH554">
            <v>52</v>
          </cell>
          <cell r="BI554">
            <v>51</v>
          </cell>
          <cell r="BJ554">
            <v>31</v>
          </cell>
          <cell r="BK554">
            <v>63</v>
          </cell>
          <cell r="BL554">
            <v>51</v>
          </cell>
          <cell r="BM554">
            <v>22</v>
          </cell>
          <cell r="BN554">
            <v>276</v>
          </cell>
          <cell r="BO554">
            <v>6</v>
          </cell>
          <cell r="BP554">
            <v>52</v>
          </cell>
          <cell r="BQ554">
            <v>51</v>
          </cell>
          <cell r="BR554">
            <v>31</v>
          </cell>
          <cell r="BS554">
            <v>0</v>
          </cell>
          <cell r="BT554">
            <v>0</v>
          </cell>
          <cell r="BU554">
            <v>22</v>
          </cell>
          <cell r="BV554">
            <v>162</v>
          </cell>
          <cell r="BW554">
            <v>0</v>
          </cell>
          <cell r="BX554" t="str">
            <v>TIDAK</v>
          </cell>
          <cell r="BY554" t="str">
            <v>TIDAK</v>
          </cell>
        </row>
        <row r="555">
          <cell r="A555">
            <v>92427</v>
          </cell>
          <cell r="B555" t="str">
            <v>Qathunnada Maulidina</v>
          </cell>
          <cell r="C555" t="str">
            <v>RVO</v>
          </cell>
          <cell r="D555">
            <v>44743</v>
          </cell>
          <cell r="E555" t="str">
            <v>Jul-22</v>
          </cell>
          <cell r="F555" t="str">
            <v>REGULER</v>
          </cell>
          <cell r="G555" t="str">
            <v>REGULER</v>
          </cell>
          <cell r="H555" t="str">
            <v>REGULER</v>
          </cell>
          <cell r="I555" t="str">
            <v>REGULER</v>
          </cell>
          <cell r="J555" t="str">
            <v>REGULER</v>
          </cell>
          <cell r="K555" t="str">
            <v>-</v>
          </cell>
          <cell r="L555" t="str">
            <v>-</v>
          </cell>
          <cell r="M555">
            <v>12</v>
          </cell>
          <cell r="N555">
            <v>16</v>
          </cell>
          <cell r="O555">
            <v>11</v>
          </cell>
          <cell r="P555">
            <v>22</v>
          </cell>
          <cell r="Q555">
            <v>4</v>
          </cell>
          <cell r="R555">
            <v>0</v>
          </cell>
          <cell r="S555">
            <v>0</v>
          </cell>
          <cell r="T555">
            <v>65</v>
          </cell>
          <cell r="U555">
            <v>12</v>
          </cell>
          <cell r="V555">
            <v>16</v>
          </cell>
          <cell r="W555">
            <v>11</v>
          </cell>
          <cell r="X555">
            <v>22</v>
          </cell>
          <cell r="Y555">
            <v>4</v>
          </cell>
          <cell r="Z555">
            <v>0</v>
          </cell>
          <cell r="AA555">
            <v>0</v>
          </cell>
          <cell r="AB555">
            <v>65</v>
          </cell>
          <cell r="AC555">
            <v>2</v>
          </cell>
          <cell r="AD555" t="str">
            <v>TIDAK</v>
          </cell>
          <cell r="AE555" t="str">
            <v>TIDAK</v>
          </cell>
          <cell r="AF555">
            <v>65</v>
          </cell>
          <cell r="AG555">
            <v>2</v>
          </cell>
          <cell r="AH555" t="str">
            <v>SAPHIRE</v>
          </cell>
          <cell r="AI555">
            <v>0</v>
          </cell>
          <cell r="AJ555" t="str">
            <v>Y</v>
          </cell>
          <cell r="AK555">
            <v>0</v>
          </cell>
          <cell r="AL555">
            <v>45261</v>
          </cell>
          <cell r="AM555">
            <v>45701</v>
          </cell>
          <cell r="AN555">
            <v>1</v>
          </cell>
          <cell r="AO555">
            <v>65</v>
          </cell>
          <cell r="AP555" t="str">
            <v>-</v>
          </cell>
          <cell r="AQ555" t="str">
            <v>-</v>
          </cell>
          <cell r="AR555" t="str">
            <v>-</v>
          </cell>
          <cell r="AS555" t="str">
            <v>-</v>
          </cell>
          <cell r="AT555" t="str">
            <v>-</v>
          </cell>
          <cell r="AU555" t="str">
            <v>-</v>
          </cell>
          <cell r="AV555" t="str">
            <v/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 t="str">
            <v/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 t="str">
            <v/>
          </cell>
          <cell r="BN555">
            <v>0</v>
          </cell>
          <cell r="BO555" t="str">
            <v/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 t="str">
            <v/>
          </cell>
          <cell r="BV555">
            <v>0</v>
          </cell>
          <cell r="BW555">
            <v>7</v>
          </cell>
          <cell r="BX555" t="str">
            <v>DOWNGRADE</v>
          </cell>
          <cell r="BY555" t="str">
            <v>RESET</v>
          </cell>
        </row>
        <row r="556">
          <cell r="A556" t="str">
            <v>A0072</v>
          </cell>
          <cell r="B556" t="str">
            <v>Rahmad Dwi Adrian</v>
          </cell>
          <cell r="C556" t="str">
            <v>RVO</v>
          </cell>
          <cell r="D556">
            <v>44837</v>
          </cell>
          <cell r="E556" t="str">
            <v>Oct-22</v>
          </cell>
          <cell r="F556" t="str">
            <v>EKSKLUSIF</v>
          </cell>
          <cell r="G556" t="str">
            <v>EKSKLUSIF</v>
          </cell>
          <cell r="H556" t="str">
            <v>EKSKLUSIF</v>
          </cell>
          <cell r="I556" t="str">
            <v>EKSKLUSIF</v>
          </cell>
          <cell r="J556" t="str">
            <v>REGULER</v>
          </cell>
          <cell r="K556" t="str">
            <v>EKSKLUSIF</v>
          </cell>
          <cell r="L556" t="str">
            <v>EKSKLUSIF</v>
          </cell>
          <cell r="M556">
            <v>22</v>
          </cell>
          <cell r="N556">
            <v>46</v>
          </cell>
          <cell r="O556">
            <v>39</v>
          </cell>
          <cell r="P556">
            <v>42</v>
          </cell>
          <cell r="Q556">
            <v>22</v>
          </cell>
          <cell r="R556">
            <v>43</v>
          </cell>
          <cell r="S556">
            <v>0</v>
          </cell>
          <cell r="T556">
            <v>214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22</v>
          </cell>
          <cell r="Z556">
            <v>0</v>
          </cell>
          <cell r="AA556">
            <v>0</v>
          </cell>
          <cell r="AB556">
            <v>22</v>
          </cell>
          <cell r="AC556">
            <v>1</v>
          </cell>
          <cell r="AD556" t="str">
            <v>TIDAK</v>
          </cell>
          <cell r="AE556" t="str">
            <v>TIDAK</v>
          </cell>
          <cell r="AF556">
            <v>22</v>
          </cell>
          <cell r="AG556">
            <v>4</v>
          </cell>
          <cell r="AH556" t="str">
            <v>SAPHIRE</v>
          </cell>
          <cell r="AI556">
            <v>0</v>
          </cell>
          <cell r="AJ556" t="str">
            <v>FALSE</v>
          </cell>
          <cell r="AK556">
            <v>0</v>
          </cell>
          <cell r="AL556">
            <v>45261</v>
          </cell>
          <cell r="AM556">
            <v>45701</v>
          </cell>
          <cell r="AN556">
            <v>1</v>
          </cell>
          <cell r="AO556">
            <v>22</v>
          </cell>
          <cell r="AP556" t="str">
            <v>EKSKLUSIF</v>
          </cell>
          <cell r="AQ556" t="str">
            <v>-</v>
          </cell>
          <cell r="AR556" t="str">
            <v>EKSKLUSIF</v>
          </cell>
          <cell r="AS556" t="str">
            <v>EKSKLUSIF</v>
          </cell>
          <cell r="AT556" t="str">
            <v>EKSKLUSIF</v>
          </cell>
          <cell r="AU556" t="str">
            <v>EKSKLUSIF</v>
          </cell>
          <cell r="AV556" t="str">
            <v/>
          </cell>
          <cell r="AW556">
            <v>50</v>
          </cell>
          <cell r="AX556">
            <v>48</v>
          </cell>
          <cell r="AY556">
            <v>44</v>
          </cell>
          <cell r="AZ556">
            <v>49</v>
          </cell>
          <cell r="BA556">
            <v>44</v>
          </cell>
          <cell r="BB556">
            <v>50</v>
          </cell>
          <cell r="BC556">
            <v>48</v>
          </cell>
          <cell r="BD556">
            <v>44</v>
          </cell>
          <cell r="BE556">
            <v>49</v>
          </cell>
          <cell r="BF556">
            <v>44</v>
          </cell>
          <cell r="BG556">
            <v>20</v>
          </cell>
          <cell r="BH556">
            <v>50</v>
          </cell>
          <cell r="BI556">
            <v>48</v>
          </cell>
          <cell r="BJ556">
            <v>44</v>
          </cell>
          <cell r="BK556">
            <v>49</v>
          </cell>
          <cell r="BL556">
            <v>44</v>
          </cell>
          <cell r="BM556">
            <v>21</v>
          </cell>
          <cell r="BN556">
            <v>276</v>
          </cell>
          <cell r="BO556">
            <v>0</v>
          </cell>
          <cell r="BP556">
            <v>50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21</v>
          </cell>
          <cell r="BV556">
            <v>71</v>
          </cell>
          <cell r="BW556">
            <v>0</v>
          </cell>
          <cell r="BX556" t="str">
            <v>TIDAK</v>
          </cell>
          <cell r="BY556" t="str">
            <v>TIDAK</v>
          </cell>
        </row>
        <row r="557">
          <cell r="A557" t="str">
            <v>A0155</v>
          </cell>
          <cell r="B557" t="str">
            <v>Raymon Piterz Godlieb</v>
          </cell>
          <cell r="C557" t="str">
            <v>RVO</v>
          </cell>
          <cell r="D557">
            <v>44859</v>
          </cell>
          <cell r="E557" t="str">
            <v>Oct-22</v>
          </cell>
          <cell r="F557" t="str">
            <v>EKSKLUSIF</v>
          </cell>
          <cell r="G557" t="str">
            <v>EKSKLUSIF</v>
          </cell>
          <cell r="H557" t="str">
            <v>EKSKLUSIF</v>
          </cell>
          <cell r="I557" t="str">
            <v>EKSKLUSIF</v>
          </cell>
          <cell r="J557" t="str">
            <v>EKSKLUSIF</v>
          </cell>
          <cell r="K557" t="str">
            <v>EKSKLUSIF</v>
          </cell>
          <cell r="L557" t="str">
            <v>EKSKLUSIF</v>
          </cell>
          <cell r="M557">
            <v>24</v>
          </cell>
          <cell r="N557">
            <v>49</v>
          </cell>
          <cell r="O557">
            <v>41</v>
          </cell>
          <cell r="P557">
            <v>45</v>
          </cell>
          <cell r="Q557">
            <v>40</v>
          </cell>
          <cell r="R557">
            <v>50</v>
          </cell>
          <cell r="S557">
            <v>0</v>
          </cell>
          <cell r="T557">
            <v>249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1</v>
          </cell>
          <cell r="AD557" t="str">
            <v>TIDAK</v>
          </cell>
          <cell r="AE557" t="str">
            <v>TIDAK</v>
          </cell>
          <cell r="AF557">
            <v>0</v>
          </cell>
          <cell r="AG557">
            <v>2</v>
          </cell>
          <cell r="AH557" t="str">
            <v>SAPHIRE</v>
          </cell>
          <cell r="AI557">
            <v>0</v>
          </cell>
          <cell r="AJ557" t="str">
            <v>FALSE</v>
          </cell>
          <cell r="AK557">
            <v>0</v>
          </cell>
          <cell r="AL557">
            <v>45261</v>
          </cell>
          <cell r="AM557">
            <v>45701</v>
          </cell>
          <cell r="AN557">
            <v>1</v>
          </cell>
          <cell r="AO557">
            <v>0</v>
          </cell>
          <cell r="AP557" t="str">
            <v>EKSKLUSIF</v>
          </cell>
          <cell r="AQ557" t="str">
            <v>-</v>
          </cell>
          <cell r="AR557" t="str">
            <v>EKSKLUSIF</v>
          </cell>
          <cell r="AS557" t="str">
            <v>EKSKLUSIF</v>
          </cell>
          <cell r="AT557" t="str">
            <v>REGULER</v>
          </cell>
          <cell r="AU557" t="str">
            <v>REGULER</v>
          </cell>
          <cell r="AV557" t="str">
            <v/>
          </cell>
          <cell r="AW557">
            <v>52</v>
          </cell>
          <cell r="AX557">
            <v>49</v>
          </cell>
          <cell r="AY557">
            <v>39</v>
          </cell>
          <cell r="AZ557">
            <v>27</v>
          </cell>
          <cell r="BA557">
            <v>34</v>
          </cell>
          <cell r="BB557">
            <v>52</v>
          </cell>
          <cell r="BC557">
            <v>49</v>
          </cell>
          <cell r="BD557">
            <v>39</v>
          </cell>
          <cell r="BE557">
            <v>27</v>
          </cell>
          <cell r="BF557">
            <v>13</v>
          </cell>
          <cell r="BG557">
            <v>21</v>
          </cell>
          <cell r="BH557">
            <v>52</v>
          </cell>
          <cell r="BI557">
            <v>49</v>
          </cell>
          <cell r="BJ557">
            <v>39</v>
          </cell>
          <cell r="BK557">
            <v>27</v>
          </cell>
          <cell r="BL557">
            <v>34</v>
          </cell>
          <cell r="BM557">
            <v>21</v>
          </cell>
          <cell r="BN557">
            <v>243</v>
          </cell>
          <cell r="BO557">
            <v>0</v>
          </cell>
          <cell r="BP557">
            <v>52</v>
          </cell>
          <cell r="BQ557">
            <v>0</v>
          </cell>
          <cell r="BR557">
            <v>0</v>
          </cell>
          <cell r="BS557">
            <v>27</v>
          </cell>
          <cell r="BT557">
            <v>34</v>
          </cell>
          <cell r="BU557">
            <v>21</v>
          </cell>
          <cell r="BV557">
            <v>134</v>
          </cell>
          <cell r="BW557">
            <v>0</v>
          </cell>
          <cell r="BX557" t="str">
            <v>TIDAK</v>
          </cell>
          <cell r="BY557" t="str">
            <v>TIDAK</v>
          </cell>
        </row>
        <row r="558">
          <cell r="A558" t="str">
            <v>A0092</v>
          </cell>
          <cell r="B558" t="str">
            <v>Regina Esther Jaya Haniko</v>
          </cell>
          <cell r="C558" t="str">
            <v>RVO</v>
          </cell>
          <cell r="D558">
            <v>44846</v>
          </cell>
          <cell r="E558" t="str">
            <v>Oct-22</v>
          </cell>
          <cell r="F558" t="str">
            <v>REGULER</v>
          </cell>
          <cell r="G558" t="str">
            <v>REGULER</v>
          </cell>
          <cell r="H558" t="str">
            <v>REGULER</v>
          </cell>
          <cell r="I558" t="str">
            <v>REGULER</v>
          </cell>
          <cell r="J558" t="str">
            <v>REGULER</v>
          </cell>
          <cell r="K558" t="str">
            <v>REGULER</v>
          </cell>
          <cell r="L558" t="str">
            <v>REGULER</v>
          </cell>
          <cell r="M558">
            <v>8</v>
          </cell>
          <cell r="N558">
            <v>18</v>
          </cell>
          <cell r="O558">
            <v>14</v>
          </cell>
          <cell r="P558">
            <v>17</v>
          </cell>
          <cell r="Q558">
            <v>15</v>
          </cell>
          <cell r="R558">
            <v>23</v>
          </cell>
          <cell r="S558">
            <v>2</v>
          </cell>
          <cell r="T558">
            <v>97</v>
          </cell>
          <cell r="U558">
            <v>8</v>
          </cell>
          <cell r="V558">
            <v>18</v>
          </cell>
          <cell r="W558">
            <v>14</v>
          </cell>
          <cell r="X558">
            <v>17</v>
          </cell>
          <cell r="Y558">
            <v>15</v>
          </cell>
          <cell r="Z558">
            <v>23</v>
          </cell>
          <cell r="AA558">
            <v>2</v>
          </cell>
          <cell r="AB558">
            <v>97</v>
          </cell>
          <cell r="AC558">
            <v>0</v>
          </cell>
          <cell r="AD558" t="str">
            <v>TIDAK</v>
          </cell>
          <cell r="AE558" t="str">
            <v>TIDAK</v>
          </cell>
          <cell r="AF558">
            <v>97</v>
          </cell>
          <cell r="AG558">
            <v>2</v>
          </cell>
          <cell r="AH558" t="str">
            <v>SAPHIRE</v>
          </cell>
          <cell r="AI558">
            <v>0</v>
          </cell>
          <cell r="AJ558" t="str">
            <v>Y</v>
          </cell>
          <cell r="AK558">
            <v>0</v>
          </cell>
          <cell r="AL558">
            <v>45261</v>
          </cell>
          <cell r="AM558">
            <v>45701</v>
          </cell>
          <cell r="AN558">
            <v>1</v>
          </cell>
          <cell r="AO558">
            <v>97</v>
          </cell>
          <cell r="AP558" t="str">
            <v>-</v>
          </cell>
          <cell r="AQ558" t="str">
            <v>-</v>
          </cell>
          <cell r="AR558" t="str">
            <v>REGULER</v>
          </cell>
          <cell r="AS558" t="str">
            <v>REGULER</v>
          </cell>
          <cell r="AT558" t="str">
            <v>REGULER</v>
          </cell>
          <cell r="AU558" t="str">
            <v>REGULER</v>
          </cell>
          <cell r="AV558" t="str">
            <v/>
          </cell>
          <cell r="AW558">
            <v>8</v>
          </cell>
          <cell r="AX558">
            <v>17</v>
          </cell>
          <cell r="AY558">
            <v>20</v>
          </cell>
          <cell r="AZ558">
            <v>21</v>
          </cell>
          <cell r="BA558">
            <v>23</v>
          </cell>
          <cell r="BB558">
            <v>8</v>
          </cell>
          <cell r="BC558">
            <v>17</v>
          </cell>
          <cell r="BD558">
            <v>20</v>
          </cell>
          <cell r="BE558">
            <v>21</v>
          </cell>
          <cell r="BF558">
            <v>23</v>
          </cell>
          <cell r="BG558">
            <v>7</v>
          </cell>
          <cell r="BH558">
            <v>8</v>
          </cell>
          <cell r="BI558">
            <v>17</v>
          </cell>
          <cell r="BJ558">
            <v>20</v>
          </cell>
          <cell r="BK558">
            <v>21</v>
          </cell>
          <cell r="BL558">
            <v>23</v>
          </cell>
          <cell r="BM558">
            <v>12</v>
          </cell>
          <cell r="BN558">
            <v>108</v>
          </cell>
          <cell r="BO558">
            <v>7</v>
          </cell>
          <cell r="BP558">
            <v>8</v>
          </cell>
          <cell r="BQ558">
            <v>17</v>
          </cell>
          <cell r="BR558">
            <v>20</v>
          </cell>
          <cell r="BS558">
            <v>21</v>
          </cell>
          <cell r="BT558">
            <v>23</v>
          </cell>
          <cell r="BU558">
            <v>12</v>
          </cell>
          <cell r="BV558">
            <v>108</v>
          </cell>
          <cell r="BW558">
            <v>0</v>
          </cell>
          <cell r="BX558" t="str">
            <v>TIDAK</v>
          </cell>
          <cell r="BY558" t="str">
            <v>TIDAK</v>
          </cell>
        </row>
        <row r="559">
          <cell r="A559">
            <v>92595</v>
          </cell>
          <cell r="B559" t="str">
            <v>Renaldi Bintang Prastowo</v>
          </cell>
          <cell r="C559" t="str">
            <v>RVO</v>
          </cell>
          <cell r="D559">
            <v>44805</v>
          </cell>
          <cell r="E559" t="str">
            <v>Sep-22</v>
          </cell>
          <cell r="F559" t="str">
            <v>REGULER</v>
          </cell>
          <cell r="G559" t="str">
            <v>REGULER</v>
          </cell>
          <cell r="H559" t="str">
            <v>REGULER</v>
          </cell>
          <cell r="I559" t="str">
            <v>REGULER</v>
          </cell>
          <cell r="J559" t="str">
            <v>REGULER</v>
          </cell>
          <cell r="K559" t="str">
            <v>REGULER</v>
          </cell>
          <cell r="L559" t="str">
            <v>REGULER</v>
          </cell>
          <cell r="M559">
            <v>31</v>
          </cell>
          <cell r="N559">
            <v>49</v>
          </cell>
          <cell r="O559">
            <v>37</v>
          </cell>
          <cell r="P559">
            <v>36</v>
          </cell>
          <cell r="Q559">
            <v>43</v>
          </cell>
          <cell r="R559">
            <v>39</v>
          </cell>
          <cell r="S559">
            <v>19</v>
          </cell>
          <cell r="T559">
            <v>254</v>
          </cell>
          <cell r="U559">
            <v>31</v>
          </cell>
          <cell r="V559">
            <v>49</v>
          </cell>
          <cell r="W559">
            <v>37</v>
          </cell>
          <cell r="X559">
            <v>36</v>
          </cell>
          <cell r="Y559">
            <v>43</v>
          </cell>
          <cell r="Z559">
            <v>39</v>
          </cell>
          <cell r="AA559">
            <v>19</v>
          </cell>
          <cell r="AB559">
            <v>254</v>
          </cell>
          <cell r="AC559">
            <v>0</v>
          </cell>
          <cell r="AD559" t="str">
            <v>TIDAK</v>
          </cell>
          <cell r="AE559" t="str">
            <v>TIDAK</v>
          </cell>
          <cell r="AF559">
            <v>254</v>
          </cell>
          <cell r="AG559">
            <v>5</v>
          </cell>
          <cell r="AH559" t="str">
            <v>SAPHIRE</v>
          </cell>
          <cell r="AI559">
            <v>0</v>
          </cell>
          <cell r="AJ559" t="str">
            <v>Y</v>
          </cell>
          <cell r="AK559">
            <v>0</v>
          </cell>
          <cell r="AL559">
            <v>45261</v>
          </cell>
          <cell r="AM559">
            <v>45701</v>
          </cell>
          <cell r="AN559">
            <v>1</v>
          </cell>
          <cell r="AO559">
            <v>254</v>
          </cell>
          <cell r="AP559" t="str">
            <v>-</v>
          </cell>
          <cell r="AQ559" t="str">
            <v>-</v>
          </cell>
          <cell r="AR559" t="str">
            <v>-</v>
          </cell>
          <cell r="AS559" t="str">
            <v>-</v>
          </cell>
          <cell r="AT559" t="str">
            <v>-</v>
          </cell>
          <cell r="AU559" t="str">
            <v>-</v>
          </cell>
          <cell r="AV559" t="str">
            <v/>
          </cell>
          <cell r="AW559">
            <v>25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25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27</v>
          </cell>
          <cell r="BH559">
            <v>25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 t="str">
            <v/>
          </cell>
          <cell r="BN559">
            <v>52</v>
          </cell>
          <cell r="BO559">
            <v>27</v>
          </cell>
          <cell r="BP559">
            <v>25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 t="str">
            <v/>
          </cell>
          <cell r="BV559">
            <v>52</v>
          </cell>
          <cell r="BW559">
            <v>5</v>
          </cell>
          <cell r="BX559" t="str">
            <v>DOWNGRADE</v>
          </cell>
          <cell r="BY559" t="str">
            <v>RESET</v>
          </cell>
        </row>
        <row r="560">
          <cell r="A560" t="str">
            <v>A3920</v>
          </cell>
          <cell r="B560" t="str">
            <v>Reza Anugerah</v>
          </cell>
          <cell r="C560" t="str">
            <v>RVO</v>
          </cell>
          <cell r="D560">
            <v>45383</v>
          </cell>
          <cell r="E560" t="str">
            <v>Apr-24</v>
          </cell>
          <cell r="F560" t="str">
            <v>-</v>
          </cell>
          <cell r="G560" t="str">
            <v>-</v>
          </cell>
          <cell r="H560" t="str">
            <v>-</v>
          </cell>
          <cell r="I560" t="str">
            <v>REGULER</v>
          </cell>
          <cell r="J560" t="str">
            <v>REGULER</v>
          </cell>
          <cell r="K560" t="str">
            <v>-</v>
          </cell>
          <cell r="L560" t="str">
            <v>-</v>
          </cell>
          <cell r="M560">
            <v>0</v>
          </cell>
          <cell r="N560">
            <v>0</v>
          </cell>
          <cell r="O560">
            <v>0</v>
          </cell>
          <cell r="P560">
            <v>5</v>
          </cell>
          <cell r="Q560">
            <v>22</v>
          </cell>
          <cell r="R560">
            <v>0</v>
          </cell>
          <cell r="S560">
            <v>0</v>
          </cell>
          <cell r="T560">
            <v>27</v>
          </cell>
          <cell r="U560">
            <v>0</v>
          </cell>
          <cell r="V560">
            <v>0</v>
          </cell>
          <cell r="W560">
            <v>0</v>
          </cell>
          <cell r="X560">
            <v>5</v>
          </cell>
          <cell r="Y560">
            <v>22</v>
          </cell>
          <cell r="Z560">
            <v>0</v>
          </cell>
          <cell r="AA560">
            <v>0</v>
          </cell>
          <cell r="AB560">
            <v>27</v>
          </cell>
          <cell r="AC560">
            <v>2</v>
          </cell>
          <cell r="AD560" t="str">
            <v>TIDAK</v>
          </cell>
          <cell r="AE560" t="str">
            <v>TIDAK</v>
          </cell>
          <cell r="AF560">
            <v>27</v>
          </cell>
          <cell r="AG560">
            <v>1</v>
          </cell>
          <cell r="AH560" t="str">
            <v>SAPHIRE</v>
          </cell>
          <cell r="AI560">
            <v>0</v>
          </cell>
          <cell r="AJ560" t="str">
            <v>FALSE</v>
          </cell>
          <cell r="AK560">
            <v>0</v>
          </cell>
          <cell r="AL560">
            <v>45261</v>
          </cell>
          <cell r="AM560">
            <v>45701</v>
          </cell>
          <cell r="AN560">
            <v>1</v>
          </cell>
          <cell r="AO560">
            <v>27</v>
          </cell>
          <cell r="AP560" t="str">
            <v>-</v>
          </cell>
          <cell r="AQ560" t="str">
            <v>-</v>
          </cell>
          <cell r="AR560" t="str">
            <v>-</v>
          </cell>
          <cell r="AS560" t="str">
            <v>-</v>
          </cell>
          <cell r="AT560" t="str">
            <v>-</v>
          </cell>
          <cell r="AU560" t="str">
            <v>-</v>
          </cell>
          <cell r="AV560" t="str">
            <v/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 t="str">
            <v/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 t="str">
            <v/>
          </cell>
          <cell r="BN560">
            <v>0</v>
          </cell>
          <cell r="BO560" t="str">
            <v/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 t="str">
            <v/>
          </cell>
          <cell r="BV560">
            <v>0</v>
          </cell>
          <cell r="BW560">
            <v>7</v>
          </cell>
          <cell r="BX560" t="str">
            <v>DOWNGRADE</v>
          </cell>
          <cell r="BY560" t="str">
            <v>RESET</v>
          </cell>
        </row>
        <row r="561">
          <cell r="A561">
            <v>90933</v>
          </cell>
          <cell r="B561" t="str">
            <v>Reza Desti Vauzia</v>
          </cell>
          <cell r="C561" t="str">
            <v>RVO</v>
          </cell>
          <cell r="D561">
            <v>44546</v>
          </cell>
          <cell r="E561" t="str">
            <v>Dec-21</v>
          </cell>
          <cell r="F561" t="str">
            <v>REGULER</v>
          </cell>
          <cell r="G561" t="str">
            <v>EKSKLUSIF</v>
          </cell>
          <cell r="H561" t="str">
            <v>EKSKLUSIF</v>
          </cell>
          <cell r="I561" t="str">
            <v>EKSKLUSIF</v>
          </cell>
          <cell r="J561" t="str">
            <v>REGULER</v>
          </cell>
          <cell r="K561" t="str">
            <v>REGULER</v>
          </cell>
          <cell r="L561" t="str">
            <v>EKSKLUSIF</v>
          </cell>
          <cell r="M561">
            <v>23</v>
          </cell>
          <cell r="N561">
            <v>51</v>
          </cell>
          <cell r="O561">
            <v>43</v>
          </cell>
          <cell r="P561">
            <v>47</v>
          </cell>
          <cell r="Q561">
            <v>2</v>
          </cell>
          <cell r="R561">
            <v>33</v>
          </cell>
          <cell r="S561">
            <v>0</v>
          </cell>
          <cell r="T561">
            <v>199</v>
          </cell>
          <cell r="U561">
            <v>23</v>
          </cell>
          <cell r="V561">
            <v>0</v>
          </cell>
          <cell r="W561">
            <v>0</v>
          </cell>
          <cell r="X561">
            <v>0</v>
          </cell>
          <cell r="Y561">
            <v>2</v>
          </cell>
          <cell r="Z561">
            <v>33</v>
          </cell>
          <cell r="AA561">
            <v>0</v>
          </cell>
          <cell r="AB561">
            <v>58</v>
          </cell>
          <cell r="AC561">
            <v>1</v>
          </cell>
          <cell r="AD561" t="str">
            <v>TIDAK</v>
          </cell>
          <cell r="AE561" t="str">
            <v>TIDAK</v>
          </cell>
          <cell r="AF561">
            <v>58</v>
          </cell>
          <cell r="AG561">
            <v>4</v>
          </cell>
          <cell r="AH561" t="str">
            <v>SAPHIRE</v>
          </cell>
          <cell r="AI561">
            <v>0</v>
          </cell>
          <cell r="AJ561" t="str">
            <v>FALSE</v>
          </cell>
          <cell r="AK561">
            <v>0</v>
          </cell>
          <cell r="AL561">
            <v>45261</v>
          </cell>
          <cell r="AM561">
            <v>45701</v>
          </cell>
          <cell r="AN561">
            <v>1</v>
          </cell>
          <cell r="AO561">
            <v>58</v>
          </cell>
          <cell r="AP561" t="str">
            <v>EKSKLUSIF</v>
          </cell>
          <cell r="AQ561" t="str">
            <v>-</v>
          </cell>
          <cell r="AR561" t="str">
            <v>EKSKLUSIF</v>
          </cell>
          <cell r="AS561" t="str">
            <v>EKSKLUSIF</v>
          </cell>
          <cell r="AT561" t="str">
            <v>EKSKLUSIF</v>
          </cell>
          <cell r="AU561" t="str">
            <v>EKSKLUSIF</v>
          </cell>
          <cell r="AV561" t="str">
            <v/>
          </cell>
          <cell r="AW561">
            <v>56</v>
          </cell>
          <cell r="AX561">
            <v>49</v>
          </cell>
          <cell r="AY561">
            <v>45</v>
          </cell>
          <cell r="AZ561">
            <v>50</v>
          </cell>
          <cell r="BA561">
            <v>51</v>
          </cell>
          <cell r="BB561">
            <v>56</v>
          </cell>
          <cell r="BC561">
            <v>49</v>
          </cell>
          <cell r="BD561">
            <v>45</v>
          </cell>
          <cell r="BE561">
            <v>50</v>
          </cell>
          <cell r="BF561">
            <v>51</v>
          </cell>
          <cell r="BG561">
            <v>22</v>
          </cell>
          <cell r="BH561">
            <v>56</v>
          </cell>
          <cell r="BI561">
            <v>49</v>
          </cell>
          <cell r="BJ561">
            <v>45</v>
          </cell>
          <cell r="BK561">
            <v>50</v>
          </cell>
          <cell r="BL561">
            <v>51</v>
          </cell>
          <cell r="BM561">
            <v>25</v>
          </cell>
          <cell r="BN561">
            <v>298</v>
          </cell>
          <cell r="BO561">
            <v>0</v>
          </cell>
          <cell r="BP561">
            <v>56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25</v>
          </cell>
          <cell r="BV561">
            <v>81</v>
          </cell>
          <cell r="BW561">
            <v>0</v>
          </cell>
          <cell r="BX561" t="str">
            <v>TIDAK</v>
          </cell>
          <cell r="BY561" t="str">
            <v>TIDAK</v>
          </cell>
        </row>
        <row r="562">
          <cell r="A562">
            <v>92132</v>
          </cell>
          <cell r="B562" t="str">
            <v>Rima Fauziah</v>
          </cell>
          <cell r="C562" t="str">
            <v>RVO</v>
          </cell>
          <cell r="D562">
            <v>44594</v>
          </cell>
          <cell r="E562" t="str">
            <v>Feb-22</v>
          </cell>
          <cell r="F562" t="str">
            <v>REGULER</v>
          </cell>
          <cell r="G562" t="str">
            <v>REGULER</v>
          </cell>
          <cell r="H562" t="str">
            <v>REGULER</v>
          </cell>
          <cell r="I562" t="str">
            <v>REGULER</v>
          </cell>
          <cell r="J562" t="str">
            <v>REGULER</v>
          </cell>
          <cell r="K562" t="str">
            <v>REGULER</v>
          </cell>
          <cell r="L562" t="str">
            <v>REGULER</v>
          </cell>
          <cell r="M562">
            <v>11</v>
          </cell>
          <cell r="N562">
            <v>22</v>
          </cell>
          <cell r="O562">
            <v>25</v>
          </cell>
          <cell r="P562">
            <v>23</v>
          </cell>
          <cell r="Q562">
            <v>12</v>
          </cell>
          <cell r="R562">
            <v>23</v>
          </cell>
          <cell r="S562">
            <v>6</v>
          </cell>
          <cell r="T562">
            <v>122</v>
          </cell>
          <cell r="U562">
            <v>11</v>
          </cell>
          <cell r="V562">
            <v>22</v>
          </cell>
          <cell r="W562">
            <v>25</v>
          </cell>
          <cell r="X562">
            <v>23</v>
          </cell>
          <cell r="Y562">
            <v>12</v>
          </cell>
          <cell r="Z562">
            <v>23</v>
          </cell>
          <cell r="AA562">
            <v>6</v>
          </cell>
          <cell r="AB562">
            <v>122</v>
          </cell>
          <cell r="AC562">
            <v>0</v>
          </cell>
          <cell r="AD562" t="str">
            <v>TIDAK</v>
          </cell>
          <cell r="AE562" t="str">
            <v>TIDAK</v>
          </cell>
          <cell r="AF562">
            <v>122</v>
          </cell>
          <cell r="AG562">
            <v>4</v>
          </cell>
          <cell r="AH562" t="str">
            <v>SAPHIRE</v>
          </cell>
          <cell r="AI562">
            <v>0</v>
          </cell>
          <cell r="AJ562" t="str">
            <v>Y</v>
          </cell>
          <cell r="AK562">
            <v>0</v>
          </cell>
          <cell r="AL562">
            <v>45261</v>
          </cell>
          <cell r="AM562">
            <v>45701</v>
          </cell>
          <cell r="AN562">
            <v>1</v>
          </cell>
          <cell r="AO562">
            <v>122</v>
          </cell>
          <cell r="AP562" t="str">
            <v>-</v>
          </cell>
          <cell r="AQ562" t="str">
            <v>-</v>
          </cell>
          <cell r="AR562" t="str">
            <v>REGULER</v>
          </cell>
          <cell r="AS562" t="str">
            <v>REGULER</v>
          </cell>
          <cell r="AT562" t="str">
            <v>REGULER</v>
          </cell>
          <cell r="AU562" t="str">
            <v>REGULER</v>
          </cell>
          <cell r="AV562" t="str">
            <v/>
          </cell>
          <cell r="AW562">
            <v>33</v>
          </cell>
          <cell r="AX562">
            <v>27</v>
          </cell>
          <cell r="AY562">
            <v>25</v>
          </cell>
          <cell r="AZ562">
            <v>31</v>
          </cell>
          <cell r="BA562">
            <v>32</v>
          </cell>
          <cell r="BB562">
            <v>33</v>
          </cell>
          <cell r="BC562">
            <v>27</v>
          </cell>
          <cell r="BD562">
            <v>25</v>
          </cell>
          <cell r="BE562">
            <v>31</v>
          </cell>
          <cell r="BF562">
            <v>32</v>
          </cell>
          <cell r="BG562">
            <v>11</v>
          </cell>
          <cell r="BH562">
            <v>33</v>
          </cell>
          <cell r="BI562">
            <v>27</v>
          </cell>
          <cell r="BJ562">
            <v>25</v>
          </cell>
          <cell r="BK562">
            <v>31</v>
          </cell>
          <cell r="BL562">
            <v>32</v>
          </cell>
          <cell r="BM562">
            <v>13</v>
          </cell>
          <cell r="BN562">
            <v>172</v>
          </cell>
          <cell r="BO562">
            <v>11</v>
          </cell>
          <cell r="BP562">
            <v>33</v>
          </cell>
          <cell r="BQ562">
            <v>27</v>
          </cell>
          <cell r="BR562">
            <v>25</v>
          </cell>
          <cell r="BS562">
            <v>31</v>
          </cell>
          <cell r="BT562">
            <v>32</v>
          </cell>
          <cell r="BU562">
            <v>13</v>
          </cell>
          <cell r="BV562">
            <v>172</v>
          </cell>
          <cell r="BW562">
            <v>0</v>
          </cell>
          <cell r="BX562" t="str">
            <v>TIDAK</v>
          </cell>
          <cell r="BY562" t="str">
            <v>TIDAK</v>
          </cell>
        </row>
        <row r="563">
          <cell r="A563" t="str">
            <v>A3434</v>
          </cell>
          <cell r="B563" t="str">
            <v>Rizal Prakoso</v>
          </cell>
          <cell r="C563" t="str">
            <v>RVO</v>
          </cell>
          <cell r="D563">
            <v>45283</v>
          </cell>
          <cell r="E563" t="str">
            <v>Dec-23</v>
          </cell>
          <cell r="F563" t="str">
            <v>REGULER</v>
          </cell>
          <cell r="G563" t="str">
            <v>REGULER</v>
          </cell>
          <cell r="H563" t="str">
            <v>REGULER</v>
          </cell>
          <cell r="I563" t="str">
            <v>REGULER</v>
          </cell>
          <cell r="J563" t="str">
            <v>REGULER</v>
          </cell>
          <cell r="K563" t="str">
            <v>REGULER</v>
          </cell>
          <cell r="L563" t="str">
            <v>REGULER</v>
          </cell>
          <cell r="M563">
            <v>11</v>
          </cell>
          <cell r="N563">
            <v>19</v>
          </cell>
          <cell r="O563">
            <v>36</v>
          </cell>
          <cell r="P563">
            <v>42</v>
          </cell>
          <cell r="Q563">
            <v>36</v>
          </cell>
          <cell r="R563">
            <v>37</v>
          </cell>
          <cell r="S563">
            <v>18</v>
          </cell>
          <cell r="T563">
            <v>199</v>
          </cell>
          <cell r="U563">
            <v>11</v>
          </cell>
          <cell r="V563">
            <v>19</v>
          </cell>
          <cell r="W563">
            <v>36</v>
          </cell>
          <cell r="X563">
            <v>42</v>
          </cell>
          <cell r="Y563">
            <v>36</v>
          </cell>
          <cell r="Z563">
            <v>37</v>
          </cell>
          <cell r="AA563">
            <v>18</v>
          </cell>
          <cell r="AB563">
            <v>199</v>
          </cell>
          <cell r="AC563">
            <v>0</v>
          </cell>
          <cell r="AD563" t="str">
            <v>TIDAK</v>
          </cell>
          <cell r="AE563" t="str">
            <v>TIDAK</v>
          </cell>
          <cell r="AF563">
            <v>199</v>
          </cell>
          <cell r="AG563">
            <v>2</v>
          </cell>
          <cell r="AH563" t="str">
            <v>SAPHIRE</v>
          </cell>
          <cell r="AI563">
            <v>195</v>
          </cell>
          <cell r="AJ563" t="str">
            <v>Y</v>
          </cell>
          <cell r="AK563">
            <v>0</v>
          </cell>
          <cell r="AL563">
            <v>45261</v>
          </cell>
          <cell r="AM563">
            <v>45701</v>
          </cell>
          <cell r="AN563">
            <v>1</v>
          </cell>
          <cell r="AO563">
            <v>4</v>
          </cell>
          <cell r="AP563" t="str">
            <v>-</v>
          </cell>
          <cell r="AQ563" t="str">
            <v>-</v>
          </cell>
          <cell r="AR563" t="str">
            <v>REGULER</v>
          </cell>
          <cell r="AS563" t="str">
            <v>REGULER</v>
          </cell>
          <cell r="AT563" t="str">
            <v>REGULER</v>
          </cell>
          <cell r="AU563" t="str">
            <v>REGULER</v>
          </cell>
          <cell r="AV563" t="str">
            <v/>
          </cell>
          <cell r="AW563">
            <v>30</v>
          </cell>
          <cell r="AX563">
            <v>30</v>
          </cell>
          <cell r="AY563">
            <v>30</v>
          </cell>
          <cell r="AZ563">
            <v>34</v>
          </cell>
          <cell r="BA563">
            <v>29</v>
          </cell>
          <cell r="BB563">
            <v>30</v>
          </cell>
          <cell r="BC563">
            <v>30</v>
          </cell>
          <cell r="BD563">
            <v>30</v>
          </cell>
          <cell r="BE563">
            <v>34</v>
          </cell>
          <cell r="BF563">
            <v>29</v>
          </cell>
          <cell r="BG563">
            <v>11</v>
          </cell>
          <cell r="BH563">
            <v>30</v>
          </cell>
          <cell r="BI563">
            <v>30</v>
          </cell>
          <cell r="BJ563">
            <v>30</v>
          </cell>
          <cell r="BK563">
            <v>34</v>
          </cell>
          <cell r="BL563">
            <v>29</v>
          </cell>
          <cell r="BM563" t="str">
            <v/>
          </cell>
          <cell r="BN563">
            <v>164</v>
          </cell>
          <cell r="BO563">
            <v>11</v>
          </cell>
          <cell r="BP563">
            <v>30</v>
          </cell>
          <cell r="BQ563">
            <v>30</v>
          </cell>
          <cell r="BR563">
            <v>30</v>
          </cell>
          <cell r="BS563">
            <v>34</v>
          </cell>
          <cell r="BT563">
            <v>29</v>
          </cell>
          <cell r="BU563" t="str">
            <v/>
          </cell>
          <cell r="BV563">
            <v>164</v>
          </cell>
          <cell r="BW563">
            <v>1</v>
          </cell>
          <cell r="BX563" t="str">
            <v>TIDAK</v>
          </cell>
          <cell r="BY563" t="str">
            <v>TIDAK</v>
          </cell>
        </row>
        <row r="564">
          <cell r="A564" t="str">
            <v>A0061</v>
          </cell>
          <cell r="B564" t="str">
            <v>Rizki Hermansyah</v>
          </cell>
          <cell r="C564" t="str">
            <v>RVO</v>
          </cell>
          <cell r="D564">
            <v>44839</v>
          </cell>
          <cell r="E564" t="str">
            <v>Oct-22</v>
          </cell>
          <cell r="F564" t="str">
            <v>REGULER</v>
          </cell>
          <cell r="G564" t="str">
            <v>REGULER</v>
          </cell>
          <cell r="H564" t="str">
            <v>REGULER</v>
          </cell>
          <cell r="I564" t="str">
            <v>REGULER</v>
          </cell>
          <cell r="J564" t="str">
            <v>REGULER</v>
          </cell>
          <cell r="K564" t="str">
            <v>REGULER</v>
          </cell>
          <cell r="L564" t="str">
            <v>REGULER</v>
          </cell>
          <cell r="M564">
            <v>19</v>
          </cell>
          <cell r="N564">
            <v>26</v>
          </cell>
          <cell r="O564">
            <v>22</v>
          </cell>
          <cell r="P564">
            <v>31</v>
          </cell>
          <cell r="Q564">
            <v>31</v>
          </cell>
          <cell r="R564">
            <v>17</v>
          </cell>
          <cell r="S564">
            <v>9</v>
          </cell>
          <cell r="T564">
            <v>155</v>
          </cell>
          <cell r="U564">
            <v>19</v>
          </cell>
          <cell r="V564">
            <v>26</v>
          </cell>
          <cell r="W564">
            <v>22</v>
          </cell>
          <cell r="X564">
            <v>31</v>
          </cell>
          <cell r="Y564">
            <v>31</v>
          </cell>
          <cell r="Z564">
            <v>17</v>
          </cell>
          <cell r="AA564">
            <v>9</v>
          </cell>
          <cell r="AB564">
            <v>155</v>
          </cell>
          <cell r="AC564">
            <v>0</v>
          </cell>
          <cell r="AD564" t="str">
            <v>TIDAK</v>
          </cell>
          <cell r="AE564" t="str">
            <v>TIDAK</v>
          </cell>
          <cell r="AF564">
            <v>155</v>
          </cell>
          <cell r="AG564">
            <v>3</v>
          </cell>
          <cell r="AH564" t="str">
            <v>SAPHIRE</v>
          </cell>
          <cell r="AI564">
            <v>0</v>
          </cell>
          <cell r="AJ564" t="str">
            <v>Y</v>
          </cell>
          <cell r="AK564">
            <v>0</v>
          </cell>
          <cell r="AL564">
            <v>45261</v>
          </cell>
          <cell r="AM564">
            <v>45701</v>
          </cell>
          <cell r="AN564">
            <v>1</v>
          </cell>
          <cell r="AO564">
            <v>155</v>
          </cell>
          <cell r="AP564" t="str">
            <v>-</v>
          </cell>
          <cell r="AQ564" t="str">
            <v>-</v>
          </cell>
          <cell r="AR564" t="str">
            <v>REGULER</v>
          </cell>
          <cell r="AS564" t="str">
            <v>REGULER</v>
          </cell>
          <cell r="AT564" t="str">
            <v>REGULER</v>
          </cell>
          <cell r="AU564" t="str">
            <v>REGULER</v>
          </cell>
          <cell r="AV564" t="str">
            <v/>
          </cell>
          <cell r="AW564">
            <v>30</v>
          </cell>
          <cell r="AX564">
            <v>35</v>
          </cell>
          <cell r="AY564">
            <v>40</v>
          </cell>
          <cell r="AZ564">
            <v>42</v>
          </cell>
          <cell r="BA564">
            <v>29</v>
          </cell>
          <cell r="BB564">
            <v>30</v>
          </cell>
          <cell r="BC564">
            <v>35</v>
          </cell>
          <cell r="BD564">
            <v>40</v>
          </cell>
          <cell r="BE564">
            <v>42</v>
          </cell>
          <cell r="BF564">
            <v>29</v>
          </cell>
          <cell r="BG564">
            <v>12</v>
          </cell>
          <cell r="BH564">
            <v>30</v>
          </cell>
          <cell r="BI564">
            <v>35</v>
          </cell>
          <cell r="BJ564">
            <v>40</v>
          </cell>
          <cell r="BK564">
            <v>42</v>
          </cell>
          <cell r="BL564">
            <v>29</v>
          </cell>
          <cell r="BM564">
            <v>15</v>
          </cell>
          <cell r="BN564">
            <v>203</v>
          </cell>
          <cell r="BO564">
            <v>12</v>
          </cell>
          <cell r="BP564">
            <v>30</v>
          </cell>
          <cell r="BQ564">
            <v>35</v>
          </cell>
          <cell r="BR564">
            <v>40</v>
          </cell>
          <cell r="BS564">
            <v>42</v>
          </cell>
          <cell r="BT564">
            <v>29</v>
          </cell>
          <cell r="BU564">
            <v>15</v>
          </cell>
          <cell r="BV564">
            <v>203</v>
          </cell>
          <cell r="BW564">
            <v>0</v>
          </cell>
          <cell r="BX564" t="str">
            <v>TIDAK</v>
          </cell>
          <cell r="BY564" t="str">
            <v>TIDAK</v>
          </cell>
        </row>
        <row r="565">
          <cell r="A565">
            <v>92597</v>
          </cell>
          <cell r="B565" t="str">
            <v>Rubangi Shofi</v>
          </cell>
          <cell r="C565" t="str">
            <v>RVO</v>
          </cell>
          <cell r="D565">
            <v>44804</v>
          </cell>
          <cell r="E565" t="str">
            <v>Aug-22</v>
          </cell>
          <cell r="F565" t="str">
            <v>REGULER</v>
          </cell>
          <cell r="G565" t="str">
            <v>REGULER</v>
          </cell>
          <cell r="H565" t="str">
            <v>REGULER</v>
          </cell>
          <cell r="I565" t="str">
            <v>-</v>
          </cell>
          <cell r="J565" t="str">
            <v>-</v>
          </cell>
          <cell r="K565" t="str">
            <v>-</v>
          </cell>
          <cell r="L565" t="str">
            <v>-</v>
          </cell>
          <cell r="M565">
            <v>4</v>
          </cell>
          <cell r="N565">
            <v>16</v>
          </cell>
          <cell r="O565">
            <v>11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31</v>
          </cell>
          <cell r="U565">
            <v>4</v>
          </cell>
          <cell r="V565">
            <v>16</v>
          </cell>
          <cell r="W565">
            <v>11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31</v>
          </cell>
          <cell r="AC565">
            <v>4</v>
          </cell>
          <cell r="AD565" t="str">
            <v>DOWNGRADE</v>
          </cell>
          <cell r="AE565" t="str">
            <v>RESET</v>
          </cell>
          <cell r="AF565">
            <v>0</v>
          </cell>
          <cell r="AG565">
            <v>2</v>
          </cell>
          <cell r="AH565" t="str">
            <v>SAPHIRE</v>
          </cell>
          <cell r="AI565">
            <v>0</v>
          </cell>
          <cell r="AJ565" t="str">
            <v>FALSE</v>
          </cell>
          <cell r="AK565">
            <v>0</v>
          </cell>
          <cell r="AL565">
            <v>45261</v>
          </cell>
          <cell r="AM565">
            <v>45701</v>
          </cell>
          <cell r="AN565">
            <v>1</v>
          </cell>
          <cell r="AO565">
            <v>0</v>
          </cell>
          <cell r="AP565" t="str">
            <v>-</v>
          </cell>
          <cell r="AQ565" t="str">
            <v>-</v>
          </cell>
          <cell r="AR565" t="str">
            <v>-</v>
          </cell>
          <cell r="AS565" t="str">
            <v>REGULER</v>
          </cell>
          <cell r="AT565" t="str">
            <v>-</v>
          </cell>
          <cell r="AU565" t="str">
            <v>REGULER</v>
          </cell>
          <cell r="AV565" t="str">
            <v/>
          </cell>
          <cell r="AW565">
            <v>0</v>
          </cell>
          <cell r="AX565">
            <v>0</v>
          </cell>
          <cell r="AY565">
            <v>3</v>
          </cell>
          <cell r="AZ565">
            <v>0</v>
          </cell>
          <cell r="BA565">
            <v>5</v>
          </cell>
          <cell r="BB565">
            <v>0</v>
          </cell>
          <cell r="BC565">
            <v>0</v>
          </cell>
          <cell r="BD565">
            <v>3</v>
          </cell>
          <cell r="BE565">
            <v>0</v>
          </cell>
          <cell r="BF565">
            <v>5</v>
          </cell>
          <cell r="BG565" t="str">
            <v/>
          </cell>
          <cell r="BH565">
            <v>0</v>
          </cell>
          <cell r="BI565">
            <v>0</v>
          </cell>
          <cell r="BJ565">
            <v>3</v>
          </cell>
          <cell r="BK565">
            <v>0</v>
          </cell>
          <cell r="BL565">
            <v>5</v>
          </cell>
          <cell r="BM565" t="str">
            <v/>
          </cell>
          <cell r="BN565">
            <v>8</v>
          </cell>
          <cell r="BO565" t="str">
            <v/>
          </cell>
          <cell r="BP565">
            <v>0</v>
          </cell>
          <cell r="BQ565">
            <v>0</v>
          </cell>
          <cell r="BR565">
            <v>3</v>
          </cell>
          <cell r="BS565">
            <v>0</v>
          </cell>
          <cell r="BT565">
            <v>5</v>
          </cell>
          <cell r="BU565" t="str">
            <v/>
          </cell>
          <cell r="BV565">
            <v>8</v>
          </cell>
          <cell r="BW565">
            <v>5</v>
          </cell>
          <cell r="BX565" t="str">
            <v>DOWNGRADE</v>
          </cell>
          <cell r="BY565" t="str">
            <v>RESET</v>
          </cell>
        </row>
        <row r="566">
          <cell r="A566">
            <v>92542</v>
          </cell>
          <cell r="B566" t="str">
            <v>Sapto Pambudi</v>
          </cell>
          <cell r="C566" t="str">
            <v>RVO</v>
          </cell>
          <cell r="D566">
            <v>44762</v>
          </cell>
          <cell r="E566" t="str">
            <v>Jul-22</v>
          </cell>
          <cell r="F566" t="str">
            <v>REGULER</v>
          </cell>
          <cell r="G566" t="str">
            <v>REGULER</v>
          </cell>
          <cell r="H566" t="str">
            <v>REGULER</v>
          </cell>
          <cell r="I566" t="str">
            <v>REGULER</v>
          </cell>
          <cell r="J566" t="str">
            <v>REGULER</v>
          </cell>
          <cell r="K566" t="str">
            <v>REGULER</v>
          </cell>
          <cell r="L566" t="str">
            <v>REGULER</v>
          </cell>
          <cell r="M566">
            <v>29</v>
          </cell>
          <cell r="N566">
            <v>46</v>
          </cell>
          <cell r="O566">
            <v>12</v>
          </cell>
          <cell r="P566">
            <v>44</v>
          </cell>
          <cell r="Q566">
            <v>35</v>
          </cell>
          <cell r="R566">
            <v>50</v>
          </cell>
          <cell r="S566">
            <v>17</v>
          </cell>
          <cell r="T566">
            <v>233</v>
          </cell>
          <cell r="U566">
            <v>29</v>
          </cell>
          <cell r="V566">
            <v>46</v>
          </cell>
          <cell r="W566">
            <v>12</v>
          </cell>
          <cell r="X566">
            <v>44</v>
          </cell>
          <cell r="Y566">
            <v>35</v>
          </cell>
          <cell r="Z566">
            <v>50</v>
          </cell>
          <cell r="AA566">
            <v>17</v>
          </cell>
          <cell r="AB566">
            <v>233</v>
          </cell>
          <cell r="AC566">
            <v>0</v>
          </cell>
          <cell r="AD566" t="str">
            <v>TIDAK</v>
          </cell>
          <cell r="AE566" t="str">
            <v>TIDAK</v>
          </cell>
          <cell r="AF566">
            <v>233</v>
          </cell>
          <cell r="AG566">
            <v>5</v>
          </cell>
          <cell r="AH566" t="str">
            <v>SAPHIRE</v>
          </cell>
          <cell r="AI566">
            <v>0</v>
          </cell>
          <cell r="AJ566" t="str">
            <v>Y</v>
          </cell>
          <cell r="AK566">
            <v>0</v>
          </cell>
          <cell r="AL566">
            <v>45261</v>
          </cell>
          <cell r="AM566">
            <v>45701</v>
          </cell>
          <cell r="AN566">
            <v>1</v>
          </cell>
          <cell r="AO566">
            <v>233</v>
          </cell>
          <cell r="AP566" t="str">
            <v>-</v>
          </cell>
          <cell r="AQ566" t="str">
            <v>-</v>
          </cell>
          <cell r="AR566" t="str">
            <v>-</v>
          </cell>
          <cell r="AS566" t="str">
            <v>-</v>
          </cell>
          <cell r="AT566" t="str">
            <v>-</v>
          </cell>
          <cell r="AU566" t="str">
            <v>-</v>
          </cell>
          <cell r="AV566" t="str">
            <v/>
          </cell>
          <cell r="AW566">
            <v>10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10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15</v>
          </cell>
          <cell r="BH566">
            <v>10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 t="str">
            <v/>
          </cell>
          <cell r="BN566">
            <v>25</v>
          </cell>
          <cell r="BO566">
            <v>15</v>
          </cell>
          <cell r="BP566">
            <v>10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 t="str">
            <v/>
          </cell>
          <cell r="BV566">
            <v>25</v>
          </cell>
          <cell r="BW566">
            <v>5</v>
          </cell>
          <cell r="BX566" t="str">
            <v>DOWNGRADE</v>
          </cell>
          <cell r="BY566" t="str">
            <v>RESET</v>
          </cell>
        </row>
        <row r="567">
          <cell r="A567">
            <v>92548</v>
          </cell>
          <cell r="B567" t="str">
            <v>Seto Bawono</v>
          </cell>
          <cell r="C567" t="str">
            <v>RVO</v>
          </cell>
          <cell r="D567">
            <v>44755</v>
          </cell>
          <cell r="E567" t="str">
            <v>Jul-22</v>
          </cell>
          <cell r="F567" t="str">
            <v>REGULER</v>
          </cell>
          <cell r="G567" t="str">
            <v>REGULER</v>
          </cell>
          <cell r="H567" t="str">
            <v>REGULER</v>
          </cell>
          <cell r="I567" t="str">
            <v>REGULER</v>
          </cell>
          <cell r="J567" t="str">
            <v>REGULER</v>
          </cell>
          <cell r="K567" t="str">
            <v>REGULER</v>
          </cell>
          <cell r="L567" t="str">
            <v>REGULER</v>
          </cell>
          <cell r="M567">
            <v>2</v>
          </cell>
          <cell r="N567">
            <v>1</v>
          </cell>
          <cell r="O567">
            <v>1</v>
          </cell>
          <cell r="P567">
            <v>3</v>
          </cell>
          <cell r="Q567">
            <v>2</v>
          </cell>
          <cell r="R567">
            <v>6</v>
          </cell>
          <cell r="S567">
            <v>1</v>
          </cell>
          <cell r="T567">
            <v>16</v>
          </cell>
          <cell r="U567">
            <v>2</v>
          </cell>
          <cell r="V567">
            <v>1</v>
          </cell>
          <cell r="W567">
            <v>1</v>
          </cell>
          <cell r="X567">
            <v>3</v>
          </cell>
          <cell r="Y567">
            <v>2</v>
          </cell>
          <cell r="Z567">
            <v>6</v>
          </cell>
          <cell r="AA567">
            <v>1</v>
          </cell>
          <cell r="AB567">
            <v>16</v>
          </cell>
          <cell r="AC567">
            <v>0</v>
          </cell>
          <cell r="AD567" t="str">
            <v>TIDAK</v>
          </cell>
          <cell r="AE567" t="str">
            <v>TIDAK</v>
          </cell>
          <cell r="AF567">
            <v>16</v>
          </cell>
          <cell r="AG567">
            <v>1</v>
          </cell>
          <cell r="AH567" t="str">
            <v>SAPHIRE</v>
          </cell>
          <cell r="AI567">
            <v>0</v>
          </cell>
          <cell r="AJ567" t="str">
            <v>FALSE</v>
          </cell>
          <cell r="AK567">
            <v>0</v>
          </cell>
          <cell r="AL567">
            <v>45261</v>
          </cell>
          <cell r="AM567">
            <v>45701</v>
          </cell>
          <cell r="AN567">
            <v>1</v>
          </cell>
          <cell r="AO567">
            <v>16</v>
          </cell>
          <cell r="AP567" t="str">
            <v>-</v>
          </cell>
          <cell r="AQ567" t="str">
            <v>-</v>
          </cell>
          <cell r="AR567" t="str">
            <v>REGULER</v>
          </cell>
          <cell r="AS567" t="str">
            <v>REGULER</v>
          </cell>
          <cell r="AT567" t="str">
            <v>REGULER</v>
          </cell>
          <cell r="AU567" t="str">
            <v>REGULER</v>
          </cell>
          <cell r="AV567" t="str">
            <v/>
          </cell>
          <cell r="AW567">
            <v>5</v>
          </cell>
          <cell r="AX567">
            <v>2</v>
          </cell>
          <cell r="AY567">
            <v>2</v>
          </cell>
          <cell r="AZ567">
            <v>7</v>
          </cell>
          <cell r="BA567">
            <v>4</v>
          </cell>
          <cell r="BB567">
            <v>5</v>
          </cell>
          <cell r="BC567">
            <v>2</v>
          </cell>
          <cell r="BD567">
            <v>2</v>
          </cell>
          <cell r="BE567">
            <v>7</v>
          </cell>
          <cell r="BF567">
            <v>4</v>
          </cell>
          <cell r="BG567" t="str">
            <v/>
          </cell>
          <cell r="BH567">
            <v>5</v>
          </cell>
          <cell r="BI567">
            <v>2</v>
          </cell>
          <cell r="BJ567">
            <v>2</v>
          </cell>
          <cell r="BK567">
            <v>7</v>
          </cell>
          <cell r="BL567">
            <v>4</v>
          </cell>
          <cell r="BM567">
            <v>3</v>
          </cell>
          <cell r="BN567">
            <v>23</v>
          </cell>
          <cell r="BO567" t="str">
            <v/>
          </cell>
          <cell r="BP567">
            <v>5</v>
          </cell>
          <cell r="BQ567">
            <v>2</v>
          </cell>
          <cell r="BR567">
            <v>2</v>
          </cell>
          <cell r="BS567">
            <v>7</v>
          </cell>
          <cell r="BT567">
            <v>4</v>
          </cell>
          <cell r="BU567">
            <v>3</v>
          </cell>
          <cell r="BV567">
            <v>23</v>
          </cell>
          <cell r="BW567">
            <v>1</v>
          </cell>
          <cell r="BX567" t="str">
            <v>TIDAK</v>
          </cell>
          <cell r="BY567" t="str">
            <v>TIDAK</v>
          </cell>
        </row>
        <row r="568">
          <cell r="A568">
            <v>90453</v>
          </cell>
          <cell r="B568" t="str">
            <v>Sherly Hapsari</v>
          </cell>
          <cell r="C568" t="str">
            <v>RVO</v>
          </cell>
          <cell r="D568">
            <v>44335</v>
          </cell>
          <cell r="E568" t="str">
            <v>May-21</v>
          </cell>
          <cell r="F568" t="str">
            <v>REGULER</v>
          </cell>
          <cell r="G568" t="str">
            <v>EKSKLUSIF</v>
          </cell>
          <cell r="H568" t="str">
            <v>EKSKLUSIF</v>
          </cell>
          <cell r="I568" t="str">
            <v>EKSKLUSIF</v>
          </cell>
          <cell r="J568" t="str">
            <v>EKSKLUSIF</v>
          </cell>
          <cell r="K568" t="str">
            <v>EKSKLUSIF</v>
          </cell>
          <cell r="L568" t="str">
            <v>EKSKLUSIF</v>
          </cell>
          <cell r="M568">
            <v>24</v>
          </cell>
          <cell r="N568">
            <v>53</v>
          </cell>
          <cell r="O568">
            <v>43</v>
          </cell>
          <cell r="P568">
            <v>45</v>
          </cell>
          <cell r="Q568">
            <v>40</v>
          </cell>
          <cell r="R568">
            <v>44</v>
          </cell>
          <cell r="S568">
            <v>0</v>
          </cell>
          <cell r="T568">
            <v>249</v>
          </cell>
          <cell r="U568">
            <v>24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24</v>
          </cell>
          <cell r="AC568">
            <v>1</v>
          </cell>
          <cell r="AD568" t="str">
            <v>TIDAK</v>
          </cell>
          <cell r="AE568" t="str">
            <v>TIDAK</v>
          </cell>
          <cell r="AF568">
            <v>24</v>
          </cell>
          <cell r="AG568">
            <v>3</v>
          </cell>
          <cell r="AH568" t="str">
            <v>SAPHIRE</v>
          </cell>
          <cell r="AI568">
            <v>0</v>
          </cell>
          <cell r="AJ568" t="str">
            <v>FALSE</v>
          </cell>
          <cell r="AK568">
            <v>0</v>
          </cell>
          <cell r="AL568">
            <v>45261</v>
          </cell>
          <cell r="AM568">
            <v>45701</v>
          </cell>
          <cell r="AN568">
            <v>1</v>
          </cell>
          <cell r="AO568">
            <v>24</v>
          </cell>
          <cell r="AP568" t="str">
            <v>EKSKLUSIF</v>
          </cell>
          <cell r="AQ568" t="str">
            <v>-</v>
          </cell>
          <cell r="AR568" t="str">
            <v>EKSKLUSIF</v>
          </cell>
          <cell r="AS568" t="str">
            <v>EKSKLUSIF</v>
          </cell>
          <cell r="AT568" t="str">
            <v>EKSKLUSIF</v>
          </cell>
          <cell r="AU568" t="str">
            <v>EKSKLUSIF</v>
          </cell>
          <cell r="AV568" t="str">
            <v/>
          </cell>
          <cell r="AW568">
            <v>56</v>
          </cell>
          <cell r="AX568">
            <v>56</v>
          </cell>
          <cell r="AY568">
            <v>55</v>
          </cell>
          <cell r="AZ568">
            <v>51</v>
          </cell>
          <cell r="BA568">
            <v>55</v>
          </cell>
          <cell r="BB568">
            <v>56</v>
          </cell>
          <cell r="BC568">
            <v>56</v>
          </cell>
          <cell r="BD568">
            <v>55</v>
          </cell>
          <cell r="BE568">
            <v>51</v>
          </cell>
          <cell r="BF568">
            <v>55</v>
          </cell>
          <cell r="BG568">
            <v>22</v>
          </cell>
          <cell r="BH568">
            <v>56</v>
          </cell>
          <cell r="BI568">
            <v>56</v>
          </cell>
          <cell r="BJ568">
            <v>55</v>
          </cell>
          <cell r="BK568">
            <v>51</v>
          </cell>
          <cell r="BL568">
            <v>55</v>
          </cell>
          <cell r="BM568">
            <v>32</v>
          </cell>
          <cell r="BN568">
            <v>327</v>
          </cell>
          <cell r="BO568">
            <v>0</v>
          </cell>
          <cell r="BP568">
            <v>56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32</v>
          </cell>
          <cell r="BV568">
            <v>88</v>
          </cell>
          <cell r="BW568">
            <v>0</v>
          </cell>
          <cell r="BX568" t="str">
            <v>TIDAK</v>
          </cell>
          <cell r="BY568" t="str">
            <v>TIDAK</v>
          </cell>
        </row>
        <row r="569">
          <cell r="A569" t="str">
            <v>A0126</v>
          </cell>
          <cell r="B569" t="str">
            <v>Shinta Ayu Inna Wardani</v>
          </cell>
          <cell r="C569" t="str">
            <v>RVO</v>
          </cell>
          <cell r="D569">
            <v>44900</v>
          </cell>
          <cell r="E569" t="str">
            <v>Dec-22</v>
          </cell>
          <cell r="F569" t="str">
            <v>REGULER</v>
          </cell>
          <cell r="G569" t="str">
            <v>REGULER</v>
          </cell>
          <cell r="H569" t="str">
            <v>REGULER</v>
          </cell>
          <cell r="I569" t="str">
            <v>REGULER</v>
          </cell>
          <cell r="J569" t="str">
            <v>REGULER</v>
          </cell>
          <cell r="K569" t="str">
            <v>REGULER</v>
          </cell>
          <cell r="L569" t="str">
            <v>REGULER</v>
          </cell>
          <cell r="M569">
            <v>13</v>
          </cell>
          <cell r="N569">
            <v>25</v>
          </cell>
          <cell r="O569">
            <v>20</v>
          </cell>
          <cell r="P569">
            <v>22</v>
          </cell>
          <cell r="Q569">
            <v>24</v>
          </cell>
          <cell r="R569">
            <v>27</v>
          </cell>
          <cell r="S569">
            <v>12</v>
          </cell>
          <cell r="T569">
            <v>143</v>
          </cell>
          <cell r="U569">
            <v>13</v>
          </cell>
          <cell r="V569">
            <v>25</v>
          </cell>
          <cell r="W569">
            <v>20</v>
          </cell>
          <cell r="X569">
            <v>22</v>
          </cell>
          <cell r="Y569">
            <v>24</v>
          </cell>
          <cell r="Z569">
            <v>27</v>
          </cell>
          <cell r="AA569">
            <v>12</v>
          </cell>
          <cell r="AB569">
            <v>143</v>
          </cell>
          <cell r="AC569">
            <v>0</v>
          </cell>
          <cell r="AD569" t="str">
            <v>TIDAK</v>
          </cell>
          <cell r="AE569" t="str">
            <v>TIDAK</v>
          </cell>
          <cell r="AF569">
            <v>143</v>
          </cell>
          <cell r="AG569">
            <v>3</v>
          </cell>
          <cell r="AH569" t="str">
            <v>SAPHIRE</v>
          </cell>
          <cell r="AI569">
            <v>0</v>
          </cell>
          <cell r="AJ569" t="str">
            <v>Y</v>
          </cell>
          <cell r="AK569">
            <v>0</v>
          </cell>
          <cell r="AL569">
            <v>45261</v>
          </cell>
          <cell r="AM569">
            <v>45701</v>
          </cell>
          <cell r="AN569">
            <v>1</v>
          </cell>
          <cell r="AO569">
            <v>143</v>
          </cell>
          <cell r="AP569" t="str">
            <v>-</v>
          </cell>
          <cell r="AQ569" t="str">
            <v>-</v>
          </cell>
          <cell r="AR569" t="str">
            <v>-</v>
          </cell>
          <cell r="AS569" t="str">
            <v>-</v>
          </cell>
          <cell r="AT569" t="str">
            <v>-</v>
          </cell>
          <cell r="AU569" t="str">
            <v>-</v>
          </cell>
          <cell r="AV569" t="str">
            <v/>
          </cell>
          <cell r="AW569">
            <v>21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21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12</v>
          </cell>
          <cell r="BH569">
            <v>21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 t="str">
            <v/>
          </cell>
          <cell r="BN569">
            <v>33</v>
          </cell>
          <cell r="BO569">
            <v>12</v>
          </cell>
          <cell r="BP569">
            <v>21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 t="str">
            <v/>
          </cell>
          <cell r="BV569">
            <v>33</v>
          </cell>
          <cell r="BW569">
            <v>5</v>
          </cell>
          <cell r="BX569" t="str">
            <v>DOWNGRADE</v>
          </cell>
          <cell r="BY569" t="str">
            <v>RESET</v>
          </cell>
        </row>
        <row r="570">
          <cell r="A570" t="str">
            <v>A2217</v>
          </cell>
          <cell r="B570" t="str">
            <v>Sinatriyandika Harumawan</v>
          </cell>
          <cell r="C570" t="str">
            <v>RVO</v>
          </cell>
          <cell r="D570">
            <v>45049</v>
          </cell>
          <cell r="E570" t="str">
            <v>May-23</v>
          </cell>
          <cell r="F570" t="str">
            <v>REGULER</v>
          </cell>
          <cell r="G570" t="str">
            <v>REGULER</v>
          </cell>
          <cell r="H570" t="str">
            <v>REGULER</v>
          </cell>
          <cell r="I570" t="str">
            <v>REGULER</v>
          </cell>
          <cell r="J570" t="str">
            <v>EKSKLUSIF</v>
          </cell>
          <cell r="K570" t="str">
            <v>EKSKLUSIF</v>
          </cell>
          <cell r="L570" t="str">
            <v>EKSKLUSIF</v>
          </cell>
          <cell r="M570">
            <v>18</v>
          </cell>
          <cell r="N570">
            <v>29</v>
          </cell>
          <cell r="O570">
            <v>27</v>
          </cell>
          <cell r="P570">
            <v>36</v>
          </cell>
          <cell r="Q570">
            <v>40</v>
          </cell>
          <cell r="R570">
            <v>43</v>
          </cell>
          <cell r="S570">
            <v>0</v>
          </cell>
          <cell r="T570">
            <v>193</v>
          </cell>
          <cell r="U570">
            <v>18</v>
          </cell>
          <cell r="V570">
            <v>29</v>
          </cell>
          <cell r="W570">
            <v>27</v>
          </cell>
          <cell r="X570">
            <v>36</v>
          </cell>
          <cell r="Y570">
            <v>0</v>
          </cell>
          <cell r="Z570">
            <v>0</v>
          </cell>
          <cell r="AA570">
            <v>0</v>
          </cell>
          <cell r="AB570">
            <v>110</v>
          </cell>
          <cell r="AC570">
            <v>1</v>
          </cell>
          <cell r="AD570" t="str">
            <v>TIDAK</v>
          </cell>
          <cell r="AE570" t="str">
            <v>TIDAK</v>
          </cell>
          <cell r="AF570">
            <v>110</v>
          </cell>
          <cell r="AG570">
            <v>4</v>
          </cell>
          <cell r="AH570" t="str">
            <v>SAPHIRE</v>
          </cell>
          <cell r="AI570">
            <v>0</v>
          </cell>
          <cell r="AJ570" t="str">
            <v>Y</v>
          </cell>
          <cell r="AK570">
            <v>0</v>
          </cell>
          <cell r="AL570">
            <v>45261</v>
          </cell>
          <cell r="AM570">
            <v>45701</v>
          </cell>
          <cell r="AN570">
            <v>1</v>
          </cell>
          <cell r="AO570">
            <v>110</v>
          </cell>
          <cell r="AP570" t="str">
            <v>EKSKLUSIF</v>
          </cell>
          <cell r="AQ570" t="str">
            <v>-</v>
          </cell>
          <cell r="AR570" t="str">
            <v>EKSKLUSIF</v>
          </cell>
          <cell r="AS570" t="str">
            <v>EKSKLUSIF</v>
          </cell>
          <cell r="AT570" t="str">
            <v>EKSKLUSIF</v>
          </cell>
          <cell r="AU570" t="str">
            <v>EKSKLUSIF</v>
          </cell>
          <cell r="AV570" t="str">
            <v/>
          </cell>
          <cell r="AW570">
            <v>52</v>
          </cell>
          <cell r="AX570">
            <v>48</v>
          </cell>
          <cell r="AY570">
            <v>47</v>
          </cell>
          <cell r="AZ570">
            <v>51</v>
          </cell>
          <cell r="BA570">
            <v>46</v>
          </cell>
          <cell r="BB570">
            <v>52</v>
          </cell>
          <cell r="BC570">
            <v>48</v>
          </cell>
          <cell r="BD570">
            <v>47</v>
          </cell>
          <cell r="BE570">
            <v>51</v>
          </cell>
          <cell r="BF570">
            <v>46</v>
          </cell>
          <cell r="BG570">
            <v>22</v>
          </cell>
          <cell r="BH570">
            <v>52</v>
          </cell>
          <cell r="BI570">
            <v>48</v>
          </cell>
          <cell r="BJ570">
            <v>47</v>
          </cell>
          <cell r="BK570">
            <v>51</v>
          </cell>
          <cell r="BL570">
            <v>46</v>
          </cell>
          <cell r="BM570">
            <v>22</v>
          </cell>
          <cell r="BN570">
            <v>288</v>
          </cell>
          <cell r="BO570">
            <v>0</v>
          </cell>
          <cell r="BP570">
            <v>52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22</v>
          </cell>
          <cell r="BV570">
            <v>74</v>
          </cell>
          <cell r="BW570">
            <v>0</v>
          </cell>
          <cell r="BX570" t="str">
            <v>TIDAK</v>
          </cell>
          <cell r="BY570" t="str">
            <v>TIDAK</v>
          </cell>
        </row>
        <row r="571">
          <cell r="A571" t="str">
            <v>A2447</v>
          </cell>
          <cell r="B571" t="str">
            <v>Sufyan Hanif Abyan</v>
          </cell>
          <cell r="C571" t="str">
            <v>RVO</v>
          </cell>
          <cell r="D571">
            <v>45191</v>
          </cell>
          <cell r="E571" t="str">
            <v>Sep-23</v>
          </cell>
          <cell r="F571" t="str">
            <v>REGULER</v>
          </cell>
          <cell r="G571" t="str">
            <v>REGULER</v>
          </cell>
          <cell r="H571" t="str">
            <v>REGULER</v>
          </cell>
          <cell r="I571" t="str">
            <v>REGULER</v>
          </cell>
          <cell r="J571" t="str">
            <v>REGULER</v>
          </cell>
          <cell r="K571" t="str">
            <v>REGULER</v>
          </cell>
          <cell r="L571" t="str">
            <v>REGULER</v>
          </cell>
          <cell r="M571">
            <v>9</v>
          </cell>
          <cell r="N571">
            <v>13</v>
          </cell>
          <cell r="O571">
            <v>22</v>
          </cell>
          <cell r="P571">
            <v>27</v>
          </cell>
          <cell r="Q571">
            <v>25</v>
          </cell>
          <cell r="R571">
            <v>33</v>
          </cell>
          <cell r="S571">
            <v>5</v>
          </cell>
          <cell r="T571">
            <v>134</v>
          </cell>
          <cell r="U571">
            <v>9</v>
          </cell>
          <cell r="V571">
            <v>13</v>
          </cell>
          <cell r="W571">
            <v>22</v>
          </cell>
          <cell r="X571">
            <v>27</v>
          </cell>
          <cell r="Y571">
            <v>25</v>
          </cell>
          <cell r="Z571">
            <v>33</v>
          </cell>
          <cell r="AA571">
            <v>5</v>
          </cell>
          <cell r="AB571">
            <v>134</v>
          </cell>
          <cell r="AC571">
            <v>0</v>
          </cell>
          <cell r="AD571" t="str">
            <v>TIDAK</v>
          </cell>
          <cell r="AE571" t="str">
            <v>TIDAK</v>
          </cell>
          <cell r="AF571">
            <v>134</v>
          </cell>
          <cell r="AG571">
            <v>3</v>
          </cell>
          <cell r="AH571" t="str">
            <v>SAPHIRE</v>
          </cell>
          <cell r="AI571">
            <v>0</v>
          </cell>
          <cell r="AJ571" t="str">
            <v>Y</v>
          </cell>
          <cell r="AK571">
            <v>0</v>
          </cell>
          <cell r="AL571">
            <v>45261</v>
          </cell>
          <cell r="AM571">
            <v>45701</v>
          </cell>
          <cell r="AN571">
            <v>1</v>
          </cell>
          <cell r="AO571">
            <v>134</v>
          </cell>
          <cell r="AP571" t="str">
            <v>-</v>
          </cell>
          <cell r="AQ571" t="str">
            <v>-</v>
          </cell>
          <cell r="AR571" t="str">
            <v>REGULER</v>
          </cell>
          <cell r="AS571" t="str">
            <v>REGULER</v>
          </cell>
          <cell r="AT571" t="str">
            <v>REGULER</v>
          </cell>
          <cell r="AU571" t="str">
            <v>REGULER</v>
          </cell>
          <cell r="AV571" t="str">
            <v/>
          </cell>
          <cell r="AW571">
            <v>30</v>
          </cell>
          <cell r="AX571">
            <v>26</v>
          </cell>
          <cell r="AY571">
            <v>30</v>
          </cell>
          <cell r="AZ571">
            <v>43</v>
          </cell>
          <cell r="BA571">
            <v>34</v>
          </cell>
          <cell r="BB571">
            <v>30</v>
          </cell>
          <cell r="BC571">
            <v>26</v>
          </cell>
          <cell r="BD571">
            <v>30</v>
          </cell>
          <cell r="BE571">
            <v>43</v>
          </cell>
          <cell r="BF571">
            <v>34</v>
          </cell>
          <cell r="BG571">
            <v>14</v>
          </cell>
          <cell r="BH571">
            <v>30</v>
          </cell>
          <cell r="BI571">
            <v>26</v>
          </cell>
          <cell r="BJ571">
            <v>30</v>
          </cell>
          <cell r="BK571">
            <v>43</v>
          </cell>
          <cell r="BL571">
            <v>34</v>
          </cell>
          <cell r="BM571">
            <v>18</v>
          </cell>
          <cell r="BN571">
            <v>195</v>
          </cell>
          <cell r="BO571">
            <v>14</v>
          </cell>
          <cell r="BP571">
            <v>30</v>
          </cell>
          <cell r="BQ571">
            <v>26</v>
          </cell>
          <cell r="BR571">
            <v>30</v>
          </cell>
          <cell r="BS571">
            <v>43</v>
          </cell>
          <cell r="BT571">
            <v>34</v>
          </cell>
          <cell r="BU571">
            <v>18</v>
          </cell>
          <cell r="BV571">
            <v>195</v>
          </cell>
          <cell r="BW571">
            <v>0</v>
          </cell>
          <cell r="BX571" t="str">
            <v>TIDAK</v>
          </cell>
          <cell r="BY571" t="str">
            <v>TIDAK</v>
          </cell>
        </row>
        <row r="572">
          <cell r="A572">
            <v>90654</v>
          </cell>
          <cell r="B572" t="str">
            <v>Surya Setia Nugraha Putra</v>
          </cell>
          <cell r="C572" t="str">
            <v>RVO</v>
          </cell>
          <cell r="D572">
            <v>44743</v>
          </cell>
          <cell r="E572" t="str">
            <v>Jul-22</v>
          </cell>
          <cell r="F572" t="str">
            <v>-</v>
          </cell>
          <cell r="G572" t="str">
            <v>-</v>
          </cell>
          <cell r="H572" t="str">
            <v>REGULER</v>
          </cell>
          <cell r="I572" t="str">
            <v>REGULER</v>
          </cell>
          <cell r="J572" t="str">
            <v>-</v>
          </cell>
          <cell r="K572" t="str">
            <v>-</v>
          </cell>
          <cell r="L572" t="str">
            <v>-</v>
          </cell>
          <cell r="M572">
            <v>0</v>
          </cell>
          <cell r="N572">
            <v>0</v>
          </cell>
          <cell r="O572">
            <v>15</v>
          </cell>
          <cell r="P572">
            <v>12</v>
          </cell>
          <cell r="Q572">
            <v>0</v>
          </cell>
          <cell r="R572">
            <v>0</v>
          </cell>
          <cell r="S572">
            <v>0</v>
          </cell>
          <cell r="T572">
            <v>27</v>
          </cell>
          <cell r="U572">
            <v>0</v>
          </cell>
          <cell r="V572">
            <v>0</v>
          </cell>
          <cell r="W572">
            <v>15</v>
          </cell>
          <cell r="X572">
            <v>12</v>
          </cell>
          <cell r="Y572">
            <v>0</v>
          </cell>
          <cell r="Z572">
            <v>0</v>
          </cell>
          <cell r="AA572">
            <v>0</v>
          </cell>
          <cell r="AB572">
            <v>27</v>
          </cell>
          <cell r="AC572">
            <v>5</v>
          </cell>
          <cell r="AD572" t="str">
            <v>DOWNGRADE</v>
          </cell>
          <cell r="AE572" t="str">
            <v>RESET</v>
          </cell>
          <cell r="AF572">
            <v>0</v>
          </cell>
          <cell r="AG572">
            <v>2</v>
          </cell>
          <cell r="AH572" t="str">
            <v>SAPHIRE</v>
          </cell>
          <cell r="AI572">
            <v>0</v>
          </cell>
          <cell r="AJ572" t="str">
            <v>FALSE</v>
          </cell>
          <cell r="AK572">
            <v>0</v>
          </cell>
          <cell r="AL572">
            <v>45261</v>
          </cell>
          <cell r="AM572">
            <v>45701</v>
          </cell>
          <cell r="AN572">
            <v>1</v>
          </cell>
          <cell r="AO572">
            <v>0</v>
          </cell>
          <cell r="AP572" t="str">
            <v>-</v>
          </cell>
          <cell r="AQ572" t="str">
            <v>-</v>
          </cell>
          <cell r="AR572" t="str">
            <v>-</v>
          </cell>
          <cell r="AS572" t="str">
            <v>-</v>
          </cell>
          <cell r="AT572" t="str">
            <v>-</v>
          </cell>
          <cell r="AU572" t="str">
            <v>-</v>
          </cell>
          <cell r="AV572" t="str">
            <v/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 t="str">
            <v/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 t="str">
            <v/>
          </cell>
          <cell r="BN572">
            <v>0</v>
          </cell>
          <cell r="BO572" t="str">
            <v/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 t="str">
            <v/>
          </cell>
          <cell r="BV572">
            <v>0</v>
          </cell>
          <cell r="BW572">
            <v>7</v>
          </cell>
          <cell r="BX572" t="str">
            <v>DOWNGRADE</v>
          </cell>
          <cell r="BY572" t="str">
            <v>RESET</v>
          </cell>
        </row>
        <row r="573">
          <cell r="A573" t="str">
            <v>A2403</v>
          </cell>
          <cell r="B573" t="str">
            <v>Suryaning Suci</v>
          </cell>
          <cell r="C573" t="str">
            <v>RVO</v>
          </cell>
          <cell r="D573">
            <v>45076</v>
          </cell>
          <cell r="E573" t="str">
            <v>May-23</v>
          </cell>
          <cell r="F573" t="str">
            <v>REGULER</v>
          </cell>
          <cell r="G573" t="str">
            <v>REGULER</v>
          </cell>
          <cell r="H573" t="str">
            <v>REGULER</v>
          </cell>
          <cell r="I573" t="str">
            <v>REGULER</v>
          </cell>
          <cell r="J573" t="str">
            <v>REGULER</v>
          </cell>
          <cell r="K573" t="str">
            <v>REGULER</v>
          </cell>
          <cell r="L573" t="str">
            <v>REGULER</v>
          </cell>
          <cell r="M573">
            <v>16</v>
          </cell>
          <cell r="N573">
            <v>20</v>
          </cell>
          <cell r="O573">
            <v>14</v>
          </cell>
          <cell r="P573">
            <v>27</v>
          </cell>
          <cell r="Q573">
            <v>3</v>
          </cell>
          <cell r="R573">
            <v>10</v>
          </cell>
          <cell r="S573">
            <v>5</v>
          </cell>
          <cell r="T573">
            <v>95</v>
          </cell>
          <cell r="U573">
            <v>16</v>
          </cell>
          <cell r="V573">
            <v>20</v>
          </cell>
          <cell r="W573">
            <v>14</v>
          </cell>
          <cell r="X573">
            <v>27</v>
          </cell>
          <cell r="Y573">
            <v>3</v>
          </cell>
          <cell r="Z573">
            <v>10</v>
          </cell>
          <cell r="AA573">
            <v>5</v>
          </cell>
          <cell r="AB573">
            <v>95</v>
          </cell>
          <cell r="AC573">
            <v>0</v>
          </cell>
          <cell r="AD573" t="str">
            <v>TIDAK</v>
          </cell>
          <cell r="AE573" t="str">
            <v>TIDAK</v>
          </cell>
          <cell r="AF573">
            <v>95</v>
          </cell>
          <cell r="AG573">
            <v>3</v>
          </cell>
          <cell r="AH573" t="str">
            <v>SAPHIRE</v>
          </cell>
          <cell r="AI573">
            <v>0</v>
          </cell>
          <cell r="AJ573" t="str">
            <v>Y</v>
          </cell>
          <cell r="AK573">
            <v>0</v>
          </cell>
          <cell r="AL573">
            <v>45261</v>
          </cell>
          <cell r="AM573">
            <v>45701</v>
          </cell>
          <cell r="AN573">
            <v>1</v>
          </cell>
          <cell r="AO573">
            <v>95</v>
          </cell>
          <cell r="AP573" t="str">
            <v>-</v>
          </cell>
          <cell r="AQ573" t="str">
            <v>-</v>
          </cell>
          <cell r="AR573" t="str">
            <v>-</v>
          </cell>
          <cell r="AS573" t="str">
            <v>-</v>
          </cell>
          <cell r="AT573" t="str">
            <v>-</v>
          </cell>
          <cell r="AU573" t="str">
            <v>-</v>
          </cell>
          <cell r="AV573" t="str">
            <v/>
          </cell>
          <cell r="AW573">
            <v>2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2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8</v>
          </cell>
          <cell r="BH573">
            <v>2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 t="str">
            <v/>
          </cell>
          <cell r="BN573">
            <v>10</v>
          </cell>
          <cell r="BO573">
            <v>8</v>
          </cell>
          <cell r="BP573">
            <v>2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 t="str">
            <v/>
          </cell>
          <cell r="BV573">
            <v>10</v>
          </cell>
          <cell r="BW573">
            <v>5</v>
          </cell>
          <cell r="BX573" t="str">
            <v>DOWNGRADE</v>
          </cell>
          <cell r="BY573" t="str">
            <v>RESET</v>
          </cell>
        </row>
        <row r="574">
          <cell r="A574">
            <v>92006</v>
          </cell>
          <cell r="B574" t="str">
            <v>Tara Adining Widiyawati</v>
          </cell>
          <cell r="C574" t="str">
            <v>RVO</v>
          </cell>
          <cell r="D574">
            <v>44546</v>
          </cell>
          <cell r="E574" t="str">
            <v>Dec-21</v>
          </cell>
          <cell r="F574" t="str">
            <v>REGULER</v>
          </cell>
          <cell r="G574" t="str">
            <v>EKSKLUSIF</v>
          </cell>
          <cell r="H574" t="str">
            <v>EKSKLUSIF</v>
          </cell>
          <cell r="I574" t="str">
            <v>EKSKLUSIF</v>
          </cell>
          <cell r="J574" t="str">
            <v>REGULER</v>
          </cell>
          <cell r="K574" t="str">
            <v>EKSKLUSIF</v>
          </cell>
          <cell r="L574" t="str">
            <v>EKSKLUSIF</v>
          </cell>
          <cell r="M574">
            <v>21</v>
          </cell>
          <cell r="N574">
            <v>52</v>
          </cell>
          <cell r="O574">
            <v>48</v>
          </cell>
          <cell r="P574">
            <v>52</v>
          </cell>
          <cell r="Q574">
            <v>20</v>
          </cell>
          <cell r="R574">
            <v>54</v>
          </cell>
          <cell r="S574">
            <v>0</v>
          </cell>
          <cell r="T574">
            <v>247</v>
          </cell>
          <cell r="U574">
            <v>21</v>
          </cell>
          <cell r="V574">
            <v>0</v>
          </cell>
          <cell r="W574">
            <v>0</v>
          </cell>
          <cell r="X574">
            <v>0</v>
          </cell>
          <cell r="Y574">
            <v>20</v>
          </cell>
          <cell r="Z574">
            <v>0</v>
          </cell>
          <cell r="AA574">
            <v>0</v>
          </cell>
          <cell r="AB574">
            <v>41</v>
          </cell>
          <cell r="AC574">
            <v>1</v>
          </cell>
          <cell r="AD574" t="str">
            <v>TIDAK</v>
          </cell>
          <cell r="AE574" t="str">
            <v>TIDAK</v>
          </cell>
          <cell r="AF574">
            <v>41</v>
          </cell>
          <cell r="AG574">
            <v>3</v>
          </cell>
          <cell r="AH574" t="str">
            <v>SAPHIRE</v>
          </cell>
          <cell r="AI574">
            <v>0</v>
          </cell>
          <cell r="AJ574" t="str">
            <v>FALSE</v>
          </cell>
          <cell r="AK574">
            <v>0</v>
          </cell>
          <cell r="AL574">
            <v>45261</v>
          </cell>
          <cell r="AM574">
            <v>45701</v>
          </cell>
          <cell r="AN574">
            <v>1</v>
          </cell>
          <cell r="AO574">
            <v>41</v>
          </cell>
          <cell r="AP574" t="str">
            <v>EKSKLUSIF</v>
          </cell>
          <cell r="AQ574" t="str">
            <v>-</v>
          </cell>
          <cell r="AR574" t="str">
            <v>EKSKLUSIF</v>
          </cell>
          <cell r="AS574" t="str">
            <v>EKSKLUSIF</v>
          </cell>
          <cell r="AT574" t="str">
            <v>EKSKLUSIF</v>
          </cell>
          <cell r="AU574" t="str">
            <v>REGULER</v>
          </cell>
          <cell r="AV574" t="str">
            <v/>
          </cell>
          <cell r="AW574">
            <v>55</v>
          </cell>
          <cell r="AX574">
            <v>52</v>
          </cell>
          <cell r="AY574">
            <v>49</v>
          </cell>
          <cell r="AZ574">
            <v>57</v>
          </cell>
          <cell r="BA574">
            <v>25</v>
          </cell>
          <cell r="BB574">
            <v>55</v>
          </cell>
          <cell r="BC574">
            <v>52</v>
          </cell>
          <cell r="BD574">
            <v>49</v>
          </cell>
          <cell r="BE574">
            <v>57</v>
          </cell>
          <cell r="BF574">
            <v>25</v>
          </cell>
          <cell r="BG574">
            <v>26</v>
          </cell>
          <cell r="BH574">
            <v>55</v>
          </cell>
          <cell r="BI574">
            <v>52</v>
          </cell>
          <cell r="BJ574">
            <v>49</v>
          </cell>
          <cell r="BK574">
            <v>57</v>
          </cell>
          <cell r="BL574">
            <v>25</v>
          </cell>
          <cell r="BM574">
            <v>19</v>
          </cell>
          <cell r="BN574">
            <v>283</v>
          </cell>
          <cell r="BO574">
            <v>0</v>
          </cell>
          <cell r="BP574">
            <v>55</v>
          </cell>
          <cell r="BQ574">
            <v>0</v>
          </cell>
          <cell r="BR574">
            <v>0</v>
          </cell>
          <cell r="BS574">
            <v>0</v>
          </cell>
          <cell r="BT574">
            <v>25</v>
          </cell>
          <cell r="BU574">
            <v>19</v>
          </cell>
          <cell r="BV574">
            <v>99</v>
          </cell>
          <cell r="BW574">
            <v>0</v>
          </cell>
          <cell r="BX574" t="str">
            <v>TIDAK</v>
          </cell>
          <cell r="BY574" t="str">
            <v>TIDAK</v>
          </cell>
        </row>
        <row r="575">
          <cell r="A575">
            <v>92737</v>
          </cell>
          <cell r="B575" t="str">
            <v>Tiara Sonya Pitaloka</v>
          </cell>
          <cell r="C575" t="str">
            <v>RVO</v>
          </cell>
          <cell r="D575">
            <v>44805</v>
          </cell>
          <cell r="E575" t="str">
            <v>Sep-22</v>
          </cell>
          <cell r="F575" t="str">
            <v>REGULER</v>
          </cell>
          <cell r="G575" t="str">
            <v>REGULER</v>
          </cell>
          <cell r="H575" t="str">
            <v>REGULER</v>
          </cell>
          <cell r="I575" t="str">
            <v>REGULER</v>
          </cell>
          <cell r="J575" t="str">
            <v>REGULER</v>
          </cell>
          <cell r="K575" t="str">
            <v>REGULER</v>
          </cell>
          <cell r="L575" t="str">
            <v>REGULER</v>
          </cell>
          <cell r="M575">
            <v>13</v>
          </cell>
          <cell r="N575">
            <v>18</v>
          </cell>
          <cell r="O575">
            <v>17</v>
          </cell>
          <cell r="P575">
            <v>23</v>
          </cell>
          <cell r="Q575">
            <v>20</v>
          </cell>
          <cell r="R575">
            <v>26</v>
          </cell>
          <cell r="S575">
            <v>12</v>
          </cell>
          <cell r="T575">
            <v>129</v>
          </cell>
          <cell r="U575">
            <v>13</v>
          </cell>
          <cell r="V575">
            <v>18</v>
          </cell>
          <cell r="W575">
            <v>17</v>
          </cell>
          <cell r="X575">
            <v>23</v>
          </cell>
          <cell r="Y575">
            <v>20</v>
          </cell>
          <cell r="Z575">
            <v>26</v>
          </cell>
          <cell r="AA575">
            <v>12</v>
          </cell>
          <cell r="AB575">
            <v>129</v>
          </cell>
          <cell r="AC575">
            <v>0</v>
          </cell>
          <cell r="AD575" t="str">
            <v>TIDAK</v>
          </cell>
          <cell r="AE575" t="str">
            <v>TIDAK</v>
          </cell>
          <cell r="AF575">
            <v>129</v>
          </cell>
          <cell r="AG575">
            <v>4</v>
          </cell>
          <cell r="AH575" t="str">
            <v>SAPHIRE</v>
          </cell>
          <cell r="AI575">
            <v>0</v>
          </cell>
          <cell r="AJ575" t="str">
            <v>Y</v>
          </cell>
          <cell r="AK575">
            <v>0</v>
          </cell>
          <cell r="AL575">
            <v>45261</v>
          </cell>
          <cell r="AM575">
            <v>45701</v>
          </cell>
          <cell r="AN575">
            <v>1</v>
          </cell>
          <cell r="AO575">
            <v>129</v>
          </cell>
          <cell r="AP575" t="str">
            <v>-</v>
          </cell>
          <cell r="AQ575" t="str">
            <v>-</v>
          </cell>
          <cell r="AR575" t="str">
            <v>REGULER</v>
          </cell>
          <cell r="AS575" t="str">
            <v>REGULER</v>
          </cell>
          <cell r="AT575" t="str">
            <v>REGULER</v>
          </cell>
          <cell r="AU575" t="str">
            <v>REGULER</v>
          </cell>
          <cell r="AV575" t="str">
            <v/>
          </cell>
          <cell r="AW575">
            <v>32</v>
          </cell>
          <cell r="AX575">
            <v>34</v>
          </cell>
          <cell r="AY575">
            <v>25</v>
          </cell>
          <cell r="AZ575">
            <v>34</v>
          </cell>
          <cell r="BA575">
            <v>27</v>
          </cell>
          <cell r="BB575">
            <v>32</v>
          </cell>
          <cell r="BC575">
            <v>34</v>
          </cell>
          <cell r="BD575">
            <v>25</v>
          </cell>
          <cell r="BE575">
            <v>34</v>
          </cell>
          <cell r="BF575">
            <v>27</v>
          </cell>
          <cell r="BG575">
            <v>15</v>
          </cell>
          <cell r="BH575">
            <v>32</v>
          </cell>
          <cell r="BI575">
            <v>34</v>
          </cell>
          <cell r="BJ575">
            <v>25</v>
          </cell>
          <cell r="BK575">
            <v>34</v>
          </cell>
          <cell r="BL575">
            <v>27</v>
          </cell>
          <cell r="BM575">
            <v>7</v>
          </cell>
          <cell r="BN575">
            <v>174</v>
          </cell>
          <cell r="BO575">
            <v>15</v>
          </cell>
          <cell r="BP575">
            <v>32</v>
          </cell>
          <cell r="BQ575">
            <v>34</v>
          </cell>
          <cell r="BR575">
            <v>25</v>
          </cell>
          <cell r="BS575">
            <v>34</v>
          </cell>
          <cell r="BT575">
            <v>27</v>
          </cell>
          <cell r="BU575">
            <v>7</v>
          </cell>
          <cell r="BV575">
            <v>174</v>
          </cell>
          <cell r="BW575">
            <v>0</v>
          </cell>
          <cell r="BX575" t="str">
            <v>TIDAK</v>
          </cell>
          <cell r="BY575" t="str">
            <v>TIDAK</v>
          </cell>
        </row>
        <row r="576">
          <cell r="A576">
            <v>92696</v>
          </cell>
          <cell r="B576" t="str">
            <v>Trixie Azarine Ambarrini</v>
          </cell>
          <cell r="C576" t="str">
            <v>RVO</v>
          </cell>
          <cell r="D576">
            <v>44853</v>
          </cell>
          <cell r="E576" t="str">
            <v>Oct-22</v>
          </cell>
          <cell r="F576" t="str">
            <v>REGULER</v>
          </cell>
          <cell r="G576" t="str">
            <v>REGULER</v>
          </cell>
          <cell r="H576" t="str">
            <v>REGULER</v>
          </cell>
          <cell r="I576" t="str">
            <v>REGULER</v>
          </cell>
          <cell r="J576" t="str">
            <v>-</v>
          </cell>
          <cell r="K576" t="str">
            <v>-</v>
          </cell>
          <cell r="L576" t="str">
            <v>REGULER</v>
          </cell>
          <cell r="M576">
            <v>9</v>
          </cell>
          <cell r="N576">
            <v>28</v>
          </cell>
          <cell r="O576">
            <v>30</v>
          </cell>
          <cell r="P576">
            <v>38</v>
          </cell>
          <cell r="Q576">
            <v>0</v>
          </cell>
          <cell r="R576">
            <v>0</v>
          </cell>
          <cell r="S576">
            <v>1</v>
          </cell>
          <cell r="T576">
            <v>106</v>
          </cell>
          <cell r="U576">
            <v>9</v>
          </cell>
          <cell r="V576">
            <v>28</v>
          </cell>
          <cell r="W576">
            <v>30</v>
          </cell>
          <cell r="X576">
            <v>38</v>
          </cell>
          <cell r="Y576">
            <v>0</v>
          </cell>
          <cell r="Z576">
            <v>0</v>
          </cell>
          <cell r="AA576">
            <v>1</v>
          </cell>
          <cell r="AB576">
            <v>106</v>
          </cell>
          <cell r="AC576">
            <v>2</v>
          </cell>
          <cell r="AD576" t="str">
            <v>TIDAK</v>
          </cell>
          <cell r="AE576" t="str">
            <v>TIDAK</v>
          </cell>
          <cell r="AF576">
            <v>106</v>
          </cell>
          <cell r="AG576">
            <v>3</v>
          </cell>
          <cell r="AH576" t="str">
            <v>SAPHIRE</v>
          </cell>
          <cell r="AI576">
            <v>0</v>
          </cell>
          <cell r="AJ576" t="str">
            <v>Y</v>
          </cell>
          <cell r="AK576">
            <v>0</v>
          </cell>
          <cell r="AL576">
            <v>45261</v>
          </cell>
          <cell r="AM576">
            <v>45701</v>
          </cell>
          <cell r="AN576">
            <v>1</v>
          </cell>
          <cell r="AO576">
            <v>106</v>
          </cell>
          <cell r="AP576" t="str">
            <v>-</v>
          </cell>
          <cell r="AQ576" t="str">
            <v>-</v>
          </cell>
          <cell r="AR576" t="str">
            <v>REGULER</v>
          </cell>
          <cell r="AS576" t="str">
            <v>REGULER</v>
          </cell>
          <cell r="AT576" t="str">
            <v>REGULER</v>
          </cell>
          <cell r="AU576" t="str">
            <v>REGULER</v>
          </cell>
          <cell r="AV576" t="str">
            <v/>
          </cell>
          <cell r="AW576">
            <v>4</v>
          </cell>
          <cell r="AX576">
            <v>40</v>
          </cell>
          <cell r="AY576">
            <v>40</v>
          </cell>
          <cell r="AZ576">
            <v>27</v>
          </cell>
          <cell r="BA576">
            <v>33</v>
          </cell>
          <cell r="BB576">
            <v>4</v>
          </cell>
          <cell r="BC576">
            <v>40</v>
          </cell>
          <cell r="BD576">
            <v>40</v>
          </cell>
          <cell r="BE576">
            <v>27</v>
          </cell>
          <cell r="BF576">
            <v>33</v>
          </cell>
          <cell r="BG576" t="str">
            <v/>
          </cell>
          <cell r="BH576">
            <v>4</v>
          </cell>
          <cell r="BI576">
            <v>40</v>
          </cell>
          <cell r="BJ576">
            <v>40</v>
          </cell>
          <cell r="BK576">
            <v>27</v>
          </cell>
          <cell r="BL576">
            <v>33</v>
          </cell>
          <cell r="BM576">
            <v>19</v>
          </cell>
          <cell r="BN576">
            <v>163</v>
          </cell>
          <cell r="BO576" t="str">
            <v/>
          </cell>
          <cell r="BP576">
            <v>4</v>
          </cell>
          <cell r="BQ576">
            <v>40</v>
          </cell>
          <cell r="BR576">
            <v>40</v>
          </cell>
          <cell r="BS576">
            <v>27</v>
          </cell>
          <cell r="BT576">
            <v>33</v>
          </cell>
          <cell r="BU576">
            <v>19</v>
          </cell>
          <cell r="BV576">
            <v>163</v>
          </cell>
          <cell r="BW576">
            <v>1</v>
          </cell>
          <cell r="BX576" t="str">
            <v>TIDAK</v>
          </cell>
          <cell r="BY576" t="str">
            <v>TIDAK</v>
          </cell>
        </row>
        <row r="577">
          <cell r="A577" t="str">
            <v>A2121</v>
          </cell>
          <cell r="B577" t="str">
            <v>Vega Primavista</v>
          </cell>
          <cell r="C577" t="str">
            <v>RVO</v>
          </cell>
          <cell r="D577">
            <v>45050</v>
          </cell>
          <cell r="E577" t="str">
            <v>May-23</v>
          </cell>
          <cell r="F577" t="str">
            <v>REGULER</v>
          </cell>
          <cell r="G577" t="str">
            <v>REGULER</v>
          </cell>
          <cell r="H577" t="str">
            <v>REGULER</v>
          </cell>
          <cell r="I577" t="str">
            <v>REGULER</v>
          </cell>
          <cell r="J577" t="str">
            <v>REGULER</v>
          </cell>
          <cell r="K577" t="str">
            <v>REGULER</v>
          </cell>
          <cell r="L577" t="str">
            <v>REGULER</v>
          </cell>
          <cell r="M577">
            <v>2</v>
          </cell>
          <cell r="N577">
            <v>24</v>
          </cell>
          <cell r="O577">
            <v>21</v>
          </cell>
          <cell r="P577">
            <v>25</v>
          </cell>
          <cell r="Q577">
            <v>25</v>
          </cell>
          <cell r="R577">
            <v>26</v>
          </cell>
          <cell r="S577">
            <v>15</v>
          </cell>
          <cell r="T577">
            <v>138</v>
          </cell>
          <cell r="U577">
            <v>2</v>
          </cell>
          <cell r="V577">
            <v>24</v>
          </cell>
          <cell r="W577">
            <v>21</v>
          </cell>
          <cell r="X577">
            <v>25</v>
          </cell>
          <cell r="Y577">
            <v>25</v>
          </cell>
          <cell r="Z577">
            <v>26</v>
          </cell>
          <cell r="AA577">
            <v>15</v>
          </cell>
          <cell r="AB577">
            <v>138</v>
          </cell>
          <cell r="AC577">
            <v>0</v>
          </cell>
          <cell r="AD577" t="str">
            <v>TIDAK</v>
          </cell>
          <cell r="AE577" t="str">
            <v>TIDAK</v>
          </cell>
          <cell r="AF577">
            <v>138</v>
          </cell>
          <cell r="AG577">
            <v>2</v>
          </cell>
          <cell r="AH577" t="str">
            <v>SAPHIRE</v>
          </cell>
          <cell r="AI577">
            <v>0</v>
          </cell>
          <cell r="AJ577" t="str">
            <v>Y</v>
          </cell>
          <cell r="AK577">
            <v>0</v>
          </cell>
          <cell r="AL577">
            <v>45261</v>
          </cell>
          <cell r="AM577">
            <v>45701</v>
          </cell>
          <cell r="AN577">
            <v>1</v>
          </cell>
          <cell r="AO577">
            <v>138</v>
          </cell>
          <cell r="AP577" t="str">
            <v>-</v>
          </cell>
          <cell r="AQ577" t="str">
            <v>-</v>
          </cell>
          <cell r="AR577" t="str">
            <v>REGULER</v>
          </cell>
          <cell r="AS577" t="str">
            <v>REGULER</v>
          </cell>
          <cell r="AT577" t="str">
            <v>REGULER</v>
          </cell>
          <cell r="AU577" t="str">
            <v>REGULER</v>
          </cell>
          <cell r="AV577" t="str">
            <v/>
          </cell>
          <cell r="AW577">
            <v>24</v>
          </cell>
          <cell r="AX577">
            <v>22</v>
          </cell>
          <cell r="AY577">
            <v>31</v>
          </cell>
          <cell r="AZ577">
            <v>36</v>
          </cell>
          <cell r="BA577">
            <v>27</v>
          </cell>
          <cell r="BB577">
            <v>24</v>
          </cell>
          <cell r="BC577">
            <v>22</v>
          </cell>
          <cell r="BD577">
            <v>31</v>
          </cell>
          <cell r="BE577">
            <v>36</v>
          </cell>
          <cell r="BF577">
            <v>27</v>
          </cell>
          <cell r="BG577">
            <v>10</v>
          </cell>
          <cell r="BH577">
            <v>24</v>
          </cell>
          <cell r="BI577">
            <v>22</v>
          </cell>
          <cell r="BJ577">
            <v>31</v>
          </cell>
          <cell r="BK577">
            <v>36</v>
          </cell>
          <cell r="BL577">
            <v>27</v>
          </cell>
          <cell r="BM577">
            <v>17</v>
          </cell>
          <cell r="BN577">
            <v>167</v>
          </cell>
          <cell r="BO577">
            <v>10</v>
          </cell>
          <cell r="BP577">
            <v>24</v>
          </cell>
          <cell r="BQ577">
            <v>22</v>
          </cell>
          <cell r="BR577">
            <v>31</v>
          </cell>
          <cell r="BS577">
            <v>36</v>
          </cell>
          <cell r="BT577">
            <v>27</v>
          </cell>
          <cell r="BU577">
            <v>17</v>
          </cell>
          <cell r="BV577">
            <v>167</v>
          </cell>
          <cell r="BW577">
            <v>0</v>
          </cell>
          <cell r="BX577" t="str">
            <v>TIDAK</v>
          </cell>
          <cell r="BY577" t="str">
            <v>TIDAK</v>
          </cell>
        </row>
        <row r="578">
          <cell r="A578">
            <v>92694</v>
          </cell>
          <cell r="B578" t="str">
            <v>Wahyu Nugroho</v>
          </cell>
          <cell r="C578" t="str">
            <v>RVO</v>
          </cell>
          <cell r="D578">
            <v>44816</v>
          </cell>
          <cell r="E578" t="str">
            <v>Sep-22</v>
          </cell>
          <cell r="F578" t="str">
            <v>EKSKLUSIF</v>
          </cell>
          <cell r="G578" t="str">
            <v>EKSKLUSIF</v>
          </cell>
          <cell r="H578" t="str">
            <v>EKSKLUSIF</v>
          </cell>
          <cell r="I578" t="str">
            <v>EKSKLUSIF</v>
          </cell>
          <cell r="J578" t="str">
            <v>EKSKLUSIF</v>
          </cell>
          <cell r="K578" t="str">
            <v>EKSKLUSIF</v>
          </cell>
          <cell r="L578" t="str">
            <v>EKSKLUSIF</v>
          </cell>
          <cell r="M578">
            <v>27</v>
          </cell>
          <cell r="N578">
            <v>54</v>
          </cell>
          <cell r="O578">
            <v>39</v>
          </cell>
          <cell r="P578">
            <v>48</v>
          </cell>
          <cell r="Q578">
            <v>48</v>
          </cell>
          <cell r="R578">
            <v>47</v>
          </cell>
          <cell r="S578">
            <v>0</v>
          </cell>
          <cell r="T578">
            <v>263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1</v>
          </cell>
          <cell r="AD578" t="str">
            <v>TIDAK</v>
          </cell>
          <cell r="AE578" t="str">
            <v>TIDAK</v>
          </cell>
          <cell r="AF578">
            <v>0</v>
          </cell>
          <cell r="AG578">
            <v>5</v>
          </cell>
          <cell r="AH578" t="str">
            <v>SAPHIRE</v>
          </cell>
          <cell r="AI578">
            <v>0</v>
          </cell>
          <cell r="AJ578" t="str">
            <v>FALSE</v>
          </cell>
          <cell r="AK578">
            <v>0</v>
          </cell>
          <cell r="AL578">
            <v>45261</v>
          </cell>
          <cell r="AM578">
            <v>45701</v>
          </cell>
          <cell r="AN578">
            <v>1</v>
          </cell>
          <cell r="AO578">
            <v>0</v>
          </cell>
          <cell r="AP578" t="str">
            <v>EKSKLUSIF</v>
          </cell>
          <cell r="AQ578" t="str">
            <v>-</v>
          </cell>
          <cell r="AR578" t="str">
            <v>EKSKLUSIF</v>
          </cell>
          <cell r="AS578" t="str">
            <v>EKSKLUSIF</v>
          </cell>
          <cell r="AT578" t="str">
            <v>EKSKLUSIF</v>
          </cell>
          <cell r="AU578" t="str">
            <v>EKSKLUSIF</v>
          </cell>
          <cell r="AV578" t="str">
            <v/>
          </cell>
          <cell r="AW578">
            <v>51</v>
          </cell>
          <cell r="AX578">
            <v>48</v>
          </cell>
          <cell r="AY578">
            <v>52</v>
          </cell>
          <cell r="AZ578">
            <v>62</v>
          </cell>
          <cell r="BA578">
            <v>48</v>
          </cell>
          <cell r="BB578">
            <v>51</v>
          </cell>
          <cell r="BC578">
            <v>48</v>
          </cell>
          <cell r="BD578">
            <v>52</v>
          </cell>
          <cell r="BE578">
            <v>62</v>
          </cell>
          <cell r="BF578">
            <v>48</v>
          </cell>
          <cell r="BG578">
            <v>23</v>
          </cell>
          <cell r="BH578">
            <v>51</v>
          </cell>
          <cell r="BI578">
            <v>48</v>
          </cell>
          <cell r="BJ578">
            <v>52</v>
          </cell>
          <cell r="BK578">
            <v>62</v>
          </cell>
          <cell r="BL578">
            <v>48</v>
          </cell>
          <cell r="BM578">
            <v>26</v>
          </cell>
          <cell r="BN578">
            <v>310</v>
          </cell>
          <cell r="BO578">
            <v>0</v>
          </cell>
          <cell r="BP578">
            <v>51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26</v>
          </cell>
          <cell r="BV578">
            <v>77</v>
          </cell>
          <cell r="BW578">
            <v>0</v>
          </cell>
          <cell r="BX578" t="str">
            <v>TIDAK</v>
          </cell>
          <cell r="BY578" t="str">
            <v>TIDAK</v>
          </cell>
        </row>
        <row r="579">
          <cell r="A579" t="str">
            <v>A2176</v>
          </cell>
          <cell r="B579" t="str">
            <v>Wella Oktaria</v>
          </cell>
          <cell r="C579" t="str">
            <v>RVO</v>
          </cell>
          <cell r="D579">
            <v>45062</v>
          </cell>
          <cell r="E579" t="str">
            <v>May-23</v>
          </cell>
          <cell r="F579" t="str">
            <v>REGULER</v>
          </cell>
          <cell r="G579" t="str">
            <v>-</v>
          </cell>
          <cell r="H579" t="str">
            <v>-</v>
          </cell>
          <cell r="I579" t="str">
            <v>-</v>
          </cell>
          <cell r="J579" t="str">
            <v>-</v>
          </cell>
          <cell r="K579" t="str">
            <v>-</v>
          </cell>
          <cell r="L579" t="str">
            <v>-</v>
          </cell>
          <cell r="M579">
            <v>15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15</v>
          </cell>
          <cell r="U579">
            <v>15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15</v>
          </cell>
          <cell r="AC579">
            <v>6</v>
          </cell>
          <cell r="AD579" t="str">
            <v>DOWNGRADE</v>
          </cell>
          <cell r="AE579" t="str">
            <v>RESET</v>
          </cell>
          <cell r="AF579">
            <v>0</v>
          </cell>
          <cell r="AG579">
            <v>1</v>
          </cell>
          <cell r="AH579" t="str">
            <v>SAPHIRE</v>
          </cell>
          <cell r="AI579">
            <v>0</v>
          </cell>
          <cell r="AJ579" t="str">
            <v>FALSE</v>
          </cell>
          <cell r="AK579">
            <v>0</v>
          </cell>
          <cell r="AL579">
            <v>45261</v>
          </cell>
          <cell r="AM579">
            <v>45701</v>
          </cell>
          <cell r="AN579">
            <v>1</v>
          </cell>
          <cell r="AO579">
            <v>0</v>
          </cell>
          <cell r="AP579" t="str">
            <v>-</v>
          </cell>
          <cell r="AQ579" t="str">
            <v>-</v>
          </cell>
          <cell r="AR579" t="str">
            <v>-</v>
          </cell>
          <cell r="AS579" t="str">
            <v>-</v>
          </cell>
          <cell r="AT579" t="str">
            <v>-</v>
          </cell>
          <cell r="AU579" t="str">
            <v>-</v>
          </cell>
          <cell r="AV579" t="str">
            <v/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 t="str">
            <v/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 t="str">
            <v/>
          </cell>
          <cell r="BN579">
            <v>0</v>
          </cell>
          <cell r="BO579" t="str">
            <v/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 t="str">
            <v/>
          </cell>
          <cell r="BV579">
            <v>0</v>
          </cell>
          <cell r="BW579">
            <v>7</v>
          </cell>
          <cell r="BX579" t="str">
            <v>DOWNGRADE</v>
          </cell>
          <cell r="BY579" t="str">
            <v>RESET</v>
          </cell>
        </row>
        <row r="580">
          <cell r="A580" t="str">
            <v>A3437</v>
          </cell>
          <cell r="B580" t="str">
            <v>Yohana Claudia</v>
          </cell>
          <cell r="C580" t="str">
            <v>RVO</v>
          </cell>
          <cell r="D580">
            <v>45282</v>
          </cell>
          <cell r="E580" t="str">
            <v>Dec-23</v>
          </cell>
          <cell r="F580" t="str">
            <v>REGULER</v>
          </cell>
          <cell r="G580" t="str">
            <v>EKSKLUSIF</v>
          </cell>
          <cell r="H580" t="str">
            <v>EKSKLUSIF</v>
          </cell>
          <cell r="I580" t="str">
            <v>EKSKLUSIF</v>
          </cell>
          <cell r="J580" t="str">
            <v>EKSKLUSIF</v>
          </cell>
          <cell r="K580" t="str">
            <v>EKSKLUSIF</v>
          </cell>
          <cell r="L580" t="str">
            <v>EKSKLUSIF</v>
          </cell>
          <cell r="M580">
            <v>11</v>
          </cell>
          <cell r="N580">
            <v>48</v>
          </cell>
          <cell r="O580">
            <v>38</v>
          </cell>
          <cell r="P580">
            <v>43</v>
          </cell>
          <cell r="Q580">
            <v>40</v>
          </cell>
          <cell r="R580">
            <v>37</v>
          </cell>
          <cell r="S580">
            <v>23</v>
          </cell>
          <cell r="T580">
            <v>240</v>
          </cell>
          <cell r="U580">
            <v>11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11</v>
          </cell>
          <cell r="AC580">
            <v>0</v>
          </cell>
          <cell r="AD580" t="str">
            <v>TIDAK</v>
          </cell>
          <cell r="AE580" t="str">
            <v>TIDAK</v>
          </cell>
          <cell r="AF580">
            <v>11</v>
          </cell>
          <cell r="AG580">
            <v>2</v>
          </cell>
          <cell r="AH580" t="str">
            <v>SAPHIRE</v>
          </cell>
          <cell r="AI580">
            <v>0</v>
          </cell>
          <cell r="AJ580" t="str">
            <v>FALSE</v>
          </cell>
          <cell r="AK580">
            <v>0</v>
          </cell>
          <cell r="AL580">
            <v>45261</v>
          </cell>
          <cell r="AM580">
            <v>45701</v>
          </cell>
          <cell r="AN580">
            <v>1</v>
          </cell>
          <cell r="AO580">
            <v>11</v>
          </cell>
          <cell r="AP580" t="str">
            <v>-</v>
          </cell>
          <cell r="AQ580" t="str">
            <v>-</v>
          </cell>
          <cell r="AR580" t="str">
            <v>EKSKLUSIF</v>
          </cell>
          <cell r="AS580" t="str">
            <v>EKSKLUSIF</v>
          </cell>
          <cell r="AT580" t="str">
            <v>EKSKLUSIF</v>
          </cell>
          <cell r="AU580" t="str">
            <v>EKSKLUSIF</v>
          </cell>
          <cell r="AV580" t="str">
            <v/>
          </cell>
          <cell r="AW580">
            <v>38</v>
          </cell>
          <cell r="AX580">
            <v>51</v>
          </cell>
          <cell r="AY580">
            <v>43</v>
          </cell>
          <cell r="AZ580">
            <v>49</v>
          </cell>
          <cell r="BA580">
            <v>47</v>
          </cell>
          <cell r="BB580">
            <v>38</v>
          </cell>
          <cell r="BC580">
            <v>51</v>
          </cell>
          <cell r="BD580">
            <v>43</v>
          </cell>
          <cell r="BE580">
            <v>49</v>
          </cell>
          <cell r="BF580">
            <v>47</v>
          </cell>
          <cell r="BG580">
            <v>22</v>
          </cell>
          <cell r="BH580">
            <v>38</v>
          </cell>
          <cell r="BI580">
            <v>51</v>
          </cell>
          <cell r="BJ580">
            <v>43</v>
          </cell>
          <cell r="BK580">
            <v>49</v>
          </cell>
          <cell r="BL580">
            <v>47</v>
          </cell>
          <cell r="BM580">
            <v>23</v>
          </cell>
          <cell r="BN580">
            <v>273</v>
          </cell>
          <cell r="BO580">
            <v>22</v>
          </cell>
          <cell r="BP580">
            <v>38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23</v>
          </cell>
          <cell r="BV580">
            <v>83</v>
          </cell>
          <cell r="BW580">
            <v>0</v>
          </cell>
          <cell r="BX580" t="str">
            <v>TIDAK</v>
          </cell>
          <cell r="BY580" t="str">
            <v>TIDAK</v>
          </cell>
        </row>
        <row r="581">
          <cell r="A581" t="str">
            <v>A3576</v>
          </cell>
          <cell r="B581" t="str">
            <v>Yonatan Adi Saputro</v>
          </cell>
          <cell r="C581" t="str">
            <v>RVO</v>
          </cell>
          <cell r="D581">
            <v>45291</v>
          </cell>
          <cell r="E581" t="str">
            <v>Dec-23</v>
          </cell>
          <cell r="F581" t="str">
            <v>REGULER</v>
          </cell>
          <cell r="G581" t="str">
            <v>REGULER</v>
          </cell>
          <cell r="H581" t="str">
            <v>REGULER</v>
          </cell>
          <cell r="I581" t="str">
            <v>REGULER</v>
          </cell>
          <cell r="J581" t="str">
            <v>EKSKLUSIF</v>
          </cell>
          <cell r="K581" t="str">
            <v>EKSKLUSIF</v>
          </cell>
          <cell r="L581" t="str">
            <v>EKSKLUSIF</v>
          </cell>
          <cell r="M581">
            <v>1</v>
          </cell>
          <cell r="N581">
            <v>5</v>
          </cell>
          <cell r="O581">
            <v>15</v>
          </cell>
          <cell r="P581">
            <v>30</v>
          </cell>
          <cell r="Q581">
            <v>41</v>
          </cell>
          <cell r="R581">
            <v>46</v>
          </cell>
          <cell r="S581">
            <v>23</v>
          </cell>
          <cell r="T581">
            <v>161</v>
          </cell>
          <cell r="U581">
            <v>1</v>
          </cell>
          <cell r="V581">
            <v>5</v>
          </cell>
          <cell r="W581">
            <v>15</v>
          </cell>
          <cell r="X581">
            <v>30</v>
          </cell>
          <cell r="Y581">
            <v>0</v>
          </cell>
          <cell r="Z581">
            <v>0</v>
          </cell>
          <cell r="AA581">
            <v>0</v>
          </cell>
          <cell r="AB581">
            <v>51</v>
          </cell>
          <cell r="AC581">
            <v>0</v>
          </cell>
          <cell r="AD581" t="str">
            <v>TIDAK</v>
          </cell>
          <cell r="AE581" t="str">
            <v>TIDAK</v>
          </cell>
          <cell r="AF581">
            <v>51</v>
          </cell>
          <cell r="AG581">
            <v>1</v>
          </cell>
          <cell r="AH581" t="str">
            <v>SAPHIRE</v>
          </cell>
          <cell r="AI581">
            <v>0</v>
          </cell>
          <cell r="AJ581" t="str">
            <v>FALSE</v>
          </cell>
          <cell r="AK581">
            <v>0</v>
          </cell>
          <cell r="AL581">
            <v>45261</v>
          </cell>
          <cell r="AM581">
            <v>45701</v>
          </cell>
          <cell r="AN581">
            <v>1</v>
          </cell>
          <cell r="AO581">
            <v>51</v>
          </cell>
          <cell r="AP581" t="str">
            <v>EKSKLUSIF</v>
          </cell>
          <cell r="AQ581" t="str">
            <v>-</v>
          </cell>
          <cell r="AR581" t="str">
            <v>REGULER</v>
          </cell>
          <cell r="AS581" t="str">
            <v>REGULER</v>
          </cell>
          <cell r="AT581" t="str">
            <v>REGULER</v>
          </cell>
          <cell r="AU581" t="str">
            <v>REGULER</v>
          </cell>
          <cell r="AV581" t="str">
            <v/>
          </cell>
          <cell r="AW581">
            <v>44</v>
          </cell>
          <cell r="AX581">
            <v>37</v>
          </cell>
          <cell r="AY581">
            <v>36</v>
          </cell>
          <cell r="AZ581">
            <v>27</v>
          </cell>
          <cell r="BA581">
            <v>24</v>
          </cell>
          <cell r="BB581">
            <v>44</v>
          </cell>
          <cell r="BC581">
            <v>37</v>
          </cell>
          <cell r="BD581">
            <v>36</v>
          </cell>
          <cell r="BE581">
            <v>27</v>
          </cell>
          <cell r="BF581">
            <v>2</v>
          </cell>
          <cell r="BG581">
            <v>22</v>
          </cell>
          <cell r="BH581">
            <v>44</v>
          </cell>
          <cell r="BI581">
            <v>37</v>
          </cell>
          <cell r="BJ581">
            <v>36</v>
          </cell>
          <cell r="BK581">
            <v>27</v>
          </cell>
          <cell r="BL581">
            <v>24</v>
          </cell>
          <cell r="BM581" t="str">
            <v/>
          </cell>
          <cell r="BN581">
            <v>190</v>
          </cell>
          <cell r="BO581">
            <v>0</v>
          </cell>
          <cell r="BP581">
            <v>44</v>
          </cell>
          <cell r="BQ581">
            <v>37</v>
          </cell>
          <cell r="BR581">
            <v>36</v>
          </cell>
          <cell r="BS581">
            <v>27</v>
          </cell>
          <cell r="BT581">
            <v>24</v>
          </cell>
          <cell r="BU581" t="str">
            <v/>
          </cell>
          <cell r="BV581">
            <v>168</v>
          </cell>
          <cell r="BW581">
            <v>1</v>
          </cell>
          <cell r="BX581" t="str">
            <v>TIDAK</v>
          </cell>
          <cell r="BY581" t="str">
            <v>TIDAK</v>
          </cell>
        </row>
        <row r="582">
          <cell r="A582">
            <v>92112</v>
          </cell>
          <cell r="B582" t="str">
            <v>Yudha Dwi Yulianto</v>
          </cell>
          <cell r="C582" t="str">
            <v>RVO</v>
          </cell>
          <cell r="D582">
            <v>44589</v>
          </cell>
          <cell r="E582" t="str">
            <v>Jan-22</v>
          </cell>
          <cell r="F582" t="str">
            <v>REGULER</v>
          </cell>
          <cell r="G582" t="str">
            <v>REGULER</v>
          </cell>
          <cell r="H582" t="str">
            <v>REGULER</v>
          </cell>
          <cell r="I582" t="str">
            <v>REGULER</v>
          </cell>
          <cell r="J582" t="str">
            <v>REGULER</v>
          </cell>
          <cell r="K582" t="str">
            <v>REGULER</v>
          </cell>
          <cell r="L582" t="str">
            <v>REGULER</v>
          </cell>
          <cell r="M582">
            <v>7</v>
          </cell>
          <cell r="N582">
            <v>10</v>
          </cell>
          <cell r="O582">
            <v>8</v>
          </cell>
          <cell r="P582">
            <v>27</v>
          </cell>
          <cell r="Q582">
            <v>20</v>
          </cell>
          <cell r="R582">
            <v>12</v>
          </cell>
          <cell r="S582">
            <v>10</v>
          </cell>
          <cell r="T582">
            <v>94</v>
          </cell>
          <cell r="U582">
            <v>7</v>
          </cell>
          <cell r="V582">
            <v>10</v>
          </cell>
          <cell r="W582">
            <v>8</v>
          </cell>
          <cell r="X582">
            <v>27</v>
          </cell>
          <cell r="Y582">
            <v>20</v>
          </cell>
          <cell r="Z582">
            <v>12</v>
          </cell>
          <cell r="AA582">
            <v>10</v>
          </cell>
          <cell r="AB582">
            <v>94</v>
          </cell>
          <cell r="AC582">
            <v>0</v>
          </cell>
          <cell r="AD582" t="str">
            <v>TIDAK</v>
          </cell>
          <cell r="AE582" t="str">
            <v>TIDAK</v>
          </cell>
          <cell r="AF582">
            <v>94</v>
          </cell>
          <cell r="AG582">
            <v>4</v>
          </cell>
          <cell r="AH582" t="str">
            <v>SAPHIRE</v>
          </cell>
          <cell r="AI582">
            <v>0</v>
          </cell>
          <cell r="AJ582" t="str">
            <v>Y</v>
          </cell>
          <cell r="AK582">
            <v>0</v>
          </cell>
          <cell r="AL582">
            <v>45261</v>
          </cell>
          <cell r="AM582">
            <v>45701</v>
          </cell>
          <cell r="AN582">
            <v>1</v>
          </cell>
          <cell r="AO582">
            <v>94</v>
          </cell>
          <cell r="AP582" t="str">
            <v>-</v>
          </cell>
          <cell r="AQ582" t="str">
            <v>-</v>
          </cell>
          <cell r="AR582" t="str">
            <v>REGULER</v>
          </cell>
          <cell r="AS582" t="str">
            <v>REGULER</v>
          </cell>
          <cell r="AT582" t="str">
            <v>REGULER</v>
          </cell>
          <cell r="AU582" t="str">
            <v>REGULER</v>
          </cell>
          <cell r="AV582" t="str">
            <v/>
          </cell>
          <cell r="AW582">
            <v>30</v>
          </cell>
          <cell r="AX582">
            <v>24</v>
          </cell>
          <cell r="AY582">
            <v>25</v>
          </cell>
          <cell r="AZ582">
            <v>26</v>
          </cell>
          <cell r="BA582">
            <v>20</v>
          </cell>
          <cell r="BB582">
            <v>30</v>
          </cell>
          <cell r="BC582">
            <v>24</v>
          </cell>
          <cell r="BD582">
            <v>25</v>
          </cell>
          <cell r="BE582">
            <v>26</v>
          </cell>
          <cell r="BF582">
            <v>20</v>
          </cell>
          <cell r="BG582">
            <v>8</v>
          </cell>
          <cell r="BH582">
            <v>30</v>
          </cell>
          <cell r="BI582">
            <v>24</v>
          </cell>
          <cell r="BJ582">
            <v>25</v>
          </cell>
          <cell r="BK582">
            <v>26</v>
          </cell>
          <cell r="BL582">
            <v>20</v>
          </cell>
          <cell r="BM582">
            <v>15</v>
          </cell>
          <cell r="BN582">
            <v>148</v>
          </cell>
          <cell r="BO582">
            <v>8</v>
          </cell>
          <cell r="BP582">
            <v>30</v>
          </cell>
          <cell r="BQ582">
            <v>24</v>
          </cell>
          <cell r="BR582">
            <v>25</v>
          </cell>
          <cell r="BS582">
            <v>26</v>
          </cell>
          <cell r="BT582">
            <v>20</v>
          </cell>
          <cell r="BU582">
            <v>15</v>
          </cell>
          <cell r="BV582">
            <v>148</v>
          </cell>
          <cell r="BW582">
            <v>0</v>
          </cell>
          <cell r="BX582" t="str">
            <v>TIDAK</v>
          </cell>
          <cell r="BY582" t="str">
            <v>TIDAK</v>
          </cell>
        </row>
        <row r="583">
          <cell r="A583" t="str">
            <v>A4336</v>
          </cell>
          <cell r="B583" t="str">
            <v>M DIMAS SETYA MAHENDRA</v>
          </cell>
          <cell r="C583" t="str">
            <v>RVO</v>
          </cell>
          <cell r="D583">
            <v>45573</v>
          </cell>
          <cell r="E583" t="str">
            <v>Oct-24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 t="str">
            <v>-</v>
          </cell>
          <cell r="AQ583" t="str">
            <v>-</v>
          </cell>
          <cell r="AR583" t="str">
            <v>-</v>
          </cell>
          <cell r="AS583" t="str">
            <v>REGULER</v>
          </cell>
          <cell r="AT583" t="str">
            <v>REGULER</v>
          </cell>
          <cell r="AU583" t="str">
            <v>REGULER</v>
          </cell>
          <cell r="AV583" t="str">
            <v/>
          </cell>
          <cell r="AW583">
            <v>0</v>
          </cell>
          <cell r="AX583">
            <v>0</v>
          </cell>
          <cell r="AY583">
            <v>1</v>
          </cell>
          <cell r="AZ583">
            <v>18</v>
          </cell>
          <cell r="BA583">
            <v>15</v>
          </cell>
          <cell r="BB583">
            <v>0</v>
          </cell>
          <cell r="BC583">
            <v>0</v>
          </cell>
          <cell r="BD583">
            <v>1</v>
          </cell>
          <cell r="BE583">
            <v>18</v>
          </cell>
          <cell r="BF583">
            <v>15</v>
          </cell>
          <cell r="BG583" t="str">
            <v/>
          </cell>
          <cell r="BH583">
            <v>0</v>
          </cell>
          <cell r="BI583">
            <v>0</v>
          </cell>
          <cell r="BJ583">
            <v>1</v>
          </cell>
          <cell r="BK583">
            <v>18</v>
          </cell>
          <cell r="BL583">
            <v>15</v>
          </cell>
          <cell r="BM583">
            <v>7</v>
          </cell>
          <cell r="BN583">
            <v>41</v>
          </cell>
          <cell r="BO583" t="str">
            <v/>
          </cell>
          <cell r="BP583">
            <v>0</v>
          </cell>
          <cell r="BQ583">
            <v>0</v>
          </cell>
          <cell r="BR583">
            <v>1</v>
          </cell>
          <cell r="BS583">
            <v>18</v>
          </cell>
          <cell r="BT583">
            <v>15</v>
          </cell>
          <cell r="BU583">
            <v>7</v>
          </cell>
          <cell r="BV583">
            <v>41</v>
          </cell>
          <cell r="BW583">
            <v>0</v>
          </cell>
          <cell r="BX583" t="str">
            <v>TIDAK</v>
          </cell>
          <cell r="BY583" t="str">
            <v>TIDAK</v>
          </cell>
        </row>
        <row r="584">
          <cell r="A584" t="str">
            <v>A4333</v>
          </cell>
          <cell r="B584" t="str">
            <v>GALUH SAFITRI</v>
          </cell>
          <cell r="C584" t="str">
            <v>RVO</v>
          </cell>
          <cell r="D584">
            <v>45568</v>
          </cell>
          <cell r="E584" t="str">
            <v>Oct-24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 t="str">
            <v>-</v>
          </cell>
          <cell r="AQ584" t="str">
            <v>-</v>
          </cell>
          <cell r="AR584" t="str">
            <v>-</v>
          </cell>
          <cell r="AS584" t="str">
            <v>-</v>
          </cell>
          <cell r="AT584" t="str">
            <v>REGULER</v>
          </cell>
          <cell r="AU584" t="str">
            <v>REGULER</v>
          </cell>
          <cell r="AV584" t="str">
            <v/>
          </cell>
          <cell r="AW584">
            <v>0</v>
          </cell>
          <cell r="AX584">
            <v>0</v>
          </cell>
          <cell r="AY584">
            <v>0</v>
          </cell>
          <cell r="AZ584">
            <v>26</v>
          </cell>
          <cell r="BA584">
            <v>32</v>
          </cell>
          <cell r="BB584">
            <v>0</v>
          </cell>
          <cell r="BC584">
            <v>0</v>
          </cell>
          <cell r="BD584">
            <v>0</v>
          </cell>
          <cell r="BE584">
            <v>26</v>
          </cell>
          <cell r="BF584">
            <v>32</v>
          </cell>
          <cell r="BG584" t="str">
            <v/>
          </cell>
          <cell r="BH584">
            <v>0</v>
          </cell>
          <cell r="BI584">
            <v>0</v>
          </cell>
          <cell r="BJ584">
            <v>0</v>
          </cell>
          <cell r="BK584">
            <v>26</v>
          </cell>
          <cell r="BL584">
            <v>32</v>
          </cell>
          <cell r="BM584">
            <v>18</v>
          </cell>
          <cell r="BN584">
            <v>76</v>
          </cell>
          <cell r="BO584" t="str">
            <v/>
          </cell>
          <cell r="BP584">
            <v>0</v>
          </cell>
          <cell r="BQ584">
            <v>0</v>
          </cell>
          <cell r="BR584">
            <v>0</v>
          </cell>
          <cell r="BS584">
            <v>26</v>
          </cell>
          <cell r="BT584">
            <v>32</v>
          </cell>
          <cell r="BU584">
            <v>18</v>
          </cell>
          <cell r="BV584">
            <v>76</v>
          </cell>
          <cell r="BW584">
            <v>0</v>
          </cell>
          <cell r="BX584" t="str">
            <v>TIDAK</v>
          </cell>
          <cell r="BY584" t="str">
            <v>TIDAK</v>
          </cell>
        </row>
        <row r="585">
          <cell r="A585" t="str">
            <v>A4335</v>
          </cell>
          <cell r="B585" t="str">
            <v>GREGORIUS DWIKA KUNCAHYO DEWAJI</v>
          </cell>
          <cell r="C585" t="str">
            <v>RVO</v>
          </cell>
          <cell r="D585">
            <v>45568</v>
          </cell>
          <cell r="E585" t="str">
            <v>Oct-24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 t="str">
            <v>-</v>
          </cell>
          <cell r="AQ585" t="str">
            <v>-</v>
          </cell>
          <cell r="AR585" t="str">
            <v>-</v>
          </cell>
          <cell r="AS585" t="str">
            <v>-</v>
          </cell>
          <cell r="AT585" t="str">
            <v>REGULER</v>
          </cell>
          <cell r="AU585" t="str">
            <v>REGULER</v>
          </cell>
          <cell r="AV585" t="str">
            <v/>
          </cell>
          <cell r="AW585">
            <v>0</v>
          </cell>
          <cell r="AX585">
            <v>0</v>
          </cell>
          <cell r="AY585">
            <v>0</v>
          </cell>
          <cell r="AZ585">
            <v>43</v>
          </cell>
          <cell r="BA585">
            <v>43</v>
          </cell>
          <cell r="BB585">
            <v>0</v>
          </cell>
          <cell r="BC585">
            <v>0</v>
          </cell>
          <cell r="BD585">
            <v>0</v>
          </cell>
          <cell r="BE585">
            <v>43</v>
          </cell>
          <cell r="BF585">
            <v>43</v>
          </cell>
          <cell r="BG585" t="str">
            <v/>
          </cell>
          <cell r="BH585">
            <v>0</v>
          </cell>
          <cell r="BI585">
            <v>0</v>
          </cell>
          <cell r="BJ585">
            <v>0</v>
          </cell>
          <cell r="BK585">
            <v>43</v>
          </cell>
          <cell r="BL585">
            <v>43</v>
          </cell>
          <cell r="BM585" t="str">
            <v/>
          </cell>
          <cell r="BN585">
            <v>86</v>
          </cell>
          <cell r="BO585" t="str">
            <v/>
          </cell>
          <cell r="BP585">
            <v>0</v>
          </cell>
          <cell r="BQ585">
            <v>0</v>
          </cell>
          <cell r="BR585">
            <v>0</v>
          </cell>
          <cell r="BS585">
            <v>43</v>
          </cell>
          <cell r="BT585">
            <v>43</v>
          </cell>
          <cell r="BU585" t="str">
            <v/>
          </cell>
          <cell r="BV585">
            <v>86</v>
          </cell>
          <cell r="BW585">
            <v>1</v>
          </cell>
          <cell r="BX585" t="str">
            <v>TIDAK</v>
          </cell>
          <cell r="BY585" t="str">
            <v>TIDAK</v>
          </cell>
        </row>
        <row r="586">
          <cell r="A586" t="str">
            <v>A4334</v>
          </cell>
          <cell r="B586" t="str">
            <v>MUHAMMAD WAHYU</v>
          </cell>
          <cell r="C586" t="str">
            <v>RVO</v>
          </cell>
          <cell r="D586">
            <v>45569</v>
          </cell>
          <cell r="E586" t="str">
            <v>Oct-24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 t="str">
            <v>-</v>
          </cell>
          <cell r="AQ586" t="str">
            <v>-</v>
          </cell>
          <cell r="AR586" t="str">
            <v>-</v>
          </cell>
          <cell r="AS586" t="str">
            <v>-</v>
          </cell>
          <cell r="AT586" t="str">
            <v>REGULER</v>
          </cell>
          <cell r="AU586" t="str">
            <v>REGULER</v>
          </cell>
          <cell r="AV586" t="str">
            <v/>
          </cell>
          <cell r="AW586">
            <v>0</v>
          </cell>
          <cell r="AX586">
            <v>0</v>
          </cell>
          <cell r="AY586">
            <v>0</v>
          </cell>
          <cell r="AZ586">
            <v>29</v>
          </cell>
          <cell r="BA586">
            <v>27</v>
          </cell>
          <cell r="BB586">
            <v>0</v>
          </cell>
          <cell r="BC586">
            <v>0</v>
          </cell>
          <cell r="BD586">
            <v>0</v>
          </cell>
          <cell r="BE586">
            <v>29</v>
          </cell>
          <cell r="BF586">
            <v>27</v>
          </cell>
          <cell r="BG586" t="str">
            <v/>
          </cell>
          <cell r="BH586">
            <v>0</v>
          </cell>
          <cell r="BI586">
            <v>0</v>
          </cell>
          <cell r="BJ586">
            <v>0</v>
          </cell>
          <cell r="BK586">
            <v>29</v>
          </cell>
          <cell r="BL586">
            <v>27</v>
          </cell>
          <cell r="BM586">
            <v>17</v>
          </cell>
          <cell r="BN586">
            <v>73</v>
          </cell>
          <cell r="BO586" t="str">
            <v/>
          </cell>
          <cell r="BP586">
            <v>0</v>
          </cell>
          <cell r="BQ586">
            <v>0</v>
          </cell>
          <cell r="BR586">
            <v>0</v>
          </cell>
          <cell r="BS586">
            <v>29</v>
          </cell>
          <cell r="BT586">
            <v>27</v>
          </cell>
          <cell r="BU586">
            <v>17</v>
          </cell>
          <cell r="BV586">
            <v>73</v>
          </cell>
          <cell r="BW586">
            <v>0</v>
          </cell>
          <cell r="BX586" t="str">
            <v>TIDAK</v>
          </cell>
          <cell r="BY586" t="str">
            <v>TIDAK</v>
          </cell>
        </row>
        <row r="587">
          <cell r="A587" t="str">
            <v>A4372</v>
          </cell>
          <cell r="B587" t="str">
            <v>TRI WIDIASTUTI</v>
          </cell>
          <cell r="C587" t="str">
            <v>RVO</v>
          </cell>
          <cell r="D587">
            <v>45586</v>
          </cell>
          <cell r="E587" t="str">
            <v>Oct-24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 t="str">
            <v>-</v>
          </cell>
          <cell r="AQ587" t="str">
            <v>-</v>
          </cell>
          <cell r="AR587" t="str">
            <v>-</v>
          </cell>
          <cell r="AS587" t="str">
            <v>-</v>
          </cell>
          <cell r="AT587" t="str">
            <v>REGULER</v>
          </cell>
          <cell r="AU587" t="str">
            <v>REGULER</v>
          </cell>
          <cell r="AV587" t="str">
            <v/>
          </cell>
          <cell r="AW587">
            <v>0</v>
          </cell>
          <cell r="AX587">
            <v>0</v>
          </cell>
          <cell r="AY587">
            <v>0</v>
          </cell>
          <cell r="AZ587">
            <v>5</v>
          </cell>
          <cell r="BA587">
            <v>15</v>
          </cell>
          <cell r="BB587">
            <v>0</v>
          </cell>
          <cell r="BC587">
            <v>0</v>
          </cell>
          <cell r="BD587">
            <v>0</v>
          </cell>
          <cell r="BE587">
            <v>5</v>
          </cell>
          <cell r="BF587">
            <v>15</v>
          </cell>
          <cell r="BG587" t="str">
            <v/>
          </cell>
          <cell r="BH587">
            <v>0</v>
          </cell>
          <cell r="BI587">
            <v>0</v>
          </cell>
          <cell r="BJ587">
            <v>0</v>
          </cell>
          <cell r="BK587">
            <v>5</v>
          </cell>
          <cell r="BL587">
            <v>15</v>
          </cell>
          <cell r="BM587">
            <v>13</v>
          </cell>
          <cell r="BN587">
            <v>33</v>
          </cell>
          <cell r="BO587" t="str">
            <v/>
          </cell>
          <cell r="BP587">
            <v>0</v>
          </cell>
          <cell r="BQ587">
            <v>0</v>
          </cell>
          <cell r="BR587">
            <v>0</v>
          </cell>
          <cell r="BS587">
            <v>5</v>
          </cell>
          <cell r="BT587">
            <v>15</v>
          </cell>
          <cell r="BU587">
            <v>13</v>
          </cell>
          <cell r="BV587">
            <v>33</v>
          </cell>
          <cell r="BW587">
            <v>0</v>
          </cell>
          <cell r="BX587" t="str">
            <v>TIDAK</v>
          </cell>
          <cell r="BY587" t="str">
            <v>TIDAK</v>
          </cell>
        </row>
        <row r="588">
          <cell r="A588" t="str">
            <v>A4370</v>
          </cell>
          <cell r="B588" t="str">
            <v>ERLANGGA ADIALAM</v>
          </cell>
          <cell r="C588" t="str">
            <v>RVO</v>
          </cell>
          <cell r="D588">
            <v>45591</v>
          </cell>
          <cell r="E588" t="str">
            <v>Oct-24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 t="str">
            <v>-</v>
          </cell>
          <cell r="AQ588" t="str">
            <v>-</v>
          </cell>
          <cell r="AR588" t="str">
            <v>-</v>
          </cell>
          <cell r="AS588" t="str">
            <v>-</v>
          </cell>
          <cell r="AT588" t="str">
            <v>REGULER</v>
          </cell>
          <cell r="AU588" t="str">
            <v>REGULER</v>
          </cell>
          <cell r="AV588" t="str">
            <v/>
          </cell>
          <cell r="AW588">
            <v>0</v>
          </cell>
          <cell r="AX588">
            <v>0</v>
          </cell>
          <cell r="AY588">
            <v>0</v>
          </cell>
          <cell r="AZ588">
            <v>1</v>
          </cell>
          <cell r="BA588">
            <v>28</v>
          </cell>
          <cell r="BB588">
            <v>0</v>
          </cell>
          <cell r="BC588">
            <v>0</v>
          </cell>
          <cell r="BD588">
            <v>0</v>
          </cell>
          <cell r="BE588">
            <v>1</v>
          </cell>
          <cell r="BF588">
            <v>28</v>
          </cell>
          <cell r="BG588" t="str">
            <v/>
          </cell>
          <cell r="BH588">
            <v>0</v>
          </cell>
          <cell r="BI588">
            <v>0</v>
          </cell>
          <cell r="BJ588">
            <v>0</v>
          </cell>
          <cell r="BK588">
            <v>1</v>
          </cell>
          <cell r="BL588">
            <v>28</v>
          </cell>
          <cell r="BM588">
            <v>9</v>
          </cell>
          <cell r="BN588">
            <v>38</v>
          </cell>
          <cell r="BO588" t="str">
            <v/>
          </cell>
          <cell r="BP588">
            <v>0</v>
          </cell>
          <cell r="BQ588">
            <v>0</v>
          </cell>
          <cell r="BR588">
            <v>0</v>
          </cell>
          <cell r="BS588">
            <v>1</v>
          </cell>
          <cell r="BT588">
            <v>28</v>
          </cell>
          <cell r="BU588">
            <v>9</v>
          </cell>
          <cell r="BV588">
            <v>38</v>
          </cell>
          <cell r="BW588">
            <v>0</v>
          </cell>
          <cell r="BX588" t="str">
            <v>TIDAK</v>
          </cell>
          <cell r="BY588" t="str">
            <v>TIDAK</v>
          </cell>
        </row>
        <row r="589">
          <cell r="A589" t="str">
            <v>A4371</v>
          </cell>
          <cell r="B589" t="str">
            <v>DEANDRA AUREL AZELI</v>
          </cell>
          <cell r="C589" t="str">
            <v>RVO</v>
          </cell>
          <cell r="D589">
            <v>45591</v>
          </cell>
          <cell r="E589" t="str">
            <v>Oct-24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 t="str">
            <v>-</v>
          </cell>
          <cell r="AQ589" t="str">
            <v>-</v>
          </cell>
          <cell r="AR589" t="str">
            <v>-</v>
          </cell>
          <cell r="AS589" t="str">
            <v>-</v>
          </cell>
          <cell r="AT589" t="str">
            <v>REGULER</v>
          </cell>
          <cell r="AU589" t="str">
            <v>REGULER</v>
          </cell>
          <cell r="AV589" t="str">
            <v/>
          </cell>
          <cell r="AW589">
            <v>0</v>
          </cell>
          <cell r="AX589">
            <v>0</v>
          </cell>
          <cell r="AY589">
            <v>0</v>
          </cell>
          <cell r="AZ589">
            <v>4</v>
          </cell>
          <cell r="BA589">
            <v>18</v>
          </cell>
          <cell r="BB589">
            <v>0</v>
          </cell>
          <cell r="BC589">
            <v>0</v>
          </cell>
          <cell r="BD589">
            <v>0</v>
          </cell>
          <cell r="BE589">
            <v>4</v>
          </cell>
          <cell r="BF589">
            <v>18</v>
          </cell>
          <cell r="BG589" t="str">
            <v/>
          </cell>
          <cell r="BH589">
            <v>0</v>
          </cell>
          <cell r="BI589">
            <v>0</v>
          </cell>
          <cell r="BJ589">
            <v>0</v>
          </cell>
          <cell r="BK589">
            <v>4</v>
          </cell>
          <cell r="BL589">
            <v>18</v>
          </cell>
          <cell r="BM589">
            <v>6</v>
          </cell>
          <cell r="BN589">
            <v>28</v>
          </cell>
          <cell r="BO589" t="str">
            <v/>
          </cell>
          <cell r="BP589">
            <v>0</v>
          </cell>
          <cell r="BQ589">
            <v>0</v>
          </cell>
          <cell r="BR589">
            <v>0</v>
          </cell>
          <cell r="BS589">
            <v>4</v>
          </cell>
          <cell r="BT589">
            <v>18</v>
          </cell>
          <cell r="BU589">
            <v>6</v>
          </cell>
          <cell r="BV589">
            <v>28</v>
          </cell>
          <cell r="BW589">
            <v>0</v>
          </cell>
          <cell r="BX589" t="str">
            <v>TIDAK</v>
          </cell>
          <cell r="BY589" t="str">
            <v>TIDAK</v>
          </cell>
        </row>
        <row r="590">
          <cell r="A590" t="str">
            <v>A4496</v>
          </cell>
          <cell r="B590" t="str">
            <v>PUSPITA LARASATI</v>
          </cell>
          <cell r="C590" t="str">
            <v>RVO</v>
          </cell>
          <cell r="D590">
            <v>45626</v>
          </cell>
          <cell r="E590" t="str">
            <v>Nov-24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 t="str">
            <v>-</v>
          </cell>
          <cell r="AQ590" t="str">
            <v>-</v>
          </cell>
          <cell r="AR590" t="str">
            <v>-</v>
          </cell>
          <cell r="AS590" t="str">
            <v>-</v>
          </cell>
          <cell r="AT590" t="str">
            <v>-</v>
          </cell>
          <cell r="AU590" t="str">
            <v>REGULER</v>
          </cell>
          <cell r="AV590" t="str">
            <v/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1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1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1</v>
          </cell>
          <cell r="BM590">
            <v>8</v>
          </cell>
          <cell r="BN590">
            <v>9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1</v>
          </cell>
          <cell r="BU590">
            <v>8</v>
          </cell>
          <cell r="BV590">
            <v>9</v>
          </cell>
          <cell r="BW590">
            <v>0</v>
          </cell>
          <cell r="BX590" t="str">
            <v>TIDAK</v>
          </cell>
          <cell r="BY590" t="str">
            <v>TIDAK</v>
          </cell>
        </row>
        <row r="591">
          <cell r="A591" t="str">
            <v>A4491</v>
          </cell>
          <cell r="B591" t="str">
            <v>RATIH DEWANTI NUGRAHENI</v>
          </cell>
          <cell r="C591" t="str">
            <v>RVO</v>
          </cell>
          <cell r="D591">
            <v>45626</v>
          </cell>
          <cell r="E591" t="str">
            <v>Nov-24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 t="str">
            <v>-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 t="str">
            <v/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18</v>
          </cell>
          <cell r="BN591">
            <v>18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18</v>
          </cell>
          <cell r="BV591">
            <v>18</v>
          </cell>
          <cell r="BW591">
            <v>1</v>
          </cell>
          <cell r="BX591" t="str">
            <v>TIDAK</v>
          </cell>
          <cell r="BY591" t="str">
            <v>TIDAK</v>
          </cell>
        </row>
        <row r="592">
          <cell r="A592" t="str">
            <v>A4498</v>
          </cell>
          <cell r="B592" t="str">
            <v>RESTI AYU OKTARINI</v>
          </cell>
          <cell r="C592" t="str">
            <v>RVO</v>
          </cell>
          <cell r="D592">
            <v>45627</v>
          </cell>
          <cell r="E592" t="str">
            <v>Dec-24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 t="str">
            <v>-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 t="str">
            <v/>
          </cell>
          <cell r="AW592" t="str">
            <v/>
          </cell>
          <cell r="AX592" t="str">
            <v/>
          </cell>
          <cell r="AY592" t="str">
            <v/>
          </cell>
          <cell r="AZ592" t="str">
            <v/>
          </cell>
          <cell r="BA592" t="str">
            <v/>
          </cell>
          <cell r="BB592" t="str">
            <v/>
          </cell>
          <cell r="BC592" t="str">
            <v/>
          </cell>
          <cell r="BD592" t="str">
            <v/>
          </cell>
          <cell r="BE592" t="str">
            <v/>
          </cell>
          <cell r="BF592" t="str">
            <v/>
          </cell>
          <cell r="BG592">
            <v>0</v>
          </cell>
          <cell r="BH592" t="str">
            <v/>
          </cell>
          <cell r="BI592" t="str">
            <v/>
          </cell>
          <cell r="BJ592" t="str">
            <v/>
          </cell>
          <cell r="BK592" t="str">
            <v/>
          </cell>
          <cell r="BL592" t="str">
            <v/>
          </cell>
          <cell r="BM592">
            <v>19</v>
          </cell>
          <cell r="BN592">
            <v>19</v>
          </cell>
          <cell r="BO592">
            <v>0</v>
          </cell>
          <cell r="BP592" t="str">
            <v/>
          </cell>
          <cell r="BQ592" t="str">
            <v/>
          </cell>
          <cell r="BR592" t="str">
            <v/>
          </cell>
          <cell r="BS592" t="str">
            <v/>
          </cell>
          <cell r="BT592" t="str">
            <v/>
          </cell>
          <cell r="BU592">
            <v>19</v>
          </cell>
          <cell r="BV592">
            <v>19</v>
          </cell>
          <cell r="BW592">
            <v>0</v>
          </cell>
          <cell r="BX592" t="str">
            <v>TIDAK</v>
          </cell>
          <cell r="BY592" t="str">
            <v>TIDAK</v>
          </cell>
        </row>
        <row r="593">
          <cell r="A593" t="str">
            <v>A4495</v>
          </cell>
          <cell r="B593" t="str">
            <v>YASMINAH FITRIAH</v>
          </cell>
          <cell r="C593" t="str">
            <v>RVO</v>
          </cell>
          <cell r="D593">
            <v>45628</v>
          </cell>
          <cell r="E593" t="str">
            <v>Dec-24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 t="str">
            <v>-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 t="str">
            <v/>
          </cell>
          <cell r="AW593" t="str">
            <v/>
          </cell>
          <cell r="AX593" t="str">
            <v/>
          </cell>
          <cell r="AY593" t="str">
            <v/>
          </cell>
          <cell r="AZ593" t="str">
            <v/>
          </cell>
          <cell r="BA593" t="str">
            <v/>
          </cell>
          <cell r="BB593" t="str">
            <v/>
          </cell>
          <cell r="BC593" t="str">
            <v/>
          </cell>
          <cell r="BD593" t="str">
            <v/>
          </cell>
          <cell r="BE593" t="str">
            <v/>
          </cell>
          <cell r="BF593" t="str">
            <v/>
          </cell>
          <cell r="BG593">
            <v>0</v>
          </cell>
          <cell r="BH593" t="str">
            <v/>
          </cell>
          <cell r="BI593" t="str">
            <v/>
          </cell>
          <cell r="BJ593" t="str">
            <v/>
          </cell>
          <cell r="BK593" t="str">
            <v/>
          </cell>
          <cell r="BL593" t="str">
            <v/>
          </cell>
          <cell r="BM593">
            <v>4</v>
          </cell>
          <cell r="BN593">
            <v>4</v>
          </cell>
          <cell r="BO593">
            <v>0</v>
          </cell>
          <cell r="BP593" t="str">
            <v/>
          </cell>
          <cell r="BQ593" t="str">
            <v/>
          </cell>
          <cell r="BR593" t="str">
            <v/>
          </cell>
          <cell r="BS593" t="str">
            <v/>
          </cell>
          <cell r="BT593" t="str">
            <v/>
          </cell>
          <cell r="BU593">
            <v>4</v>
          </cell>
          <cell r="BV593">
            <v>4</v>
          </cell>
          <cell r="BW593">
            <v>0</v>
          </cell>
          <cell r="BX593" t="str">
            <v>TIDAK</v>
          </cell>
          <cell r="BY593" t="str">
            <v>TIDAK</v>
          </cell>
        </row>
        <row r="594">
          <cell r="A594" t="str">
            <v>A4506</v>
          </cell>
          <cell r="B594" t="str">
            <v>SULTON AZIZ NURFIRDAUS</v>
          </cell>
          <cell r="C594" t="str">
            <v>RVO</v>
          </cell>
          <cell r="D594">
            <v>45626</v>
          </cell>
          <cell r="E594" t="str">
            <v>Nov-24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 t="str">
            <v>-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 t="str">
            <v/>
          </cell>
          <cell r="AW594" t="str">
            <v/>
          </cell>
          <cell r="AX594" t="str">
            <v/>
          </cell>
          <cell r="AY594" t="str">
            <v/>
          </cell>
          <cell r="AZ594" t="str">
            <v/>
          </cell>
          <cell r="BA594" t="str">
            <v/>
          </cell>
          <cell r="BB594" t="str">
            <v/>
          </cell>
          <cell r="BC594" t="str">
            <v/>
          </cell>
          <cell r="BD594" t="str">
            <v/>
          </cell>
          <cell r="BE594" t="str">
            <v/>
          </cell>
          <cell r="BF594" t="str">
            <v/>
          </cell>
          <cell r="BG594">
            <v>0</v>
          </cell>
          <cell r="BH594" t="str">
            <v/>
          </cell>
          <cell r="BI594" t="str">
            <v/>
          </cell>
          <cell r="BJ594" t="str">
            <v/>
          </cell>
          <cell r="BK594" t="str">
            <v/>
          </cell>
          <cell r="BL594" t="str">
            <v/>
          </cell>
          <cell r="BM594">
            <v>1</v>
          </cell>
          <cell r="BN594">
            <v>1</v>
          </cell>
          <cell r="BO594">
            <v>0</v>
          </cell>
          <cell r="BP594" t="str">
            <v/>
          </cell>
          <cell r="BQ594" t="str">
            <v/>
          </cell>
          <cell r="BR594" t="str">
            <v/>
          </cell>
          <cell r="BS594" t="str">
            <v/>
          </cell>
          <cell r="BT594" t="str">
            <v/>
          </cell>
          <cell r="BU594">
            <v>1</v>
          </cell>
          <cell r="BV594">
            <v>1</v>
          </cell>
          <cell r="BW594">
            <v>1</v>
          </cell>
          <cell r="BX594" t="str">
            <v>TIDAK</v>
          </cell>
          <cell r="BY594" t="str">
            <v>TIDAK</v>
          </cell>
        </row>
        <row r="595">
          <cell r="A595" t="str">
            <v>A4500</v>
          </cell>
          <cell r="B595" t="str">
            <v>ARI ANGGITO</v>
          </cell>
          <cell r="C595" t="str">
            <v>RVO</v>
          </cell>
          <cell r="D595">
            <v>45626</v>
          </cell>
          <cell r="E595" t="str">
            <v>Nov-24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 t="str">
            <v>-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 t="str">
            <v/>
          </cell>
          <cell r="AW595" t="str">
            <v/>
          </cell>
          <cell r="AX595" t="str">
            <v/>
          </cell>
          <cell r="AY595" t="str">
            <v/>
          </cell>
          <cell r="AZ595" t="str">
            <v/>
          </cell>
          <cell r="BA595" t="str">
            <v/>
          </cell>
          <cell r="BB595" t="str">
            <v/>
          </cell>
          <cell r="BC595" t="str">
            <v/>
          </cell>
          <cell r="BD595" t="str">
            <v/>
          </cell>
          <cell r="BE595" t="str">
            <v/>
          </cell>
          <cell r="BF595" t="str">
            <v/>
          </cell>
          <cell r="BG595">
            <v>0</v>
          </cell>
          <cell r="BH595" t="str">
            <v/>
          </cell>
          <cell r="BI595" t="str">
            <v/>
          </cell>
          <cell r="BJ595" t="str">
            <v/>
          </cell>
          <cell r="BK595" t="str">
            <v/>
          </cell>
          <cell r="BL595" t="str">
            <v/>
          </cell>
          <cell r="BM595">
            <v>11</v>
          </cell>
          <cell r="BN595">
            <v>11</v>
          </cell>
          <cell r="BO595">
            <v>0</v>
          </cell>
          <cell r="BP595" t="str">
            <v/>
          </cell>
          <cell r="BQ595" t="str">
            <v/>
          </cell>
          <cell r="BR595" t="str">
            <v/>
          </cell>
          <cell r="BS595" t="str">
            <v/>
          </cell>
          <cell r="BT595" t="str">
            <v/>
          </cell>
          <cell r="BU595">
            <v>11</v>
          </cell>
          <cell r="BV595">
            <v>11</v>
          </cell>
          <cell r="BW595">
            <v>1</v>
          </cell>
          <cell r="BX595" t="str">
            <v>TIDAK</v>
          </cell>
          <cell r="BY595" t="str">
            <v>TIDAK</v>
          </cell>
        </row>
        <row r="596">
          <cell r="A596" t="str">
            <v>A4501</v>
          </cell>
          <cell r="B596" t="str">
            <v>RAMADHANTI PUSPITA SARI</v>
          </cell>
          <cell r="C596" t="str">
            <v>RVO</v>
          </cell>
          <cell r="D596">
            <v>45626</v>
          </cell>
          <cell r="E596" t="str">
            <v>Nov-24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 t="str">
            <v>-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 t="str">
            <v/>
          </cell>
          <cell r="AW596" t="str">
            <v/>
          </cell>
          <cell r="AX596" t="str">
            <v/>
          </cell>
          <cell r="AY596" t="str">
            <v/>
          </cell>
          <cell r="AZ596" t="str">
            <v/>
          </cell>
          <cell r="BA596" t="str">
            <v/>
          </cell>
          <cell r="BB596" t="str">
            <v/>
          </cell>
          <cell r="BC596" t="str">
            <v/>
          </cell>
          <cell r="BD596" t="str">
            <v/>
          </cell>
          <cell r="BE596" t="str">
            <v/>
          </cell>
          <cell r="BF596" t="str">
            <v/>
          </cell>
          <cell r="BG596">
            <v>0</v>
          </cell>
          <cell r="BH596" t="str">
            <v/>
          </cell>
          <cell r="BI596" t="str">
            <v/>
          </cell>
          <cell r="BJ596" t="str">
            <v/>
          </cell>
          <cell r="BK596" t="str">
            <v/>
          </cell>
          <cell r="BL596" t="str">
            <v/>
          </cell>
          <cell r="BM596">
            <v>6</v>
          </cell>
          <cell r="BN596">
            <v>6</v>
          </cell>
          <cell r="BO596">
            <v>0</v>
          </cell>
          <cell r="BP596" t="str">
            <v/>
          </cell>
          <cell r="BQ596" t="str">
            <v/>
          </cell>
          <cell r="BR596" t="str">
            <v/>
          </cell>
          <cell r="BS596" t="str">
            <v/>
          </cell>
          <cell r="BT596" t="str">
            <v/>
          </cell>
          <cell r="BU596">
            <v>6</v>
          </cell>
          <cell r="BV596">
            <v>6</v>
          </cell>
          <cell r="BW596">
            <v>1</v>
          </cell>
          <cell r="BX596" t="str">
            <v>TIDAK</v>
          </cell>
          <cell r="BY596" t="str">
            <v>TIDAK</v>
          </cell>
        </row>
        <row r="597">
          <cell r="A597" t="str">
            <v>A4499</v>
          </cell>
          <cell r="B597" t="str">
            <v>JUSTITIA RACHMAYANI PUTRI</v>
          </cell>
          <cell r="C597" t="str">
            <v>RVO</v>
          </cell>
          <cell r="D597">
            <v>45626</v>
          </cell>
          <cell r="E597" t="str">
            <v>Nov-24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 t="str">
            <v>-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 t="str">
            <v/>
          </cell>
          <cell r="AW597" t="str">
            <v/>
          </cell>
          <cell r="AX597" t="str">
            <v/>
          </cell>
          <cell r="AY597" t="str">
            <v/>
          </cell>
          <cell r="AZ597" t="str">
            <v/>
          </cell>
          <cell r="BA597" t="str">
            <v/>
          </cell>
          <cell r="BB597" t="str">
            <v/>
          </cell>
          <cell r="BC597" t="str">
            <v/>
          </cell>
          <cell r="BD597" t="str">
            <v/>
          </cell>
          <cell r="BE597" t="str">
            <v/>
          </cell>
          <cell r="BF597" t="str">
            <v/>
          </cell>
          <cell r="BG597">
            <v>0</v>
          </cell>
          <cell r="BH597" t="str">
            <v/>
          </cell>
          <cell r="BI597" t="str">
            <v/>
          </cell>
          <cell r="BJ597" t="str">
            <v/>
          </cell>
          <cell r="BK597" t="str">
            <v/>
          </cell>
          <cell r="BL597" t="str">
            <v/>
          </cell>
          <cell r="BM597">
            <v>7</v>
          </cell>
          <cell r="BN597">
            <v>7</v>
          </cell>
          <cell r="BO597">
            <v>0</v>
          </cell>
          <cell r="BP597" t="str">
            <v/>
          </cell>
          <cell r="BQ597" t="str">
            <v/>
          </cell>
          <cell r="BR597" t="str">
            <v/>
          </cell>
          <cell r="BS597" t="str">
            <v/>
          </cell>
          <cell r="BT597" t="str">
            <v/>
          </cell>
          <cell r="BU597">
            <v>7</v>
          </cell>
          <cell r="BV597">
            <v>7</v>
          </cell>
          <cell r="BW597">
            <v>1</v>
          </cell>
          <cell r="BX597" t="str">
            <v>TIDAK</v>
          </cell>
          <cell r="BY597" t="str">
            <v>TIDAK</v>
          </cell>
        </row>
        <row r="598">
          <cell r="A598" t="str">
            <v>A4503</v>
          </cell>
          <cell r="B598" t="str">
            <v>ANDIENE IZAZ</v>
          </cell>
          <cell r="C598" t="str">
            <v>RVO</v>
          </cell>
          <cell r="D598">
            <v>45629</v>
          </cell>
          <cell r="E598" t="str">
            <v>Dec-24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 t="str">
            <v>-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 t="str">
            <v/>
          </cell>
          <cell r="AW598" t="str">
            <v/>
          </cell>
          <cell r="AX598" t="str">
            <v/>
          </cell>
          <cell r="AY598" t="str">
            <v/>
          </cell>
          <cell r="AZ598" t="str">
            <v/>
          </cell>
          <cell r="BA598" t="str">
            <v/>
          </cell>
          <cell r="BB598" t="str">
            <v/>
          </cell>
          <cell r="BC598" t="str">
            <v/>
          </cell>
          <cell r="BD598" t="str">
            <v/>
          </cell>
          <cell r="BE598" t="str">
            <v/>
          </cell>
          <cell r="BF598" t="str">
            <v/>
          </cell>
          <cell r="BG598">
            <v>0</v>
          </cell>
          <cell r="BH598" t="str">
            <v/>
          </cell>
          <cell r="BI598" t="str">
            <v/>
          </cell>
          <cell r="BJ598" t="str">
            <v/>
          </cell>
          <cell r="BK598" t="str">
            <v/>
          </cell>
          <cell r="BL598" t="str">
            <v/>
          </cell>
          <cell r="BM598">
            <v>6</v>
          </cell>
          <cell r="BN598">
            <v>6</v>
          </cell>
          <cell r="BO598">
            <v>0</v>
          </cell>
          <cell r="BP598" t="str">
            <v/>
          </cell>
          <cell r="BQ598" t="str">
            <v/>
          </cell>
          <cell r="BR598" t="str">
            <v/>
          </cell>
          <cell r="BS598" t="str">
            <v/>
          </cell>
          <cell r="BT598" t="str">
            <v/>
          </cell>
          <cell r="BU598">
            <v>6</v>
          </cell>
          <cell r="BV598">
            <v>6</v>
          </cell>
          <cell r="BW598">
            <v>0</v>
          </cell>
          <cell r="BX598" t="str">
            <v>TIDAK</v>
          </cell>
          <cell r="BY598" t="str">
            <v>TIDAK</v>
          </cell>
        </row>
        <row r="599">
          <cell r="A599" t="str">
            <v>A4502</v>
          </cell>
          <cell r="B599" t="str">
            <v>YOGA KENCANA</v>
          </cell>
          <cell r="C599" t="str">
            <v>RVO</v>
          </cell>
          <cell r="D599">
            <v>45630</v>
          </cell>
          <cell r="E599" t="str">
            <v>Dec-24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 t="str">
            <v>-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 t="str">
            <v/>
          </cell>
          <cell r="AW599" t="str">
            <v/>
          </cell>
          <cell r="AX599" t="str">
            <v/>
          </cell>
          <cell r="AY599" t="str">
            <v/>
          </cell>
          <cell r="AZ599" t="str">
            <v/>
          </cell>
          <cell r="BA599" t="str">
            <v/>
          </cell>
          <cell r="BB599" t="str">
            <v/>
          </cell>
          <cell r="BC599" t="str">
            <v/>
          </cell>
          <cell r="BD599" t="str">
            <v/>
          </cell>
          <cell r="BE599" t="str">
            <v/>
          </cell>
          <cell r="BF599" t="str">
            <v/>
          </cell>
          <cell r="BG599">
            <v>0</v>
          </cell>
          <cell r="BH599" t="str">
            <v/>
          </cell>
          <cell r="BI599" t="str">
            <v/>
          </cell>
          <cell r="BJ599" t="str">
            <v/>
          </cell>
          <cell r="BK599" t="str">
            <v/>
          </cell>
          <cell r="BL599" t="str">
            <v/>
          </cell>
          <cell r="BM599">
            <v>3</v>
          </cell>
          <cell r="BN599">
            <v>3</v>
          </cell>
          <cell r="BO599">
            <v>0</v>
          </cell>
          <cell r="BP599" t="str">
            <v/>
          </cell>
          <cell r="BQ599" t="str">
            <v/>
          </cell>
          <cell r="BR599" t="str">
            <v/>
          </cell>
          <cell r="BS599" t="str">
            <v/>
          </cell>
          <cell r="BT599" t="str">
            <v/>
          </cell>
          <cell r="BU599">
            <v>3</v>
          </cell>
          <cell r="BV599">
            <v>3</v>
          </cell>
          <cell r="BW599">
            <v>0</v>
          </cell>
          <cell r="BX599" t="str">
            <v>TIDAK</v>
          </cell>
          <cell r="BY599" t="str">
            <v>TIDAK</v>
          </cell>
        </row>
        <row r="600">
          <cell r="A600" t="str">
            <v>A4497</v>
          </cell>
          <cell r="B600" t="str">
            <v>FAHMI NAJIB</v>
          </cell>
          <cell r="C600" t="str">
            <v>RVO</v>
          </cell>
          <cell r="D600">
            <v>45631</v>
          </cell>
          <cell r="E600" t="str">
            <v>Dec-24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 t="str">
            <v>-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 t="str">
            <v/>
          </cell>
          <cell r="AW600" t="str">
            <v/>
          </cell>
          <cell r="AX600" t="str">
            <v/>
          </cell>
          <cell r="AY600" t="str">
            <v/>
          </cell>
          <cell r="AZ600" t="str">
            <v/>
          </cell>
          <cell r="BA600" t="str">
            <v/>
          </cell>
          <cell r="BB600" t="str">
            <v/>
          </cell>
          <cell r="BC600" t="str">
            <v/>
          </cell>
          <cell r="BD600" t="str">
            <v/>
          </cell>
          <cell r="BE600" t="str">
            <v/>
          </cell>
          <cell r="BF600" t="str">
            <v/>
          </cell>
          <cell r="BG600">
            <v>0</v>
          </cell>
          <cell r="BH600" t="str">
            <v/>
          </cell>
          <cell r="BI600" t="str">
            <v/>
          </cell>
          <cell r="BJ600" t="str">
            <v/>
          </cell>
          <cell r="BK600" t="str">
            <v/>
          </cell>
          <cell r="BL600" t="str">
            <v/>
          </cell>
          <cell r="BM600">
            <v>4</v>
          </cell>
          <cell r="BN600">
            <v>4</v>
          </cell>
          <cell r="BO600">
            <v>0</v>
          </cell>
          <cell r="BP600" t="str">
            <v/>
          </cell>
          <cell r="BQ600" t="str">
            <v/>
          </cell>
          <cell r="BR600" t="str">
            <v/>
          </cell>
          <cell r="BS600" t="str">
            <v/>
          </cell>
          <cell r="BT600" t="str">
            <v/>
          </cell>
          <cell r="BU600">
            <v>4</v>
          </cell>
          <cell r="BV600">
            <v>4</v>
          </cell>
          <cell r="BW600">
            <v>0</v>
          </cell>
          <cell r="BX600" t="str">
            <v>TIDAK</v>
          </cell>
          <cell r="BY600" t="str">
            <v>TIDAK</v>
          </cell>
        </row>
        <row r="601">
          <cell r="A601" t="str">
            <v>A4488</v>
          </cell>
          <cell r="B601" t="str">
            <v>FARRAS DAFFA YASSARRAMADHAN</v>
          </cell>
          <cell r="C601" t="str">
            <v>RVO</v>
          </cell>
          <cell r="D601">
            <v>45632</v>
          </cell>
          <cell r="E601" t="str">
            <v>Dec-24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 t="str">
            <v>-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 t="str">
            <v/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3</v>
          </cell>
          <cell r="BN601">
            <v>3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3</v>
          </cell>
          <cell r="BV601">
            <v>3</v>
          </cell>
          <cell r="BW601">
            <v>0</v>
          </cell>
          <cell r="BX601" t="str">
            <v>TIDAK</v>
          </cell>
          <cell r="BY601" t="str">
            <v>TIDAK</v>
          </cell>
        </row>
        <row r="602">
          <cell r="A602" t="str">
            <v>A3781</v>
          </cell>
          <cell r="B602" t="str">
            <v>Eka Putra Zai</v>
          </cell>
          <cell r="C602" t="str">
            <v>RVO</v>
          </cell>
          <cell r="D602">
            <v>45337</v>
          </cell>
          <cell r="E602" t="str">
            <v>Feb-24</v>
          </cell>
          <cell r="F602" t="str">
            <v>-</v>
          </cell>
          <cell r="G602" t="str">
            <v>-</v>
          </cell>
          <cell r="H602" t="str">
            <v>REGULER</v>
          </cell>
          <cell r="I602" t="str">
            <v>REGULER</v>
          </cell>
          <cell r="J602" t="str">
            <v>REGULER</v>
          </cell>
          <cell r="K602" t="str">
            <v>REGULER</v>
          </cell>
          <cell r="L602" t="str">
            <v>REGULER</v>
          </cell>
          <cell r="M602">
            <v>0</v>
          </cell>
          <cell r="N602">
            <v>0</v>
          </cell>
          <cell r="O602">
            <v>5</v>
          </cell>
          <cell r="P602">
            <v>18</v>
          </cell>
          <cell r="Q602">
            <v>29</v>
          </cell>
          <cell r="R602">
            <v>34</v>
          </cell>
          <cell r="S602">
            <v>12</v>
          </cell>
          <cell r="T602">
            <v>98</v>
          </cell>
          <cell r="U602">
            <v>0</v>
          </cell>
          <cell r="V602">
            <v>0</v>
          </cell>
          <cell r="W602">
            <v>5</v>
          </cell>
          <cell r="X602">
            <v>18</v>
          </cell>
          <cell r="Y602">
            <v>29</v>
          </cell>
          <cell r="Z602">
            <v>34</v>
          </cell>
          <cell r="AA602">
            <v>12</v>
          </cell>
          <cell r="AB602">
            <v>98</v>
          </cell>
          <cell r="AC602">
            <v>0</v>
          </cell>
          <cell r="AD602" t="str">
            <v>TIDAK</v>
          </cell>
          <cell r="AE602" t="str">
            <v>TIDAK</v>
          </cell>
          <cell r="AF602">
            <v>98</v>
          </cell>
          <cell r="AG602">
            <v>1</v>
          </cell>
          <cell r="AH602" t="str">
            <v>SAPHIRE</v>
          </cell>
          <cell r="AI602">
            <v>0</v>
          </cell>
          <cell r="AJ602" t="str">
            <v>Y</v>
          </cell>
          <cell r="AK602">
            <v>0</v>
          </cell>
          <cell r="AL602">
            <v>45261</v>
          </cell>
          <cell r="AM602">
            <v>45701</v>
          </cell>
          <cell r="AN602">
            <v>1</v>
          </cell>
          <cell r="AO602">
            <v>98</v>
          </cell>
          <cell r="AP602" t="str">
            <v>-</v>
          </cell>
          <cell r="AQ602" t="str">
            <v>-</v>
          </cell>
          <cell r="AR602" t="str">
            <v>-</v>
          </cell>
          <cell r="AS602" t="str">
            <v>-</v>
          </cell>
          <cell r="AT602" t="str">
            <v>-</v>
          </cell>
          <cell r="AU602" t="str">
            <v>-</v>
          </cell>
          <cell r="AV602" t="str">
            <v/>
          </cell>
          <cell r="AW602">
            <v>0</v>
          </cell>
          <cell r="AX602">
            <v>0</v>
          </cell>
          <cell r="AY602">
            <v>0</v>
          </cell>
          <cell r="AZ602">
            <v>13</v>
          </cell>
          <cell r="BA602">
            <v>4</v>
          </cell>
          <cell r="BB602">
            <v>0</v>
          </cell>
          <cell r="BC602">
            <v>0</v>
          </cell>
          <cell r="BD602">
            <v>0</v>
          </cell>
          <cell r="BE602">
            <v>13</v>
          </cell>
          <cell r="BF602">
            <v>4</v>
          </cell>
          <cell r="BG602">
            <v>16</v>
          </cell>
          <cell r="BH602">
            <v>0</v>
          </cell>
          <cell r="BI602">
            <v>0</v>
          </cell>
          <cell r="BJ602">
            <v>0</v>
          </cell>
          <cell r="BK602">
            <v>13</v>
          </cell>
          <cell r="BL602">
            <v>4</v>
          </cell>
          <cell r="BM602" t="str">
            <v/>
          </cell>
          <cell r="BN602">
            <v>33</v>
          </cell>
          <cell r="BO602">
            <v>16</v>
          </cell>
          <cell r="BP602">
            <v>0</v>
          </cell>
          <cell r="BQ602">
            <v>0</v>
          </cell>
          <cell r="BR602">
            <v>0</v>
          </cell>
          <cell r="BS602">
            <v>13</v>
          </cell>
          <cell r="BT602">
            <v>4</v>
          </cell>
          <cell r="BU602" t="str">
            <v/>
          </cell>
          <cell r="BV602">
            <v>33</v>
          </cell>
          <cell r="BW602">
            <v>4</v>
          </cell>
          <cell r="BX602" t="str">
            <v>DOWNGRADE</v>
          </cell>
          <cell r="BY602" t="str">
            <v>RESET</v>
          </cell>
        </row>
        <row r="603">
          <cell r="A603" t="str">
            <v>A2749</v>
          </cell>
          <cell r="B603" t="str">
            <v>Latifah Dyah Ayu Prawisti</v>
          </cell>
          <cell r="C603" t="str">
            <v>RVO</v>
          </cell>
          <cell r="D603">
            <v>45139</v>
          </cell>
          <cell r="E603" t="str">
            <v>Aug-23</v>
          </cell>
          <cell r="F603" t="str">
            <v>EKSKLUSIF</v>
          </cell>
          <cell r="G603" t="str">
            <v>EKSKLUSIF</v>
          </cell>
          <cell r="H603" t="str">
            <v>EKSKLUSIF</v>
          </cell>
          <cell r="I603" t="str">
            <v>REGULER</v>
          </cell>
          <cell r="J603" t="str">
            <v>REGULER</v>
          </cell>
          <cell r="K603" t="str">
            <v>REGULER</v>
          </cell>
          <cell r="L603" t="str">
            <v>REGULER</v>
          </cell>
          <cell r="M603">
            <v>16</v>
          </cell>
          <cell r="N603">
            <v>41</v>
          </cell>
          <cell r="O603">
            <v>31</v>
          </cell>
          <cell r="P603">
            <v>22</v>
          </cell>
          <cell r="Q603">
            <v>14</v>
          </cell>
          <cell r="R603">
            <v>24</v>
          </cell>
          <cell r="S603">
            <v>12</v>
          </cell>
          <cell r="T603">
            <v>160</v>
          </cell>
          <cell r="U603">
            <v>0</v>
          </cell>
          <cell r="V603">
            <v>0</v>
          </cell>
          <cell r="W603">
            <v>0</v>
          </cell>
          <cell r="X603">
            <v>22</v>
          </cell>
          <cell r="Y603">
            <v>14</v>
          </cell>
          <cell r="Z603">
            <v>24</v>
          </cell>
          <cell r="AA603">
            <v>12</v>
          </cell>
          <cell r="AB603">
            <v>72</v>
          </cell>
          <cell r="AC603">
            <v>0</v>
          </cell>
          <cell r="AD603" t="str">
            <v>TIDAK</v>
          </cell>
          <cell r="AE603" t="str">
            <v>TIDAK</v>
          </cell>
          <cell r="AF603">
            <v>72</v>
          </cell>
          <cell r="AG603">
            <v>2</v>
          </cell>
          <cell r="AH603" t="str">
            <v>SAPHIRE</v>
          </cell>
          <cell r="AI603">
            <v>0</v>
          </cell>
          <cell r="AJ603" t="str">
            <v>Y</v>
          </cell>
          <cell r="AK603">
            <v>0</v>
          </cell>
          <cell r="AL603">
            <v>45261</v>
          </cell>
          <cell r="AM603">
            <v>45701</v>
          </cell>
          <cell r="AN603">
            <v>1</v>
          </cell>
          <cell r="AO603">
            <v>72</v>
          </cell>
          <cell r="AP603" t="str">
            <v>-</v>
          </cell>
          <cell r="AQ603" t="str">
            <v>REGULER</v>
          </cell>
          <cell r="AR603" t="str">
            <v>REGULER</v>
          </cell>
          <cell r="AS603" t="str">
            <v>-</v>
          </cell>
          <cell r="AT603" t="str">
            <v>REGULER</v>
          </cell>
          <cell r="AU603" t="str">
            <v>-</v>
          </cell>
          <cell r="AV603" t="str">
            <v/>
          </cell>
          <cell r="AW603">
            <v>7</v>
          </cell>
          <cell r="AX603">
            <v>6</v>
          </cell>
          <cell r="AY603">
            <v>7</v>
          </cell>
          <cell r="AZ603">
            <v>2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4</v>
          </cell>
          <cell r="BF603">
            <v>3</v>
          </cell>
          <cell r="BG603">
            <v>3</v>
          </cell>
          <cell r="BH603">
            <v>7</v>
          </cell>
          <cell r="BI603">
            <v>6</v>
          </cell>
          <cell r="BJ603">
            <v>7</v>
          </cell>
          <cell r="BK603">
            <v>2</v>
          </cell>
          <cell r="BL603">
            <v>3</v>
          </cell>
          <cell r="BM603">
            <v>6</v>
          </cell>
          <cell r="BN603">
            <v>34</v>
          </cell>
          <cell r="BO603">
            <v>3</v>
          </cell>
          <cell r="BP603">
            <v>7</v>
          </cell>
          <cell r="BQ603">
            <v>6</v>
          </cell>
          <cell r="BR603">
            <v>7</v>
          </cell>
          <cell r="BS603">
            <v>2</v>
          </cell>
          <cell r="BT603">
            <v>3</v>
          </cell>
          <cell r="BU603">
            <v>6</v>
          </cell>
          <cell r="BV603">
            <v>34</v>
          </cell>
          <cell r="BW603">
            <v>0</v>
          </cell>
          <cell r="BX603" t="str">
            <v>TIDAK</v>
          </cell>
          <cell r="BY603" t="str">
            <v>TIDAK</v>
          </cell>
        </row>
        <row r="604">
          <cell r="A604" t="str">
            <v>A3776</v>
          </cell>
          <cell r="B604" t="str">
            <v>Owena Zaneta Yogaswari</v>
          </cell>
          <cell r="C604" t="str">
            <v>RVO</v>
          </cell>
          <cell r="D604">
            <v>45337</v>
          </cell>
          <cell r="E604" t="str">
            <v>Feb-24</v>
          </cell>
          <cell r="F604" t="str">
            <v>-</v>
          </cell>
          <cell r="G604" t="str">
            <v>-</v>
          </cell>
          <cell r="H604" t="str">
            <v>REGULER</v>
          </cell>
          <cell r="I604" t="str">
            <v>REGULER</v>
          </cell>
          <cell r="J604" t="str">
            <v>REGULER</v>
          </cell>
          <cell r="K604" t="str">
            <v>REGULER</v>
          </cell>
          <cell r="L604" t="str">
            <v>REGULER</v>
          </cell>
          <cell r="M604">
            <v>0</v>
          </cell>
          <cell r="N604">
            <v>0</v>
          </cell>
          <cell r="O604">
            <v>11</v>
          </cell>
          <cell r="P604">
            <v>35</v>
          </cell>
          <cell r="Q604">
            <v>22</v>
          </cell>
          <cell r="R604">
            <v>36</v>
          </cell>
          <cell r="S604">
            <v>20</v>
          </cell>
          <cell r="T604">
            <v>124</v>
          </cell>
          <cell r="U604">
            <v>0</v>
          </cell>
          <cell r="V604">
            <v>0</v>
          </cell>
          <cell r="W604">
            <v>11</v>
          </cell>
          <cell r="X604">
            <v>35</v>
          </cell>
          <cell r="Y604">
            <v>22</v>
          </cell>
          <cell r="Z604">
            <v>36</v>
          </cell>
          <cell r="AA604">
            <v>20</v>
          </cell>
          <cell r="AB604">
            <v>124</v>
          </cell>
          <cell r="AC604">
            <v>0</v>
          </cell>
          <cell r="AD604" t="str">
            <v>TIDAK</v>
          </cell>
          <cell r="AE604" t="str">
            <v>TIDAK</v>
          </cell>
          <cell r="AF604">
            <v>124</v>
          </cell>
          <cell r="AG604">
            <v>1</v>
          </cell>
          <cell r="AH604" t="str">
            <v>SAPHIRE</v>
          </cell>
          <cell r="AI604">
            <v>0</v>
          </cell>
          <cell r="AJ604" t="str">
            <v>Y</v>
          </cell>
          <cell r="AK604">
            <v>0</v>
          </cell>
          <cell r="AL604">
            <v>45261</v>
          </cell>
          <cell r="AM604">
            <v>45701</v>
          </cell>
          <cell r="AN604">
            <v>1</v>
          </cell>
          <cell r="AO604">
            <v>124</v>
          </cell>
          <cell r="AP604" t="str">
            <v>-</v>
          </cell>
          <cell r="AQ604" t="str">
            <v>REGULER</v>
          </cell>
          <cell r="AR604" t="str">
            <v>REGULER</v>
          </cell>
          <cell r="AS604" t="str">
            <v>-</v>
          </cell>
          <cell r="AT604" t="str">
            <v>REGULER</v>
          </cell>
          <cell r="AU604" t="str">
            <v>REGULER</v>
          </cell>
          <cell r="AV604" t="str">
            <v/>
          </cell>
          <cell r="AW604">
            <v>36</v>
          </cell>
          <cell r="AX604">
            <v>39</v>
          </cell>
          <cell r="AY604">
            <v>30</v>
          </cell>
          <cell r="AZ604">
            <v>43</v>
          </cell>
          <cell r="BA604">
            <v>28</v>
          </cell>
          <cell r="BB604" t="str">
            <v/>
          </cell>
          <cell r="BC604" t="str">
            <v/>
          </cell>
          <cell r="BD604" t="str">
            <v/>
          </cell>
          <cell r="BE604" t="str">
            <v/>
          </cell>
          <cell r="BF604" t="str">
            <v/>
          </cell>
          <cell r="BG604">
            <v>2</v>
          </cell>
          <cell r="BH604">
            <v>36</v>
          </cell>
          <cell r="BI604">
            <v>39</v>
          </cell>
          <cell r="BJ604">
            <v>30</v>
          </cell>
          <cell r="BK604">
            <v>43</v>
          </cell>
          <cell r="BL604">
            <v>28</v>
          </cell>
          <cell r="BM604">
            <v>5</v>
          </cell>
          <cell r="BN604">
            <v>183</v>
          </cell>
          <cell r="BO604">
            <v>2</v>
          </cell>
          <cell r="BP604">
            <v>36</v>
          </cell>
          <cell r="BQ604">
            <v>39</v>
          </cell>
          <cell r="BR604">
            <v>30</v>
          </cell>
          <cell r="BS604">
            <v>43</v>
          </cell>
          <cell r="BT604">
            <v>28</v>
          </cell>
          <cell r="BU604">
            <v>5</v>
          </cell>
          <cell r="BV604">
            <v>183</v>
          </cell>
          <cell r="BW604">
            <v>0</v>
          </cell>
          <cell r="BX604" t="str">
            <v>TIDAK</v>
          </cell>
          <cell r="BY604" t="str">
            <v>TIDAK</v>
          </cell>
        </row>
        <row r="605">
          <cell r="A605" t="str">
            <v>A0799</v>
          </cell>
          <cell r="B605" t="str">
            <v>Vivi Rizqi Hapsari</v>
          </cell>
          <cell r="C605" t="str">
            <v>RVO</v>
          </cell>
          <cell r="D605">
            <v>44908</v>
          </cell>
          <cell r="E605" t="str">
            <v>Dec-22</v>
          </cell>
          <cell r="F605" t="str">
            <v>EKSKLUSIF</v>
          </cell>
          <cell r="G605" t="str">
            <v>EKSKLUSIF</v>
          </cell>
          <cell r="H605" t="str">
            <v>REGULER</v>
          </cell>
          <cell r="I605" t="str">
            <v>REGULER</v>
          </cell>
          <cell r="J605" t="str">
            <v>REGULER</v>
          </cell>
          <cell r="K605" t="str">
            <v>REGULER</v>
          </cell>
          <cell r="L605" t="str">
            <v>REGULER</v>
          </cell>
          <cell r="M605">
            <v>18</v>
          </cell>
          <cell r="N605">
            <v>40</v>
          </cell>
          <cell r="O605">
            <v>30</v>
          </cell>
          <cell r="P605">
            <v>38</v>
          </cell>
          <cell r="Q605">
            <v>32</v>
          </cell>
          <cell r="R605">
            <v>36</v>
          </cell>
          <cell r="S605">
            <v>20</v>
          </cell>
          <cell r="T605">
            <v>214</v>
          </cell>
          <cell r="U605">
            <v>0</v>
          </cell>
          <cell r="V605">
            <v>0</v>
          </cell>
          <cell r="W605">
            <v>30</v>
          </cell>
          <cell r="X605">
            <v>38</v>
          </cell>
          <cell r="Y605">
            <v>32</v>
          </cell>
          <cell r="Z605">
            <v>36</v>
          </cell>
          <cell r="AA605">
            <v>20</v>
          </cell>
          <cell r="AB605">
            <v>156</v>
          </cell>
          <cell r="AC605">
            <v>0</v>
          </cell>
          <cell r="AD605" t="str">
            <v>TIDAK</v>
          </cell>
          <cell r="AE605" t="str">
            <v>TIDAK</v>
          </cell>
          <cell r="AF605">
            <v>156</v>
          </cell>
          <cell r="AG605">
            <v>3</v>
          </cell>
          <cell r="AH605" t="str">
            <v>SAPHIRE</v>
          </cell>
          <cell r="AI605">
            <v>130</v>
          </cell>
          <cell r="AJ605" t="str">
            <v>Y</v>
          </cell>
          <cell r="AK605">
            <v>0</v>
          </cell>
          <cell r="AL605">
            <v>45261</v>
          </cell>
          <cell r="AM605">
            <v>45701</v>
          </cell>
          <cell r="AN605">
            <v>1</v>
          </cell>
          <cell r="AO605">
            <v>26</v>
          </cell>
          <cell r="AP605" t="str">
            <v>-</v>
          </cell>
          <cell r="AQ605" t="str">
            <v>REGULER</v>
          </cell>
          <cell r="AR605" t="str">
            <v>REGULER</v>
          </cell>
          <cell r="AS605" t="str">
            <v>-</v>
          </cell>
          <cell r="AT605" t="str">
            <v>REGULER</v>
          </cell>
          <cell r="AU605" t="str">
            <v>REGULER</v>
          </cell>
          <cell r="AV605" t="str">
            <v/>
          </cell>
          <cell r="AW605">
            <v>40</v>
          </cell>
          <cell r="AX605">
            <v>42</v>
          </cell>
          <cell r="AY605">
            <v>38</v>
          </cell>
          <cell r="AZ605">
            <v>38</v>
          </cell>
          <cell r="BA605">
            <v>34</v>
          </cell>
          <cell r="BB605" t="str">
            <v/>
          </cell>
          <cell r="BC605" t="str">
            <v/>
          </cell>
          <cell r="BD605" t="str">
            <v/>
          </cell>
          <cell r="BE605" t="str">
            <v/>
          </cell>
          <cell r="BF605" t="str">
            <v/>
          </cell>
          <cell r="BG605">
            <v>13</v>
          </cell>
          <cell r="BH605">
            <v>40</v>
          </cell>
          <cell r="BI605">
            <v>42</v>
          </cell>
          <cell r="BJ605">
            <v>38</v>
          </cell>
          <cell r="BK605">
            <v>38</v>
          </cell>
          <cell r="BL605">
            <v>34</v>
          </cell>
          <cell r="BM605">
            <v>15</v>
          </cell>
          <cell r="BN605">
            <v>220</v>
          </cell>
          <cell r="BO605">
            <v>13</v>
          </cell>
          <cell r="BP605">
            <v>40</v>
          </cell>
          <cell r="BQ605">
            <v>42</v>
          </cell>
          <cell r="BR605">
            <v>38</v>
          </cell>
          <cell r="BS605">
            <v>38</v>
          </cell>
          <cell r="BT605">
            <v>34</v>
          </cell>
          <cell r="BU605">
            <v>15</v>
          </cell>
          <cell r="BV605">
            <v>220</v>
          </cell>
          <cell r="BW605">
            <v>0</v>
          </cell>
          <cell r="BX605" t="str">
            <v>TIDAK</v>
          </cell>
          <cell r="BY605" t="str">
            <v>TIDAK</v>
          </cell>
        </row>
        <row r="606">
          <cell r="A606" t="str">
            <v>A4556</v>
          </cell>
          <cell r="B606" t="str">
            <v>WIJANARKO RIFQI NUGROHO</v>
          </cell>
          <cell r="C606" t="str">
            <v>RVO</v>
          </cell>
          <cell r="D606" t="str">
            <v/>
          </cell>
          <cell r="E606" t="str">
            <v/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1133</v>
          </cell>
          <cell r="BH606">
            <v>2834</v>
          </cell>
          <cell r="BI606">
            <v>2504</v>
          </cell>
          <cell r="BJ606">
            <v>2348</v>
          </cell>
          <cell r="BK606">
            <v>2760</v>
          </cell>
          <cell r="BL606">
            <v>2358</v>
          </cell>
          <cell r="BM606">
            <v>1126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</row>
        <row r="607">
          <cell r="A607" t="str">
            <v>A4558</v>
          </cell>
          <cell r="B607" t="str">
            <v>TIRTA RHAMADANTY</v>
          </cell>
          <cell r="C607" t="str">
            <v>RVO</v>
          </cell>
          <cell r="D607" t="str">
            <v/>
          </cell>
          <cell r="E607" t="str">
            <v/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1133</v>
          </cell>
          <cell r="BH607">
            <v>2834</v>
          </cell>
          <cell r="BI607">
            <v>2504</v>
          </cell>
          <cell r="BJ607">
            <v>2348</v>
          </cell>
          <cell r="BK607">
            <v>2760</v>
          </cell>
          <cell r="BL607">
            <v>2358</v>
          </cell>
          <cell r="BM607">
            <v>1126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</row>
        <row r="608">
          <cell r="A608" t="str">
            <v>A4557</v>
          </cell>
          <cell r="B608" t="str">
            <v>SHINTA YUNIA WULANDARI</v>
          </cell>
          <cell r="C608" t="str">
            <v>RVO</v>
          </cell>
          <cell r="D608" t="str">
            <v/>
          </cell>
          <cell r="E608" t="str">
            <v/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1133</v>
          </cell>
          <cell r="BH608">
            <v>2834</v>
          </cell>
          <cell r="BI608">
            <v>2504</v>
          </cell>
          <cell r="BJ608">
            <v>2348</v>
          </cell>
          <cell r="BK608">
            <v>2760</v>
          </cell>
          <cell r="BL608">
            <v>2358</v>
          </cell>
          <cell r="BM608">
            <v>1126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</row>
        <row r="609">
          <cell r="A609" t="str">
            <v>A4561</v>
          </cell>
          <cell r="B609" t="str">
            <v>DEDI IRAWAN</v>
          </cell>
          <cell r="C609" t="str">
            <v>RVO</v>
          </cell>
          <cell r="D609" t="str">
            <v/>
          </cell>
          <cell r="E609" t="str">
            <v/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1133</v>
          </cell>
          <cell r="BH609">
            <v>2834</v>
          </cell>
          <cell r="BI609">
            <v>2504</v>
          </cell>
          <cell r="BJ609">
            <v>2348</v>
          </cell>
          <cell r="BK609">
            <v>2760</v>
          </cell>
          <cell r="BL609">
            <v>2358</v>
          </cell>
          <cell r="BM609">
            <v>1126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</row>
        <row r="610">
          <cell r="A610" t="str">
            <v>A4560</v>
          </cell>
          <cell r="B610" t="str">
            <v>BONIFASIUS ADHI RENALGE DEWANTO</v>
          </cell>
          <cell r="C610" t="str">
            <v>RVO</v>
          </cell>
          <cell r="D610" t="str">
            <v/>
          </cell>
          <cell r="E610" t="str">
            <v/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1133</v>
          </cell>
          <cell r="BH610">
            <v>2834</v>
          </cell>
          <cell r="BI610">
            <v>2504</v>
          </cell>
          <cell r="BJ610">
            <v>2348</v>
          </cell>
          <cell r="BK610">
            <v>2760</v>
          </cell>
          <cell r="BL610">
            <v>2358</v>
          </cell>
          <cell r="BM610">
            <v>1126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</row>
        <row r="611">
          <cell r="A611" t="str">
            <v>A4559</v>
          </cell>
          <cell r="B611" t="str">
            <v>DINA FADHILA</v>
          </cell>
          <cell r="C611" t="str">
            <v>RVO</v>
          </cell>
          <cell r="D611" t="str">
            <v/>
          </cell>
          <cell r="E611" t="str">
            <v/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str">
            <v>note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1133</v>
          </cell>
          <cell r="BH611">
            <v>2834</v>
          </cell>
          <cell r="BI611">
            <v>2504</v>
          </cell>
          <cell r="BJ611">
            <v>2348</v>
          </cell>
          <cell r="BK611">
            <v>2760</v>
          </cell>
          <cell r="BL611">
            <v>2358</v>
          </cell>
          <cell r="BM611">
            <v>1126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</row>
        <row r="612">
          <cell r="A612" t="str">
            <v>A4563</v>
          </cell>
          <cell r="B612" t="str">
            <v>MUHAMMAD RAFI NUR SETO</v>
          </cell>
          <cell r="C612" t="str">
            <v>RVO</v>
          </cell>
          <cell r="D612" t="str">
            <v/>
          </cell>
          <cell r="E612" t="str">
            <v/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</row>
        <row r="613">
          <cell r="A613" t="str">
            <v>A4565</v>
          </cell>
          <cell r="B613" t="str">
            <v>OLIVIA DISSA</v>
          </cell>
          <cell r="C613" t="str">
            <v>RVO</v>
          </cell>
          <cell r="D613" t="str">
            <v/>
          </cell>
          <cell r="E613" t="str">
            <v/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</row>
        <row r="614">
          <cell r="A614" t="str">
            <v>A4562</v>
          </cell>
          <cell r="B614" t="str">
            <v>NISAA ZAHRALAKSMI</v>
          </cell>
          <cell r="C614" t="str">
            <v>RVO</v>
          </cell>
          <cell r="D614" t="str">
            <v/>
          </cell>
          <cell r="E614" t="str">
            <v/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</row>
        <row r="615">
          <cell r="A615" t="str">
            <v>A4575</v>
          </cell>
          <cell r="B615" t="str">
            <v>SHABRINA ARDANI</v>
          </cell>
          <cell r="C615" t="str">
            <v>RVO</v>
          </cell>
          <cell r="D615" t="str">
            <v/>
          </cell>
          <cell r="E615" t="str">
            <v/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</row>
        <row r="616">
          <cell r="A616" t="str">
            <v>A4576</v>
          </cell>
          <cell r="B616" t="str">
            <v>RISKO ROISUL ABIDIN</v>
          </cell>
          <cell r="C616" t="str">
            <v>RVO</v>
          </cell>
          <cell r="D616" t="str">
            <v/>
          </cell>
          <cell r="E616" t="str">
            <v/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</row>
        <row r="617">
          <cell r="A617" t="str">
            <v>A4577</v>
          </cell>
          <cell r="B617" t="str">
            <v>TSALSABILLA DIAN KURNIA</v>
          </cell>
          <cell r="C617" t="str">
            <v>RVO</v>
          </cell>
          <cell r="D617" t="str">
            <v/>
          </cell>
          <cell r="E617" t="str">
            <v/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</row>
        <row r="618">
          <cell r="A618" t="str">
            <v>A4578</v>
          </cell>
          <cell r="B618" t="str">
            <v>VIKA HARVIANA</v>
          </cell>
          <cell r="C618" t="str">
            <v>RVO</v>
          </cell>
          <cell r="D618" t="str">
            <v/>
          </cell>
          <cell r="E618" t="str">
            <v/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</row>
        <row r="619">
          <cell r="A619" t="str">
            <v>A4581</v>
          </cell>
          <cell r="B619" t="str">
            <v>SALSABILAH BETHARI YASMIN</v>
          </cell>
          <cell r="C619" t="str">
            <v>RVO</v>
          </cell>
          <cell r="D619" t="str">
            <v/>
          </cell>
          <cell r="E619" t="str">
            <v/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</row>
        <row r="620">
          <cell r="A620" t="str">
            <v>A4579</v>
          </cell>
          <cell r="B620" t="str">
            <v>MUHAMMAD AKBAR PAMUNGKAS</v>
          </cell>
          <cell r="C620" t="str">
            <v>RVO</v>
          </cell>
          <cell r="D620" t="str">
            <v/>
          </cell>
          <cell r="E620" t="str">
            <v/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</row>
        <row r="621">
          <cell r="A621" t="str">
            <v>A4504</v>
          </cell>
          <cell r="B621" t="str">
            <v>ORENDA ATIRA MARIA LADAPASE</v>
          </cell>
          <cell r="C621" t="str">
            <v>RVO</v>
          </cell>
          <cell r="D621" t="str">
            <v/>
          </cell>
          <cell r="E621" t="str">
            <v/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</row>
        <row r="622">
          <cell r="A622" t="str">
            <v>A4597</v>
          </cell>
          <cell r="B622" t="str">
            <v>IZBETH SENTANA</v>
          </cell>
          <cell r="C622" t="str">
            <v>RVO</v>
          </cell>
          <cell r="D622" t="str">
            <v/>
          </cell>
          <cell r="E622" t="str">
            <v/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</row>
        <row r="623">
          <cell r="A623" t="str">
            <v>A4618</v>
          </cell>
          <cell r="B623" t="str">
            <v>AGNES SERLINA SEJA</v>
          </cell>
          <cell r="C623" t="str">
            <v>RVO</v>
          </cell>
          <cell r="D623" t="str">
            <v/>
          </cell>
          <cell r="E623" t="str">
            <v/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</row>
        <row r="624">
          <cell r="A624" t="str">
            <v>A4598</v>
          </cell>
          <cell r="B624" t="str">
            <v>MARIO FELIX SILALAHI</v>
          </cell>
          <cell r="C624" t="str">
            <v>RVO</v>
          </cell>
          <cell r="D624" t="str">
            <v/>
          </cell>
          <cell r="E624" t="str">
            <v/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</row>
        <row r="625">
          <cell r="A625" t="str">
            <v>A4649</v>
          </cell>
          <cell r="B625" t="str">
            <v>BAGAS SADEWA</v>
          </cell>
          <cell r="C625" t="str">
            <v>RVO</v>
          </cell>
          <cell r="D625" t="str">
            <v/>
          </cell>
          <cell r="E625" t="str">
            <v/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</row>
        <row r="626">
          <cell r="A626" t="str">
            <v>A4687</v>
          </cell>
          <cell r="B626" t="str">
            <v>DINDA AMYA SAPUTRI</v>
          </cell>
          <cell r="C626" t="str">
            <v>RVO</v>
          </cell>
          <cell r="D626" t="str">
            <v/>
          </cell>
          <cell r="E626" t="str">
            <v/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</row>
        <row r="627">
          <cell r="A627" t="str">
            <v>A4645</v>
          </cell>
          <cell r="B627" t="str">
            <v>DESTA TRI ANGGARA PUTRA</v>
          </cell>
          <cell r="C627" t="str">
            <v>RVO</v>
          </cell>
          <cell r="D627" t="str">
            <v/>
          </cell>
          <cell r="E627" t="str">
            <v/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</row>
        <row r="628">
          <cell r="A628" t="str">
            <v>A3808</v>
          </cell>
          <cell r="B628" t="str">
            <v>Agnes Ayu Zellika</v>
          </cell>
          <cell r="C628" t="str">
            <v>SBPV</v>
          </cell>
          <cell r="D628">
            <v>45355</v>
          </cell>
          <cell r="E628" t="str">
            <v>Mar-24</v>
          </cell>
          <cell r="F628" t="str">
            <v>-</v>
          </cell>
          <cell r="G628" t="str">
            <v>-</v>
          </cell>
          <cell r="H628" t="str">
            <v>-</v>
          </cell>
          <cell r="I628" t="str">
            <v>REGULER</v>
          </cell>
          <cell r="J628" t="str">
            <v>REGULER</v>
          </cell>
          <cell r="K628" t="str">
            <v>-</v>
          </cell>
          <cell r="L628" t="str">
            <v>-</v>
          </cell>
          <cell r="M628">
            <v>0</v>
          </cell>
          <cell r="N628">
            <v>0</v>
          </cell>
          <cell r="O628">
            <v>0</v>
          </cell>
          <cell r="P628">
            <v>12</v>
          </cell>
          <cell r="Q628">
            <v>6</v>
          </cell>
          <cell r="R628">
            <v>0</v>
          </cell>
          <cell r="S628">
            <v>0</v>
          </cell>
          <cell r="T628">
            <v>18</v>
          </cell>
          <cell r="U628">
            <v>0</v>
          </cell>
          <cell r="V628">
            <v>0</v>
          </cell>
          <cell r="W628">
            <v>0</v>
          </cell>
          <cell r="X628">
            <v>12</v>
          </cell>
          <cell r="Y628">
            <v>6</v>
          </cell>
          <cell r="Z628">
            <v>0</v>
          </cell>
          <cell r="AA628">
            <v>0</v>
          </cell>
          <cell r="AB628">
            <v>18</v>
          </cell>
          <cell r="AC628">
            <v>2</v>
          </cell>
          <cell r="AD628" t="str">
            <v>TIDAK</v>
          </cell>
          <cell r="AE628" t="str">
            <v>TIDAK</v>
          </cell>
          <cell r="AF628">
            <v>18</v>
          </cell>
          <cell r="AG628">
            <v>1</v>
          </cell>
          <cell r="AH628" t="str">
            <v>SAPHIRE</v>
          </cell>
          <cell r="AI628">
            <v>0</v>
          </cell>
          <cell r="AJ628" t="str">
            <v>FALSE</v>
          </cell>
          <cell r="AK628">
            <v>0</v>
          </cell>
          <cell r="AL628">
            <v>45261</v>
          </cell>
          <cell r="AM628">
            <v>45701</v>
          </cell>
          <cell r="AN628">
            <v>1</v>
          </cell>
          <cell r="AO628">
            <v>18</v>
          </cell>
          <cell r="AP628" t="str">
            <v>-</v>
          </cell>
          <cell r="AQ628" t="str">
            <v>-</v>
          </cell>
          <cell r="AR628" t="str">
            <v>-</v>
          </cell>
          <cell r="AS628" t="str">
            <v>-</v>
          </cell>
          <cell r="AT628" t="str">
            <v>-</v>
          </cell>
          <cell r="AU628" t="str">
            <v>-</v>
          </cell>
          <cell r="AV628" t="str">
            <v/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 t="str">
            <v/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 t="str">
            <v/>
          </cell>
          <cell r="BN628">
            <v>0</v>
          </cell>
          <cell r="BO628" t="str">
            <v/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 t="str">
            <v/>
          </cell>
          <cell r="BV628">
            <v>0</v>
          </cell>
          <cell r="BW628">
            <v>7</v>
          </cell>
          <cell r="BX628" t="str">
            <v>DOWNGRADE</v>
          </cell>
          <cell r="BY628" t="str">
            <v>RESET</v>
          </cell>
        </row>
        <row r="629">
          <cell r="A629">
            <v>92346</v>
          </cell>
          <cell r="B629" t="str">
            <v>Alriani Lingga</v>
          </cell>
          <cell r="C629" t="str">
            <v>SBPV</v>
          </cell>
          <cell r="D629">
            <v>44778</v>
          </cell>
          <cell r="E629" t="str">
            <v>Aug-22</v>
          </cell>
          <cell r="F629" t="str">
            <v>REGULER</v>
          </cell>
          <cell r="G629" t="str">
            <v>-</v>
          </cell>
          <cell r="H629" t="str">
            <v>-</v>
          </cell>
          <cell r="I629" t="str">
            <v>-</v>
          </cell>
          <cell r="J629" t="str">
            <v>-</v>
          </cell>
          <cell r="K629" t="str">
            <v>-</v>
          </cell>
          <cell r="L629" t="str">
            <v>-</v>
          </cell>
          <cell r="M629">
            <v>2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2</v>
          </cell>
          <cell r="U629">
            <v>2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2</v>
          </cell>
          <cell r="AC629">
            <v>6</v>
          </cell>
          <cell r="AD629" t="str">
            <v>DOWNGRADE</v>
          </cell>
          <cell r="AE629" t="str">
            <v>RESET</v>
          </cell>
          <cell r="AF629">
            <v>0</v>
          </cell>
          <cell r="AG629">
            <v>1</v>
          </cell>
          <cell r="AH629" t="str">
            <v>SAPHIRE</v>
          </cell>
          <cell r="AI629">
            <v>0</v>
          </cell>
          <cell r="AJ629" t="str">
            <v>FALSE</v>
          </cell>
          <cell r="AK629">
            <v>0</v>
          </cell>
          <cell r="AL629">
            <v>45261</v>
          </cell>
          <cell r="AM629">
            <v>45701</v>
          </cell>
          <cell r="AN629">
            <v>1</v>
          </cell>
          <cell r="AO629">
            <v>0</v>
          </cell>
          <cell r="AP629" t="str">
            <v>-</v>
          </cell>
          <cell r="AQ629" t="str">
            <v>-</v>
          </cell>
          <cell r="AR629" t="str">
            <v>-</v>
          </cell>
          <cell r="AS629" t="str">
            <v>-</v>
          </cell>
          <cell r="AT629" t="str">
            <v>-</v>
          </cell>
          <cell r="AU629" t="str">
            <v>-</v>
          </cell>
          <cell r="AV629" t="str">
            <v/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 t="str">
            <v/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 t="str">
            <v/>
          </cell>
          <cell r="BN629">
            <v>0</v>
          </cell>
          <cell r="BO629" t="str">
            <v/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 t="str">
            <v/>
          </cell>
          <cell r="BV629">
            <v>0</v>
          </cell>
          <cell r="BW629">
            <v>7</v>
          </cell>
          <cell r="BX629" t="str">
            <v>DOWNGRADE</v>
          </cell>
          <cell r="BY629" t="str">
            <v>RESET</v>
          </cell>
        </row>
        <row r="630">
          <cell r="A630" t="str">
            <v>A3013</v>
          </cell>
          <cell r="B630" t="str">
            <v>Amanda Putri</v>
          </cell>
          <cell r="C630" t="str">
            <v>SBPV</v>
          </cell>
          <cell r="D630">
            <v>45209</v>
          </cell>
          <cell r="E630" t="str">
            <v>Oct-23</v>
          </cell>
          <cell r="F630" t="str">
            <v>REGULER</v>
          </cell>
          <cell r="G630" t="str">
            <v>-</v>
          </cell>
          <cell r="H630" t="str">
            <v>REGULER</v>
          </cell>
          <cell r="I630" t="str">
            <v>REGULER</v>
          </cell>
          <cell r="J630" t="str">
            <v>REGULER</v>
          </cell>
          <cell r="K630" t="str">
            <v>REGULER</v>
          </cell>
          <cell r="L630" t="str">
            <v>-</v>
          </cell>
          <cell r="M630">
            <v>0</v>
          </cell>
          <cell r="N630">
            <v>0</v>
          </cell>
          <cell r="O630">
            <v>3</v>
          </cell>
          <cell r="P630">
            <v>3</v>
          </cell>
          <cell r="Q630">
            <v>9</v>
          </cell>
          <cell r="R630">
            <v>2</v>
          </cell>
          <cell r="S630">
            <v>0</v>
          </cell>
          <cell r="T630">
            <v>17</v>
          </cell>
          <cell r="U630">
            <v>0</v>
          </cell>
          <cell r="V630">
            <v>0</v>
          </cell>
          <cell r="W630">
            <v>3</v>
          </cell>
          <cell r="X630">
            <v>3</v>
          </cell>
          <cell r="Y630">
            <v>9</v>
          </cell>
          <cell r="Z630">
            <v>2</v>
          </cell>
          <cell r="AA630">
            <v>0</v>
          </cell>
          <cell r="AB630">
            <v>17</v>
          </cell>
          <cell r="AC630">
            <v>3</v>
          </cell>
          <cell r="AD630" t="str">
            <v>DOWNGRADE</v>
          </cell>
          <cell r="AE630" t="str">
            <v>TIDAK</v>
          </cell>
          <cell r="AF630">
            <v>8.5</v>
          </cell>
          <cell r="AG630">
            <v>1</v>
          </cell>
          <cell r="AH630" t="str">
            <v>SAPHIRE</v>
          </cell>
          <cell r="AI630">
            <v>0</v>
          </cell>
          <cell r="AJ630" t="str">
            <v>FALSE</v>
          </cell>
          <cell r="AK630">
            <v>0</v>
          </cell>
          <cell r="AL630">
            <v>45261</v>
          </cell>
          <cell r="AM630">
            <v>45701</v>
          </cell>
          <cell r="AN630">
            <v>1</v>
          </cell>
          <cell r="AO630">
            <v>8.5</v>
          </cell>
          <cell r="AP630" t="str">
            <v>-</v>
          </cell>
          <cell r="AQ630" t="str">
            <v>-</v>
          </cell>
          <cell r="AR630" t="str">
            <v>REGULER</v>
          </cell>
          <cell r="AS630" t="str">
            <v>-</v>
          </cell>
          <cell r="AT630" t="str">
            <v>-</v>
          </cell>
          <cell r="AU630" t="str">
            <v>-</v>
          </cell>
          <cell r="AV630" t="str">
            <v/>
          </cell>
          <cell r="AW630">
            <v>37</v>
          </cell>
          <cell r="AX630">
            <v>7</v>
          </cell>
          <cell r="AY630">
            <v>0</v>
          </cell>
          <cell r="AZ630">
            <v>0</v>
          </cell>
          <cell r="BA630">
            <v>0</v>
          </cell>
          <cell r="BB630">
            <v>37</v>
          </cell>
          <cell r="BC630">
            <v>7</v>
          </cell>
          <cell r="BD630">
            <v>0</v>
          </cell>
          <cell r="BE630">
            <v>0</v>
          </cell>
          <cell r="BF630">
            <v>0</v>
          </cell>
          <cell r="BG630">
            <v>10</v>
          </cell>
          <cell r="BH630">
            <v>37</v>
          </cell>
          <cell r="BI630">
            <v>7</v>
          </cell>
          <cell r="BJ630">
            <v>0</v>
          </cell>
          <cell r="BK630">
            <v>0</v>
          </cell>
          <cell r="BL630">
            <v>0</v>
          </cell>
          <cell r="BM630" t="str">
            <v/>
          </cell>
          <cell r="BN630">
            <v>54</v>
          </cell>
          <cell r="BO630">
            <v>10</v>
          </cell>
          <cell r="BP630">
            <v>37</v>
          </cell>
          <cell r="BQ630">
            <v>7</v>
          </cell>
          <cell r="BR630">
            <v>0</v>
          </cell>
          <cell r="BS630">
            <v>0</v>
          </cell>
          <cell r="BT630">
            <v>0</v>
          </cell>
          <cell r="BU630" t="str">
            <v/>
          </cell>
          <cell r="BV630">
            <v>54</v>
          </cell>
          <cell r="BW630">
            <v>4</v>
          </cell>
          <cell r="BX630" t="str">
            <v>DOWNGRADE</v>
          </cell>
          <cell r="BY630" t="str">
            <v>RESET</v>
          </cell>
        </row>
        <row r="631">
          <cell r="A631" t="str">
            <v>A3091</v>
          </cell>
          <cell r="B631" t="str">
            <v>Andreansyah Aflah Sigit</v>
          </cell>
          <cell r="C631" t="str">
            <v>SBPV</v>
          </cell>
          <cell r="D631">
            <v>45209</v>
          </cell>
          <cell r="E631" t="str">
            <v>Oct-23</v>
          </cell>
          <cell r="F631" t="str">
            <v>REGULER</v>
          </cell>
          <cell r="G631" t="str">
            <v>REGULER</v>
          </cell>
          <cell r="H631" t="str">
            <v>REGULER</v>
          </cell>
          <cell r="I631" t="str">
            <v>REGULER</v>
          </cell>
          <cell r="J631" t="str">
            <v>REGULER</v>
          </cell>
          <cell r="K631" t="str">
            <v>REGULER</v>
          </cell>
          <cell r="L631" t="str">
            <v>REGULER</v>
          </cell>
          <cell r="M631">
            <v>16</v>
          </cell>
          <cell r="N631">
            <v>45</v>
          </cell>
          <cell r="O631">
            <v>43</v>
          </cell>
          <cell r="P631">
            <v>32</v>
          </cell>
          <cell r="Q631">
            <v>12</v>
          </cell>
          <cell r="R631">
            <v>47</v>
          </cell>
          <cell r="S631">
            <v>21</v>
          </cell>
          <cell r="T631">
            <v>216</v>
          </cell>
          <cell r="U631">
            <v>16</v>
          </cell>
          <cell r="V631">
            <v>45</v>
          </cell>
          <cell r="W631">
            <v>43</v>
          </cell>
          <cell r="X631">
            <v>32</v>
          </cell>
          <cell r="Y631">
            <v>12</v>
          </cell>
          <cell r="Z631">
            <v>47</v>
          </cell>
          <cell r="AA631">
            <v>21</v>
          </cell>
          <cell r="AB631">
            <v>216</v>
          </cell>
          <cell r="AC631">
            <v>0</v>
          </cell>
          <cell r="AD631" t="str">
            <v>TIDAK</v>
          </cell>
          <cell r="AE631" t="str">
            <v>TIDAK</v>
          </cell>
          <cell r="AF631">
            <v>216</v>
          </cell>
          <cell r="AG631">
            <v>1</v>
          </cell>
          <cell r="AH631" t="str">
            <v>SAPHIRE</v>
          </cell>
          <cell r="AI631">
            <v>0</v>
          </cell>
          <cell r="AJ631" t="str">
            <v>Y</v>
          </cell>
          <cell r="AK631">
            <v>0</v>
          </cell>
          <cell r="AL631">
            <v>45261</v>
          </cell>
          <cell r="AM631">
            <v>45701</v>
          </cell>
          <cell r="AN631">
            <v>1</v>
          </cell>
          <cell r="AO631">
            <v>216</v>
          </cell>
          <cell r="AP631" t="str">
            <v>-</v>
          </cell>
          <cell r="AQ631" t="str">
            <v>-</v>
          </cell>
          <cell r="AR631" t="str">
            <v>EKSKLUSIF</v>
          </cell>
          <cell r="AS631" t="str">
            <v>REGULER</v>
          </cell>
          <cell r="AT631" t="str">
            <v>REGULER</v>
          </cell>
          <cell r="AU631" t="str">
            <v>REGULER</v>
          </cell>
          <cell r="AV631" t="str">
            <v/>
          </cell>
          <cell r="AW631">
            <v>67</v>
          </cell>
          <cell r="AX631">
            <v>25</v>
          </cell>
          <cell r="AY631">
            <v>35</v>
          </cell>
          <cell r="AZ631">
            <v>24</v>
          </cell>
          <cell r="BA631">
            <v>32</v>
          </cell>
          <cell r="BB631">
            <v>67</v>
          </cell>
          <cell r="BC631">
            <v>25</v>
          </cell>
          <cell r="BD631">
            <v>35</v>
          </cell>
          <cell r="BE631">
            <v>24</v>
          </cell>
          <cell r="BF631">
            <v>32</v>
          </cell>
          <cell r="BG631">
            <v>26</v>
          </cell>
          <cell r="BH631">
            <v>67</v>
          </cell>
          <cell r="BI631">
            <v>25</v>
          </cell>
          <cell r="BJ631">
            <v>35</v>
          </cell>
          <cell r="BK631">
            <v>24</v>
          </cell>
          <cell r="BL631">
            <v>32</v>
          </cell>
          <cell r="BM631">
            <v>14</v>
          </cell>
          <cell r="BN631">
            <v>223</v>
          </cell>
          <cell r="BO631">
            <v>26</v>
          </cell>
          <cell r="BP631">
            <v>67</v>
          </cell>
          <cell r="BQ631">
            <v>0</v>
          </cell>
          <cell r="BR631">
            <v>35</v>
          </cell>
          <cell r="BS631">
            <v>24</v>
          </cell>
          <cell r="BT631">
            <v>32</v>
          </cell>
          <cell r="BU631">
            <v>14</v>
          </cell>
          <cell r="BV631">
            <v>198</v>
          </cell>
          <cell r="BW631">
            <v>0</v>
          </cell>
          <cell r="BX631" t="str">
            <v>TIDAK</v>
          </cell>
          <cell r="BY631" t="str">
            <v>TIDAK</v>
          </cell>
        </row>
        <row r="632">
          <cell r="A632" t="str">
            <v>A3094</v>
          </cell>
          <cell r="B632" t="str">
            <v>Andrew Sabastian Sinaga</v>
          </cell>
          <cell r="C632" t="str">
            <v>SBPV</v>
          </cell>
          <cell r="D632">
            <v>45209</v>
          </cell>
          <cell r="E632" t="str">
            <v>Oct-23</v>
          </cell>
          <cell r="F632" t="str">
            <v>REGULER</v>
          </cell>
          <cell r="G632" t="str">
            <v>REGULER</v>
          </cell>
          <cell r="H632" t="str">
            <v>REGULER</v>
          </cell>
          <cell r="I632" t="str">
            <v>EKSKLUSIF</v>
          </cell>
          <cell r="J632" t="str">
            <v>EKSKLUSIF</v>
          </cell>
          <cell r="K632" t="str">
            <v>EKSKLUSIF</v>
          </cell>
          <cell r="L632" t="str">
            <v>-</v>
          </cell>
          <cell r="M632">
            <v>22</v>
          </cell>
          <cell r="N632">
            <v>25</v>
          </cell>
          <cell r="O632">
            <v>23</v>
          </cell>
          <cell r="P632">
            <v>53</v>
          </cell>
          <cell r="Q632">
            <v>49</v>
          </cell>
          <cell r="R632">
            <v>50</v>
          </cell>
          <cell r="S632" t="str">
            <v/>
          </cell>
          <cell r="T632">
            <v>222</v>
          </cell>
          <cell r="U632">
            <v>22</v>
          </cell>
          <cell r="V632">
            <v>25</v>
          </cell>
          <cell r="W632">
            <v>23</v>
          </cell>
          <cell r="X632">
            <v>0</v>
          </cell>
          <cell r="Y632">
            <v>0</v>
          </cell>
          <cell r="Z632">
            <v>0</v>
          </cell>
          <cell r="AA632" t="str">
            <v/>
          </cell>
          <cell r="AB632">
            <v>70</v>
          </cell>
          <cell r="AC632">
            <v>1</v>
          </cell>
          <cell r="AD632" t="str">
            <v>TIDAK</v>
          </cell>
          <cell r="AE632" t="str">
            <v>TIDAK</v>
          </cell>
          <cell r="AF632">
            <v>70</v>
          </cell>
          <cell r="AG632">
            <v>1</v>
          </cell>
          <cell r="AH632" t="str">
            <v>SAPHIRE</v>
          </cell>
          <cell r="AI632">
            <v>0</v>
          </cell>
          <cell r="AJ632" t="str">
            <v>Y</v>
          </cell>
          <cell r="AK632">
            <v>0</v>
          </cell>
          <cell r="AL632">
            <v>45261</v>
          </cell>
          <cell r="AM632">
            <v>45701</v>
          </cell>
          <cell r="AN632">
            <v>1</v>
          </cell>
          <cell r="AO632">
            <v>70</v>
          </cell>
          <cell r="AP632" t="str">
            <v>-</v>
          </cell>
          <cell r="AQ632" t="str">
            <v>-</v>
          </cell>
          <cell r="AR632" t="str">
            <v>-</v>
          </cell>
          <cell r="AS632" t="str">
            <v>-</v>
          </cell>
          <cell r="AT632" t="str">
            <v>-</v>
          </cell>
          <cell r="AU632" t="str">
            <v>-</v>
          </cell>
          <cell r="AV632" t="str">
            <v/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 t="str">
            <v/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 t="str">
            <v/>
          </cell>
          <cell r="BN632">
            <v>0</v>
          </cell>
          <cell r="BO632" t="str">
            <v/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 t="str">
            <v/>
          </cell>
          <cell r="BV632">
            <v>0</v>
          </cell>
          <cell r="BW632">
            <v>7</v>
          </cell>
          <cell r="BX632" t="str">
            <v>DOWNGRADE</v>
          </cell>
          <cell r="BY632" t="str">
            <v>RESET</v>
          </cell>
        </row>
        <row r="633">
          <cell r="A633" t="str">
            <v>A1971</v>
          </cell>
          <cell r="B633" t="str">
            <v xml:space="preserve">Anggi Beatriks Seran </v>
          </cell>
          <cell r="C633" t="str">
            <v>SBPV</v>
          </cell>
          <cell r="D633">
            <v>45017</v>
          </cell>
          <cell r="E633" t="str">
            <v>Apr-23</v>
          </cell>
          <cell r="F633" t="str">
            <v>EKSKLUSIF</v>
          </cell>
          <cell r="G633" t="str">
            <v>EKSKLUSIF</v>
          </cell>
          <cell r="H633" t="str">
            <v>EKSKLUSIF</v>
          </cell>
          <cell r="I633" t="str">
            <v>EKSKLUSIF</v>
          </cell>
          <cell r="J633" t="str">
            <v>EKSKLUSIF</v>
          </cell>
          <cell r="K633" t="str">
            <v>EKSKLUSIF</v>
          </cell>
          <cell r="L633" t="str">
            <v>EKSKLUSIF</v>
          </cell>
          <cell r="M633">
            <v>34</v>
          </cell>
          <cell r="N633">
            <v>68</v>
          </cell>
          <cell r="O633">
            <v>62</v>
          </cell>
          <cell r="P633">
            <v>65</v>
          </cell>
          <cell r="Q633">
            <v>58</v>
          </cell>
          <cell r="R633">
            <v>66</v>
          </cell>
          <cell r="S633">
            <v>28</v>
          </cell>
          <cell r="T633">
            <v>381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 t="str">
            <v>TIDAK</v>
          </cell>
          <cell r="AE633" t="str">
            <v>TIDAK</v>
          </cell>
          <cell r="AF633">
            <v>0</v>
          </cell>
          <cell r="AG633">
            <v>1</v>
          </cell>
          <cell r="AH633" t="str">
            <v>SAPHIRE</v>
          </cell>
          <cell r="AI633">
            <v>0</v>
          </cell>
          <cell r="AJ633" t="str">
            <v>FALSE</v>
          </cell>
          <cell r="AK633">
            <v>0</v>
          </cell>
          <cell r="AL633">
            <v>45261</v>
          </cell>
          <cell r="AM633">
            <v>45701</v>
          </cell>
          <cell r="AN633">
            <v>1</v>
          </cell>
          <cell r="AO633">
            <v>0</v>
          </cell>
          <cell r="AP633" t="str">
            <v>EKSKLUSIF</v>
          </cell>
          <cell r="AQ633" t="str">
            <v>-</v>
          </cell>
          <cell r="AR633" t="str">
            <v>EKSKLUSIF</v>
          </cell>
          <cell r="AS633" t="str">
            <v>EKSKLUSIF</v>
          </cell>
          <cell r="AT633" t="str">
            <v>EKSKLUSIF</v>
          </cell>
          <cell r="AU633" t="str">
            <v>EKSKLUSIF</v>
          </cell>
          <cell r="AV633" t="str">
            <v/>
          </cell>
          <cell r="AW633">
            <v>61</v>
          </cell>
          <cell r="AX633">
            <v>64</v>
          </cell>
          <cell r="AY633">
            <v>64</v>
          </cell>
          <cell r="AZ633">
            <v>74</v>
          </cell>
          <cell r="BA633">
            <v>66</v>
          </cell>
          <cell r="BB633">
            <v>61</v>
          </cell>
          <cell r="BC633">
            <v>64</v>
          </cell>
          <cell r="BD633">
            <v>64</v>
          </cell>
          <cell r="BE633">
            <v>74</v>
          </cell>
          <cell r="BF633">
            <v>66</v>
          </cell>
          <cell r="BG633">
            <v>26</v>
          </cell>
          <cell r="BH633">
            <v>61</v>
          </cell>
          <cell r="BI633">
            <v>64</v>
          </cell>
          <cell r="BJ633">
            <v>64</v>
          </cell>
          <cell r="BK633">
            <v>74</v>
          </cell>
          <cell r="BL633">
            <v>66</v>
          </cell>
          <cell r="BM633">
            <v>33</v>
          </cell>
          <cell r="BN633">
            <v>388</v>
          </cell>
          <cell r="BO633">
            <v>0</v>
          </cell>
          <cell r="BP633">
            <v>61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33</v>
          </cell>
          <cell r="BV633">
            <v>94</v>
          </cell>
          <cell r="BW633">
            <v>0</v>
          </cell>
          <cell r="BX633" t="str">
            <v>TIDAK</v>
          </cell>
          <cell r="BY633" t="str">
            <v>TIDAK</v>
          </cell>
        </row>
        <row r="634">
          <cell r="A634" t="str">
            <v>A0294</v>
          </cell>
          <cell r="B634" t="str">
            <v>Artha Christin Angelina Sinaga</v>
          </cell>
          <cell r="C634" t="str">
            <v>SBPV</v>
          </cell>
          <cell r="D634">
            <v>44855</v>
          </cell>
          <cell r="E634" t="str">
            <v>Oct-22</v>
          </cell>
          <cell r="F634" t="str">
            <v>REGULER</v>
          </cell>
          <cell r="G634" t="str">
            <v>REGULER</v>
          </cell>
          <cell r="H634" t="str">
            <v>-</v>
          </cell>
          <cell r="I634" t="str">
            <v>-</v>
          </cell>
          <cell r="J634" t="str">
            <v>-</v>
          </cell>
          <cell r="K634" t="str">
            <v>-</v>
          </cell>
          <cell r="L634" t="str">
            <v>-</v>
          </cell>
          <cell r="M634">
            <v>18</v>
          </cell>
          <cell r="N634">
            <v>11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 t="str">
            <v/>
          </cell>
          <cell r="T634">
            <v>29</v>
          </cell>
          <cell r="U634">
            <v>18</v>
          </cell>
          <cell r="V634">
            <v>11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/>
          </cell>
          <cell r="AB634">
            <v>29</v>
          </cell>
          <cell r="AC634">
            <v>5</v>
          </cell>
          <cell r="AD634" t="str">
            <v>DOWNGRADE</v>
          </cell>
          <cell r="AE634" t="str">
            <v>RESET</v>
          </cell>
          <cell r="AF634">
            <v>0</v>
          </cell>
          <cell r="AG634">
            <v>1</v>
          </cell>
          <cell r="AH634" t="str">
            <v>SAPHIRE</v>
          </cell>
          <cell r="AI634">
            <v>0</v>
          </cell>
          <cell r="AJ634" t="str">
            <v>FALSE</v>
          </cell>
          <cell r="AK634">
            <v>0</v>
          </cell>
          <cell r="AL634">
            <v>45261</v>
          </cell>
          <cell r="AM634">
            <v>45701</v>
          </cell>
          <cell r="AN634">
            <v>1</v>
          </cell>
          <cell r="AO634">
            <v>0</v>
          </cell>
          <cell r="AP634" t="str">
            <v>-</v>
          </cell>
          <cell r="AQ634" t="str">
            <v>-</v>
          </cell>
          <cell r="AR634" t="str">
            <v>-</v>
          </cell>
          <cell r="AS634" t="str">
            <v>-</v>
          </cell>
          <cell r="AT634" t="str">
            <v>-</v>
          </cell>
          <cell r="AU634" t="str">
            <v>-</v>
          </cell>
          <cell r="AV634" t="str">
            <v/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 t="str">
            <v/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 t="str">
            <v/>
          </cell>
          <cell r="BN634">
            <v>0</v>
          </cell>
          <cell r="BO634" t="str">
            <v/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 t="str">
            <v/>
          </cell>
          <cell r="BV634">
            <v>0</v>
          </cell>
          <cell r="BW634">
            <v>7</v>
          </cell>
          <cell r="BX634" t="str">
            <v>DOWNGRADE</v>
          </cell>
          <cell r="BY634" t="str">
            <v>RESET</v>
          </cell>
        </row>
        <row r="635">
          <cell r="A635">
            <v>92175</v>
          </cell>
          <cell r="B635" t="str">
            <v>Ayu Amelia Resanti</v>
          </cell>
          <cell r="C635" t="str">
            <v>SBPV</v>
          </cell>
          <cell r="D635">
            <v>44608</v>
          </cell>
          <cell r="E635" t="str">
            <v>Feb-22</v>
          </cell>
          <cell r="F635" t="str">
            <v>EKSKLUSIF</v>
          </cell>
          <cell r="G635" t="str">
            <v>EKSKLUSIF</v>
          </cell>
          <cell r="H635" t="str">
            <v>EKSKLUSIF</v>
          </cell>
          <cell r="I635" t="str">
            <v>EKSKLUSIF</v>
          </cell>
          <cell r="J635" t="str">
            <v>EKSKLUSIF</v>
          </cell>
          <cell r="K635" t="str">
            <v>EKSKLUSIF</v>
          </cell>
          <cell r="L635" t="str">
            <v>EKSKLUSIF</v>
          </cell>
          <cell r="M635">
            <v>31</v>
          </cell>
          <cell r="N635">
            <v>69</v>
          </cell>
          <cell r="O635">
            <v>56</v>
          </cell>
          <cell r="P635">
            <v>59</v>
          </cell>
          <cell r="Q635">
            <v>56</v>
          </cell>
          <cell r="R635">
            <v>63</v>
          </cell>
          <cell r="S635">
            <v>32</v>
          </cell>
          <cell r="T635">
            <v>366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 t="str">
            <v>TIDAK</v>
          </cell>
          <cell r="AE635" t="str">
            <v>TIDAK</v>
          </cell>
          <cell r="AF635">
            <v>0</v>
          </cell>
          <cell r="AG635">
            <v>1</v>
          </cell>
          <cell r="AH635" t="str">
            <v>SAPHIRE</v>
          </cell>
          <cell r="AI635">
            <v>0</v>
          </cell>
          <cell r="AJ635" t="str">
            <v>FALSE</v>
          </cell>
          <cell r="AK635">
            <v>0</v>
          </cell>
          <cell r="AL635">
            <v>45261</v>
          </cell>
          <cell r="AM635">
            <v>45701</v>
          </cell>
          <cell r="AN635">
            <v>1</v>
          </cell>
          <cell r="AO635">
            <v>0</v>
          </cell>
          <cell r="AP635" t="str">
            <v>EKSKLUSIF</v>
          </cell>
          <cell r="AQ635" t="str">
            <v>-</v>
          </cell>
          <cell r="AR635" t="str">
            <v>EKSKLUSIF</v>
          </cell>
          <cell r="AS635" t="str">
            <v>EKSKLUSIF</v>
          </cell>
          <cell r="AT635" t="str">
            <v>EKSKLUSIF</v>
          </cell>
          <cell r="AU635" t="str">
            <v>EKSKLUSIF</v>
          </cell>
          <cell r="AV635" t="str">
            <v/>
          </cell>
          <cell r="AW635">
            <v>70</v>
          </cell>
          <cell r="AX635">
            <v>63</v>
          </cell>
          <cell r="AY635">
            <v>65</v>
          </cell>
          <cell r="AZ635">
            <v>76</v>
          </cell>
          <cell r="BA635">
            <v>64</v>
          </cell>
          <cell r="BB635">
            <v>70</v>
          </cell>
          <cell r="BC635">
            <v>63</v>
          </cell>
          <cell r="BD635">
            <v>65</v>
          </cell>
          <cell r="BE635">
            <v>76</v>
          </cell>
          <cell r="BF635">
            <v>64</v>
          </cell>
          <cell r="BG635">
            <v>28</v>
          </cell>
          <cell r="BH635">
            <v>70</v>
          </cell>
          <cell r="BI635">
            <v>63</v>
          </cell>
          <cell r="BJ635">
            <v>65</v>
          </cell>
          <cell r="BK635">
            <v>76</v>
          </cell>
          <cell r="BL635">
            <v>64</v>
          </cell>
          <cell r="BM635">
            <v>30</v>
          </cell>
          <cell r="BN635">
            <v>396</v>
          </cell>
          <cell r="BO635">
            <v>0</v>
          </cell>
          <cell r="BP635">
            <v>70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30</v>
          </cell>
          <cell r="BV635">
            <v>100</v>
          </cell>
          <cell r="BW635">
            <v>0</v>
          </cell>
          <cell r="BX635" t="str">
            <v>TIDAK</v>
          </cell>
          <cell r="BY635" t="str">
            <v>TIDAK</v>
          </cell>
        </row>
        <row r="636">
          <cell r="A636" t="str">
            <v>A2921</v>
          </cell>
          <cell r="B636" t="str">
            <v>Azzahrotul Jannah</v>
          </cell>
          <cell r="C636" t="str">
            <v>SBPV</v>
          </cell>
          <cell r="D636">
            <v>45357</v>
          </cell>
          <cell r="E636" t="str">
            <v>Mar-24</v>
          </cell>
          <cell r="F636" t="str">
            <v>-</v>
          </cell>
          <cell r="G636" t="str">
            <v>-</v>
          </cell>
          <cell r="H636" t="str">
            <v>-</v>
          </cell>
          <cell r="I636" t="str">
            <v>-</v>
          </cell>
          <cell r="J636" t="str">
            <v>REGULER</v>
          </cell>
          <cell r="K636" t="str">
            <v>REGULER</v>
          </cell>
          <cell r="L636" t="str">
            <v>REGULER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16</v>
          </cell>
          <cell r="R636">
            <v>8</v>
          </cell>
          <cell r="S636">
            <v>3</v>
          </cell>
          <cell r="T636">
            <v>27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16</v>
          </cell>
          <cell r="Z636">
            <v>8</v>
          </cell>
          <cell r="AA636">
            <v>3</v>
          </cell>
          <cell r="AB636">
            <v>27</v>
          </cell>
          <cell r="AC636">
            <v>1</v>
          </cell>
          <cell r="AD636" t="str">
            <v>TIDAK</v>
          </cell>
          <cell r="AE636" t="str">
            <v>TIDAK</v>
          </cell>
          <cell r="AF636">
            <v>27</v>
          </cell>
          <cell r="AG636">
            <v>1</v>
          </cell>
          <cell r="AH636" t="str">
            <v>SAPHIRE</v>
          </cell>
          <cell r="AI636">
            <v>0</v>
          </cell>
          <cell r="AJ636" t="str">
            <v>FALSE</v>
          </cell>
          <cell r="AK636">
            <v>0</v>
          </cell>
          <cell r="AL636">
            <v>45261</v>
          </cell>
          <cell r="AM636">
            <v>45701</v>
          </cell>
          <cell r="AN636">
            <v>1</v>
          </cell>
          <cell r="AO636">
            <v>27</v>
          </cell>
          <cell r="AP636" t="str">
            <v>-</v>
          </cell>
          <cell r="AQ636" t="str">
            <v>-</v>
          </cell>
          <cell r="AR636" t="str">
            <v>-</v>
          </cell>
          <cell r="AS636" t="str">
            <v>-</v>
          </cell>
          <cell r="AT636" t="str">
            <v>-</v>
          </cell>
          <cell r="AU636" t="str">
            <v>-</v>
          </cell>
          <cell r="AV636" t="str">
            <v/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 t="str">
            <v/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 t="str">
            <v/>
          </cell>
          <cell r="BN636">
            <v>0</v>
          </cell>
          <cell r="BO636" t="str">
            <v/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 t="str">
            <v/>
          </cell>
          <cell r="BV636">
            <v>0</v>
          </cell>
          <cell r="BW636">
            <v>7</v>
          </cell>
          <cell r="BX636" t="str">
            <v>DOWNGRADE</v>
          </cell>
          <cell r="BY636" t="str">
            <v>RESET</v>
          </cell>
        </row>
        <row r="637">
          <cell r="A637" t="str">
            <v>A3020</v>
          </cell>
          <cell r="B637" t="str">
            <v>Dinda Tasya Gurning</v>
          </cell>
          <cell r="C637" t="str">
            <v>SBPV</v>
          </cell>
          <cell r="D637">
            <v>45203</v>
          </cell>
          <cell r="E637" t="str">
            <v>Oct-23</v>
          </cell>
          <cell r="F637" t="str">
            <v>REGULER</v>
          </cell>
          <cell r="G637" t="str">
            <v>REGULER</v>
          </cell>
          <cell r="H637" t="str">
            <v>REGULER</v>
          </cell>
          <cell r="I637" t="str">
            <v>REGULER</v>
          </cell>
          <cell r="J637" t="str">
            <v>-</v>
          </cell>
          <cell r="K637" t="str">
            <v>REGULER</v>
          </cell>
          <cell r="L637" t="str">
            <v>-</v>
          </cell>
          <cell r="M637">
            <v>6</v>
          </cell>
          <cell r="N637">
            <v>18</v>
          </cell>
          <cell r="O637">
            <v>14</v>
          </cell>
          <cell r="P637">
            <v>14</v>
          </cell>
          <cell r="Q637">
            <v>0</v>
          </cell>
          <cell r="R637">
            <v>3</v>
          </cell>
          <cell r="S637" t="str">
            <v/>
          </cell>
          <cell r="T637">
            <v>55</v>
          </cell>
          <cell r="U637">
            <v>6</v>
          </cell>
          <cell r="V637">
            <v>18</v>
          </cell>
          <cell r="W637">
            <v>14</v>
          </cell>
          <cell r="X637">
            <v>14</v>
          </cell>
          <cell r="Y637">
            <v>0</v>
          </cell>
          <cell r="Z637">
            <v>3</v>
          </cell>
          <cell r="AA637" t="str">
            <v/>
          </cell>
          <cell r="AB637">
            <v>55</v>
          </cell>
          <cell r="AC637">
            <v>2</v>
          </cell>
          <cell r="AD637" t="str">
            <v>TIDAK</v>
          </cell>
          <cell r="AE637" t="str">
            <v>TIDAK</v>
          </cell>
          <cell r="AF637">
            <v>55</v>
          </cell>
          <cell r="AG637">
            <v>1</v>
          </cell>
          <cell r="AH637" t="str">
            <v>SAPHIRE</v>
          </cell>
          <cell r="AI637">
            <v>0</v>
          </cell>
          <cell r="AJ637" t="str">
            <v>FALSE</v>
          </cell>
          <cell r="AK637">
            <v>0</v>
          </cell>
          <cell r="AL637">
            <v>45261</v>
          </cell>
          <cell r="AM637">
            <v>45701</v>
          </cell>
          <cell r="AN637">
            <v>1</v>
          </cell>
          <cell r="AO637">
            <v>55</v>
          </cell>
          <cell r="AP637" t="str">
            <v>-</v>
          </cell>
          <cell r="AQ637" t="str">
            <v>-</v>
          </cell>
          <cell r="AR637" t="str">
            <v>-</v>
          </cell>
          <cell r="AS637" t="str">
            <v>REGULER</v>
          </cell>
          <cell r="AT637" t="str">
            <v>-</v>
          </cell>
          <cell r="AU637" t="str">
            <v>-</v>
          </cell>
          <cell r="AV637" t="str">
            <v/>
          </cell>
          <cell r="AW637">
            <v>0</v>
          </cell>
          <cell r="AX637">
            <v>0</v>
          </cell>
          <cell r="AY637">
            <v>2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2</v>
          </cell>
          <cell r="BE637">
            <v>0</v>
          </cell>
          <cell r="BF637">
            <v>0</v>
          </cell>
          <cell r="BG637" t="str">
            <v/>
          </cell>
          <cell r="BH637">
            <v>0</v>
          </cell>
          <cell r="BI637">
            <v>0</v>
          </cell>
          <cell r="BJ637">
            <v>2</v>
          </cell>
          <cell r="BK637">
            <v>0</v>
          </cell>
          <cell r="BL637">
            <v>0</v>
          </cell>
          <cell r="BM637" t="str">
            <v/>
          </cell>
          <cell r="BN637">
            <v>2</v>
          </cell>
          <cell r="BO637" t="str">
            <v/>
          </cell>
          <cell r="BP637">
            <v>0</v>
          </cell>
          <cell r="BQ637">
            <v>0</v>
          </cell>
          <cell r="BR637">
            <v>2</v>
          </cell>
          <cell r="BS637">
            <v>0</v>
          </cell>
          <cell r="BT637">
            <v>0</v>
          </cell>
          <cell r="BU637" t="str">
            <v/>
          </cell>
          <cell r="BV637">
            <v>2</v>
          </cell>
          <cell r="BW637">
            <v>6</v>
          </cell>
          <cell r="BX637" t="str">
            <v>DOWNGRADE</v>
          </cell>
          <cell r="BY637" t="str">
            <v>RESET</v>
          </cell>
        </row>
        <row r="638">
          <cell r="A638" t="str">
            <v>A3197</v>
          </cell>
          <cell r="B638" t="str">
            <v>Dita Evelina Patresia Sitorus</v>
          </cell>
          <cell r="C638" t="str">
            <v>SBPV</v>
          </cell>
          <cell r="D638">
            <v>45356</v>
          </cell>
          <cell r="E638" t="str">
            <v>Mar-24</v>
          </cell>
          <cell r="F638" t="str">
            <v>REGULER</v>
          </cell>
          <cell r="G638" t="str">
            <v>-</v>
          </cell>
          <cell r="H638" t="str">
            <v>-</v>
          </cell>
          <cell r="I638" t="str">
            <v>REGULER</v>
          </cell>
          <cell r="J638" t="str">
            <v>-</v>
          </cell>
          <cell r="K638" t="str">
            <v>-</v>
          </cell>
          <cell r="L638" t="str">
            <v>-</v>
          </cell>
          <cell r="M638">
            <v>3</v>
          </cell>
          <cell r="N638">
            <v>0</v>
          </cell>
          <cell r="O638">
            <v>0</v>
          </cell>
          <cell r="P638">
            <v>3</v>
          </cell>
          <cell r="Q638">
            <v>0</v>
          </cell>
          <cell r="R638">
            <v>0</v>
          </cell>
          <cell r="S638" t="str">
            <v/>
          </cell>
          <cell r="T638">
            <v>6</v>
          </cell>
          <cell r="U638">
            <v>3</v>
          </cell>
          <cell r="V638">
            <v>0</v>
          </cell>
          <cell r="W638">
            <v>0</v>
          </cell>
          <cell r="X638">
            <v>3</v>
          </cell>
          <cell r="Y638">
            <v>0</v>
          </cell>
          <cell r="Z638">
            <v>0</v>
          </cell>
          <cell r="AA638" t="str">
            <v/>
          </cell>
          <cell r="AB638">
            <v>6</v>
          </cell>
          <cell r="AC638">
            <v>3</v>
          </cell>
          <cell r="AD638" t="str">
            <v>DOWNGRADE</v>
          </cell>
          <cell r="AE638" t="str">
            <v>RESET</v>
          </cell>
          <cell r="AF638">
            <v>0</v>
          </cell>
          <cell r="AG638">
            <v>1</v>
          </cell>
          <cell r="AH638" t="str">
            <v>SAPHIRE</v>
          </cell>
          <cell r="AI638">
            <v>0</v>
          </cell>
          <cell r="AJ638" t="str">
            <v>FALSE</v>
          </cell>
          <cell r="AK638">
            <v>0</v>
          </cell>
          <cell r="AL638">
            <v>45261</v>
          </cell>
          <cell r="AM638">
            <v>45701</v>
          </cell>
          <cell r="AN638">
            <v>1</v>
          </cell>
          <cell r="AO638">
            <v>0</v>
          </cell>
          <cell r="AP638" t="str">
            <v>-</v>
          </cell>
          <cell r="AQ638" t="str">
            <v>-</v>
          </cell>
          <cell r="AR638" t="str">
            <v>-</v>
          </cell>
          <cell r="AS638" t="str">
            <v>-</v>
          </cell>
          <cell r="AT638" t="str">
            <v>-</v>
          </cell>
          <cell r="AU638" t="str">
            <v>-</v>
          </cell>
          <cell r="AV638" t="str">
            <v/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 t="str">
            <v/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 t="str">
            <v/>
          </cell>
          <cell r="BN638">
            <v>0</v>
          </cell>
          <cell r="BO638" t="str">
            <v/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 t="str">
            <v/>
          </cell>
          <cell r="BV638">
            <v>0</v>
          </cell>
          <cell r="BW638">
            <v>7</v>
          </cell>
          <cell r="BX638" t="str">
            <v>DOWNGRADE</v>
          </cell>
          <cell r="BY638" t="str">
            <v>RESET</v>
          </cell>
        </row>
        <row r="639">
          <cell r="A639" t="str">
            <v>A4002</v>
          </cell>
          <cell r="B639" t="str">
            <v>FALYA ISMARSANTO</v>
          </cell>
          <cell r="C639" t="str">
            <v>SBPV</v>
          </cell>
          <cell r="D639">
            <v>45414</v>
          </cell>
          <cell r="E639" t="str">
            <v>May-24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 t="str">
            <v>REGULER</v>
          </cell>
          <cell r="L639" t="str">
            <v>REGULER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27</v>
          </cell>
          <cell r="S639">
            <v>8</v>
          </cell>
          <cell r="T639">
            <v>35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27</v>
          </cell>
          <cell r="AA639">
            <v>8</v>
          </cell>
          <cell r="AB639">
            <v>35</v>
          </cell>
          <cell r="AC639">
            <v>0</v>
          </cell>
          <cell r="AD639" t="str">
            <v>TIDAK</v>
          </cell>
          <cell r="AE639" t="str">
            <v>TIDAK</v>
          </cell>
          <cell r="AF639">
            <v>35</v>
          </cell>
          <cell r="AG639">
            <v>1</v>
          </cell>
          <cell r="AH639" t="str">
            <v>SAPHIRE</v>
          </cell>
          <cell r="AI639">
            <v>0</v>
          </cell>
          <cell r="AJ639" t="str">
            <v>FALSE</v>
          </cell>
          <cell r="AK639">
            <v>0</v>
          </cell>
          <cell r="AL639">
            <v>45261</v>
          </cell>
          <cell r="AM639">
            <v>45701</v>
          </cell>
          <cell r="AN639">
            <v>1</v>
          </cell>
          <cell r="AO639">
            <v>35</v>
          </cell>
          <cell r="AP639" t="str">
            <v>-</v>
          </cell>
          <cell r="AQ639" t="str">
            <v>-</v>
          </cell>
          <cell r="AR639" t="str">
            <v>-</v>
          </cell>
          <cell r="AS639" t="str">
            <v>-</v>
          </cell>
          <cell r="AT639" t="str">
            <v>-</v>
          </cell>
          <cell r="AU639" t="str">
            <v>-</v>
          </cell>
          <cell r="AV639" t="str">
            <v/>
          </cell>
          <cell r="AW639">
            <v>8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8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11</v>
          </cell>
          <cell r="BH639">
            <v>8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 t="str">
            <v/>
          </cell>
          <cell r="BN639">
            <v>19</v>
          </cell>
          <cell r="BO639">
            <v>11</v>
          </cell>
          <cell r="BP639">
            <v>8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 t="str">
            <v/>
          </cell>
          <cell r="BV639">
            <v>19</v>
          </cell>
          <cell r="BW639">
            <v>5</v>
          </cell>
          <cell r="BX639" t="str">
            <v>DOWNGRADE</v>
          </cell>
          <cell r="BY639" t="str">
            <v>RESET</v>
          </cell>
        </row>
        <row r="640">
          <cell r="A640" t="str">
            <v>A2976</v>
          </cell>
          <cell r="B640" t="str">
            <v>Intan Fifiana</v>
          </cell>
          <cell r="C640" t="str">
            <v>SBPV</v>
          </cell>
          <cell r="D640">
            <v>45187</v>
          </cell>
          <cell r="E640" t="str">
            <v>Sep-23</v>
          </cell>
          <cell r="F640" t="str">
            <v>REGULER</v>
          </cell>
          <cell r="G640" t="str">
            <v>REGULER</v>
          </cell>
          <cell r="H640" t="str">
            <v>REGULER</v>
          </cell>
          <cell r="I640" t="str">
            <v>REGULER</v>
          </cell>
          <cell r="J640" t="str">
            <v>REGULER</v>
          </cell>
          <cell r="K640" t="str">
            <v>REGULER</v>
          </cell>
          <cell r="L640" t="str">
            <v>REGULER</v>
          </cell>
          <cell r="M640">
            <v>29</v>
          </cell>
          <cell r="N640">
            <v>59</v>
          </cell>
          <cell r="O640">
            <v>50</v>
          </cell>
          <cell r="P640">
            <v>48</v>
          </cell>
          <cell r="Q640">
            <v>16</v>
          </cell>
          <cell r="R640">
            <v>40</v>
          </cell>
          <cell r="S640">
            <v>16</v>
          </cell>
          <cell r="T640">
            <v>258</v>
          </cell>
          <cell r="U640">
            <v>29</v>
          </cell>
          <cell r="V640">
            <v>59</v>
          </cell>
          <cell r="W640">
            <v>50</v>
          </cell>
          <cell r="X640">
            <v>48</v>
          </cell>
          <cell r="Y640">
            <v>16</v>
          </cell>
          <cell r="Z640">
            <v>40</v>
          </cell>
          <cell r="AA640">
            <v>16</v>
          </cell>
          <cell r="AB640">
            <v>258</v>
          </cell>
          <cell r="AC640">
            <v>0</v>
          </cell>
          <cell r="AD640" t="str">
            <v>TIDAK</v>
          </cell>
          <cell r="AE640" t="str">
            <v>TIDAK</v>
          </cell>
          <cell r="AF640">
            <v>258</v>
          </cell>
          <cell r="AG640">
            <v>1</v>
          </cell>
          <cell r="AH640" t="str">
            <v>SAPHIRE</v>
          </cell>
          <cell r="AI640">
            <v>0</v>
          </cell>
          <cell r="AJ640" t="str">
            <v>Y</v>
          </cell>
          <cell r="AK640">
            <v>0</v>
          </cell>
          <cell r="AL640">
            <v>45261</v>
          </cell>
          <cell r="AM640">
            <v>45701</v>
          </cell>
          <cell r="AN640">
            <v>1</v>
          </cell>
          <cell r="AO640">
            <v>258</v>
          </cell>
          <cell r="AP640" t="str">
            <v>-</v>
          </cell>
          <cell r="AQ640" t="str">
            <v>-</v>
          </cell>
          <cell r="AR640" t="str">
            <v>REGULER</v>
          </cell>
          <cell r="AS640" t="str">
            <v>REGULER</v>
          </cell>
          <cell r="AT640" t="str">
            <v>REGULER</v>
          </cell>
          <cell r="AU640" t="str">
            <v>REGULER</v>
          </cell>
          <cell r="AV640" t="str">
            <v/>
          </cell>
          <cell r="AW640">
            <v>67</v>
          </cell>
          <cell r="AX640">
            <v>63</v>
          </cell>
          <cell r="AY640">
            <v>55</v>
          </cell>
          <cell r="AZ640">
            <v>64</v>
          </cell>
          <cell r="BA640">
            <v>45</v>
          </cell>
          <cell r="BB640">
            <v>67</v>
          </cell>
          <cell r="BC640">
            <v>63</v>
          </cell>
          <cell r="BD640">
            <v>55</v>
          </cell>
          <cell r="BE640">
            <v>64</v>
          </cell>
          <cell r="BF640">
            <v>45</v>
          </cell>
          <cell r="BG640">
            <v>20</v>
          </cell>
          <cell r="BH640">
            <v>67</v>
          </cell>
          <cell r="BI640">
            <v>63</v>
          </cell>
          <cell r="BJ640">
            <v>55</v>
          </cell>
          <cell r="BK640">
            <v>64</v>
          </cell>
          <cell r="BL640">
            <v>45</v>
          </cell>
          <cell r="BM640">
            <v>29</v>
          </cell>
          <cell r="BN640">
            <v>343</v>
          </cell>
          <cell r="BO640">
            <v>20</v>
          </cell>
          <cell r="BP640">
            <v>67</v>
          </cell>
          <cell r="BQ640">
            <v>63</v>
          </cell>
          <cell r="BR640">
            <v>55</v>
          </cell>
          <cell r="BS640">
            <v>64</v>
          </cell>
          <cell r="BT640">
            <v>45</v>
          </cell>
          <cell r="BU640">
            <v>29</v>
          </cell>
          <cell r="BV640">
            <v>343</v>
          </cell>
          <cell r="BW640">
            <v>0</v>
          </cell>
          <cell r="BX640" t="str">
            <v>TIDAK</v>
          </cell>
          <cell r="BY640" t="str">
            <v>TIDAK</v>
          </cell>
        </row>
        <row r="641">
          <cell r="A641" t="str">
            <v>A2924</v>
          </cell>
          <cell r="B641" t="str">
            <v>Ira Evelin Sihaloho</v>
          </cell>
          <cell r="C641" t="str">
            <v>SBPV</v>
          </cell>
          <cell r="D641">
            <v>45215</v>
          </cell>
          <cell r="E641" t="str">
            <v>Oct-23</v>
          </cell>
          <cell r="F641" t="str">
            <v>REGULER</v>
          </cell>
          <cell r="G641" t="str">
            <v>REGULER</v>
          </cell>
          <cell r="H641" t="str">
            <v>REGULER</v>
          </cell>
          <cell r="I641" t="str">
            <v>REGULER</v>
          </cell>
          <cell r="J641" t="str">
            <v>REGULER</v>
          </cell>
          <cell r="K641" t="str">
            <v>REGULER</v>
          </cell>
          <cell r="L641" t="str">
            <v>EKSKLUSIF</v>
          </cell>
          <cell r="M641">
            <v>23</v>
          </cell>
          <cell r="N641">
            <v>48</v>
          </cell>
          <cell r="O641">
            <v>37</v>
          </cell>
          <cell r="P641">
            <v>57</v>
          </cell>
          <cell r="Q641">
            <v>53</v>
          </cell>
          <cell r="R641">
            <v>56</v>
          </cell>
          <cell r="S641">
            <v>32</v>
          </cell>
          <cell r="T641">
            <v>306</v>
          </cell>
          <cell r="U641">
            <v>23</v>
          </cell>
          <cell r="V641">
            <v>48</v>
          </cell>
          <cell r="W641">
            <v>37</v>
          </cell>
          <cell r="X641">
            <v>57</v>
          </cell>
          <cell r="Y641">
            <v>53</v>
          </cell>
          <cell r="Z641">
            <v>56</v>
          </cell>
          <cell r="AA641">
            <v>0</v>
          </cell>
          <cell r="AB641">
            <v>274</v>
          </cell>
          <cell r="AC641">
            <v>0</v>
          </cell>
          <cell r="AD641" t="str">
            <v>TIDAK</v>
          </cell>
          <cell r="AE641" t="str">
            <v>TIDAK</v>
          </cell>
          <cell r="AF641">
            <v>274</v>
          </cell>
          <cell r="AG641">
            <v>1</v>
          </cell>
          <cell r="AH641" t="str">
            <v>SAPHIRE</v>
          </cell>
          <cell r="AI641">
            <v>265</v>
          </cell>
          <cell r="AJ641" t="str">
            <v>Y</v>
          </cell>
          <cell r="AK641">
            <v>0</v>
          </cell>
          <cell r="AL641">
            <v>45261</v>
          </cell>
          <cell r="AM641">
            <v>45701</v>
          </cell>
          <cell r="AN641">
            <v>1</v>
          </cell>
          <cell r="AO641">
            <v>9</v>
          </cell>
          <cell r="AP641" t="str">
            <v>EKSKLUSIF</v>
          </cell>
          <cell r="AQ641" t="str">
            <v>-</v>
          </cell>
          <cell r="AR641" t="str">
            <v>REGULER</v>
          </cell>
          <cell r="AS641" t="str">
            <v>EKSKLUSIF</v>
          </cell>
          <cell r="AT641" t="str">
            <v>EKSKLUSIF</v>
          </cell>
          <cell r="AU641" t="str">
            <v>EKSKLUSIF</v>
          </cell>
          <cell r="AV641" t="str">
            <v/>
          </cell>
          <cell r="AW641">
            <v>72</v>
          </cell>
          <cell r="AX641">
            <v>71</v>
          </cell>
          <cell r="AY641">
            <v>63</v>
          </cell>
          <cell r="AZ641">
            <v>75</v>
          </cell>
          <cell r="BA641">
            <v>69</v>
          </cell>
          <cell r="BB641">
            <v>72</v>
          </cell>
          <cell r="BC641">
            <v>71</v>
          </cell>
          <cell r="BD641">
            <v>63</v>
          </cell>
          <cell r="BE641">
            <v>75</v>
          </cell>
          <cell r="BF641">
            <v>69</v>
          </cell>
          <cell r="BG641">
            <v>31</v>
          </cell>
          <cell r="BH641">
            <v>72</v>
          </cell>
          <cell r="BI641">
            <v>71</v>
          </cell>
          <cell r="BJ641">
            <v>63</v>
          </cell>
          <cell r="BK641">
            <v>75</v>
          </cell>
          <cell r="BL641">
            <v>69</v>
          </cell>
          <cell r="BM641">
            <v>32</v>
          </cell>
          <cell r="BN641">
            <v>413</v>
          </cell>
          <cell r="BO641">
            <v>0</v>
          </cell>
          <cell r="BP641">
            <v>72</v>
          </cell>
          <cell r="BQ641">
            <v>71</v>
          </cell>
          <cell r="BR641">
            <v>0</v>
          </cell>
          <cell r="BS641">
            <v>0</v>
          </cell>
          <cell r="BT641">
            <v>0</v>
          </cell>
          <cell r="BU641">
            <v>32</v>
          </cell>
          <cell r="BV641">
            <v>175</v>
          </cell>
          <cell r="BW641">
            <v>0</v>
          </cell>
          <cell r="BX641" t="str">
            <v>TIDAK</v>
          </cell>
          <cell r="BY641" t="str">
            <v>TIDAK</v>
          </cell>
        </row>
        <row r="642">
          <cell r="A642" t="str">
            <v>A3089</v>
          </cell>
          <cell r="B642" t="str">
            <v>Ismiralda Margarenta Siregar</v>
          </cell>
          <cell r="C642" t="str">
            <v>SBPV</v>
          </cell>
          <cell r="D642">
            <v>45215</v>
          </cell>
          <cell r="E642" t="str">
            <v>Oct-23</v>
          </cell>
          <cell r="F642" t="str">
            <v>REGULER</v>
          </cell>
          <cell r="G642" t="str">
            <v>-</v>
          </cell>
          <cell r="H642" t="str">
            <v>REGULER</v>
          </cell>
          <cell r="I642" t="str">
            <v>REGULER</v>
          </cell>
          <cell r="J642" t="str">
            <v>REGULER</v>
          </cell>
          <cell r="K642" t="str">
            <v>REGULER</v>
          </cell>
          <cell r="L642" t="str">
            <v>-</v>
          </cell>
          <cell r="M642">
            <v>0</v>
          </cell>
          <cell r="N642">
            <v>0</v>
          </cell>
          <cell r="O642">
            <v>2</v>
          </cell>
          <cell r="P642">
            <v>4</v>
          </cell>
          <cell r="Q642">
            <v>11</v>
          </cell>
          <cell r="R642">
            <v>2</v>
          </cell>
          <cell r="S642" t="str">
            <v/>
          </cell>
          <cell r="T642">
            <v>19</v>
          </cell>
          <cell r="U642">
            <v>0</v>
          </cell>
          <cell r="V642">
            <v>0</v>
          </cell>
          <cell r="W642">
            <v>2</v>
          </cell>
          <cell r="X642">
            <v>4</v>
          </cell>
          <cell r="Y642">
            <v>11</v>
          </cell>
          <cell r="Z642">
            <v>2</v>
          </cell>
          <cell r="AA642" t="str">
            <v/>
          </cell>
          <cell r="AB642">
            <v>19</v>
          </cell>
          <cell r="AC642">
            <v>3</v>
          </cell>
          <cell r="AD642" t="str">
            <v>DOWNGRADE</v>
          </cell>
          <cell r="AE642" t="str">
            <v>TIDAK</v>
          </cell>
          <cell r="AF642">
            <v>9.5</v>
          </cell>
          <cell r="AG642">
            <v>1</v>
          </cell>
          <cell r="AH642" t="str">
            <v>SAPHIRE</v>
          </cell>
          <cell r="AI642">
            <v>0</v>
          </cell>
          <cell r="AJ642" t="str">
            <v>FALSE</v>
          </cell>
          <cell r="AK642">
            <v>0</v>
          </cell>
          <cell r="AL642">
            <v>45261</v>
          </cell>
          <cell r="AM642">
            <v>45701</v>
          </cell>
          <cell r="AN642">
            <v>1</v>
          </cell>
          <cell r="AO642">
            <v>9.5</v>
          </cell>
          <cell r="AP642" t="str">
            <v>-</v>
          </cell>
          <cell r="AQ642" t="str">
            <v>-</v>
          </cell>
          <cell r="AR642" t="str">
            <v>REGULER</v>
          </cell>
          <cell r="AS642" t="str">
            <v>-</v>
          </cell>
          <cell r="AT642" t="str">
            <v>-</v>
          </cell>
          <cell r="AU642" t="str">
            <v>-</v>
          </cell>
          <cell r="AV642" t="str">
            <v/>
          </cell>
          <cell r="AW642">
            <v>39</v>
          </cell>
          <cell r="AX642">
            <v>2</v>
          </cell>
          <cell r="AY642">
            <v>0</v>
          </cell>
          <cell r="AZ642">
            <v>0</v>
          </cell>
          <cell r="BA642">
            <v>0</v>
          </cell>
          <cell r="BB642">
            <v>39</v>
          </cell>
          <cell r="BC642">
            <v>2</v>
          </cell>
          <cell r="BD642">
            <v>0</v>
          </cell>
          <cell r="BE642">
            <v>0</v>
          </cell>
          <cell r="BF642">
            <v>0</v>
          </cell>
          <cell r="BG642">
            <v>12</v>
          </cell>
          <cell r="BH642">
            <v>39</v>
          </cell>
          <cell r="BI642">
            <v>2</v>
          </cell>
          <cell r="BJ642">
            <v>0</v>
          </cell>
          <cell r="BK642">
            <v>0</v>
          </cell>
          <cell r="BL642">
            <v>0</v>
          </cell>
          <cell r="BM642" t="str">
            <v/>
          </cell>
          <cell r="BN642">
            <v>53</v>
          </cell>
          <cell r="BO642">
            <v>12</v>
          </cell>
          <cell r="BP642">
            <v>39</v>
          </cell>
          <cell r="BQ642">
            <v>2</v>
          </cell>
          <cell r="BR642">
            <v>0</v>
          </cell>
          <cell r="BS642">
            <v>0</v>
          </cell>
          <cell r="BT642">
            <v>0</v>
          </cell>
          <cell r="BU642" t="str">
            <v/>
          </cell>
          <cell r="BV642">
            <v>53</v>
          </cell>
          <cell r="BW642">
            <v>4</v>
          </cell>
          <cell r="BX642" t="str">
            <v>DOWNGRADE</v>
          </cell>
          <cell r="BY642" t="str">
            <v>RESET</v>
          </cell>
        </row>
        <row r="643">
          <cell r="A643" t="str">
            <v>A3811</v>
          </cell>
          <cell r="B643" t="str">
            <v>Justina Angeliq Queny Rahayaan</v>
          </cell>
          <cell r="C643" t="str">
            <v>SBPV</v>
          </cell>
          <cell r="D643">
            <v>45359</v>
          </cell>
          <cell r="E643" t="str">
            <v>Mar-24</v>
          </cell>
          <cell r="F643" t="str">
            <v>-</v>
          </cell>
          <cell r="G643" t="str">
            <v>-</v>
          </cell>
          <cell r="H643" t="str">
            <v>-</v>
          </cell>
          <cell r="I643" t="str">
            <v>REGULER</v>
          </cell>
          <cell r="J643" t="str">
            <v>REGULER</v>
          </cell>
          <cell r="K643" t="str">
            <v>REGULER</v>
          </cell>
          <cell r="L643" t="str">
            <v>REGULER</v>
          </cell>
          <cell r="M643">
            <v>0</v>
          </cell>
          <cell r="N643">
            <v>0</v>
          </cell>
          <cell r="O643">
            <v>0</v>
          </cell>
          <cell r="P643">
            <v>9</v>
          </cell>
          <cell r="Q643">
            <v>14</v>
          </cell>
          <cell r="R643">
            <v>25</v>
          </cell>
          <cell r="S643">
            <v>7</v>
          </cell>
          <cell r="T643">
            <v>55</v>
          </cell>
          <cell r="U643">
            <v>0</v>
          </cell>
          <cell r="V643">
            <v>0</v>
          </cell>
          <cell r="W643">
            <v>0</v>
          </cell>
          <cell r="X643">
            <v>9</v>
          </cell>
          <cell r="Y643">
            <v>14</v>
          </cell>
          <cell r="Z643">
            <v>25</v>
          </cell>
          <cell r="AA643">
            <v>7</v>
          </cell>
          <cell r="AB643">
            <v>55</v>
          </cell>
          <cell r="AC643">
            <v>0</v>
          </cell>
          <cell r="AD643" t="str">
            <v>TIDAK</v>
          </cell>
          <cell r="AE643" t="str">
            <v>TIDAK</v>
          </cell>
          <cell r="AF643">
            <v>55</v>
          </cell>
          <cell r="AG643">
            <v>1</v>
          </cell>
          <cell r="AH643" t="str">
            <v>SAPHIRE</v>
          </cell>
          <cell r="AI643">
            <v>0</v>
          </cell>
          <cell r="AJ643" t="str">
            <v>FALSE</v>
          </cell>
          <cell r="AK643">
            <v>0</v>
          </cell>
          <cell r="AL643">
            <v>45261</v>
          </cell>
          <cell r="AM643">
            <v>45701</v>
          </cell>
          <cell r="AN643">
            <v>1</v>
          </cell>
          <cell r="AO643">
            <v>55</v>
          </cell>
          <cell r="AP643" t="str">
            <v>-</v>
          </cell>
          <cell r="AQ643" t="str">
            <v>-</v>
          </cell>
          <cell r="AR643" t="str">
            <v>REGULER</v>
          </cell>
          <cell r="AS643" t="str">
            <v>REGULER</v>
          </cell>
          <cell r="AT643" t="str">
            <v>REGULER</v>
          </cell>
          <cell r="AU643" t="str">
            <v>-</v>
          </cell>
          <cell r="AV643" t="str">
            <v/>
          </cell>
          <cell r="AW643">
            <v>38</v>
          </cell>
          <cell r="AX643">
            <v>7</v>
          </cell>
          <cell r="AY643">
            <v>19</v>
          </cell>
          <cell r="AZ643">
            <v>3</v>
          </cell>
          <cell r="BA643">
            <v>0</v>
          </cell>
          <cell r="BB643">
            <v>38</v>
          </cell>
          <cell r="BC643">
            <v>7</v>
          </cell>
          <cell r="BD643">
            <v>19</v>
          </cell>
          <cell r="BE643">
            <v>3</v>
          </cell>
          <cell r="BF643">
            <v>0</v>
          </cell>
          <cell r="BG643">
            <v>20</v>
          </cell>
          <cell r="BH643">
            <v>38</v>
          </cell>
          <cell r="BI643">
            <v>7</v>
          </cell>
          <cell r="BJ643">
            <v>19</v>
          </cell>
          <cell r="BK643">
            <v>3</v>
          </cell>
          <cell r="BL643">
            <v>0</v>
          </cell>
          <cell r="BM643" t="str">
            <v/>
          </cell>
          <cell r="BN643">
            <v>87</v>
          </cell>
          <cell r="BO643">
            <v>20</v>
          </cell>
          <cell r="BP643">
            <v>38</v>
          </cell>
          <cell r="BQ643">
            <v>7</v>
          </cell>
          <cell r="BR643">
            <v>19</v>
          </cell>
          <cell r="BS643">
            <v>3</v>
          </cell>
          <cell r="BT643">
            <v>0</v>
          </cell>
          <cell r="BU643" t="str">
            <v/>
          </cell>
          <cell r="BV643">
            <v>87</v>
          </cell>
          <cell r="BW643">
            <v>2</v>
          </cell>
          <cell r="BX643" t="str">
            <v>TIDAK</v>
          </cell>
          <cell r="BY643" t="str">
            <v>TIDAK</v>
          </cell>
        </row>
        <row r="644">
          <cell r="A644" t="str">
            <v>A2001</v>
          </cell>
          <cell r="B644" t="str">
            <v>M Mentari Gagat Rayna</v>
          </cell>
          <cell r="C644" t="str">
            <v>SBPV</v>
          </cell>
          <cell r="D644">
            <v>45017</v>
          </cell>
          <cell r="E644" t="str">
            <v>Apr-23</v>
          </cell>
          <cell r="F644" t="str">
            <v>EKSKLUSIF</v>
          </cell>
          <cell r="G644" t="str">
            <v>EKSKLUSIF</v>
          </cell>
          <cell r="H644" t="str">
            <v>EKSKLUSIF</v>
          </cell>
          <cell r="I644" t="str">
            <v>EKSKLUSIF</v>
          </cell>
          <cell r="J644" t="str">
            <v>EKSKLUSIF</v>
          </cell>
          <cell r="K644" t="str">
            <v>EKSKLUSIF</v>
          </cell>
          <cell r="L644" t="str">
            <v>EKSKLUSIF</v>
          </cell>
          <cell r="M644">
            <v>33</v>
          </cell>
          <cell r="N644">
            <v>66</v>
          </cell>
          <cell r="O644">
            <v>58</v>
          </cell>
          <cell r="P644">
            <v>64</v>
          </cell>
          <cell r="Q644">
            <v>54</v>
          </cell>
          <cell r="R644">
            <v>60</v>
          </cell>
          <cell r="S644">
            <v>32</v>
          </cell>
          <cell r="T644">
            <v>367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 t="str">
            <v>TIDAK</v>
          </cell>
          <cell r="AE644" t="str">
            <v>TIDAK</v>
          </cell>
          <cell r="AF644">
            <v>0</v>
          </cell>
          <cell r="AG644">
            <v>1</v>
          </cell>
          <cell r="AH644" t="str">
            <v>SAPHIRE</v>
          </cell>
          <cell r="AI644">
            <v>0</v>
          </cell>
          <cell r="AJ644" t="str">
            <v>FALSE</v>
          </cell>
          <cell r="AK644">
            <v>0</v>
          </cell>
          <cell r="AL644">
            <v>45261</v>
          </cell>
          <cell r="AM644">
            <v>45701</v>
          </cell>
          <cell r="AN644">
            <v>1</v>
          </cell>
          <cell r="AO644">
            <v>0</v>
          </cell>
          <cell r="AP644" t="str">
            <v>EKSKLUSIF</v>
          </cell>
          <cell r="AQ644" t="str">
            <v>-</v>
          </cell>
          <cell r="AR644" t="str">
            <v>EKSKLUSIF</v>
          </cell>
          <cell r="AS644" t="str">
            <v>EKSKLUSIF</v>
          </cell>
          <cell r="AT644" t="str">
            <v>EKSKLUSIF</v>
          </cell>
          <cell r="AU644" t="str">
            <v>EKSKLUSIF</v>
          </cell>
          <cell r="AV644" t="str">
            <v/>
          </cell>
          <cell r="AW644">
            <v>67</v>
          </cell>
          <cell r="AX644">
            <v>64</v>
          </cell>
          <cell r="AY644">
            <v>60</v>
          </cell>
          <cell r="AZ644">
            <v>70</v>
          </cell>
          <cell r="BA644">
            <v>69</v>
          </cell>
          <cell r="BB644">
            <v>67</v>
          </cell>
          <cell r="BC644">
            <v>64</v>
          </cell>
          <cell r="BD644">
            <v>60</v>
          </cell>
          <cell r="BE644">
            <v>70</v>
          </cell>
          <cell r="BF644">
            <v>30</v>
          </cell>
          <cell r="BG644">
            <v>29</v>
          </cell>
          <cell r="BH644">
            <v>67</v>
          </cell>
          <cell r="BI644">
            <v>64</v>
          </cell>
          <cell r="BJ644">
            <v>60</v>
          </cell>
          <cell r="BK644">
            <v>70</v>
          </cell>
          <cell r="BL644">
            <v>69</v>
          </cell>
          <cell r="BM644">
            <v>32</v>
          </cell>
          <cell r="BN644">
            <v>391</v>
          </cell>
          <cell r="BO644">
            <v>0</v>
          </cell>
          <cell r="BP644">
            <v>67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32</v>
          </cell>
          <cell r="BV644">
            <v>99</v>
          </cell>
          <cell r="BW644">
            <v>0</v>
          </cell>
          <cell r="BX644" t="str">
            <v>TIDAK</v>
          </cell>
          <cell r="BY644" t="str">
            <v>TIDAK</v>
          </cell>
        </row>
        <row r="645">
          <cell r="A645" t="str">
            <v>A3966</v>
          </cell>
          <cell r="B645" t="str">
            <v>Nathania Alamanda</v>
          </cell>
          <cell r="C645" t="str">
            <v>SBPV</v>
          </cell>
          <cell r="D645">
            <v>45399</v>
          </cell>
          <cell r="E645" t="str">
            <v>Apr-24</v>
          </cell>
          <cell r="F645" t="str">
            <v>-</v>
          </cell>
          <cell r="G645" t="str">
            <v>-</v>
          </cell>
          <cell r="H645" t="str">
            <v>-</v>
          </cell>
          <cell r="I645" t="str">
            <v>-</v>
          </cell>
          <cell r="J645" t="str">
            <v>REGULER</v>
          </cell>
          <cell r="K645" t="str">
            <v>REGULER</v>
          </cell>
          <cell r="L645" t="str">
            <v>-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7</v>
          </cell>
          <cell r="R645">
            <v>6</v>
          </cell>
          <cell r="S645" t="str">
            <v/>
          </cell>
          <cell r="T645">
            <v>13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7</v>
          </cell>
          <cell r="Z645">
            <v>6</v>
          </cell>
          <cell r="AA645" t="str">
            <v/>
          </cell>
          <cell r="AB645">
            <v>13</v>
          </cell>
          <cell r="AC645">
            <v>1</v>
          </cell>
          <cell r="AD645" t="str">
            <v>TIDAK</v>
          </cell>
          <cell r="AE645" t="str">
            <v>TIDAK</v>
          </cell>
          <cell r="AF645">
            <v>13</v>
          </cell>
          <cell r="AG645">
            <v>1</v>
          </cell>
          <cell r="AH645" t="str">
            <v>SAPHIRE</v>
          </cell>
          <cell r="AI645">
            <v>0</v>
          </cell>
          <cell r="AJ645" t="str">
            <v>FALSE</v>
          </cell>
          <cell r="AK645">
            <v>0</v>
          </cell>
          <cell r="AL645">
            <v>45261</v>
          </cell>
          <cell r="AM645">
            <v>45701</v>
          </cell>
          <cell r="AN645">
            <v>1</v>
          </cell>
          <cell r="AO645">
            <v>13</v>
          </cell>
          <cell r="AP645" t="str">
            <v>-</v>
          </cell>
          <cell r="AQ645" t="str">
            <v>-</v>
          </cell>
          <cell r="AR645" t="str">
            <v>-</v>
          </cell>
          <cell r="AS645" t="str">
            <v>-</v>
          </cell>
          <cell r="AT645" t="str">
            <v>-</v>
          </cell>
          <cell r="AU645" t="str">
            <v>-</v>
          </cell>
          <cell r="AV645" t="str">
            <v/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4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 t="str">
            <v/>
          </cell>
          <cell r="BN645">
            <v>4</v>
          </cell>
          <cell r="BO645">
            <v>4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 t="str">
            <v/>
          </cell>
          <cell r="BV645">
            <v>4</v>
          </cell>
          <cell r="BW645">
            <v>6</v>
          </cell>
          <cell r="BX645" t="str">
            <v>DOWNGRADE</v>
          </cell>
          <cell r="BY645" t="str">
            <v>RESET</v>
          </cell>
        </row>
        <row r="646">
          <cell r="A646" t="str">
            <v>A2025</v>
          </cell>
          <cell r="B646" t="str">
            <v>Nur Aini Hafidha</v>
          </cell>
          <cell r="C646" t="str">
            <v>SBPV</v>
          </cell>
          <cell r="D646">
            <v>45035</v>
          </cell>
          <cell r="E646" t="str">
            <v>Apr-23</v>
          </cell>
          <cell r="F646" t="str">
            <v>REGULER</v>
          </cell>
          <cell r="G646" t="str">
            <v>REGULER</v>
          </cell>
          <cell r="H646" t="str">
            <v>REGULER</v>
          </cell>
          <cell r="I646" t="str">
            <v>REGULER</v>
          </cell>
          <cell r="J646" t="str">
            <v>REGULER</v>
          </cell>
          <cell r="K646" t="str">
            <v>REGULER</v>
          </cell>
          <cell r="L646" t="str">
            <v>REGULER</v>
          </cell>
          <cell r="M646">
            <v>19</v>
          </cell>
          <cell r="N646">
            <v>26</v>
          </cell>
          <cell r="O646">
            <v>35</v>
          </cell>
          <cell r="P646">
            <v>25</v>
          </cell>
          <cell r="Q646">
            <v>14</v>
          </cell>
          <cell r="R646">
            <v>17</v>
          </cell>
          <cell r="S646">
            <v>5</v>
          </cell>
          <cell r="T646">
            <v>141</v>
          </cell>
          <cell r="U646">
            <v>19</v>
          </cell>
          <cell r="V646">
            <v>26</v>
          </cell>
          <cell r="W646">
            <v>35</v>
          </cell>
          <cell r="X646">
            <v>25</v>
          </cell>
          <cell r="Y646">
            <v>14</v>
          </cell>
          <cell r="Z646">
            <v>17</v>
          </cell>
          <cell r="AA646">
            <v>5</v>
          </cell>
          <cell r="AB646">
            <v>141</v>
          </cell>
          <cell r="AC646">
            <v>0</v>
          </cell>
          <cell r="AD646" t="str">
            <v>TIDAK</v>
          </cell>
          <cell r="AE646" t="str">
            <v>TIDAK</v>
          </cell>
          <cell r="AF646">
            <v>141</v>
          </cell>
          <cell r="AG646">
            <v>1</v>
          </cell>
          <cell r="AH646" t="str">
            <v>SAPHIRE</v>
          </cell>
          <cell r="AI646">
            <v>0</v>
          </cell>
          <cell r="AJ646" t="str">
            <v>Y</v>
          </cell>
          <cell r="AK646">
            <v>0</v>
          </cell>
          <cell r="AL646">
            <v>45261</v>
          </cell>
          <cell r="AM646">
            <v>45701</v>
          </cell>
          <cell r="AN646">
            <v>1</v>
          </cell>
          <cell r="AO646">
            <v>141</v>
          </cell>
          <cell r="AP646" t="str">
            <v>-</v>
          </cell>
          <cell r="AQ646" t="str">
            <v>-</v>
          </cell>
          <cell r="AR646" t="str">
            <v>REGULER</v>
          </cell>
          <cell r="AS646" t="str">
            <v>REGULER</v>
          </cell>
          <cell r="AT646" t="str">
            <v>REGULER</v>
          </cell>
          <cell r="AU646" t="str">
            <v>REGULER</v>
          </cell>
          <cell r="AV646" t="str">
            <v/>
          </cell>
          <cell r="AW646">
            <v>17</v>
          </cell>
          <cell r="AX646">
            <v>11</v>
          </cell>
          <cell r="AY646">
            <v>7</v>
          </cell>
          <cell r="AZ646">
            <v>12</v>
          </cell>
          <cell r="BA646">
            <v>16</v>
          </cell>
          <cell r="BB646">
            <v>17</v>
          </cell>
          <cell r="BC646">
            <v>11</v>
          </cell>
          <cell r="BD646">
            <v>7</v>
          </cell>
          <cell r="BE646">
            <v>12</v>
          </cell>
          <cell r="BF646">
            <v>16</v>
          </cell>
          <cell r="BG646">
            <v>2</v>
          </cell>
          <cell r="BH646">
            <v>17</v>
          </cell>
          <cell r="BI646">
            <v>11</v>
          </cell>
          <cell r="BJ646">
            <v>7</v>
          </cell>
          <cell r="BK646">
            <v>12</v>
          </cell>
          <cell r="BL646">
            <v>16</v>
          </cell>
          <cell r="BM646">
            <v>8</v>
          </cell>
          <cell r="BN646">
            <v>73</v>
          </cell>
          <cell r="BO646">
            <v>2</v>
          </cell>
          <cell r="BP646">
            <v>17</v>
          </cell>
          <cell r="BQ646">
            <v>11</v>
          </cell>
          <cell r="BR646">
            <v>7</v>
          </cell>
          <cell r="BS646">
            <v>12</v>
          </cell>
          <cell r="BT646">
            <v>16</v>
          </cell>
          <cell r="BU646">
            <v>8</v>
          </cell>
          <cell r="BV646">
            <v>73</v>
          </cell>
          <cell r="BW646">
            <v>0</v>
          </cell>
          <cell r="BX646" t="str">
            <v>TIDAK</v>
          </cell>
          <cell r="BY646" t="str">
            <v>TIDAK</v>
          </cell>
        </row>
        <row r="647">
          <cell r="A647" t="str">
            <v>A3328</v>
          </cell>
          <cell r="B647" t="str">
            <v>Nurul Azizah Hutasuhut</v>
          </cell>
          <cell r="C647" t="str">
            <v>SBPV</v>
          </cell>
          <cell r="D647">
            <v>45355</v>
          </cell>
          <cell r="E647" t="str">
            <v>Mar-24</v>
          </cell>
          <cell r="F647" t="str">
            <v>REGULER</v>
          </cell>
          <cell r="G647" t="str">
            <v>-</v>
          </cell>
          <cell r="H647" t="str">
            <v>-</v>
          </cell>
          <cell r="I647" t="str">
            <v>REGULER</v>
          </cell>
          <cell r="J647" t="str">
            <v>-</v>
          </cell>
          <cell r="K647" t="str">
            <v>-</v>
          </cell>
          <cell r="L647" t="str">
            <v>-</v>
          </cell>
          <cell r="M647">
            <v>9</v>
          </cell>
          <cell r="N647">
            <v>0</v>
          </cell>
          <cell r="O647">
            <v>0</v>
          </cell>
          <cell r="P647">
            <v>7</v>
          </cell>
          <cell r="Q647">
            <v>0</v>
          </cell>
          <cell r="R647">
            <v>0</v>
          </cell>
          <cell r="S647" t="str">
            <v/>
          </cell>
          <cell r="T647">
            <v>16</v>
          </cell>
          <cell r="U647">
            <v>9</v>
          </cell>
          <cell r="V647">
            <v>0</v>
          </cell>
          <cell r="W647">
            <v>0</v>
          </cell>
          <cell r="X647">
            <v>7</v>
          </cell>
          <cell r="Y647">
            <v>0</v>
          </cell>
          <cell r="Z647">
            <v>0</v>
          </cell>
          <cell r="AA647" t="str">
            <v/>
          </cell>
          <cell r="AB647">
            <v>16</v>
          </cell>
          <cell r="AC647">
            <v>3</v>
          </cell>
          <cell r="AD647" t="str">
            <v>DOWNGRADE</v>
          </cell>
          <cell r="AE647" t="str">
            <v>RESET</v>
          </cell>
          <cell r="AF647">
            <v>0</v>
          </cell>
          <cell r="AG647">
            <v>1</v>
          </cell>
          <cell r="AH647" t="str">
            <v>SAPHIRE</v>
          </cell>
          <cell r="AI647">
            <v>0</v>
          </cell>
          <cell r="AJ647" t="str">
            <v>FALSE</v>
          </cell>
          <cell r="AK647">
            <v>0</v>
          </cell>
          <cell r="AL647">
            <v>45261</v>
          </cell>
          <cell r="AM647">
            <v>45701</v>
          </cell>
          <cell r="AN647">
            <v>1</v>
          </cell>
          <cell r="AO647">
            <v>0</v>
          </cell>
          <cell r="AP647" t="str">
            <v>-</v>
          </cell>
          <cell r="AQ647" t="str">
            <v>-</v>
          </cell>
          <cell r="AR647" t="str">
            <v>-</v>
          </cell>
          <cell r="AS647" t="str">
            <v>-</v>
          </cell>
          <cell r="AT647" t="str">
            <v>-</v>
          </cell>
          <cell r="AU647" t="str">
            <v>-</v>
          </cell>
          <cell r="AV647" t="str">
            <v/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 t="str">
            <v/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 t="str">
            <v/>
          </cell>
          <cell r="BN647">
            <v>0</v>
          </cell>
          <cell r="BO647" t="str">
            <v/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 t="str">
            <v/>
          </cell>
          <cell r="BV647">
            <v>0</v>
          </cell>
          <cell r="BW647">
            <v>7</v>
          </cell>
          <cell r="BX647" t="str">
            <v>DOWNGRADE</v>
          </cell>
          <cell r="BY647" t="str">
            <v>RESET</v>
          </cell>
        </row>
        <row r="648">
          <cell r="A648" t="str">
            <v>A3967</v>
          </cell>
          <cell r="B648" t="str">
            <v>Pricilla Putri</v>
          </cell>
          <cell r="C648" t="str">
            <v>SBPV</v>
          </cell>
          <cell r="D648">
            <v>45398</v>
          </cell>
          <cell r="E648" t="str">
            <v>Apr-24</v>
          </cell>
          <cell r="F648" t="str">
            <v>-</v>
          </cell>
          <cell r="G648" t="str">
            <v>-</v>
          </cell>
          <cell r="H648" t="str">
            <v>-</v>
          </cell>
          <cell r="I648" t="str">
            <v>-</v>
          </cell>
          <cell r="J648" t="str">
            <v>REGULER</v>
          </cell>
          <cell r="K648" t="str">
            <v>REGULER</v>
          </cell>
          <cell r="L648" t="str">
            <v>-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15</v>
          </cell>
          <cell r="R648">
            <v>15</v>
          </cell>
          <cell r="S648" t="str">
            <v/>
          </cell>
          <cell r="T648">
            <v>30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15</v>
          </cell>
          <cell r="Z648">
            <v>15</v>
          </cell>
          <cell r="AA648" t="str">
            <v/>
          </cell>
          <cell r="AB648">
            <v>30</v>
          </cell>
          <cell r="AC648">
            <v>1</v>
          </cell>
          <cell r="AD648" t="str">
            <v>TIDAK</v>
          </cell>
          <cell r="AE648" t="str">
            <v>TIDAK</v>
          </cell>
          <cell r="AF648">
            <v>30</v>
          </cell>
          <cell r="AG648">
            <v>1</v>
          </cell>
          <cell r="AH648" t="str">
            <v>SAPHIRE</v>
          </cell>
          <cell r="AI648">
            <v>0</v>
          </cell>
          <cell r="AJ648" t="str">
            <v>FALSE</v>
          </cell>
          <cell r="AK648">
            <v>0</v>
          </cell>
          <cell r="AL648">
            <v>45261</v>
          </cell>
          <cell r="AM648">
            <v>45701</v>
          </cell>
          <cell r="AN648">
            <v>1</v>
          </cell>
          <cell r="AO648">
            <v>30</v>
          </cell>
          <cell r="AP648" t="str">
            <v>-</v>
          </cell>
          <cell r="AQ648" t="str">
            <v>-</v>
          </cell>
          <cell r="AR648" t="str">
            <v>REGULER</v>
          </cell>
          <cell r="AS648" t="str">
            <v>REGULER</v>
          </cell>
          <cell r="AT648" t="str">
            <v>-</v>
          </cell>
          <cell r="AU648" t="str">
            <v>-</v>
          </cell>
          <cell r="AV648" t="str">
            <v/>
          </cell>
          <cell r="AW648">
            <v>18</v>
          </cell>
          <cell r="AX648">
            <v>25</v>
          </cell>
          <cell r="AY648">
            <v>4</v>
          </cell>
          <cell r="AZ648">
            <v>0</v>
          </cell>
          <cell r="BA648">
            <v>0</v>
          </cell>
          <cell r="BB648">
            <v>18</v>
          </cell>
          <cell r="BC648">
            <v>25</v>
          </cell>
          <cell r="BD648">
            <v>4</v>
          </cell>
          <cell r="BE648">
            <v>0</v>
          </cell>
          <cell r="BF648">
            <v>0</v>
          </cell>
          <cell r="BG648">
            <v>3</v>
          </cell>
          <cell r="BH648">
            <v>18</v>
          </cell>
          <cell r="BI648">
            <v>25</v>
          </cell>
          <cell r="BJ648">
            <v>4</v>
          </cell>
          <cell r="BK648">
            <v>0</v>
          </cell>
          <cell r="BL648">
            <v>0</v>
          </cell>
          <cell r="BM648" t="str">
            <v/>
          </cell>
          <cell r="BN648">
            <v>50</v>
          </cell>
          <cell r="BO648">
            <v>3</v>
          </cell>
          <cell r="BP648">
            <v>18</v>
          </cell>
          <cell r="BQ648">
            <v>25</v>
          </cell>
          <cell r="BR648">
            <v>4</v>
          </cell>
          <cell r="BS648">
            <v>0</v>
          </cell>
          <cell r="BT648">
            <v>0</v>
          </cell>
          <cell r="BU648" t="str">
            <v/>
          </cell>
          <cell r="BV648">
            <v>50</v>
          </cell>
          <cell r="BW648">
            <v>3</v>
          </cell>
          <cell r="BX648" t="str">
            <v>DOWNGRADE</v>
          </cell>
          <cell r="BY648" t="str">
            <v>RESET</v>
          </cell>
        </row>
        <row r="649">
          <cell r="A649" t="str">
            <v>A2385</v>
          </cell>
          <cell r="B649" t="str">
            <v>Pungki Irawan</v>
          </cell>
          <cell r="C649" t="str">
            <v>SBPV</v>
          </cell>
          <cell r="D649">
            <v>45093</v>
          </cell>
          <cell r="E649" t="str">
            <v>Jun-23</v>
          </cell>
          <cell r="F649" t="str">
            <v>REGULER</v>
          </cell>
          <cell r="G649" t="str">
            <v>REGULER</v>
          </cell>
          <cell r="H649" t="str">
            <v>REGULER</v>
          </cell>
          <cell r="I649" t="str">
            <v>REGULER</v>
          </cell>
          <cell r="J649" t="str">
            <v>REGULER</v>
          </cell>
          <cell r="K649" t="str">
            <v>REGULER</v>
          </cell>
          <cell r="L649" t="str">
            <v>REGULER</v>
          </cell>
          <cell r="M649">
            <v>22</v>
          </cell>
          <cell r="N649">
            <v>56</v>
          </cell>
          <cell r="O649">
            <v>48</v>
          </cell>
          <cell r="P649">
            <v>48</v>
          </cell>
          <cell r="Q649">
            <v>42</v>
          </cell>
          <cell r="R649">
            <v>48</v>
          </cell>
          <cell r="S649">
            <v>22</v>
          </cell>
          <cell r="T649">
            <v>286</v>
          </cell>
          <cell r="U649">
            <v>22</v>
          </cell>
          <cell r="V649">
            <v>56</v>
          </cell>
          <cell r="W649">
            <v>48</v>
          </cell>
          <cell r="X649">
            <v>48</v>
          </cell>
          <cell r="Y649">
            <v>42</v>
          </cell>
          <cell r="Z649">
            <v>48</v>
          </cell>
          <cell r="AA649">
            <v>22</v>
          </cell>
          <cell r="AB649">
            <v>286</v>
          </cell>
          <cell r="AC649">
            <v>0</v>
          </cell>
          <cell r="AD649" t="str">
            <v>TIDAK</v>
          </cell>
          <cell r="AE649" t="str">
            <v>TIDAK</v>
          </cell>
          <cell r="AF649">
            <v>286</v>
          </cell>
          <cell r="AG649">
            <v>1</v>
          </cell>
          <cell r="AH649" t="str">
            <v>SAPHIRE</v>
          </cell>
          <cell r="AI649">
            <v>265</v>
          </cell>
          <cell r="AJ649" t="str">
            <v>Y</v>
          </cell>
          <cell r="AK649">
            <v>0</v>
          </cell>
          <cell r="AL649">
            <v>45261</v>
          </cell>
          <cell r="AM649">
            <v>45701</v>
          </cell>
          <cell r="AN649">
            <v>1</v>
          </cell>
          <cell r="AO649">
            <v>21</v>
          </cell>
          <cell r="AP649" t="str">
            <v>-</v>
          </cell>
          <cell r="AQ649" t="str">
            <v>-</v>
          </cell>
          <cell r="AR649" t="str">
            <v>REGULER</v>
          </cell>
          <cell r="AS649" t="str">
            <v>REGULER</v>
          </cell>
          <cell r="AT649" t="str">
            <v>REGULER</v>
          </cell>
          <cell r="AU649" t="str">
            <v>REGULER</v>
          </cell>
          <cell r="AV649" t="str">
            <v/>
          </cell>
          <cell r="AW649">
            <v>59</v>
          </cell>
          <cell r="AX649">
            <v>51</v>
          </cell>
          <cell r="AY649">
            <v>51</v>
          </cell>
          <cell r="AZ649">
            <v>64</v>
          </cell>
          <cell r="BA649">
            <v>55</v>
          </cell>
          <cell r="BB649">
            <v>59</v>
          </cell>
          <cell r="BC649">
            <v>51</v>
          </cell>
          <cell r="BD649">
            <v>51</v>
          </cell>
          <cell r="BE649">
            <v>64</v>
          </cell>
          <cell r="BF649">
            <v>55</v>
          </cell>
          <cell r="BG649">
            <v>25</v>
          </cell>
          <cell r="BH649">
            <v>59</v>
          </cell>
          <cell r="BI649">
            <v>51</v>
          </cell>
          <cell r="BJ649">
            <v>51</v>
          </cell>
          <cell r="BK649">
            <v>64</v>
          </cell>
          <cell r="BL649">
            <v>55</v>
          </cell>
          <cell r="BM649">
            <v>21</v>
          </cell>
          <cell r="BN649">
            <v>326</v>
          </cell>
          <cell r="BO649">
            <v>25</v>
          </cell>
          <cell r="BP649">
            <v>59</v>
          </cell>
          <cell r="BQ649">
            <v>51</v>
          </cell>
          <cell r="BR649">
            <v>51</v>
          </cell>
          <cell r="BS649">
            <v>64</v>
          </cell>
          <cell r="BT649">
            <v>55</v>
          </cell>
          <cell r="BU649">
            <v>21</v>
          </cell>
          <cell r="BV649">
            <v>326</v>
          </cell>
          <cell r="BW649">
            <v>0</v>
          </cell>
          <cell r="BX649" t="str">
            <v>TIDAK</v>
          </cell>
          <cell r="BY649" t="str">
            <v>TIDAK</v>
          </cell>
        </row>
        <row r="650">
          <cell r="A650" t="str">
            <v>A3330</v>
          </cell>
          <cell r="B650" t="str">
            <v>Qonita Nadya Sari</v>
          </cell>
          <cell r="C650" t="str">
            <v>SBPV</v>
          </cell>
          <cell r="D650">
            <v>45255</v>
          </cell>
          <cell r="E650" t="str">
            <v>Nov-23</v>
          </cell>
          <cell r="F650" t="str">
            <v>REGULER</v>
          </cell>
          <cell r="G650" t="str">
            <v>-</v>
          </cell>
          <cell r="H650" t="str">
            <v>-</v>
          </cell>
          <cell r="I650" t="str">
            <v>-</v>
          </cell>
          <cell r="J650" t="str">
            <v>-</v>
          </cell>
          <cell r="K650" t="str">
            <v>-</v>
          </cell>
          <cell r="L650" t="str">
            <v>-</v>
          </cell>
          <cell r="M650">
            <v>2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 t="str">
            <v/>
          </cell>
          <cell r="T650">
            <v>2</v>
          </cell>
          <cell r="U650">
            <v>2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/>
          </cell>
          <cell r="AB650">
            <v>2</v>
          </cell>
          <cell r="AC650">
            <v>6</v>
          </cell>
          <cell r="AD650" t="str">
            <v>DOWNGRADE</v>
          </cell>
          <cell r="AE650" t="str">
            <v>RESET</v>
          </cell>
          <cell r="AF650">
            <v>0</v>
          </cell>
          <cell r="AG650">
            <v>1</v>
          </cell>
          <cell r="AH650" t="str">
            <v>SAPHIRE</v>
          </cell>
          <cell r="AI650">
            <v>0</v>
          </cell>
          <cell r="AJ650" t="str">
            <v>FALSE</v>
          </cell>
          <cell r="AK650">
            <v>0</v>
          </cell>
          <cell r="AL650">
            <v>45261</v>
          </cell>
          <cell r="AM650">
            <v>45701</v>
          </cell>
          <cell r="AN650">
            <v>1</v>
          </cell>
          <cell r="AO650">
            <v>0</v>
          </cell>
          <cell r="AP650" t="str">
            <v>-</v>
          </cell>
          <cell r="AQ650" t="str">
            <v>-</v>
          </cell>
          <cell r="AR650" t="str">
            <v>-</v>
          </cell>
          <cell r="AS650" t="str">
            <v>-</v>
          </cell>
          <cell r="AT650" t="str">
            <v>-</v>
          </cell>
          <cell r="AU650" t="str">
            <v>-</v>
          </cell>
          <cell r="AV650" t="str">
            <v/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 t="str">
            <v/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 t="str">
            <v/>
          </cell>
          <cell r="BN650">
            <v>0</v>
          </cell>
          <cell r="BO650" t="str">
            <v/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 t="str">
            <v/>
          </cell>
          <cell r="BV650">
            <v>0</v>
          </cell>
          <cell r="BW650">
            <v>7</v>
          </cell>
          <cell r="BX650" t="str">
            <v>DOWNGRADE</v>
          </cell>
          <cell r="BY650" t="str">
            <v>RESET</v>
          </cell>
        </row>
        <row r="651">
          <cell r="A651" t="str">
            <v>A2383</v>
          </cell>
          <cell r="B651" t="str">
            <v xml:space="preserve">Rysma Nur Hidayah </v>
          </cell>
          <cell r="C651" t="str">
            <v>SBPV</v>
          </cell>
          <cell r="D651">
            <v>45089</v>
          </cell>
          <cell r="E651" t="str">
            <v>Jun-23</v>
          </cell>
          <cell r="F651" t="str">
            <v>EKSKLUSIF</v>
          </cell>
          <cell r="G651" t="str">
            <v>EKSKLUSIF</v>
          </cell>
          <cell r="H651" t="str">
            <v>EKSKLUSIF</v>
          </cell>
          <cell r="I651" t="str">
            <v>EKSKLUSIF</v>
          </cell>
          <cell r="J651" t="str">
            <v>EKSKLUSIF</v>
          </cell>
          <cell r="K651" t="str">
            <v>EKSKLUSIF</v>
          </cell>
          <cell r="L651" t="str">
            <v>EKSKLUSIF</v>
          </cell>
          <cell r="M651">
            <v>34</v>
          </cell>
          <cell r="N651">
            <v>73</v>
          </cell>
          <cell r="O651">
            <v>63</v>
          </cell>
          <cell r="P651">
            <v>66</v>
          </cell>
          <cell r="Q651">
            <v>58</v>
          </cell>
          <cell r="R651">
            <v>67</v>
          </cell>
          <cell r="S651">
            <v>34</v>
          </cell>
          <cell r="T651">
            <v>395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 t="str">
            <v>TIDAK</v>
          </cell>
          <cell r="AE651" t="str">
            <v>TIDAK</v>
          </cell>
          <cell r="AF651">
            <v>0</v>
          </cell>
          <cell r="AG651">
            <v>1</v>
          </cell>
          <cell r="AH651" t="str">
            <v>SAPHIRE</v>
          </cell>
          <cell r="AI651">
            <v>0</v>
          </cell>
          <cell r="AJ651" t="str">
            <v>FALSE</v>
          </cell>
          <cell r="AK651">
            <v>0</v>
          </cell>
          <cell r="AL651">
            <v>45261</v>
          </cell>
          <cell r="AM651">
            <v>45701</v>
          </cell>
          <cell r="AN651">
            <v>1</v>
          </cell>
          <cell r="AO651">
            <v>0</v>
          </cell>
          <cell r="AP651" t="str">
            <v>EKSKLUSIF</v>
          </cell>
          <cell r="AQ651" t="str">
            <v>-</v>
          </cell>
          <cell r="AR651" t="str">
            <v>EKSKLUSIF</v>
          </cell>
          <cell r="AS651" t="str">
            <v>EKSKLUSIF</v>
          </cell>
          <cell r="AT651" t="str">
            <v>EKSKLUSIF</v>
          </cell>
          <cell r="AU651" t="str">
            <v>EKSKLUSIF</v>
          </cell>
          <cell r="AV651" t="str">
            <v/>
          </cell>
          <cell r="AW651">
            <v>76</v>
          </cell>
          <cell r="AX651">
            <v>72</v>
          </cell>
          <cell r="AY651">
            <v>66</v>
          </cell>
          <cell r="AZ651">
            <v>63</v>
          </cell>
          <cell r="BA651">
            <v>69</v>
          </cell>
          <cell r="BB651">
            <v>76</v>
          </cell>
          <cell r="BC651">
            <v>72</v>
          </cell>
          <cell r="BD651">
            <v>66</v>
          </cell>
          <cell r="BE651">
            <v>63</v>
          </cell>
          <cell r="BF651">
            <v>63</v>
          </cell>
          <cell r="BG651">
            <v>32</v>
          </cell>
          <cell r="BH651">
            <v>76</v>
          </cell>
          <cell r="BI651">
            <v>72</v>
          </cell>
          <cell r="BJ651">
            <v>66</v>
          </cell>
          <cell r="BK651">
            <v>63</v>
          </cell>
          <cell r="BL651">
            <v>69</v>
          </cell>
          <cell r="BM651">
            <v>34</v>
          </cell>
          <cell r="BN651">
            <v>412</v>
          </cell>
          <cell r="BO651">
            <v>0</v>
          </cell>
          <cell r="BP651">
            <v>76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34</v>
          </cell>
          <cell r="BV651">
            <v>110</v>
          </cell>
          <cell r="BW651">
            <v>0</v>
          </cell>
          <cell r="BX651" t="str">
            <v>TIDAK</v>
          </cell>
          <cell r="BY651" t="str">
            <v>TIDAK</v>
          </cell>
        </row>
        <row r="652">
          <cell r="A652" t="str">
            <v>A0297</v>
          </cell>
          <cell r="B652" t="str">
            <v>Siwi Novitaningrum</v>
          </cell>
          <cell r="C652" t="str">
            <v>SBPV</v>
          </cell>
          <cell r="D652">
            <v>44844</v>
          </cell>
          <cell r="E652" t="str">
            <v>Oct-22</v>
          </cell>
          <cell r="F652" t="str">
            <v>REGULER</v>
          </cell>
          <cell r="G652" t="str">
            <v>REGULER</v>
          </cell>
          <cell r="H652" t="str">
            <v>REGULER</v>
          </cell>
          <cell r="I652" t="str">
            <v>REGULER</v>
          </cell>
          <cell r="J652" t="str">
            <v>REGULER</v>
          </cell>
          <cell r="K652" t="str">
            <v>REGULER</v>
          </cell>
          <cell r="L652" t="str">
            <v>REGULER</v>
          </cell>
          <cell r="M652">
            <v>22</v>
          </cell>
          <cell r="N652">
            <v>50</v>
          </cell>
          <cell r="O652">
            <v>38</v>
          </cell>
          <cell r="P652">
            <v>18</v>
          </cell>
          <cell r="Q652">
            <v>27</v>
          </cell>
          <cell r="R652">
            <v>37</v>
          </cell>
          <cell r="S652">
            <v>20</v>
          </cell>
          <cell r="T652">
            <v>212</v>
          </cell>
          <cell r="U652">
            <v>22</v>
          </cell>
          <cell r="V652">
            <v>50</v>
          </cell>
          <cell r="W652">
            <v>38</v>
          </cell>
          <cell r="X652">
            <v>18</v>
          </cell>
          <cell r="Y652">
            <v>27</v>
          </cell>
          <cell r="Z652">
            <v>37</v>
          </cell>
          <cell r="AA652">
            <v>20</v>
          </cell>
          <cell r="AB652">
            <v>212</v>
          </cell>
          <cell r="AC652">
            <v>0</v>
          </cell>
          <cell r="AD652" t="str">
            <v>TIDAK</v>
          </cell>
          <cell r="AE652" t="str">
            <v>TIDAK</v>
          </cell>
          <cell r="AF652">
            <v>212</v>
          </cell>
          <cell r="AG652">
            <v>1</v>
          </cell>
          <cell r="AH652" t="str">
            <v>SAPHIRE</v>
          </cell>
          <cell r="AI652">
            <v>0</v>
          </cell>
          <cell r="AJ652" t="str">
            <v>Y</v>
          </cell>
          <cell r="AK652">
            <v>0</v>
          </cell>
          <cell r="AL652">
            <v>45261</v>
          </cell>
          <cell r="AM652">
            <v>45701</v>
          </cell>
          <cell r="AN652">
            <v>1</v>
          </cell>
          <cell r="AO652">
            <v>212</v>
          </cell>
          <cell r="AP652" t="str">
            <v>-</v>
          </cell>
          <cell r="AQ652" t="str">
            <v>-</v>
          </cell>
          <cell r="AR652" t="str">
            <v>REGULER</v>
          </cell>
          <cell r="AS652" t="str">
            <v>REGULER</v>
          </cell>
          <cell r="AT652" t="str">
            <v>-</v>
          </cell>
          <cell r="AU652" t="str">
            <v>REGULER</v>
          </cell>
          <cell r="AV652" t="str">
            <v/>
          </cell>
          <cell r="AW652">
            <v>33</v>
          </cell>
          <cell r="AX652">
            <v>39</v>
          </cell>
          <cell r="AY652">
            <v>5</v>
          </cell>
          <cell r="AZ652">
            <v>0</v>
          </cell>
          <cell r="BA652">
            <v>9</v>
          </cell>
          <cell r="BB652">
            <v>33</v>
          </cell>
          <cell r="BC652">
            <v>39</v>
          </cell>
          <cell r="BD652">
            <v>5</v>
          </cell>
          <cell r="BE652">
            <v>0</v>
          </cell>
          <cell r="BF652">
            <v>9</v>
          </cell>
          <cell r="BG652">
            <v>12</v>
          </cell>
          <cell r="BH652">
            <v>33</v>
          </cell>
          <cell r="BI652">
            <v>39</v>
          </cell>
          <cell r="BJ652">
            <v>5</v>
          </cell>
          <cell r="BK652">
            <v>0</v>
          </cell>
          <cell r="BL652">
            <v>9</v>
          </cell>
          <cell r="BM652">
            <v>7</v>
          </cell>
          <cell r="BN652">
            <v>105</v>
          </cell>
          <cell r="BO652">
            <v>12</v>
          </cell>
          <cell r="BP652">
            <v>33</v>
          </cell>
          <cell r="BQ652">
            <v>39</v>
          </cell>
          <cell r="BR652">
            <v>5</v>
          </cell>
          <cell r="BS652">
            <v>0</v>
          </cell>
          <cell r="BT652">
            <v>9</v>
          </cell>
          <cell r="BU652">
            <v>7</v>
          </cell>
          <cell r="BV652">
            <v>105</v>
          </cell>
          <cell r="BW652">
            <v>1</v>
          </cell>
          <cell r="BX652" t="str">
            <v>TIDAK</v>
          </cell>
          <cell r="BY652" t="str">
            <v>TIDAK</v>
          </cell>
        </row>
        <row r="653">
          <cell r="A653" t="str">
            <v>A3214</v>
          </cell>
          <cell r="B653" t="str">
            <v>Wildan Rahmat Nugraha</v>
          </cell>
          <cell r="C653" t="str">
            <v>SBPV</v>
          </cell>
          <cell r="D653">
            <v>45255</v>
          </cell>
          <cell r="E653" t="str">
            <v>Nov-23</v>
          </cell>
          <cell r="F653" t="str">
            <v>REGULER</v>
          </cell>
          <cell r="G653" t="str">
            <v>REGULER</v>
          </cell>
          <cell r="H653" t="str">
            <v>REGULER</v>
          </cell>
          <cell r="I653" t="str">
            <v>-</v>
          </cell>
          <cell r="J653" t="str">
            <v>-</v>
          </cell>
          <cell r="K653" t="str">
            <v>-</v>
          </cell>
          <cell r="L653" t="str">
            <v>-</v>
          </cell>
          <cell r="M653">
            <v>20</v>
          </cell>
          <cell r="N653">
            <v>55</v>
          </cell>
          <cell r="O653">
            <v>27</v>
          </cell>
          <cell r="P653">
            <v>0</v>
          </cell>
          <cell r="Q653">
            <v>0</v>
          </cell>
          <cell r="R653">
            <v>0</v>
          </cell>
          <cell r="S653" t="str">
            <v/>
          </cell>
          <cell r="T653">
            <v>102</v>
          </cell>
          <cell r="U653">
            <v>20</v>
          </cell>
          <cell r="V653">
            <v>55</v>
          </cell>
          <cell r="W653">
            <v>27</v>
          </cell>
          <cell r="X653">
            <v>0</v>
          </cell>
          <cell r="Y653">
            <v>0</v>
          </cell>
          <cell r="Z653">
            <v>0</v>
          </cell>
          <cell r="AA653" t="str">
            <v/>
          </cell>
          <cell r="AB653">
            <v>102</v>
          </cell>
          <cell r="AC653">
            <v>4</v>
          </cell>
          <cell r="AD653" t="str">
            <v>DOWNGRADE</v>
          </cell>
          <cell r="AE653" t="str">
            <v>RESET</v>
          </cell>
          <cell r="AF653">
            <v>0</v>
          </cell>
          <cell r="AG653">
            <v>1</v>
          </cell>
          <cell r="AH653" t="str">
            <v>SAPHIRE</v>
          </cell>
          <cell r="AI653">
            <v>0</v>
          </cell>
          <cell r="AJ653" t="str">
            <v>FALSE</v>
          </cell>
          <cell r="AK653">
            <v>0</v>
          </cell>
          <cell r="AL653">
            <v>45261</v>
          </cell>
          <cell r="AM653">
            <v>45701</v>
          </cell>
          <cell r="AN653">
            <v>1</v>
          </cell>
          <cell r="AO653">
            <v>0</v>
          </cell>
          <cell r="AP653" t="str">
            <v>-</v>
          </cell>
          <cell r="AQ653" t="str">
            <v>-</v>
          </cell>
          <cell r="AR653" t="str">
            <v>-</v>
          </cell>
          <cell r="AS653" t="str">
            <v>-</v>
          </cell>
          <cell r="AT653" t="str">
            <v>-</v>
          </cell>
          <cell r="AU653" t="str">
            <v>-</v>
          </cell>
          <cell r="AV653" t="str">
            <v/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 t="str">
            <v/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 t="str">
            <v/>
          </cell>
          <cell r="BN653">
            <v>0</v>
          </cell>
          <cell r="BO653" t="str">
            <v/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 t="str">
            <v/>
          </cell>
          <cell r="BV653">
            <v>0</v>
          </cell>
          <cell r="BW653">
            <v>7</v>
          </cell>
          <cell r="BX653" t="str">
            <v>DOWNGRADE</v>
          </cell>
          <cell r="BY653" t="str">
            <v>RESET</v>
          </cell>
        </row>
        <row r="654">
          <cell r="A654" t="str">
            <v>A0175</v>
          </cell>
          <cell r="B654" t="str">
            <v>Winny Kartika Widasari</v>
          </cell>
          <cell r="C654" t="str">
            <v>SBPV</v>
          </cell>
          <cell r="D654">
            <v>44816</v>
          </cell>
          <cell r="E654" t="str">
            <v>Sep-22</v>
          </cell>
          <cell r="F654" t="str">
            <v>EKSKLUSIF</v>
          </cell>
          <cell r="G654" t="str">
            <v>EKSKLUSIF</v>
          </cell>
          <cell r="H654" t="str">
            <v>EKSKLUSIF</v>
          </cell>
          <cell r="I654" t="str">
            <v>REGULER</v>
          </cell>
          <cell r="J654" t="str">
            <v>REGULER</v>
          </cell>
          <cell r="K654" t="str">
            <v>REGULER</v>
          </cell>
          <cell r="L654" t="str">
            <v>REGULER</v>
          </cell>
          <cell r="M654">
            <v>34</v>
          </cell>
          <cell r="N654">
            <v>72</v>
          </cell>
          <cell r="O654">
            <v>62</v>
          </cell>
          <cell r="P654">
            <v>47</v>
          </cell>
          <cell r="Q654">
            <v>32</v>
          </cell>
          <cell r="R654">
            <v>25</v>
          </cell>
          <cell r="S654">
            <v>5</v>
          </cell>
          <cell r="T654">
            <v>277</v>
          </cell>
          <cell r="U654">
            <v>0</v>
          </cell>
          <cell r="V654">
            <v>0</v>
          </cell>
          <cell r="W654">
            <v>0</v>
          </cell>
          <cell r="X654">
            <v>47</v>
          </cell>
          <cell r="Y654">
            <v>32</v>
          </cell>
          <cell r="Z654">
            <v>25</v>
          </cell>
          <cell r="AA654">
            <v>5</v>
          </cell>
          <cell r="AB654">
            <v>109</v>
          </cell>
          <cell r="AC654">
            <v>0</v>
          </cell>
          <cell r="AD654" t="str">
            <v>TIDAK</v>
          </cell>
          <cell r="AE654" t="str">
            <v>TIDAK</v>
          </cell>
          <cell r="AF654">
            <v>109</v>
          </cell>
          <cell r="AG654">
            <v>1</v>
          </cell>
          <cell r="AH654" t="str">
            <v>SAPHIRE</v>
          </cell>
          <cell r="AI654">
            <v>65</v>
          </cell>
          <cell r="AJ654" t="str">
            <v>Y</v>
          </cell>
          <cell r="AK654">
            <v>0</v>
          </cell>
          <cell r="AL654">
            <v>45261</v>
          </cell>
          <cell r="AM654">
            <v>45701</v>
          </cell>
          <cell r="AN654">
            <v>1</v>
          </cell>
          <cell r="AO654">
            <v>44</v>
          </cell>
          <cell r="AP654" t="str">
            <v>-</v>
          </cell>
          <cell r="AQ654" t="str">
            <v>-</v>
          </cell>
          <cell r="AR654" t="str">
            <v>-</v>
          </cell>
          <cell r="AS654" t="str">
            <v>-</v>
          </cell>
          <cell r="AT654" t="str">
            <v>-</v>
          </cell>
          <cell r="AU654" t="str">
            <v>-</v>
          </cell>
          <cell r="AV654" t="str">
            <v/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 t="str">
            <v/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 t="str">
            <v/>
          </cell>
          <cell r="BN654">
            <v>0</v>
          </cell>
          <cell r="BO654" t="str">
            <v/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 t="str">
            <v/>
          </cell>
          <cell r="BV654">
            <v>0</v>
          </cell>
          <cell r="BW654">
            <v>7</v>
          </cell>
          <cell r="BX654" t="str">
            <v>DOWNGRADE</v>
          </cell>
          <cell r="BY654" t="str">
            <v>RESET</v>
          </cell>
        </row>
        <row r="655">
          <cell r="A655" t="str">
            <v>A4003</v>
          </cell>
          <cell r="B655" t="str">
            <v>Zhazha Bella Risna</v>
          </cell>
          <cell r="C655" t="str">
            <v>SBPV</v>
          </cell>
          <cell r="D655">
            <v>45409</v>
          </cell>
          <cell r="E655" t="str">
            <v>Apr-24</v>
          </cell>
          <cell r="F655" t="str">
            <v>-</v>
          </cell>
          <cell r="G655" t="str">
            <v>-</v>
          </cell>
          <cell r="H655" t="str">
            <v>-</v>
          </cell>
          <cell r="I655" t="str">
            <v>-</v>
          </cell>
          <cell r="J655" t="str">
            <v>REGULER</v>
          </cell>
          <cell r="K655" t="str">
            <v>REGULER</v>
          </cell>
          <cell r="L655" t="str">
            <v>-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3</v>
          </cell>
          <cell r="R655">
            <v>14</v>
          </cell>
          <cell r="S655">
            <v>0</v>
          </cell>
          <cell r="T655">
            <v>17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3</v>
          </cell>
          <cell r="Z655">
            <v>14</v>
          </cell>
          <cell r="AA655">
            <v>0</v>
          </cell>
          <cell r="AB655">
            <v>17</v>
          </cell>
          <cell r="AC655">
            <v>1</v>
          </cell>
          <cell r="AD655" t="str">
            <v>TIDAK</v>
          </cell>
          <cell r="AE655" t="str">
            <v>TIDAK</v>
          </cell>
          <cell r="AF655">
            <v>17</v>
          </cell>
          <cell r="AG655">
            <v>1</v>
          </cell>
          <cell r="AH655" t="str">
            <v>SAPHIRE</v>
          </cell>
          <cell r="AI655">
            <v>0</v>
          </cell>
          <cell r="AJ655" t="str">
            <v>FALSE</v>
          </cell>
          <cell r="AK655">
            <v>0</v>
          </cell>
          <cell r="AL655">
            <v>45261</v>
          </cell>
          <cell r="AM655">
            <v>45701</v>
          </cell>
          <cell r="AN655">
            <v>1</v>
          </cell>
          <cell r="AO655">
            <v>17</v>
          </cell>
          <cell r="AP655" t="str">
            <v>-</v>
          </cell>
          <cell r="AQ655" t="str">
            <v>-</v>
          </cell>
          <cell r="AR655" t="str">
            <v>REGULER</v>
          </cell>
          <cell r="AS655" t="str">
            <v>REGULER</v>
          </cell>
          <cell r="AT655" t="str">
            <v>REGULER</v>
          </cell>
          <cell r="AU655" t="str">
            <v>-</v>
          </cell>
          <cell r="AV655" t="str">
            <v/>
          </cell>
          <cell r="AW655">
            <v>16</v>
          </cell>
          <cell r="AX655">
            <v>7</v>
          </cell>
          <cell r="AY655">
            <v>1</v>
          </cell>
          <cell r="AZ655">
            <v>5</v>
          </cell>
          <cell r="BA655">
            <v>0</v>
          </cell>
          <cell r="BB655">
            <v>16</v>
          </cell>
          <cell r="BC655">
            <v>7</v>
          </cell>
          <cell r="BD655">
            <v>1</v>
          </cell>
          <cell r="BE655">
            <v>5</v>
          </cell>
          <cell r="BF655">
            <v>0</v>
          </cell>
          <cell r="BG655" t="str">
            <v/>
          </cell>
          <cell r="BH655">
            <v>16</v>
          </cell>
          <cell r="BI655">
            <v>7</v>
          </cell>
          <cell r="BJ655">
            <v>1</v>
          </cell>
          <cell r="BK655">
            <v>5</v>
          </cell>
          <cell r="BL655">
            <v>0</v>
          </cell>
          <cell r="BM655" t="str">
            <v/>
          </cell>
          <cell r="BN655">
            <v>29</v>
          </cell>
          <cell r="BO655" t="str">
            <v/>
          </cell>
          <cell r="BP655">
            <v>16</v>
          </cell>
          <cell r="BQ655">
            <v>7</v>
          </cell>
          <cell r="BR655">
            <v>1</v>
          </cell>
          <cell r="BS655">
            <v>5</v>
          </cell>
          <cell r="BT655">
            <v>0</v>
          </cell>
          <cell r="BU655" t="str">
            <v/>
          </cell>
          <cell r="BV655">
            <v>29</v>
          </cell>
          <cell r="BW655">
            <v>3</v>
          </cell>
          <cell r="BX655" t="str">
            <v>DOWNGRADE</v>
          </cell>
          <cell r="BY655" t="str">
            <v>TIDAK</v>
          </cell>
        </row>
        <row r="656">
          <cell r="A656" t="str">
            <v>A0177</v>
          </cell>
          <cell r="B656" t="str">
            <v>Yunita Nuswantari Wiratna</v>
          </cell>
          <cell r="C656" t="str">
            <v>SBPV</v>
          </cell>
          <cell r="D656">
            <v>44835</v>
          </cell>
          <cell r="E656" t="str">
            <v>Oct-22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 t="str">
            <v>-</v>
          </cell>
          <cell r="AQ656" t="str">
            <v>-</v>
          </cell>
          <cell r="AR656" t="str">
            <v>REGULER</v>
          </cell>
          <cell r="AS656" t="str">
            <v>REGULER</v>
          </cell>
          <cell r="AT656" t="str">
            <v>REGULER</v>
          </cell>
          <cell r="AU656" t="str">
            <v>REGULER</v>
          </cell>
          <cell r="AV656" t="str">
            <v/>
          </cell>
          <cell r="AW656">
            <v>46</v>
          </cell>
          <cell r="AX656">
            <v>32</v>
          </cell>
          <cell r="AY656">
            <v>36</v>
          </cell>
          <cell r="AZ656">
            <v>56</v>
          </cell>
          <cell r="BA656">
            <v>52</v>
          </cell>
          <cell r="BB656">
            <v>46</v>
          </cell>
          <cell r="BC656">
            <v>32</v>
          </cell>
          <cell r="BD656">
            <v>36</v>
          </cell>
          <cell r="BE656">
            <v>56</v>
          </cell>
          <cell r="BF656">
            <v>52</v>
          </cell>
          <cell r="BG656" t="str">
            <v/>
          </cell>
          <cell r="BH656">
            <v>46</v>
          </cell>
          <cell r="BI656">
            <v>32</v>
          </cell>
          <cell r="BJ656">
            <v>36</v>
          </cell>
          <cell r="BK656">
            <v>56</v>
          </cell>
          <cell r="BL656">
            <v>52</v>
          </cell>
          <cell r="BM656">
            <v>23</v>
          </cell>
          <cell r="BN656">
            <v>245</v>
          </cell>
          <cell r="BO656" t="str">
            <v/>
          </cell>
          <cell r="BP656">
            <v>46</v>
          </cell>
          <cell r="BQ656">
            <v>32</v>
          </cell>
          <cell r="BR656">
            <v>36</v>
          </cell>
          <cell r="BS656">
            <v>56</v>
          </cell>
          <cell r="BT656">
            <v>52</v>
          </cell>
          <cell r="BU656">
            <v>23</v>
          </cell>
          <cell r="BV656">
            <v>245</v>
          </cell>
          <cell r="BW656">
            <v>1</v>
          </cell>
          <cell r="BX656" t="str">
            <v>TIDAK</v>
          </cell>
          <cell r="BY656" t="str">
            <v>TIDAK</v>
          </cell>
        </row>
        <row r="657">
          <cell r="A657" t="str">
            <v>A4060</v>
          </cell>
          <cell r="B657" t="str">
            <v>ATHALA ALINSYIRA</v>
          </cell>
          <cell r="C657" t="str">
            <v>SBPV</v>
          </cell>
          <cell r="D657">
            <v>45461</v>
          </cell>
          <cell r="E657" t="str">
            <v>Jun-24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 t="str">
            <v>-</v>
          </cell>
          <cell r="AQ657" t="str">
            <v>-</v>
          </cell>
          <cell r="AR657" t="str">
            <v>-</v>
          </cell>
          <cell r="AS657" t="str">
            <v>-</v>
          </cell>
          <cell r="AT657" t="str">
            <v>-</v>
          </cell>
          <cell r="AU657" t="str">
            <v>-</v>
          </cell>
          <cell r="AV657" t="str">
            <v/>
          </cell>
          <cell r="AW657">
            <v>19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19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7</v>
          </cell>
          <cell r="BH657">
            <v>19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 t="str">
            <v/>
          </cell>
          <cell r="BN657">
            <v>26</v>
          </cell>
          <cell r="BO657">
            <v>7</v>
          </cell>
          <cell r="BP657">
            <v>19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 t="str">
            <v/>
          </cell>
          <cell r="BV657">
            <v>26</v>
          </cell>
          <cell r="BW657">
            <v>5</v>
          </cell>
          <cell r="BX657" t="str">
            <v>DOWNGRADE</v>
          </cell>
          <cell r="BY657" t="str">
            <v>RESET</v>
          </cell>
        </row>
        <row r="658">
          <cell r="A658" t="str">
            <v>A4061</v>
          </cell>
          <cell r="B658" t="str">
            <v>INAS NAFIAH</v>
          </cell>
          <cell r="C658" t="str">
            <v>SBPV</v>
          </cell>
          <cell r="D658">
            <v>45461</v>
          </cell>
          <cell r="E658" t="str">
            <v>Jun-24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 t="str">
            <v>-</v>
          </cell>
          <cell r="AQ658" t="str">
            <v>-</v>
          </cell>
          <cell r="AR658" t="str">
            <v>REGULER</v>
          </cell>
          <cell r="AS658" t="str">
            <v>REGULER</v>
          </cell>
          <cell r="AT658" t="str">
            <v>REGULER</v>
          </cell>
          <cell r="AU658" t="str">
            <v>REGULER</v>
          </cell>
          <cell r="AV658" t="str">
            <v/>
          </cell>
          <cell r="AW658">
            <v>37</v>
          </cell>
          <cell r="AX658">
            <v>33</v>
          </cell>
          <cell r="AY658">
            <v>39</v>
          </cell>
          <cell r="AZ658">
            <v>26</v>
          </cell>
          <cell r="BA658">
            <v>2</v>
          </cell>
          <cell r="BB658">
            <v>37</v>
          </cell>
          <cell r="BC658">
            <v>33</v>
          </cell>
          <cell r="BD658">
            <v>39</v>
          </cell>
          <cell r="BE658">
            <v>26</v>
          </cell>
          <cell r="BF658">
            <v>2</v>
          </cell>
          <cell r="BG658">
            <v>5</v>
          </cell>
          <cell r="BH658">
            <v>37</v>
          </cell>
          <cell r="BI658">
            <v>33</v>
          </cell>
          <cell r="BJ658">
            <v>39</v>
          </cell>
          <cell r="BK658">
            <v>26</v>
          </cell>
          <cell r="BL658">
            <v>2</v>
          </cell>
          <cell r="BM658" t="str">
            <v/>
          </cell>
          <cell r="BN658">
            <v>142</v>
          </cell>
          <cell r="BO658">
            <v>5</v>
          </cell>
          <cell r="BP658">
            <v>37</v>
          </cell>
          <cell r="BQ658">
            <v>33</v>
          </cell>
          <cell r="BR658">
            <v>39</v>
          </cell>
          <cell r="BS658">
            <v>26</v>
          </cell>
          <cell r="BT658">
            <v>2</v>
          </cell>
          <cell r="BU658" t="str">
            <v/>
          </cell>
          <cell r="BV658">
            <v>142</v>
          </cell>
          <cell r="BW658">
            <v>1</v>
          </cell>
          <cell r="BX658" t="str">
            <v>TIDAK</v>
          </cell>
          <cell r="BY658" t="str">
            <v>TIDAK</v>
          </cell>
        </row>
        <row r="659">
          <cell r="A659" t="str">
            <v>A4132</v>
          </cell>
          <cell r="B659" t="str">
            <v>RENELIUS ROHIT</v>
          </cell>
          <cell r="C659" t="str">
            <v>SBPV</v>
          </cell>
          <cell r="D659">
            <v>45484</v>
          </cell>
          <cell r="E659" t="str">
            <v>Jul-24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 t="str">
            <v>-</v>
          </cell>
          <cell r="AQ659" t="str">
            <v>-</v>
          </cell>
          <cell r="AR659" t="str">
            <v>-</v>
          </cell>
          <cell r="AS659" t="str">
            <v>-</v>
          </cell>
          <cell r="AT659" t="str">
            <v>-</v>
          </cell>
          <cell r="AU659" t="str">
            <v>-</v>
          </cell>
          <cell r="AV659" t="str">
            <v/>
          </cell>
          <cell r="AW659">
            <v>1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1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1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 t="str">
            <v/>
          </cell>
          <cell r="BN659">
            <v>1</v>
          </cell>
          <cell r="BO659">
            <v>0</v>
          </cell>
          <cell r="BP659">
            <v>1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 t="str">
            <v/>
          </cell>
          <cell r="BV659">
            <v>1</v>
          </cell>
          <cell r="BW659">
            <v>5</v>
          </cell>
          <cell r="BX659" t="str">
            <v>DOWNGRADE</v>
          </cell>
          <cell r="BY659" t="str">
            <v>RESET</v>
          </cell>
        </row>
        <row r="660">
          <cell r="A660" t="str">
            <v>A4135</v>
          </cell>
          <cell r="B660" t="str">
            <v>APFIA HARYONO</v>
          </cell>
          <cell r="C660" t="str">
            <v>SBPV</v>
          </cell>
          <cell r="D660">
            <v>45504</v>
          </cell>
          <cell r="E660" t="str">
            <v>Jul-24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 t="str">
            <v>-</v>
          </cell>
          <cell r="AQ660" t="str">
            <v>-</v>
          </cell>
          <cell r="AR660" t="str">
            <v>-</v>
          </cell>
          <cell r="AS660" t="str">
            <v>-</v>
          </cell>
          <cell r="AT660" t="str">
            <v>-</v>
          </cell>
          <cell r="AU660" t="str">
            <v>-</v>
          </cell>
          <cell r="AV660" t="str">
            <v/>
          </cell>
          <cell r="AW660">
            <v>1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1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1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 t="str">
            <v/>
          </cell>
          <cell r="BN660">
            <v>1</v>
          </cell>
          <cell r="BO660">
            <v>0</v>
          </cell>
          <cell r="BP660">
            <v>1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 t="str">
            <v/>
          </cell>
          <cell r="BV660">
            <v>1</v>
          </cell>
          <cell r="BW660">
            <v>5</v>
          </cell>
          <cell r="BX660" t="str">
            <v>DOWNGRADE</v>
          </cell>
          <cell r="BY660" t="str">
            <v>RESET</v>
          </cell>
        </row>
        <row r="661">
          <cell r="A661">
            <v>92743</v>
          </cell>
          <cell r="B661" t="str">
            <v>Gilang Raharjo</v>
          </cell>
          <cell r="C661" t="str">
            <v>SBPV</v>
          </cell>
          <cell r="D661">
            <v>45539</v>
          </cell>
          <cell r="E661" t="str">
            <v>Sep-24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 t="str">
            <v>-</v>
          </cell>
          <cell r="AQ661" t="str">
            <v>-</v>
          </cell>
          <cell r="AR661" t="str">
            <v>-</v>
          </cell>
          <cell r="AS661" t="str">
            <v>REGULER</v>
          </cell>
          <cell r="AT661" t="str">
            <v>REGULER</v>
          </cell>
          <cell r="AU661" t="str">
            <v>REGULER</v>
          </cell>
          <cell r="AV661" t="str">
            <v/>
          </cell>
          <cell r="AW661">
            <v>0</v>
          </cell>
          <cell r="AX661">
            <v>0</v>
          </cell>
          <cell r="AY661">
            <v>13</v>
          </cell>
          <cell r="AZ661">
            <v>13</v>
          </cell>
          <cell r="BA661">
            <v>2</v>
          </cell>
          <cell r="BB661">
            <v>0</v>
          </cell>
          <cell r="BC661">
            <v>0</v>
          </cell>
          <cell r="BD661">
            <v>13</v>
          </cell>
          <cell r="BE661">
            <v>13</v>
          </cell>
          <cell r="BF661">
            <v>2</v>
          </cell>
          <cell r="BG661" t="str">
            <v/>
          </cell>
          <cell r="BH661">
            <v>0</v>
          </cell>
          <cell r="BI661">
            <v>0</v>
          </cell>
          <cell r="BJ661">
            <v>13</v>
          </cell>
          <cell r="BK661">
            <v>13</v>
          </cell>
          <cell r="BL661">
            <v>2</v>
          </cell>
          <cell r="BM661" t="str">
            <v/>
          </cell>
          <cell r="BN661">
            <v>28</v>
          </cell>
          <cell r="BO661" t="str">
            <v/>
          </cell>
          <cell r="BP661">
            <v>0</v>
          </cell>
          <cell r="BQ661">
            <v>0</v>
          </cell>
          <cell r="BR661">
            <v>13</v>
          </cell>
          <cell r="BS661">
            <v>13</v>
          </cell>
          <cell r="BT661">
            <v>2</v>
          </cell>
          <cell r="BU661" t="str">
            <v/>
          </cell>
          <cell r="BV661">
            <v>28</v>
          </cell>
          <cell r="BW661">
            <v>1</v>
          </cell>
          <cell r="BX661" t="str">
            <v>TIDAK</v>
          </cell>
          <cell r="BY661" t="str">
            <v>TIDAK</v>
          </cell>
        </row>
        <row r="662">
          <cell r="A662" t="str">
            <v>A4256</v>
          </cell>
          <cell r="B662" t="str">
            <v>NAMIRA AMINATUZAHRA</v>
          </cell>
          <cell r="C662" t="str">
            <v>SBPV</v>
          </cell>
          <cell r="D662">
            <v>45539</v>
          </cell>
          <cell r="E662" t="str">
            <v>Sep-24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 t="str">
            <v>-</v>
          </cell>
          <cell r="AQ662" t="str">
            <v>-</v>
          </cell>
          <cell r="AR662" t="str">
            <v>-</v>
          </cell>
          <cell r="AS662" t="str">
            <v>REGULER</v>
          </cell>
          <cell r="AT662" t="str">
            <v>REGULER</v>
          </cell>
          <cell r="AU662" t="str">
            <v>REGULER</v>
          </cell>
          <cell r="AV662" t="str">
            <v/>
          </cell>
          <cell r="AW662">
            <v>0</v>
          </cell>
          <cell r="AX662">
            <v>0</v>
          </cell>
          <cell r="AY662">
            <v>18</v>
          </cell>
          <cell r="AZ662">
            <v>16</v>
          </cell>
          <cell r="BA662">
            <v>8</v>
          </cell>
          <cell r="BB662">
            <v>0</v>
          </cell>
          <cell r="BC662">
            <v>0</v>
          </cell>
          <cell r="BD662">
            <v>18</v>
          </cell>
          <cell r="BE662">
            <v>16</v>
          </cell>
          <cell r="BF662">
            <v>8</v>
          </cell>
          <cell r="BG662" t="str">
            <v/>
          </cell>
          <cell r="BH662">
            <v>0</v>
          </cell>
          <cell r="BI662">
            <v>0</v>
          </cell>
          <cell r="BJ662">
            <v>18</v>
          </cell>
          <cell r="BK662">
            <v>16</v>
          </cell>
          <cell r="BL662">
            <v>8</v>
          </cell>
          <cell r="BM662">
            <v>4</v>
          </cell>
          <cell r="BN662">
            <v>46</v>
          </cell>
          <cell r="BO662" t="str">
            <v/>
          </cell>
          <cell r="BP662">
            <v>0</v>
          </cell>
          <cell r="BQ662">
            <v>0</v>
          </cell>
          <cell r="BR662">
            <v>18</v>
          </cell>
          <cell r="BS662">
            <v>16</v>
          </cell>
          <cell r="BT662">
            <v>8</v>
          </cell>
          <cell r="BU662">
            <v>4</v>
          </cell>
          <cell r="BV662">
            <v>46</v>
          </cell>
          <cell r="BW662">
            <v>0</v>
          </cell>
          <cell r="BX662" t="str">
            <v>TIDAK</v>
          </cell>
          <cell r="BY662" t="str">
            <v>TIDAK</v>
          </cell>
        </row>
        <row r="663">
          <cell r="A663" t="str">
            <v>A4257</v>
          </cell>
          <cell r="B663" t="str">
            <v>ANDREA DANISWARA SUKARDI</v>
          </cell>
          <cell r="C663" t="str">
            <v>SBPV</v>
          </cell>
          <cell r="D663">
            <v>45539</v>
          </cell>
          <cell r="E663" t="str">
            <v>Sep-24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 t="str">
            <v>-</v>
          </cell>
          <cell r="AQ663" t="str">
            <v>-</v>
          </cell>
          <cell r="AR663" t="str">
            <v>-</v>
          </cell>
          <cell r="AS663" t="str">
            <v>REGULER</v>
          </cell>
          <cell r="AT663" t="str">
            <v>-</v>
          </cell>
          <cell r="AU663" t="str">
            <v>-</v>
          </cell>
          <cell r="AV663" t="str">
            <v/>
          </cell>
          <cell r="AW663">
            <v>0</v>
          </cell>
          <cell r="AX663">
            <v>0</v>
          </cell>
          <cell r="AY663">
            <v>6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6</v>
          </cell>
          <cell r="BE663">
            <v>0</v>
          </cell>
          <cell r="BF663">
            <v>0</v>
          </cell>
          <cell r="BG663" t="str">
            <v/>
          </cell>
          <cell r="BH663">
            <v>0</v>
          </cell>
          <cell r="BI663">
            <v>0</v>
          </cell>
          <cell r="BJ663">
            <v>6</v>
          </cell>
          <cell r="BK663">
            <v>0</v>
          </cell>
          <cell r="BL663">
            <v>0</v>
          </cell>
          <cell r="BM663" t="str">
            <v/>
          </cell>
          <cell r="BN663">
            <v>6</v>
          </cell>
          <cell r="BO663" t="str">
            <v/>
          </cell>
          <cell r="BP663">
            <v>0</v>
          </cell>
          <cell r="BQ663">
            <v>0</v>
          </cell>
          <cell r="BR663">
            <v>6</v>
          </cell>
          <cell r="BS663">
            <v>0</v>
          </cell>
          <cell r="BT663">
            <v>0</v>
          </cell>
          <cell r="BU663" t="str">
            <v/>
          </cell>
          <cell r="BV663">
            <v>6</v>
          </cell>
          <cell r="BW663">
            <v>3</v>
          </cell>
          <cell r="BX663" t="str">
            <v>DOWNGRADE</v>
          </cell>
          <cell r="BY663" t="str">
            <v>RESET</v>
          </cell>
        </row>
        <row r="664">
          <cell r="A664" t="str">
            <v>A4313</v>
          </cell>
          <cell r="B664" t="str">
            <v>VIDYA KALINGGA MURTI</v>
          </cell>
          <cell r="C664" t="str">
            <v>SBPV</v>
          </cell>
          <cell r="D664">
            <v>45573</v>
          </cell>
          <cell r="E664" t="str">
            <v>Oct-24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 t="str">
            <v>-</v>
          </cell>
          <cell r="AQ664" t="str">
            <v>-</v>
          </cell>
          <cell r="AR664" t="str">
            <v>-</v>
          </cell>
          <cell r="AS664" t="str">
            <v>-</v>
          </cell>
          <cell r="AT664" t="str">
            <v>REGULER</v>
          </cell>
          <cell r="AU664" t="str">
            <v>REGULER</v>
          </cell>
          <cell r="AV664" t="str">
            <v/>
          </cell>
          <cell r="AW664">
            <v>0</v>
          </cell>
          <cell r="AX664">
            <v>0</v>
          </cell>
          <cell r="AY664">
            <v>0</v>
          </cell>
          <cell r="AZ664">
            <v>33</v>
          </cell>
          <cell r="BA664">
            <v>48</v>
          </cell>
          <cell r="BB664">
            <v>0</v>
          </cell>
          <cell r="BC664">
            <v>0</v>
          </cell>
          <cell r="BD664">
            <v>0</v>
          </cell>
          <cell r="BE664">
            <v>33</v>
          </cell>
          <cell r="BF664">
            <v>48</v>
          </cell>
          <cell r="BG664" t="str">
            <v/>
          </cell>
          <cell r="BH664">
            <v>0</v>
          </cell>
          <cell r="BI664">
            <v>0</v>
          </cell>
          <cell r="BJ664">
            <v>0</v>
          </cell>
          <cell r="BK664">
            <v>33</v>
          </cell>
          <cell r="BL664">
            <v>48</v>
          </cell>
          <cell r="BM664">
            <v>22</v>
          </cell>
          <cell r="BN664">
            <v>103</v>
          </cell>
          <cell r="BO664" t="str">
            <v/>
          </cell>
          <cell r="BP664">
            <v>0</v>
          </cell>
          <cell r="BQ664">
            <v>0</v>
          </cell>
          <cell r="BR664">
            <v>0</v>
          </cell>
          <cell r="BS664">
            <v>33</v>
          </cell>
          <cell r="BT664">
            <v>48</v>
          </cell>
          <cell r="BU664">
            <v>22</v>
          </cell>
          <cell r="BV664">
            <v>103</v>
          </cell>
          <cell r="BW664">
            <v>0</v>
          </cell>
          <cell r="BX664" t="str">
            <v>TIDAK</v>
          </cell>
          <cell r="BY664" t="str">
            <v>TIDAK</v>
          </cell>
        </row>
        <row r="665">
          <cell r="A665" t="str">
            <v>A4316</v>
          </cell>
          <cell r="B665" t="str">
            <v>ADE NOOR RAHMAN</v>
          </cell>
          <cell r="C665" t="str">
            <v>SBPV</v>
          </cell>
          <cell r="D665">
            <v>45568</v>
          </cell>
          <cell r="E665" t="str">
            <v>Oct-24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 t="str">
            <v>-</v>
          </cell>
          <cell r="AQ665" t="str">
            <v>-</v>
          </cell>
          <cell r="AR665" t="str">
            <v>-</v>
          </cell>
          <cell r="AS665" t="str">
            <v>-</v>
          </cell>
          <cell r="AT665" t="str">
            <v>REGULER</v>
          </cell>
          <cell r="AU665" t="str">
            <v>REGULER</v>
          </cell>
          <cell r="AV665" t="str">
            <v/>
          </cell>
          <cell r="AW665">
            <v>0</v>
          </cell>
          <cell r="AX665">
            <v>0</v>
          </cell>
          <cell r="AY665">
            <v>0</v>
          </cell>
          <cell r="AZ665">
            <v>31</v>
          </cell>
          <cell r="BA665">
            <v>6</v>
          </cell>
          <cell r="BB665">
            <v>0</v>
          </cell>
          <cell r="BC665">
            <v>0</v>
          </cell>
          <cell r="BD665">
            <v>0</v>
          </cell>
          <cell r="BE665">
            <v>31</v>
          </cell>
          <cell r="BF665">
            <v>6</v>
          </cell>
          <cell r="BG665" t="str">
            <v/>
          </cell>
          <cell r="BH665">
            <v>0</v>
          </cell>
          <cell r="BI665">
            <v>0</v>
          </cell>
          <cell r="BJ665">
            <v>0</v>
          </cell>
          <cell r="BK665">
            <v>31</v>
          </cell>
          <cell r="BL665">
            <v>6</v>
          </cell>
          <cell r="BM665" t="str">
            <v/>
          </cell>
          <cell r="BN665">
            <v>37</v>
          </cell>
          <cell r="BO665" t="str">
            <v/>
          </cell>
          <cell r="BP665">
            <v>0</v>
          </cell>
          <cell r="BQ665">
            <v>0</v>
          </cell>
          <cell r="BR665">
            <v>0</v>
          </cell>
          <cell r="BS665">
            <v>31</v>
          </cell>
          <cell r="BT665">
            <v>6</v>
          </cell>
          <cell r="BU665" t="str">
            <v/>
          </cell>
          <cell r="BV665">
            <v>37</v>
          </cell>
          <cell r="BW665">
            <v>1</v>
          </cell>
          <cell r="BX665" t="str">
            <v>TIDAK</v>
          </cell>
          <cell r="BY665" t="str">
            <v>TIDAK</v>
          </cell>
        </row>
        <row r="666">
          <cell r="A666" t="str">
            <v>A4314</v>
          </cell>
          <cell r="B666" t="str">
            <v>ADELIA FIRYAL HASNA</v>
          </cell>
          <cell r="C666" t="str">
            <v>SBPV</v>
          </cell>
          <cell r="D666">
            <v>45581</v>
          </cell>
          <cell r="E666" t="str">
            <v>Oct-24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 t="str">
            <v>-</v>
          </cell>
          <cell r="AQ666" t="str">
            <v>-</v>
          </cell>
          <cell r="AR666" t="str">
            <v>-</v>
          </cell>
          <cell r="AS666" t="str">
            <v>-</v>
          </cell>
          <cell r="AT666" t="str">
            <v>REGULER</v>
          </cell>
          <cell r="AU666" t="str">
            <v>REGULER</v>
          </cell>
          <cell r="AV666" t="str">
            <v/>
          </cell>
          <cell r="AW666">
            <v>0</v>
          </cell>
          <cell r="AX666">
            <v>0</v>
          </cell>
          <cell r="AY666">
            <v>0</v>
          </cell>
          <cell r="AZ666">
            <v>22</v>
          </cell>
          <cell r="BA666">
            <v>21</v>
          </cell>
          <cell r="BB666">
            <v>0</v>
          </cell>
          <cell r="BC666">
            <v>0</v>
          </cell>
          <cell r="BD666">
            <v>0</v>
          </cell>
          <cell r="BE666">
            <v>22</v>
          </cell>
          <cell r="BF666">
            <v>21</v>
          </cell>
          <cell r="BG666" t="str">
            <v/>
          </cell>
          <cell r="BH666">
            <v>0</v>
          </cell>
          <cell r="BI666">
            <v>0</v>
          </cell>
          <cell r="BJ666">
            <v>0</v>
          </cell>
          <cell r="BK666">
            <v>22</v>
          </cell>
          <cell r="BL666">
            <v>21</v>
          </cell>
          <cell r="BM666">
            <v>9</v>
          </cell>
          <cell r="BN666">
            <v>52</v>
          </cell>
          <cell r="BO666" t="str">
            <v/>
          </cell>
          <cell r="BP666">
            <v>0</v>
          </cell>
          <cell r="BQ666">
            <v>0</v>
          </cell>
          <cell r="BR666">
            <v>0</v>
          </cell>
          <cell r="BS666">
            <v>22</v>
          </cell>
          <cell r="BT666">
            <v>21</v>
          </cell>
          <cell r="BU666">
            <v>9</v>
          </cell>
          <cell r="BV666">
            <v>52</v>
          </cell>
          <cell r="BW666">
            <v>0</v>
          </cell>
          <cell r="BX666" t="str">
            <v>TIDAK</v>
          </cell>
          <cell r="BY666" t="str">
            <v>TIDAK</v>
          </cell>
        </row>
        <row r="667">
          <cell r="A667" t="str">
            <v>A4315</v>
          </cell>
          <cell r="B667" t="str">
            <v>WIDIA SIJABAT</v>
          </cell>
          <cell r="C667" t="str">
            <v>SBPV</v>
          </cell>
          <cell r="D667">
            <v>45582</v>
          </cell>
          <cell r="E667" t="str">
            <v>Oct-24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 t="str">
            <v>-</v>
          </cell>
          <cell r="AQ667" t="str">
            <v>-</v>
          </cell>
          <cell r="AR667" t="str">
            <v>-</v>
          </cell>
          <cell r="AS667" t="str">
            <v>-</v>
          </cell>
          <cell r="AT667" t="str">
            <v>REGULER</v>
          </cell>
          <cell r="AU667" t="str">
            <v>REGULER</v>
          </cell>
          <cell r="AV667" t="str">
            <v/>
          </cell>
          <cell r="AW667">
            <v>0</v>
          </cell>
          <cell r="AX667">
            <v>0</v>
          </cell>
          <cell r="AY667">
            <v>0</v>
          </cell>
          <cell r="AZ667">
            <v>13</v>
          </cell>
          <cell r="BA667">
            <v>49</v>
          </cell>
          <cell r="BB667">
            <v>0</v>
          </cell>
          <cell r="BC667">
            <v>0</v>
          </cell>
          <cell r="BD667">
            <v>0</v>
          </cell>
          <cell r="BE667">
            <v>13</v>
          </cell>
          <cell r="BF667">
            <v>49</v>
          </cell>
          <cell r="BG667" t="str">
            <v/>
          </cell>
          <cell r="BH667">
            <v>0</v>
          </cell>
          <cell r="BI667">
            <v>0</v>
          </cell>
          <cell r="BJ667">
            <v>0</v>
          </cell>
          <cell r="BK667">
            <v>13</v>
          </cell>
          <cell r="BL667">
            <v>49</v>
          </cell>
          <cell r="BM667">
            <v>21</v>
          </cell>
          <cell r="BN667">
            <v>83</v>
          </cell>
          <cell r="BO667" t="str">
            <v/>
          </cell>
          <cell r="BP667">
            <v>0</v>
          </cell>
          <cell r="BQ667">
            <v>0</v>
          </cell>
          <cell r="BR667">
            <v>0</v>
          </cell>
          <cell r="BS667">
            <v>13</v>
          </cell>
          <cell r="BT667">
            <v>49</v>
          </cell>
          <cell r="BU667">
            <v>21</v>
          </cell>
          <cell r="BV667">
            <v>83</v>
          </cell>
          <cell r="BW667">
            <v>0</v>
          </cell>
          <cell r="BX667" t="str">
            <v>TIDAK</v>
          </cell>
          <cell r="BY667" t="str">
            <v>TIDAK</v>
          </cell>
        </row>
        <row r="668">
          <cell r="A668" t="str">
            <v>A4318</v>
          </cell>
          <cell r="B668" t="str">
            <v>ROHIT ABDURAHMAN BEMA</v>
          </cell>
          <cell r="C668" t="str">
            <v>SBPV</v>
          </cell>
          <cell r="D668">
            <v>45581</v>
          </cell>
          <cell r="E668" t="str">
            <v>Oct-24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 t="str">
            <v>-</v>
          </cell>
          <cell r="AQ668" t="str">
            <v>-</v>
          </cell>
          <cell r="AR668" t="str">
            <v>-</v>
          </cell>
          <cell r="AS668" t="str">
            <v>-</v>
          </cell>
          <cell r="AT668" t="str">
            <v>REGULER</v>
          </cell>
          <cell r="AU668" t="str">
            <v>REGULER</v>
          </cell>
          <cell r="AV668" t="str">
            <v/>
          </cell>
          <cell r="AW668">
            <v>0</v>
          </cell>
          <cell r="AX668">
            <v>0</v>
          </cell>
          <cell r="AY668">
            <v>0</v>
          </cell>
          <cell r="AZ668">
            <v>18</v>
          </cell>
          <cell r="BA668">
            <v>14</v>
          </cell>
          <cell r="BB668">
            <v>0</v>
          </cell>
          <cell r="BC668">
            <v>0</v>
          </cell>
          <cell r="BD668">
            <v>0</v>
          </cell>
          <cell r="BE668">
            <v>18</v>
          </cell>
          <cell r="BF668">
            <v>14</v>
          </cell>
          <cell r="BG668" t="str">
            <v/>
          </cell>
          <cell r="BH668">
            <v>0</v>
          </cell>
          <cell r="BI668">
            <v>0</v>
          </cell>
          <cell r="BJ668">
            <v>0</v>
          </cell>
          <cell r="BK668">
            <v>18</v>
          </cell>
          <cell r="BL668">
            <v>14</v>
          </cell>
          <cell r="BM668" t="str">
            <v/>
          </cell>
          <cell r="BN668">
            <v>32</v>
          </cell>
          <cell r="BO668" t="str">
            <v/>
          </cell>
          <cell r="BP668">
            <v>0</v>
          </cell>
          <cell r="BQ668">
            <v>0</v>
          </cell>
          <cell r="BR668">
            <v>0</v>
          </cell>
          <cell r="BS668">
            <v>18</v>
          </cell>
          <cell r="BT668">
            <v>14</v>
          </cell>
          <cell r="BU668" t="str">
            <v/>
          </cell>
          <cell r="BV668">
            <v>32</v>
          </cell>
          <cell r="BW668">
            <v>1</v>
          </cell>
          <cell r="BX668" t="str">
            <v>TIDAK</v>
          </cell>
          <cell r="BY668" t="str">
            <v>TIDAK</v>
          </cell>
        </row>
        <row r="669">
          <cell r="A669" t="str">
            <v>A4461</v>
          </cell>
          <cell r="B669" t="str">
            <v>IMMANUEL CHRISTYAS JULIUS WICAKSONO</v>
          </cell>
          <cell r="C669" t="str">
            <v>SBPV</v>
          </cell>
          <cell r="D669">
            <v>45626</v>
          </cell>
          <cell r="E669" t="str">
            <v>Nov-24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 t="str">
            <v>-</v>
          </cell>
          <cell r="AQ669" t="str">
            <v>-</v>
          </cell>
          <cell r="AR669" t="str">
            <v>-</v>
          </cell>
          <cell r="AS669" t="str">
            <v>-</v>
          </cell>
          <cell r="AT669" t="str">
            <v>-</v>
          </cell>
          <cell r="AU669" t="str">
            <v>REGULER</v>
          </cell>
          <cell r="AV669" t="str">
            <v/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2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2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2</v>
          </cell>
          <cell r="BM669">
            <v>4</v>
          </cell>
          <cell r="BN669">
            <v>6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2</v>
          </cell>
          <cell r="BU669">
            <v>4</v>
          </cell>
          <cell r="BV669">
            <v>6</v>
          </cell>
          <cell r="BW669">
            <v>0</v>
          </cell>
          <cell r="BX669" t="str">
            <v>TIDAK</v>
          </cell>
          <cell r="BY669" t="str">
            <v>TIDAK</v>
          </cell>
        </row>
        <row r="670">
          <cell r="A670" t="str">
            <v>A4460</v>
          </cell>
          <cell r="B670" t="str">
            <v>ALVYNA FAHARANY</v>
          </cell>
          <cell r="C670" t="str">
            <v>SBPV</v>
          </cell>
          <cell r="D670">
            <v>45632</v>
          </cell>
          <cell r="E670" t="str">
            <v>Dec-24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 t="str">
            <v/>
          </cell>
          <cell r="AW670" t="str">
            <v/>
          </cell>
          <cell r="AX670" t="str">
            <v/>
          </cell>
          <cell r="AY670" t="str">
            <v/>
          </cell>
          <cell r="AZ670" t="str">
            <v/>
          </cell>
          <cell r="BA670" t="str">
            <v/>
          </cell>
          <cell r="BB670" t="str">
            <v/>
          </cell>
          <cell r="BC670" t="str">
            <v/>
          </cell>
          <cell r="BD670" t="str">
            <v/>
          </cell>
          <cell r="BE670" t="str">
            <v/>
          </cell>
          <cell r="BF670" t="str">
            <v/>
          </cell>
          <cell r="BG670">
            <v>0</v>
          </cell>
          <cell r="BH670" t="str">
            <v/>
          </cell>
          <cell r="BI670" t="str">
            <v/>
          </cell>
          <cell r="BJ670" t="str">
            <v/>
          </cell>
          <cell r="BK670" t="str">
            <v/>
          </cell>
          <cell r="BL670" t="str">
            <v/>
          </cell>
          <cell r="BM670">
            <v>2</v>
          </cell>
          <cell r="BN670">
            <v>2</v>
          </cell>
          <cell r="BO670">
            <v>0</v>
          </cell>
          <cell r="BP670" t="str">
            <v/>
          </cell>
          <cell r="BQ670" t="str">
            <v/>
          </cell>
          <cell r="BR670" t="str">
            <v/>
          </cell>
          <cell r="BS670" t="str">
            <v/>
          </cell>
          <cell r="BT670" t="str">
            <v/>
          </cell>
          <cell r="BU670">
            <v>2</v>
          </cell>
          <cell r="BV670">
            <v>2</v>
          </cell>
          <cell r="BW670">
            <v>0</v>
          </cell>
          <cell r="BX670" t="str">
            <v>TIDAK</v>
          </cell>
          <cell r="BY670" t="str">
            <v>TIDAK</v>
          </cell>
        </row>
        <row r="671">
          <cell r="A671" t="str">
            <v>A3880</v>
          </cell>
          <cell r="B671" t="str">
            <v>Anisha Siti Nur Arifa Puteri</v>
          </cell>
          <cell r="C671" t="str">
            <v>TEMA C1</v>
          </cell>
          <cell r="D671">
            <v>45400</v>
          </cell>
          <cell r="E671" t="str">
            <v>Apr-24</v>
          </cell>
          <cell r="F671" t="str">
            <v>-</v>
          </cell>
          <cell r="G671" t="str">
            <v>-</v>
          </cell>
          <cell r="H671" t="str">
            <v>-</v>
          </cell>
          <cell r="I671" t="str">
            <v>-</v>
          </cell>
          <cell r="J671" t="str">
            <v>REGULER</v>
          </cell>
          <cell r="K671" t="str">
            <v>REGULER</v>
          </cell>
          <cell r="L671" t="str">
            <v>-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2</v>
          </cell>
          <cell r="R671">
            <v>1</v>
          </cell>
          <cell r="S671">
            <v>0</v>
          </cell>
          <cell r="T671">
            <v>3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2</v>
          </cell>
          <cell r="Z671">
            <v>1</v>
          </cell>
          <cell r="AA671">
            <v>0</v>
          </cell>
          <cell r="AB671">
            <v>3</v>
          </cell>
          <cell r="AC671">
            <v>1</v>
          </cell>
          <cell r="AD671" t="str">
            <v>TIDAK</v>
          </cell>
          <cell r="AE671" t="str">
            <v>TIDAK</v>
          </cell>
          <cell r="AF671">
            <v>3</v>
          </cell>
          <cell r="AG671">
            <v>1</v>
          </cell>
          <cell r="AH671" t="str">
            <v>SAPHIRE</v>
          </cell>
          <cell r="AI671">
            <v>0</v>
          </cell>
          <cell r="AJ671" t="str">
            <v>FALSE</v>
          </cell>
          <cell r="AK671">
            <v>0</v>
          </cell>
          <cell r="AL671">
            <v>45261</v>
          </cell>
          <cell r="AM671">
            <v>45701</v>
          </cell>
          <cell r="AN671">
            <v>1</v>
          </cell>
          <cell r="AO671">
            <v>3</v>
          </cell>
          <cell r="AP671" t="str">
            <v>-</v>
          </cell>
          <cell r="AQ671" t="str">
            <v>-</v>
          </cell>
          <cell r="AR671" t="str">
            <v>-</v>
          </cell>
          <cell r="AS671" t="str">
            <v>-</v>
          </cell>
          <cell r="AT671" t="str">
            <v>-</v>
          </cell>
          <cell r="AU671" t="str">
            <v>-</v>
          </cell>
          <cell r="AV671" t="str">
            <v/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 t="str">
            <v/>
          </cell>
          <cell r="BC671" t="str">
            <v/>
          </cell>
          <cell r="BD671" t="str">
            <v/>
          </cell>
          <cell r="BE671" t="str">
            <v/>
          </cell>
          <cell r="BF671" t="str">
            <v/>
          </cell>
          <cell r="BG671" t="str">
            <v/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 t="str">
            <v/>
          </cell>
          <cell r="BN671">
            <v>0</v>
          </cell>
          <cell r="BO671" t="str">
            <v/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 t="str">
            <v/>
          </cell>
          <cell r="BV671">
            <v>0</v>
          </cell>
          <cell r="BW671">
            <v>7</v>
          </cell>
          <cell r="BX671" t="str">
            <v>DOWNGRADE</v>
          </cell>
          <cell r="BY671" t="str">
            <v>RESET</v>
          </cell>
        </row>
        <row r="672">
          <cell r="A672" t="str">
            <v>A3681</v>
          </cell>
          <cell r="B672" t="str">
            <v>Arini Fadhila Pasha</v>
          </cell>
          <cell r="C672" t="str">
            <v>TEMA C1</v>
          </cell>
          <cell r="D672">
            <v>45310</v>
          </cell>
          <cell r="E672" t="str">
            <v>Jan-24</v>
          </cell>
          <cell r="F672" t="str">
            <v>-</v>
          </cell>
          <cell r="G672" t="str">
            <v>REGULER</v>
          </cell>
          <cell r="H672" t="str">
            <v>REGULER</v>
          </cell>
          <cell r="I672" t="str">
            <v>-</v>
          </cell>
          <cell r="J672" t="str">
            <v>REGULER</v>
          </cell>
          <cell r="K672" t="str">
            <v>REGULER</v>
          </cell>
          <cell r="L672" t="str">
            <v>-</v>
          </cell>
          <cell r="M672">
            <v>0</v>
          </cell>
          <cell r="N672">
            <v>10</v>
          </cell>
          <cell r="O672">
            <v>4</v>
          </cell>
          <cell r="P672">
            <v>0</v>
          </cell>
          <cell r="Q672">
            <v>5</v>
          </cell>
          <cell r="R672">
            <v>2</v>
          </cell>
          <cell r="S672">
            <v>0</v>
          </cell>
          <cell r="T672">
            <v>21</v>
          </cell>
          <cell r="U672">
            <v>0</v>
          </cell>
          <cell r="V672">
            <v>10</v>
          </cell>
          <cell r="W672">
            <v>4</v>
          </cell>
          <cell r="X672">
            <v>0</v>
          </cell>
          <cell r="Y672">
            <v>5</v>
          </cell>
          <cell r="Z672">
            <v>2</v>
          </cell>
          <cell r="AA672">
            <v>0</v>
          </cell>
          <cell r="AB672">
            <v>21</v>
          </cell>
          <cell r="AC672">
            <v>2</v>
          </cell>
          <cell r="AD672" t="str">
            <v>TIDAK</v>
          </cell>
          <cell r="AE672" t="str">
            <v>TIDAK</v>
          </cell>
          <cell r="AF672">
            <v>21</v>
          </cell>
          <cell r="AG672">
            <v>1</v>
          </cell>
          <cell r="AH672" t="str">
            <v>SAPHIRE</v>
          </cell>
          <cell r="AI672">
            <v>0</v>
          </cell>
          <cell r="AJ672" t="str">
            <v>FALSE</v>
          </cell>
          <cell r="AK672">
            <v>0</v>
          </cell>
          <cell r="AL672">
            <v>45261</v>
          </cell>
          <cell r="AM672">
            <v>45701</v>
          </cell>
          <cell r="AN672">
            <v>1</v>
          </cell>
          <cell r="AO672">
            <v>21</v>
          </cell>
          <cell r="AP672" t="str">
            <v>-</v>
          </cell>
          <cell r="AQ672" t="str">
            <v>-</v>
          </cell>
          <cell r="AR672" t="str">
            <v>-</v>
          </cell>
          <cell r="AS672" t="str">
            <v>-</v>
          </cell>
          <cell r="AT672" t="str">
            <v>-</v>
          </cell>
          <cell r="AU672" t="str">
            <v>-</v>
          </cell>
          <cell r="AV672" t="str">
            <v/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 t="str">
            <v/>
          </cell>
          <cell r="BC672" t="str">
            <v/>
          </cell>
          <cell r="BD672" t="str">
            <v/>
          </cell>
          <cell r="BE672" t="str">
            <v/>
          </cell>
          <cell r="BF672" t="str">
            <v/>
          </cell>
          <cell r="BG672" t="str">
            <v/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 t="str">
            <v/>
          </cell>
          <cell r="BN672">
            <v>0</v>
          </cell>
          <cell r="BO672" t="str">
            <v/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 t="str">
            <v/>
          </cell>
          <cell r="BV672">
            <v>0</v>
          </cell>
          <cell r="BW672">
            <v>7</v>
          </cell>
          <cell r="BX672" t="str">
            <v>DOWNGRADE</v>
          </cell>
          <cell r="BY672" t="str">
            <v>RESET</v>
          </cell>
        </row>
        <row r="673">
          <cell r="A673" t="str">
            <v>A3684</v>
          </cell>
          <cell r="B673" t="str">
            <v>Atika Kusnarathadewi</v>
          </cell>
          <cell r="C673" t="str">
            <v>TEMA C1</v>
          </cell>
          <cell r="D673">
            <v>45310</v>
          </cell>
          <cell r="E673" t="str">
            <v>Jan-24</v>
          </cell>
          <cell r="F673" t="str">
            <v>-</v>
          </cell>
          <cell r="G673" t="str">
            <v>REGULER</v>
          </cell>
          <cell r="H673" t="str">
            <v>REGULER</v>
          </cell>
          <cell r="I673" t="str">
            <v>-</v>
          </cell>
          <cell r="J673" t="str">
            <v>-</v>
          </cell>
          <cell r="K673" t="str">
            <v>REGULER</v>
          </cell>
          <cell r="L673" t="str">
            <v>-</v>
          </cell>
          <cell r="M673">
            <v>0</v>
          </cell>
          <cell r="N673">
            <v>5</v>
          </cell>
          <cell r="O673">
            <v>7</v>
          </cell>
          <cell r="P673">
            <v>0</v>
          </cell>
          <cell r="Q673">
            <v>0</v>
          </cell>
          <cell r="R673">
            <v>1</v>
          </cell>
          <cell r="S673">
            <v>0</v>
          </cell>
          <cell r="T673">
            <v>13</v>
          </cell>
          <cell r="U673">
            <v>0</v>
          </cell>
          <cell r="V673">
            <v>5</v>
          </cell>
          <cell r="W673">
            <v>7</v>
          </cell>
          <cell r="X673">
            <v>0</v>
          </cell>
          <cell r="Y673">
            <v>0</v>
          </cell>
          <cell r="Z673">
            <v>1</v>
          </cell>
          <cell r="AA673">
            <v>0</v>
          </cell>
          <cell r="AB673">
            <v>13</v>
          </cell>
          <cell r="AC673">
            <v>3</v>
          </cell>
          <cell r="AD673" t="str">
            <v>DOWNGRADE</v>
          </cell>
          <cell r="AE673" t="str">
            <v>TIDAK</v>
          </cell>
          <cell r="AF673">
            <v>6.5</v>
          </cell>
          <cell r="AG673">
            <v>1</v>
          </cell>
          <cell r="AH673" t="str">
            <v>SAPHIRE</v>
          </cell>
          <cell r="AI673">
            <v>0</v>
          </cell>
          <cell r="AJ673" t="str">
            <v>FALSE</v>
          </cell>
          <cell r="AK673">
            <v>0</v>
          </cell>
          <cell r="AL673">
            <v>45261</v>
          </cell>
          <cell r="AM673">
            <v>45701</v>
          </cell>
          <cell r="AN673">
            <v>1</v>
          </cell>
          <cell r="AO673">
            <v>6.5</v>
          </cell>
          <cell r="AP673" t="str">
            <v>-</v>
          </cell>
          <cell r="AQ673" t="str">
            <v>-</v>
          </cell>
          <cell r="AR673" t="str">
            <v>REGULER</v>
          </cell>
          <cell r="AS673" t="str">
            <v>-</v>
          </cell>
          <cell r="AT673" t="str">
            <v>-</v>
          </cell>
          <cell r="AU673" t="str">
            <v>REGULER</v>
          </cell>
          <cell r="AV673" t="str">
            <v/>
          </cell>
          <cell r="AW673">
            <v>0</v>
          </cell>
          <cell r="AX673">
            <v>2</v>
          </cell>
          <cell r="AY673">
            <v>0</v>
          </cell>
          <cell r="AZ673">
            <v>0</v>
          </cell>
          <cell r="BA673">
            <v>2</v>
          </cell>
          <cell r="BB673" t="str">
            <v/>
          </cell>
          <cell r="BC673" t="str">
            <v/>
          </cell>
          <cell r="BD673" t="str">
            <v/>
          </cell>
          <cell r="BE673" t="str">
            <v/>
          </cell>
          <cell r="BF673" t="str">
            <v/>
          </cell>
          <cell r="BG673" t="str">
            <v/>
          </cell>
          <cell r="BH673">
            <v>0</v>
          </cell>
          <cell r="BI673">
            <v>2</v>
          </cell>
          <cell r="BJ673">
            <v>0</v>
          </cell>
          <cell r="BK673">
            <v>0</v>
          </cell>
          <cell r="BL673">
            <v>2</v>
          </cell>
          <cell r="BM673" t="str">
            <v/>
          </cell>
          <cell r="BN673">
            <v>4</v>
          </cell>
          <cell r="BO673" t="str">
            <v/>
          </cell>
          <cell r="BP673">
            <v>0</v>
          </cell>
          <cell r="BQ673">
            <v>2</v>
          </cell>
          <cell r="BR673">
            <v>0</v>
          </cell>
          <cell r="BS673">
            <v>0</v>
          </cell>
          <cell r="BT673">
            <v>2</v>
          </cell>
          <cell r="BU673" t="str">
            <v/>
          </cell>
          <cell r="BV673">
            <v>4</v>
          </cell>
          <cell r="BW673">
            <v>5</v>
          </cell>
          <cell r="BX673" t="str">
            <v>DOWNGRADE</v>
          </cell>
          <cell r="BY673" t="str">
            <v>TIDAK</v>
          </cell>
        </row>
        <row r="674">
          <cell r="A674" t="str">
            <v>A4006</v>
          </cell>
          <cell r="B674" t="str">
            <v>Bayu Fidianto</v>
          </cell>
          <cell r="C674" t="str">
            <v>TEMA C1</v>
          </cell>
          <cell r="D674">
            <v>45404</v>
          </cell>
          <cell r="E674" t="str">
            <v>Apr-24</v>
          </cell>
          <cell r="F674" t="str">
            <v>-</v>
          </cell>
          <cell r="G674" t="str">
            <v>-</v>
          </cell>
          <cell r="H674" t="str">
            <v>-</v>
          </cell>
          <cell r="I674" t="str">
            <v>-</v>
          </cell>
          <cell r="J674" t="str">
            <v>REGULER</v>
          </cell>
          <cell r="K674" t="str">
            <v>REGULER</v>
          </cell>
          <cell r="L674" t="str">
            <v>REGULER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10</v>
          </cell>
          <cell r="R674">
            <v>31</v>
          </cell>
          <cell r="S674">
            <v>12</v>
          </cell>
          <cell r="T674">
            <v>53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10</v>
          </cell>
          <cell r="Z674">
            <v>31</v>
          </cell>
          <cell r="AA674">
            <v>12</v>
          </cell>
          <cell r="AB674">
            <v>53</v>
          </cell>
          <cell r="AC674">
            <v>0</v>
          </cell>
          <cell r="AD674" t="str">
            <v>TIDAK</v>
          </cell>
          <cell r="AE674" t="str">
            <v>TIDAK</v>
          </cell>
          <cell r="AF674">
            <v>53</v>
          </cell>
          <cell r="AG674">
            <v>1</v>
          </cell>
          <cell r="AH674" t="str">
            <v>SAPHIRE</v>
          </cell>
          <cell r="AI674">
            <v>0</v>
          </cell>
          <cell r="AJ674" t="str">
            <v>FALSE</v>
          </cell>
          <cell r="AK674">
            <v>0</v>
          </cell>
          <cell r="AL674">
            <v>45261</v>
          </cell>
          <cell r="AM674">
            <v>45701</v>
          </cell>
          <cell r="AN674">
            <v>1</v>
          </cell>
          <cell r="AO674">
            <v>53</v>
          </cell>
          <cell r="AP674" t="str">
            <v>-</v>
          </cell>
          <cell r="AQ674" t="str">
            <v>REGULER</v>
          </cell>
          <cell r="AR674" t="str">
            <v>-</v>
          </cell>
          <cell r="AS674" t="str">
            <v>-</v>
          </cell>
          <cell r="AT674" t="str">
            <v>-</v>
          </cell>
          <cell r="AU674" t="str">
            <v>-</v>
          </cell>
          <cell r="AV674" t="str">
            <v/>
          </cell>
          <cell r="AW674">
            <v>25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 t="str">
            <v/>
          </cell>
          <cell r="BC674" t="str">
            <v/>
          </cell>
          <cell r="BD674" t="str">
            <v/>
          </cell>
          <cell r="BE674" t="str">
            <v/>
          </cell>
          <cell r="BF674" t="str">
            <v/>
          </cell>
          <cell r="BG674">
            <v>14</v>
          </cell>
          <cell r="BH674">
            <v>25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 t="str">
            <v/>
          </cell>
          <cell r="BN674">
            <v>39</v>
          </cell>
          <cell r="BO674">
            <v>14</v>
          </cell>
          <cell r="BP674">
            <v>25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 t="str">
            <v/>
          </cell>
          <cell r="BV674">
            <v>39</v>
          </cell>
          <cell r="BW674">
            <v>5</v>
          </cell>
          <cell r="BX674" t="str">
            <v>DOWNGRADE</v>
          </cell>
          <cell r="BY674" t="str">
            <v>RESET</v>
          </cell>
        </row>
        <row r="675">
          <cell r="A675" t="str">
            <v>A3679</v>
          </cell>
          <cell r="B675" t="str">
            <v>Dandika Sidabutar</v>
          </cell>
          <cell r="C675" t="str">
            <v>TEMA C1</v>
          </cell>
          <cell r="D675">
            <v>45310</v>
          </cell>
          <cell r="E675" t="str">
            <v>Jan-24</v>
          </cell>
          <cell r="F675" t="str">
            <v>-</v>
          </cell>
          <cell r="G675" t="str">
            <v>REGULER</v>
          </cell>
          <cell r="H675" t="str">
            <v>REGULER</v>
          </cell>
          <cell r="I675" t="str">
            <v>-</v>
          </cell>
          <cell r="J675" t="str">
            <v>-</v>
          </cell>
          <cell r="K675" t="str">
            <v>REGULER</v>
          </cell>
          <cell r="L675" t="str">
            <v>REGULER</v>
          </cell>
          <cell r="M675">
            <v>0</v>
          </cell>
          <cell r="N675">
            <v>9</v>
          </cell>
          <cell r="O675">
            <v>10</v>
          </cell>
          <cell r="P675">
            <v>0</v>
          </cell>
          <cell r="Q675">
            <v>0</v>
          </cell>
          <cell r="R675">
            <v>2</v>
          </cell>
          <cell r="S675">
            <v>1</v>
          </cell>
          <cell r="T675">
            <v>22</v>
          </cell>
          <cell r="U675">
            <v>0</v>
          </cell>
          <cell r="V675">
            <v>9</v>
          </cell>
          <cell r="W675">
            <v>10</v>
          </cell>
          <cell r="X675">
            <v>0</v>
          </cell>
          <cell r="Y675">
            <v>0</v>
          </cell>
          <cell r="Z675">
            <v>2</v>
          </cell>
          <cell r="AA675">
            <v>1</v>
          </cell>
          <cell r="AB675">
            <v>22</v>
          </cell>
          <cell r="AC675">
            <v>2</v>
          </cell>
          <cell r="AD675" t="str">
            <v>TIDAK</v>
          </cell>
          <cell r="AE675" t="str">
            <v>TIDAK</v>
          </cell>
          <cell r="AF675">
            <v>22</v>
          </cell>
          <cell r="AG675">
            <v>1</v>
          </cell>
          <cell r="AH675" t="str">
            <v>SAPHIRE</v>
          </cell>
          <cell r="AI675">
            <v>0</v>
          </cell>
          <cell r="AJ675" t="str">
            <v>FALSE</v>
          </cell>
          <cell r="AK675">
            <v>0</v>
          </cell>
          <cell r="AL675">
            <v>45261</v>
          </cell>
          <cell r="AM675">
            <v>45701</v>
          </cell>
          <cell r="AN675">
            <v>1</v>
          </cell>
          <cell r="AO675">
            <v>22</v>
          </cell>
          <cell r="AP675" t="str">
            <v>-</v>
          </cell>
          <cell r="AQ675" t="str">
            <v>-</v>
          </cell>
          <cell r="AR675" t="str">
            <v>-</v>
          </cell>
          <cell r="AS675" t="str">
            <v>-</v>
          </cell>
          <cell r="AT675" t="str">
            <v>-</v>
          </cell>
          <cell r="AU675" t="str">
            <v>-</v>
          </cell>
          <cell r="AV675" t="str">
            <v/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 t="str">
            <v/>
          </cell>
          <cell r="BC675" t="str">
            <v/>
          </cell>
          <cell r="BD675" t="str">
            <v/>
          </cell>
          <cell r="BE675" t="str">
            <v/>
          </cell>
          <cell r="BF675" t="str">
            <v/>
          </cell>
          <cell r="BG675" t="str">
            <v/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 t="str">
            <v/>
          </cell>
          <cell r="BN675">
            <v>0</v>
          </cell>
          <cell r="BO675" t="str">
            <v/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 t="str">
            <v/>
          </cell>
          <cell r="BV675">
            <v>0</v>
          </cell>
          <cell r="BW675">
            <v>7</v>
          </cell>
          <cell r="BX675" t="str">
            <v>DOWNGRADE</v>
          </cell>
          <cell r="BY675" t="str">
            <v>RESET</v>
          </cell>
        </row>
        <row r="676">
          <cell r="A676" t="str">
            <v>A1677</v>
          </cell>
          <cell r="B676" t="str">
            <v>Dhea Maysa Putri</v>
          </cell>
          <cell r="C676" t="str">
            <v>TEMA C1</v>
          </cell>
          <cell r="D676">
            <v>44992</v>
          </cell>
          <cell r="E676" t="str">
            <v>Mar-23</v>
          </cell>
          <cell r="F676" t="str">
            <v>EKSKLUSIF</v>
          </cell>
          <cell r="G676" t="str">
            <v>EKSKLUSIF</v>
          </cell>
          <cell r="H676" t="str">
            <v>EKSKLUSIF</v>
          </cell>
          <cell r="I676" t="str">
            <v>EKSKLUSIF</v>
          </cell>
          <cell r="J676" t="str">
            <v>REGULER</v>
          </cell>
          <cell r="K676" t="str">
            <v>-</v>
          </cell>
          <cell r="L676" t="str">
            <v>-</v>
          </cell>
          <cell r="M676">
            <v>17</v>
          </cell>
          <cell r="N676">
            <v>43</v>
          </cell>
          <cell r="O676">
            <v>35</v>
          </cell>
          <cell r="P676">
            <v>38</v>
          </cell>
          <cell r="Q676">
            <v>8</v>
          </cell>
          <cell r="R676">
            <v>0</v>
          </cell>
          <cell r="S676" t="str">
            <v/>
          </cell>
          <cell r="T676">
            <v>141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8</v>
          </cell>
          <cell r="Z676">
            <v>0</v>
          </cell>
          <cell r="AA676" t="str">
            <v/>
          </cell>
          <cell r="AB676">
            <v>8</v>
          </cell>
          <cell r="AC676">
            <v>2</v>
          </cell>
          <cell r="AD676" t="str">
            <v>TIDAK</v>
          </cell>
          <cell r="AE676" t="str">
            <v>TIDAK</v>
          </cell>
          <cell r="AF676">
            <v>8</v>
          </cell>
          <cell r="AG676">
            <v>1</v>
          </cell>
          <cell r="AH676" t="str">
            <v>SAPHIRE</v>
          </cell>
          <cell r="AI676">
            <v>0</v>
          </cell>
          <cell r="AJ676" t="str">
            <v>FALSE</v>
          </cell>
          <cell r="AK676">
            <v>0</v>
          </cell>
          <cell r="AL676">
            <v>45261</v>
          </cell>
          <cell r="AM676">
            <v>45701</v>
          </cell>
          <cell r="AN676">
            <v>1</v>
          </cell>
          <cell r="AO676">
            <v>8</v>
          </cell>
          <cell r="AP676" t="str">
            <v>-</v>
          </cell>
          <cell r="AQ676" t="str">
            <v>-</v>
          </cell>
          <cell r="AR676" t="str">
            <v>-</v>
          </cell>
          <cell r="AS676" t="str">
            <v>-</v>
          </cell>
          <cell r="AT676" t="str">
            <v>-</v>
          </cell>
          <cell r="AU676" t="str">
            <v>-</v>
          </cell>
          <cell r="AV676" t="str">
            <v/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 t="str">
            <v/>
          </cell>
          <cell r="BC676" t="str">
            <v/>
          </cell>
          <cell r="BD676" t="str">
            <v/>
          </cell>
          <cell r="BE676" t="str">
            <v/>
          </cell>
          <cell r="BF676" t="str">
            <v/>
          </cell>
          <cell r="BG676" t="str">
            <v/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 t="str">
            <v/>
          </cell>
          <cell r="BN676">
            <v>0</v>
          </cell>
          <cell r="BO676" t="str">
            <v/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 t="str">
            <v/>
          </cell>
          <cell r="BV676">
            <v>0</v>
          </cell>
          <cell r="BW676">
            <v>7</v>
          </cell>
          <cell r="BX676" t="str">
            <v>DOWNGRADE</v>
          </cell>
          <cell r="BY676" t="str">
            <v>RESET</v>
          </cell>
        </row>
        <row r="677">
          <cell r="A677" t="str">
            <v>A3778</v>
          </cell>
          <cell r="B677" t="str">
            <v>Dwi Prasetyo</v>
          </cell>
          <cell r="C677" t="str">
            <v>TEMA C1</v>
          </cell>
          <cell r="D677">
            <v>45335</v>
          </cell>
          <cell r="E677" t="str">
            <v>Feb-24</v>
          </cell>
          <cell r="F677" t="str">
            <v>-</v>
          </cell>
          <cell r="G677" t="str">
            <v>-</v>
          </cell>
          <cell r="H677" t="str">
            <v>REGULER</v>
          </cell>
          <cell r="I677" t="str">
            <v>REGULER</v>
          </cell>
          <cell r="J677" t="str">
            <v>REGULER</v>
          </cell>
          <cell r="K677" t="str">
            <v>REGULER</v>
          </cell>
          <cell r="L677" t="str">
            <v>REGULER</v>
          </cell>
          <cell r="M677">
            <v>0</v>
          </cell>
          <cell r="N677">
            <v>0</v>
          </cell>
          <cell r="O677">
            <v>23</v>
          </cell>
          <cell r="P677">
            <v>32</v>
          </cell>
          <cell r="Q677">
            <v>4</v>
          </cell>
          <cell r="R677">
            <v>5</v>
          </cell>
          <cell r="S677">
            <v>3</v>
          </cell>
          <cell r="T677">
            <v>67</v>
          </cell>
          <cell r="U677">
            <v>0</v>
          </cell>
          <cell r="V677">
            <v>0</v>
          </cell>
          <cell r="W677">
            <v>23</v>
          </cell>
          <cell r="X677">
            <v>32</v>
          </cell>
          <cell r="Y677">
            <v>4</v>
          </cell>
          <cell r="Z677">
            <v>5</v>
          </cell>
          <cell r="AA677">
            <v>3</v>
          </cell>
          <cell r="AB677">
            <v>67</v>
          </cell>
          <cell r="AC677">
            <v>0</v>
          </cell>
          <cell r="AD677" t="str">
            <v>TIDAK</v>
          </cell>
          <cell r="AE677" t="str">
            <v>TIDAK</v>
          </cell>
          <cell r="AF677">
            <v>67</v>
          </cell>
          <cell r="AG677">
            <v>1</v>
          </cell>
          <cell r="AH677" t="str">
            <v>SAPHIRE</v>
          </cell>
          <cell r="AI677">
            <v>0</v>
          </cell>
          <cell r="AJ677" t="str">
            <v>Y</v>
          </cell>
          <cell r="AK677">
            <v>0</v>
          </cell>
          <cell r="AL677">
            <v>45261</v>
          </cell>
          <cell r="AM677">
            <v>45701</v>
          </cell>
          <cell r="AN677">
            <v>1</v>
          </cell>
          <cell r="AO677">
            <v>67</v>
          </cell>
          <cell r="AP677" t="str">
            <v>-</v>
          </cell>
          <cell r="AQ677" t="str">
            <v>-</v>
          </cell>
          <cell r="AR677" t="str">
            <v>REGULER</v>
          </cell>
          <cell r="AS677" t="str">
            <v>-</v>
          </cell>
          <cell r="AT677" t="str">
            <v>-</v>
          </cell>
          <cell r="AU677" t="str">
            <v>-</v>
          </cell>
          <cell r="AV677" t="str">
            <v/>
          </cell>
          <cell r="AW677">
            <v>0</v>
          </cell>
          <cell r="AX677">
            <v>2</v>
          </cell>
          <cell r="AY677">
            <v>0</v>
          </cell>
          <cell r="AZ677">
            <v>0</v>
          </cell>
          <cell r="BA677">
            <v>0</v>
          </cell>
          <cell r="BB677" t="str">
            <v/>
          </cell>
          <cell r="BC677" t="str">
            <v/>
          </cell>
          <cell r="BD677" t="str">
            <v/>
          </cell>
          <cell r="BE677" t="str">
            <v/>
          </cell>
          <cell r="BF677" t="str">
            <v/>
          </cell>
          <cell r="BG677" t="str">
            <v/>
          </cell>
          <cell r="BH677">
            <v>0</v>
          </cell>
          <cell r="BI677">
            <v>2</v>
          </cell>
          <cell r="BJ677">
            <v>0</v>
          </cell>
          <cell r="BK677">
            <v>0</v>
          </cell>
          <cell r="BL677">
            <v>0</v>
          </cell>
          <cell r="BM677" t="str">
            <v/>
          </cell>
          <cell r="BN677">
            <v>2</v>
          </cell>
          <cell r="BO677" t="str">
            <v/>
          </cell>
          <cell r="BP677">
            <v>0</v>
          </cell>
          <cell r="BQ677">
            <v>2</v>
          </cell>
          <cell r="BR677">
            <v>0</v>
          </cell>
          <cell r="BS677">
            <v>0</v>
          </cell>
          <cell r="BT677">
            <v>0</v>
          </cell>
          <cell r="BU677" t="str">
            <v/>
          </cell>
          <cell r="BV677">
            <v>2</v>
          </cell>
          <cell r="BW677">
            <v>6</v>
          </cell>
          <cell r="BX677" t="str">
            <v>DOWNGRADE</v>
          </cell>
          <cell r="BY677" t="str">
            <v>RESET</v>
          </cell>
        </row>
        <row r="678">
          <cell r="A678" t="str">
            <v>A2664</v>
          </cell>
          <cell r="B678" t="str">
            <v>Endarwati Betriarmi</v>
          </cell>
          <cell r="C678" t="str">
            <v>TEMA C1</v>
          </cell>
          <cell r="D678">
            <v>45128</v>
          </cell>
          <cell r="E678" t="str">
            <v>Jul-23</v>
          </cell>
          <cell r="F678" t="str">
            <v>REGULER</v>
          </cell>
          <cell r="G678" t="str">
            <v>REGULER</v>
          </cell>
          <cell r="H678" t="str">
            <v>-</v>
          </cell>
          <cell r="I678" t="str">
            <v>-</v>
          </cell>
          <cell r="J678" t="str">
            <v>-</v>
          </cell>
          <cell r="K678" t="str">
            <v>-</v>
          </cell>
          <cell r="L678" t="str">
            <v>-</v>
          </cell>
          <cell r="M678">
            <v>14</v>
          </cell>
          <cell r="N678">
            <v>22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 t="str">
            <v/>
          </cell>
          <cell r="T678">
            <v>36</v>
          </cell>
          <cell r="U678">
            <v>14</v>
          </cell>
          <cell r="V678">
            <v>22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/>
          </cell>
          <cell r="AB678">
            <v>36</v>
          </cell>
          <cell r="AC678">
            <v>5</v>
          </cell>
          <cell r="AD678" t="str">
            <v>DOWNGRADE</v>
          </cell>
          <cell r="AE678" t="str">
            <v>RESET</v>
          </cell>
          <cell r="AF678">
            <v>0</v>
          </cell>
          <cell r="AG678">
            <v>3</v>
          </cell>
          <cell r="AH678" t="str">
            <v>SAPHIRE</v>
          </cell>
          <cell r="AI678">
            <v>0</v>
          </cell>
          <cell r="AJ678" t="str">
            <v>FALSE</v>
          </cell>
          <cell r="AK678">
            <v>0</v>
          </cell>
          <cell r="AL678">
            <v>45261</v>
          </cell>
          <cell r="AM678">
            <v>45701</v>
          </cell>
          <cell r="AN678">
            <v>1</v>
          </cell>
          <cell r="AO678">
            <v>0</v>
          </cell>
          <cell r="AP678" t="str">
            <v>-</v>
          </cell>
          <cell r="AQ678" t="str">
            <v>-</v>
          </cell>
          <cell r="AR678" t="str">
            <v>-</v>
          </cell>
          <cell r="AS678" t="str">
            <v>-</v>
          </cell>
          <cell r="AT678" t="str">
            <v>-</v>
          </cell>
          <cell r="AU678" t="str">
            <v>-</v>
          </cell>
          <cell r="AV678" t="str">
            <v/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 t="str">
            <v/>
          </cell>
          <cell r="BC678" t="str">
            <v/>
          </cell>
          <cell r="BD678" t="str">
            <v/>
          </cell>
          <cell r="BE678" t="str">
            <v/>
          </cell>
          <cell r="BF678" t="str">
            <v/>
          </cell>
          <cell r="BG678" t="str">
            <v/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 t="str">
            <v/>
          </cell>
          <cell r="BN678">
            <v>0</v>
          </cell>
          <cell r="BO678" t="str">
            <v/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 t="str">
            <v/>
          </cell>
          <cell r="BV678">
            <v>0</v>
          </cell>
          <cell r="BW678">
            <v>7</v>
          </cell>
          <cell r="BX678" t="str">
            <v>DOWNGRADE</v>
          </cell>
          <cell r="BY678" t="str">
            <v>RESET</v>
          </cell>
        </row>
        <row r="679">
          <cell r="A679" t="str">
            <v>A3882</v>
          </cell>
          <cell r="B679" t="str">
            <v>Fadilla Alivia</v>
          </cell>
          <cell r="C679" t="str">
            <v>TEMA C1</v>
          </cell>
          <cell r="D679">
            <v>45356</v>
          </cell>
          <cell r="E679" t="str">
            <v>Mar-24</v>
          </cell>
          <cell r="F679" t="str">
            <v>-</v>
          </cell>
          <cell r="G679" t="str">
            <v>-</v>
          </cell>
          <cell r="H679" t="str">
            <v>-</v>
          </cell>
          <cell r="I679" t="str">
            <v>REGULER</v>
          </cell>
          <cell r="J679" t="str">
            <v>REGULER</v>
          </cell>
          <cell r="K679" t="str">
            <v>-</v>
          </cell>
          <cell r="L679" t="str">
            <v>-</v>
          </cell>
          <cell r="M679">
            <v>0</v>
          </cell>
          <cell r="N679">
            <v>0</v>
          </cell>
          <cell r="O679">
            <v>0</v>
          </cell>
          <cell r="P679">
            <v>11</v>
          </cell>
          <cell r="Q679">
            <v>2</v>
          </cell>
          <cell r="R679">
            <v>0</v>
          </cell>
          <cell r="S679" t="str">
            <v/>
          </cell>
          <cell r="T679">
            <v>13</v>
          </cell>
          <cell r="U679">
            <v>0</v>
          </cell>
          <cell r="V679">
            <v>0</v>
          </cell>
          <cell r="W679">
            <v>0</v>
          </cell>
          <cell r="X679">
            <v>11</v>
          </cell>
          <cell r="Y679">
            <v>2</v>
          </cell>
          <cell r="Z679">
            <v>0</v>
          </cell>
          <cell r="AA679" t="str">
            <v/>
          </cell>
          <cell r="AB679">
            <v>13</v>
          </cell>
          <cell r="AC679">
            <v>2</v>
          </cell>
          <cell r="AD679" t="str">
            <v>TIDAK</v>
          </cell>
          <cell r="AE679" t="str">
            <v>TIDAK</v>
          </cell>
          <cell r="AF679">
            <v>13</v>
          </cell>
          <cell r="AG679">
            <v>1</v>
          </cell>
          <cell r="AH679" t="str">
            <v>SAPHIRE</v>
          </cell>
          <cell r="AI679">
            <v>0</v>
          </cell>
          <cell r="AJ679" t="str">
            <v>FALSE</v>
          </cell>
          <cell r="AK679">
            <v>0</v>
          </cell>
          <cell r="AL679">
            <v>45261</v>
          </cell>
          <cell r="AM679">
            <v>45701</v>
          </cell>
          <cell r="AN679">
            <v>1</v>
          </cell>
          <cell r="AO679">
            <v>13</v>
          </cell>
          <cell r="AP679" t="str">
            <v>-</v>
          </cell>
          <cell r="AQ679" t="str">
            <v>-</v>
          </cell>
          <cell r="AR679" t="str">
            <v>-</v>
          </cell>
          <cell r="AS679" t="str">
            <v>-</v>
          </cell>
          <cell r="AT679" t="str">
            <v>-</v>
          </cell>
          <cell r="AU679" t="str">
            <v>-</v>
          </cell>
          <cell r="AV679" t="str">
            <v/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 t="str">
            <v/>
          </cell>
          <cell r="BC679" t="str">
            <v/>
          </cell>
          <cell r="BD679" t="str">
            <v/>
          </cell>
          <cell r="BE679" t="str">
            <v/>
          </cell>
          <cell r="BF679" t="str">
            <v/>
          </cell>
          <cell r="BG679" t="str">
            <v/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 t="str">
            <v/>
          </cell>
          <cell r="BN679">
            <v>0</v>
          </cell>
          <cell r="BO679" t="str">
            <v/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 t="str">
            <v/>
          </cell>
          <cell r="BV679">
            <v>0</v>
          </cell>
          <cell r="BW679">
            <v>7</v>
          </cell>
          <cell r="BX679" t="str">
            <v>DOWNGRADE</v>
          </cell>
          <cell r="BY679" t="str">
            <v>RESET</v>
          </cell>
        </row>
        <row r="680">
          <cell r="A680" t="str">
            <v>A2631</v>
          </cell>
          <cell r="B680" t="str">
            <v>INDAH KEMALASARI</v>
          </cell>
          <cell r="C680" t="str">
            <v>TEMA C1</v>
          </cell>
          <cell r="D680" t="str">
            <v>20 Mei 2024</v>
          </cell>
          <cell r="E680" t="str">
            <v>20 Mei 2024</v>
          </cell>
          <cell r="F680" t="str">
            <v>-</v>
          </cell>
          <cell r="G680" t="str">
            <v>-</v>
          </cell>
          <cell r="H680" t="str">
            <v>-</v>
          </cell>
          <cell r="I680" t="str">
            <v>-</v>
          </cell>
          <cell r="J680" t="str">
            <v>-</v>
          </cell>
          <cell r="K680" t="str">
            <v>REGULER</v>
          </cell>
          <cell r="L680" t="str">
            <v>-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5</v>
          </cell>
          <cell r="S680" t="str">
            <v/>
          </cell>
          <cell r="T680">
            <v>5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5</v>
          </cell>
          <cell r="AA680" t="str">
            <v/>
          </cell>
          <cell r="AB680">
            <v>5</v>
          </cell>
          <cell r="AC680">
            <v>6</v>
          </cell>
          <cell r="AD680" t="str">
            <v>DOWNGRADE</v>
          </cell>
          <cell r="AE680" t="str">
            <v>RESET</v>
          </cell>
          <cell r="AF680">
            <v>0</v>
          </cell>
          <cell r="AG680">
            <v>1</v>
          </cell>
          <cell r="AH680" t="str">
            <v>SAPHIRE</v>
          </cell>
          <cell r="AI680">
            <v>0</v>
          </cell>
          <cell r="AJ680" t="str">
            <v>FALSE</v>
          </cell>
          <cell r="AK680">
            <v>0</v>
          </cell>
          <cell r="AL680">
            <v>45261</v>
          </cell>
          <cell r="AM680">
            <v>45701</v>
          </cell>
          <cell r="AN680">
            <v>1</v>
          </cell>
          <cell r="AO680">
            <v>0</v>
          </cell>
          <cell r="AP680" t="str">
            <v>-</v>
          </cell>
          <cell r="AQ680" t="str">
            <v>REGULER</v>
          </cell>
          <cell r="AR680" t="str">
            <v>-</v>
          </cell>
          <cell r="AS680" t="str">
            <v>-</v>
          </cell>
          <cell r="AT680" t="str">
            <v>-</v>
          </cell>
          <cell r="AU680" t="str">
            <v>-</v>
          </cell>
          <cell r="AV680" t="str">
            <v/>
          </cell>
          <cell r="AW680">
            <v>13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 t="str">
            <v/>
          </cell>
          <cell r="BC680" t="str">
            <v/>
          </cell>
          <cell r="BD680" t="str">
            <v/>
          </cell>
          <cell r="BE680" t="str">
            <v/>
          </cell>
          <cell r="BF680" t="str">
            <v/>
          </cell>
          <cell r="BG680">
            <v>6</v>
          </cell>
          <cell r="BH680">
            <v>13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 t="str">
            <v/>
          </cell>
          <cell r="BN680">
            <v>19</v>
          </cell>
          <cell r="BO680">
            <v>6</v>
          </cell>
          <cell r="BP680">
            <v>13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 t="str">
            <v/>
          </cell>
          <cell r="BV680">
            <v>19</v>
          </cell>
          <cell r="BW680">
            <v>5</v>
          </cell>
          <cell r="BX680" t="str">
            <v>DOWNGRADE</v>
          </cell>
          <cell r="BY680" t="str">
            <v>RESET</v>
          </cell>
        </row>
        <row r="681">
          <cell r="A681" t="str">
            <v>A3742</v>
          </cell>
          <cell r="B681" t="str">
            <v>Irene Magang</v>
          </cell>
          <cell r="C681" t="str">
            <v>TEMA C1</v>
          </cell>
          <cell r="D681">
            <v>45335</v>
          </cell>
          <cell r="E681" t="str">
            <v>Feb-24</v>
          </cell>
          <cell r="F681" t="str">
            <v>-</v>
          </cell>
          <cell r="G681" t="str">
            <v>-</v>
          </cell>
          <cell r="H681" t="str">
            <v>REGULER</v>
          </cell>
          <cell r="I681" t="str">
            <v>REGULER</v>
          </cell>
          <cell r="J681" t="str">
            <v>REGULER</v>
          </cell>
          <cell r="K681" t="str">
            <v>REGULER</v>
          </cell>
          <cell r="L681" t="str">
            <v>REGULER</v>
          </cell>
          <cell r="M681">
            <v>0</v>
          </cell>
          <cell r="N681">
            <v>0</v>
          </cell>
          <cell r="O681">
            <v>15</v>
          </cell>
          <cell r="P681">
            <v>17</v>
          </cell>
          <cell r="Q681">
            <v>32</v>
          </cell>
          <cell r="R681">
            <v>39</v>
          </cell>
          <cell r="S681">
            <v>18</v>
          </cell>
          <cell r="T681">
            <v>121</v>
          </cell>
          <cell r="U681">
            <v>0</v>
          </cell>
          <cell r="V681">
            <v>0</v>
          </cell>
          <cell r="W681">
            <v>15</v>
          </cell>
          <cell r="X681">
            <v>17</v>
          </cell>
          <cell r="Y681">
            <v>32</v>
          </cell>
          <cell r="Z681">
            <v>39</v>
          </cell>
          <cell r="AA681">
            <v>18</v>
          </cell>
          <cell r="AB681">
            <v>121</v>
          </cell>
          <cell r="AC681">
            <v>0</v>
          </cell>
          <cell r="AD681" t="str">
            <v>TIDAK</v>
          </cell>
          <cell r="AE681" t="str">
            <v>TIDAK</v>
          </cell>
          <cell r="AF681">
            <v>121</v>
          </cell>
          <cell r="AG681">
            <v>1</v>
          </cell>
          <cell r="AH681" t="str">
            <v>SAPHIRE</v>
          </cell>
          <cell r="AI681">
            <v>0</v>
          </cell>
          <cell r="AJ681" t="str">
            <v>Y</v>
          </cell>
          <cell r="AK681">
            <v>0</v>
          </cell>
          <cell r="AL681">
            <v>45261</v>
          </cell>
          <cell r="AM681">
            <v>45701</v>
          </cell>
          <cell r="AN681">
            <v>1</v>
          </cell>
          <cell r="AO681">
            <v>121</v>
          </cell>
          <cell r="AP681" t="str">
            <v>-</v>
          </cell>
          <cell r="AQ681" t="str">
            <v>REGULER</v>
          </cell>
          <cell r="AR681" t="str">
            <v>REGULER</v>
          </cell>
          <cell r="AS681" t="str">
            <v>-</v>
          </cell>
          <cell r="AT681" t="str">
            <v>REGULER</v>
          </cell>
          <cell r="AU681" t="str">
            <v>REGULER</v>
          </cell>
          <cell r="AV681" t="str">
            <v/>
          </cell>
          <cell r="AW681">
            <v>44</v>
          </cell>
          <cell r="AX681">
            <v>36</v>
          </cell>
          <cell r="AY681">
            <v>27</v>
          </cell>
          <cell r="AZ681">
            <v>45</v>
          </cell>
          <cell r="BA681">
            <v>16</v>
          </cell>
          <cell r="BB681" t="str">
            <v/>
          </cell>
          <cell r="BC681" t="str">
            <v/>
          </cell>
          <cell r="BD681" t="str">
            <v/>
          </cell>
          <cell r="BE681" t="str">
            <v/>
          </cell>
          <cell r="BF681" t="str">
            <v/>
          </cell>
          <cell r="BG681">
            <v>13</v>
          </cell>
          <cell r="BH681">
            <v>44</v>
          </cell>
          <cell r="BI681">
            <v>36</v>
          </cell>
          <cell r="BJ681">
            <v>27</v>
          </cell>
          <cell r="BK681">
            <v>45</v>
          </cell>
          <cell r="BL681">
            <v>16</v>
          </cell>
          <cell r="BM681" t="str">
            <v/>
          </cell>
          <cell r="BN681">
            <v>181</v>
          </cell>
          <cell r="BO681">
            <v>13</v>
          </cell>
          <cell r="BP681">
            <v>44</v>
          </cell>
          <cell r="BQ681">
            <v>36</v>
          </cell>
          <cell r="BR681">
            <v>27</v>
          </cell>
          <cell r="BS681">
            <v>45</v>
          </cell>
          <cell r="BT681">
            <v>16</v>
          </cell>
          <cell r="BU681" t="str">
            <v/>
          </cell>
          <cell r="BV681">
            <v>181</v>
          </cell>
          <cell r="BW681">
            <v>1</v>
          </cell>
          <cell r="BX681" t="str">
            <v>TIDAK</v>
          </cell>
          <cell r="BY681" t="str">
            <v>TIDAK</v>
          </cell>
        </row>
        <row r="682">
          <cell r="A682" t="str">
            <v>A3682</v>
          </cell>
          <cell r="B682" t="str">
            <v>Jessica Maharani</v>
          </cell>
          <cell r="C682" t="str">
            <v>TEMA C1</v>
          </cell>
          <cell r="D682">
            <v>45313</v>
          </cell>
          <cell r="E682" t="str">
            <v>Jan-24</v>
          </cell>
          <cell r="F682" t="str">
            <v>-</v>
          </cell>
          <cell r="G682" t="str">
            <v>REGULER</v>
          </cell>
          <cell r="H682" t="str">
            <v>REGULER</v>
          </cell>
          <cell r="I682" t="str">
            <v>REGULER</v>
          </cell>
          <cell r="J682" t="str">
            <v>REGULER</v>
          </cell>
          <cell r="K682" t="str">
            <v>REGULER</v>
          </cell>
          <cell r="L682" t="str">
            <v>REGULER</v>
          </cell>
          <cell r="M682">
            <v>0</v>
          </cell>
          <cell r="N682">
            <v>12</v>
          </cell>
          <cell r="O682">
            <v>36</v>
          </cell>
          <cell r="P682">
            <v>36</v>
          </cell>
          <cell r="Q682">
            <v>33</v>
          </cell>
          <cell r="R682">
            <v>39</v>
          </cell>
          <cell r="S682">
            <v>18</v>
          </cell>
          <cell r="T682">
            <v>174</v>
          </cell>
          <cell r="U682">
            <v>0</v>
          </cell>
          <cell r="V682">
            <v>12</v>
          </cell>
          <cell r="W682">
            <v>36</v>
          </cell>
          <cell r="X682">
            <v>36</v>
          </cell>
          <cell r="Y682">
            <v>33</v>
          </cell>
          <cell r="Z682">
            <v>39</v>
          </cell>
          <cell r="AA682">
            <v>18</v>
          </cell>
          <cell r="AB682">
            <v>174</v>
          </cell>
          <cell r="AC682">
            <v>0</v>
          </cell>
          <cell r="AD682" t="str">
            <v>TIDAK</v>
          </cell>
          <cell r="AE682" t="str">
            <v>TIDAK</v>
          </cell>
          <cell r="AF682">
            <v>174</v>
          </cell>
          <cell r="AG682">
            <v>1</v>
          </cell>
          <cell r="AH682" t="str">
            <v>SAPHIRE</v>
          </cell>
          <cell r="AI682">
            <v>0</v>
          </cell>
          <cell r="AJ682" t="str">
            <v>Y</v>
          </cell>
          <cell r="AK682">
            <v>0</v>
          </cell>
          <cell r="AL682">
            <v>45261</v>
          </cell>
          <cell r="AM682">
            <v>45701</v>
          </cell>
          <cell r="AN682">
            <v>1</v>
          </cell>
          <cell r="AO682">
            <v>174</v>
          </cell>
          <cell r="AP682" t="str">
            <v>-</v>
          </cell>
          <cell r="AQ682" t="str">
            <v>REGULER</v>
          </cell>
          <cell r="AR682" t="str">
            <v>REGULER</v>
          </cell>
          <cell r="AS682" t="str">
            <v>-</v>
          </cell>
          <cell r="AT682" t="str">
            <v>REGULER</v>
          </cell>
          <cell r="AU682" t="str">
            <v>REGULER</v>
          </cell>
          <cell r="AV682" t="str">
            <v/>
          </cell>
          <cell r="AW682">
            <v>45</v>
          </cell>
          <cell r="AX682">
            <v>42</v>
          </cell>
          <cell r="AY682">
            <v>40</v>
          </cell>
          <cell r="AZ682">
            <v>43</v>
          </cell>
          <cell r="BA682">
            <v>40</v>
          </cell>
          <cell r="BB682" t="str">
            <v/>
          </cell>
          <cell r="BC682" t="str">
            <v/>
          </cell>
          <cell r="BD682" t="str">
            <v/>
          </cell>
          <cell r="BE682" t="str">
            <v/>
          </cell>
          <cell r="BF682" t="str">
            <v/>
          </cell>
          <cell r="BG682">
            <v>17</v>
          </cell>
          <cell r="BH682">
            <v>45</v>
          </cell>
          <cell r="BI682">
            <v>42</v>
          </cell>
          <cell r="BJ682">
            <v>40</v>
          </cell>
          <cell r="BK682">
            <v>43</v>
          </cell>
          <cell r="BL682">
            <v>40</v>
          </cell>
          <cell r="BM682">
            <v>20</v>
          </cell>
          <cell r="BN682">
            <v>247</v>
          </cell>
          <cell r="BO682">
            <v>17</v>
          </cell>
          <cell r="BP682">
            <v>45</v>
          </cell>
          <cell r="BQ682">
            <v>42</v>
          </cell>
          <cell r="BR682">
            <v>40</v>
          </cell>
          <cell r="BS682">
            <v>43</v>
          </cell>
          <cell r="BT682">
            <v>40</v>
          </cell>
          <cell r="BU682">
            <v>20</v>
          </cell>
          <cell r="BV682">
            <v>247</v>
          </cell>
          <cell r="BW682">
            <v>0</v>
          </cell>
          <cell r="BX682" t="str">
            <v>TIDAK</v>
          </cell>
          <cell r="BY682" t="str">
            <v>TIDAK</v>
          </cell>
        </row>
        <row r="683">
          <cell r="A683" t="str">
            <v>A2717</v>
          </cell>
          <cell r="B683" t="str">
            <v>Kusumastiti Ciptaning Ratri</v>
          </cell>
          <cell r="C683" t="str">
            <v>TEMA C1</v>
          </cell>
          <cell r="D683">
            <v>45124</v>
          </cell>
          <cell r="E683" t="str">
            <v>Jul-23</v>
          </cell>
          <cell r="F683" t="str">
            <v>EKSKLUSIF</v>
          </cell>
          <cell r="G683" t="str">
            <v>REGULER</v>
          </cell>
          <cell r="H683" t="str">
            <v>-</v>
          </cell>
          <cell r="I683" t="str">
            <v>-</v>
          </cell>
          <cell r="J683" t="str">
            <v>-</v>
          </cell>
          <cell r="K683" t="str">
            <v>-</v>
          </cell>
          <cell r="L683" t="str">
            <v>-</v>
          </cell>
          <cell r="M683">
            <v>18</v>
          </cell>
          <cell r="N683">
            <v>23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 t="str">
            <v/>
          </cell>
          <cell r="T683">
            <v>41</v>
          </cell>
          <cell r="U683">
            <v>0</v>
          </cell>
          <cell r="V683">
            <v>23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/>
          </cell>
          <cell r="AB683">
            <v>23</v>
          </cell>
          <cell r="AC683">
            <v>5</v>
          </cell>
          <cell r="AD683" t="str">
            <v>DOWNGRADE</v>
          </cell>
          <cell r="AE683" t="str">
            <v>RESET</v>
          </cell>
          <cell r="AF683">
            <v>0</v>
          </cell>
          <cell r="AG683">
            <v>1</v>
          </cell>
          <cell r="AH683" t="str">
            <v>SAPHIRE</v>
          </cell>
          <cell r="AI683">
            <v>0</v>
          </cell>
          <cell r="AJ683" t="str">
            <v>FALSE</v>
          </cell>
          <cell r="AK683">
            <v>0</v>
          </cell>
          <cell r="AL683">
            <v>45261</v>
          </cell>
          <cell r="AM683">
            <v>45701</v>
          </cell>
          <cell r="AN683">
            <v>1</v>
          </cell>
          <cell r="AO683">
            <v>0</v>
          </cell>
          <cell r="AP683" t="str">
            <v>-</v>
          </cell>
          <cell r="AQ683" t="str">
            <v>-</v>
          </cell>
          <cell r="AR683" t="str">
            <v>-</v>
          </cell>
          <cell r="AS683" t="str">
            <v>-</v>
          </cell>
          <cell r="AT683" t="str">
            <v>-</v>
          </cell>
          <cell r="AU683" t="str">
            <v>-</v>
          </cell>
          <cell r="AV683" t="str">
            <v/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 t="str">
            <v/>
          </cell>
          <cell r="BC683" t="str">
            <v/>
          </cell>
          <cell r="BD683" t="str">
            <v/>
          </cell>
          <cell r="BE683" t="str">
            <v/>
          </cell>
          <cell r="BF683" t="str">
            <v/>
          </cell>
          <cell r="BG683" t="str">
            <v/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 t="str">
            <v/>
          </cell>
          <cell r="BN683">
            <v>0</v>
          </cell>
          <cell r="BO683" t="str">
            <v/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 t="str">
            <v/>
          </cell>
          <cell r="BV683">
            <v>0</v>
          </cell>
          <cell r="BW683">
            <v>7</v>
          </cell>
          <cell r="BX683" t="str">
            <v>DOWNGRADE</v>
          </cell>
          <cell r="BY683" t="str">
            <v>RESET</v>
          </cell>
        </row>
        <row r="684">
          <cell r="A684" t="str">
            <v>A3883</v>
          </cell>
          <cell r="B684" t="str">
            <v>Mitha Aziah</v>
          </cell>
          <cell r="C684" t="str">
            <v>TEMA C1</v>
          </cell>
          <cell r="D684">
            <v>45384</v>
          </cell>
          <cell r="E684" t="str">
            <v>Apr-24</v>
          </cell>
          <cell r="F684" t="str">
            <v>-</v>
          </cell>
          <cell r="G684" t="str">
            <v>-</v>
          </cell>
          <cell r="H684" t="str">
            <v>-</v>
          </cell>
          <cell r="I684" t="str">
            <v>REGULER</v>
          </cell>
          <cell r="J684" t="str">
            <v>REGULER</v>
          </cell>
          <cell r="K684" t="str">
            <v>-</v>
          </cell>
          <cell r="L684" t="str">
            <v>-</v>
          </cell>
          <cell r="M684">
            <v>0</v>
          </cell>
          <cell r="N684">
            <v>0</v>
          </cell>
          <cell r="O684">
            <v>0</v>
          </cell>
          <cell r="P684">
            <v>6</v>
          </cell>
          <cell r="Q684">
            <v>3</v>
          </cell>
          <cell r="R684">
            <v>0</v>
          </cell>
          <cell r="S684" t="str">
            <v/>
          </cell>
          <cell r="T684">
            <v>9</v>
          </cell>
          <cell r="U684">
            <v>0</v>
          </cell>
          <cell r="V684">
            <v>0</v>
          </cell>
          <cell r="W684">
            <v>0</v>
          </cell>
          <cell r="X684">
            <v>6</v>
          </cell>
          <cell r="Y684">
            <v>3</v>
          </cell>
          <cell r="Z684">
            <v>0</v>
          </cell>
          <cell r="AA684" t="str">
            <v/>
          </cell>
          <cell r="AB684">
            <v>9</v>
          </cell>
          <cell r="AC684">
            <v>2</v>
          </cell>
          <cell r="AD684" t="str">
            <v>TIDAK</v>
          </cell>
          <cell r="AE684" t="str">
            <v>TIDAK</v>
          </cell>
          <cell r="AF684">
            <v>9</v>
          </cell>
          <cell r="AG684">
            <v>1</v>
          </cell>
          <cell r="AH684" t="str">
            <v>SAPHIRE</v>
          </cell>
          <cell r="AI684">
            <v>0</v>
          </cell>
          <cell r="AJ684" t="str">
            <v>FALSE</v>
          </cell>
          <cell r="AK684">
            <v>0</v>
          </cell>
          <cell r="AL684">
            <v>45261</v>
          </cell>
          <cell r="AM684">
            <v>45701</v>
          </cell>
          <cell r="AN684">
            <v>1</v>
          </cell>
          <cell r="AO684">
            <v>9</v>
          </cell>
          <cell r="AP684" t="str">
            <v>-</v>
          </cell>
          <cell r="AQ684" t="str">
            <v>-</v>
          </cell>
          <cell r="AR684" t="str">
            <v>-</v>
          </cell>
          <cell r="AS684" t="str">
            <v>-</v>
          </cell>
          <cell r="AT684" t="str">
            <v>-</v>
          </cell>
          <cell r="AU684" t="str">
            <v>-</v>
          </cell>
          <cell r="AV684" t="str">
            <v/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 t="str">
            <v/>
          </cell>
          <cell r="BC684" t="str">
            <v/>
          </cell>
          <cell r="BD684" t="str">
            <v/>
          </cell>
          <cell r="BE684" t="str">
            <v/>
          </cell>
          <cell r="BF684" t="str">
            <v/>
          </cell>
          <cell r="BG684" t="str">
            <v/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 t="str">
            <v/>
          </cell>
          <cell r="BN684">
            <v>0</v>
          </cell>
          <cell r="BO684" t="str">
            <v/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 t="str">
            <v/>
          </cell>
          <cell r="BV684">
            <v>0</v>
          </cell>
          <cell r="BW684">
            <v>7</v>
          </cell>
          <cell r="BX684" t="str">
            <v>DOWNGRADE</v>
          </cell>
          <cell r="BY684" t="str">
            <v>RESET</v>
          </cell>
        </row>
        <row r="685">
          <cell r="A685" t="str">
            <v>A2712</v>
          </cell>
          <cell r="B685" t="str">
            <v>Muhammad Rasanda Aq Qawiyyu Ramdan</v>
          </cell>
          <cell r="C685" t="str">
            <v>TEMA C1</v>
          </cell>
          <cell r="D685">
            <v>45121</v>
          </cell>
          <cell r="E685" t="str">
            <v>Jul-23</v>
          </cell>
          <cell r="F685" t="str">
            <v>EKSKLUSIF</v>
          </cell>
          <cell r="G685" t="str">
            <v>EKSKLUSIF</v>
          </cell>
          <cell r="H685" t="str">
            <v>EKSKLUSIF</v>
          </cell>
          <cell r="I685" t="str">
            <v>REGULER</v>
          </cell>
          <cell r="J685" t="str">
            <v>REGULER</v>
          </cell>
          <cell r="K685" t="str">
            <v>REGULER</v>
          </cell>
          <cell r="L685" t="str">
            <v>-</v>
          </cell>
          <cell r="M685">
            <v>18</v>
          </cell>
          <cell r="N685">
            <v>43</v>
          </cell>
          <cell r="O685">
            <v>36</v>
          </cell>
          <cell r="P685">
            <v>41</v>
          </cell>
          <cell r="Q685">
            <v>0</v>
          </cell>
          <cell r="R685">
            <v>0</v>
          </cell>
          <cell r="S685" t="str">
            <v/>
          </cell>
          <cell r="T685">
            <v>138</v>
          </cell>
          <cell r="U685">
            <v>0</v>
          </cell>
          <cell r="V685">
            <v>0</v>
          </cell>
          <cell r="W685">
            <v>0</v>
          </cell>
          <cell r="X685">
            <v>41</v>
          </cell>
          <cell r="Y685">
            <v>0</v>
          </cell>
          <cell r="Z685">
            <v>0</v>
          </cell>
          <cell r="AA685" t="str">
            <v/>
          </cell>
          <cell r="AB685">
            <v>41</v>
          </cell>
          <cell r="AC685">
            <v>3</v>
          </cell>
          <cell r="AD685" t="str">
            <v>DOWNGRADE</v>
          </cell>
          <cell r="AE685" t="str">
            <v>RESET</v>
          </cell>
          <cell r="AF685">
            <v>0</v>
          </cell>
          <cell r="AG685">
            <v>3</v>
          </cell>
          <cell r="AH685" t="str">
            <v>SAPHIRE</v>
          </cell>
          <cell r="AI685">
            <v>0</v>
          </cell>
          <cell r="AJ685" t="str">
            <v>FALSE</v>
          </cell>
          <cell r="AK685">
            <v>0</v>
          </cell>
          <cell r="AL685">
            <v>45261</v>
          </cell>
          <cell r="AM685">
            <v>45701</v>
          </cell>
          <cell r="AN685">
            <v>1</v>
          </cell>
          <cell r="AO685">
            <v>0</v>
          </cell>
          <cell r="AP685" t="str">
            <v>-</v>
          </cell>
          <cell r="AQ685" t="str">
            <v>REGULER</v>
          </cell>
          <cell r="AR685" t="str">
            <v>REGULER</v>
          </cell>
          <cell r="AS685" t="str">
            <v>-</v>
          </cell>
          <cell r="AT685" t="str">
            <v>-</v>
          </cell>
          <cell r="AU685" t="str">
            <v>-</v>
          </cell>
          <cell r="AV685" t="str">
            <v/>
          </cell>
          <cell r="AW685">
            <v>5</v>
          </cell>
          <cell r="AX685">
            <v>20</v>
          </cell>
          <cell r="AY685">
            <v>0</v>
          </cell>
          <cell r="AZ685">
            <v>0</v>
          </cell>
          <cell r="BA685">
            <v>0</v>
          </cell>
          <cell r="BB685" t="str">
            <v/>
          </cell>
          <cell r="BC685" t="str">
            <v/>
          </cell>
          <cell r="BD685" t="str">
            <v/>
          </cell>
          <cell r="BE685" t="str">
            <v/>
          </cell>
          <cell r="BF685" t="str">
            <v/>
          </cell>
          <cell r="BG685" t="str">
            <v/>
          </cell>
          <cell r="BH685">
            <v>5</v>
          </cell>
          <cell r="BI685">
            <v>20</v>
          </cell>
          <cell r="BJ685">
            <v>0</v>
          </cell>
          <cell r="BK685">
            <v>0</v>
          </cell>
          <cell r="BL685">
            <v>0</v>
          </cell>
          <cell r="BM685" t="str">
            <v/>
          </cell>
          <cell r="BN685">
            <v>25</v>
          </cell>
          <cell r="BO685" t="str">
            <v/>
          </cell>
          <cell r="BP685">
            <v>5</v>
          </cell>
          <cell r="BQ685">
            <v>20</v>
          </cell>
          <cell r="BR685">
            <v>0</v>
          </cell>
          <cell r="BS685">
            <v>0</v>
          </cell>
          <cell r="BT685">
            <v>0</v>
          </cell>
          <cell r="BU685" t="str">
            <v/>
          </cell>
          <cell r="BV685">
            <v>25</v>
          </cell>
          <cell r="BW685">
            <v>5</v>
          </cell>
          <cell r="BX685" t="str">
            <v>DOWNGRADE</v>
          </cell>
          <cell r="BY685" t="str">
            <v>RESET</v>
          </cell>
        </row>
        <row r="686">
          <cell r="A686" t="str">
            <v>A0417</v>
          </cell>
          <cell r="B686" t="str">
            <v>Nur Afifah</v>
          </cell>
          <cell r="C686" t="str">
            <v>TEMA C1</v>
          </cell>
          <cell r="D686">
            <v>44845</v>
          </cell>
          <cell r="E686" t="str">
            <v>Oct-22</v>
          </cell>
          <cell r="F686" t="str">
            <v>EKSKLUSIF</v>
          </cell>
          <cell r="G686" t="str">
            <v>REGULER</v>
          </cell>
          <cell r="H686" t="str">
            <v>REGULER</v>
          </cell>
          <cell r="I686" t="str">
            <v>REGULER</v>
          </cell>
          <cell r="J686" t="str">
            <v>REGULER</v>
          </cell>
          <cell r="K686" t="str">
            <v>REGULER</v>
          </cell>
          <cell r="L686" t="str">
            <v>REGULER</v>
          </cell>
          <cell r="M686">
            <v>18</v>
          </cell>
          <cell r="N686">
            <v>40</v>
          </cell>
          <cell r="O686">
            <v>32</v>
          </cell>
          <cell r="P686">
            <v>38</v>
          </cell>
          <cell r="Q686">
            <v>26</v>
          </cell>
          <cell r="R686">
            <v>39</v>
          </cell>
          <cell r="S686">
            <v>20</v>
          </cell>
          <cell r="T686">
            <v>213</v>
          </cell>
          <cell r="U686">
            <v>0</v>
          </cell>
          <cell r="V686">
            <v>40</v>
          </cell>
          <cell r="W686">
            <v>32</v>
          </cell>
          <cell r="X686">
            <v>38</v>
          </cell>
          <cell r="Y686">
            <v>26</v>
          </cell>
          <cell r="Z686">
            <v>39</v>
          </cell>
          <cell r="AA686">
            <v>20</v>
          </cell>
          <cell r="AB686">
            <v>195</v>
          </cell>
          <cell r="AC686">
            <v>0</v>
          </cell>
          <cell r="AD686" t="str">
            <v>TIDAK</v>
          </cell>
          <cell r="AE686" t="str">
            <v>TIDAK</v>
          </cell>
          <cell r="AF686">
            <v>195</v>
          </cell>
          <cell r="AG686">
            <v>1</v>
          </cell>
          <cell r="AH686" t="str">
            <v>SAPHIRE</v>
          </cell>
          <cell r="AI686">
            <v>0</v>
          </cell>
          <cell r="AJ686" t="str">
            <v>Y</v>
          </cell>
          <cell r="AK686">
            <v>0</v>
          </cell>
          <cell r="AL686">
            <v>45261</v>
          </cell>
          <cell r="AM686">
            <v>45701</v>
          </cell>
          <cell r="AN686">
            <v>1</v>
          </cell>
          <cell r="AO686">
            <v>195</v>
          </cell>
          <cell r="AP686" t="str">
            <v>-</v>
          </cell>
          <cell r="AQ686" t="str">
            <v>REGULER</v>
          </cell>
          <cell r="AR686" t="str">
            <v>REGULER</v>
          </cell>
          <cell r="AS686" t="str">
            <v>-</v>
          </cell>
          <cell r="AT686" t="str">
            <v>REGULER</v>
          </cell>
          <cell r="AU686" t="str">
            <v>REGULER</v>
          </cell>
          <cell r="AV686" t="str">
            <v/>
          </cell>
          <cell r="AW686">
            <v>44</v>
          </cell>
          <cell r="AX686">
            <v>44</v>
          </cell>
          <cell r="AY686">
            <v>40</v>
          </cell>
          <cell r="AZ686">
            <v>43</v>
          </cell>
          <cell r="BA686">
            <v>40</v>
          </cell>
          <cell r="BB686" t="str">
            <v/>
          </cell>
          <cell r="BC686" t="str">
            <v/>
          </cell>
          <cell r="BD686" t="str">
            <v/>
          </cell>
          <cell r="BE686" t="str">
            <v/>
          </cell>
          <cell r="BF686" t="str">
            <v/>
          </cell>
          <cell r="BG686">
            <v>16</v>
          </cell>
          <cell r="BH686">
            <v>44</v>
          </cell>
          <cell r="BI686">
            <v>44</v>
          </cell>
          <cell r="BJ686">
            <v>40</v>
          </cell>
          <cell r="BK686">
            <v>43</v>
          </cell>
          <cell r="BL686">
            <v>40</v>
          </cell>
          <cell r="BM686">
            <v>20</v>
          </cell>
          <cell r="BN686">
            <v>247</v>
          </cell>
          <cell r="BO686">
            <v>16</v>
          </cell>
          <cell r="BP686">
            <v>44</v>
          </cell>
          <cell r="BQ686">
            <v>44</v>
          </cell>
          <cell r="BR686">
            <v>40</v>
          </cell>
          <cell r="BS686">
            <v>43</v>
          </cell>
          <cell r="BT686">
            <v>40</v>
          </cell>
          <cell r="BU686">
            <v>20</v>
          </cell>
          <cell r="BV686">
            <v>247</v>
          </cell>
          <cell r="BW686">
            <v>0</v>
          </cell>
          <cell r="BX686" t="str">
            <v>TIDAK</v>
          </cell>
          <cell r="BY686" t="str">
            <v>TIDAK</v>
          </cell>
        </row>
        <row r="687">
          <cell r="A687" t="str">
            <v>A3774</v>
          </cell>
          <cell r="B687" t="str">
            <v>Nur Sri Mulyaningsih C</v>
          </cell>
          <cell r="C687" t="str">
            <v>TEMA C1</v>
          </cell>
          <cell r="D687">
            <v>45337</v>
          </cell>
          <cell r="E687" t="str">
            <v>Feb-24</v>
          </cell>
          <cell r="F687" t="str">
            <v>-</v>
          </cell>
          <cell r="G687" t="str">
            <v>-</v>
          </cell>
          <cell r="H687" t="str">
            <v>REGULER</v>
          </cell>
          <cell r="I687" t="str">
            <v>REGULER</v>
          </cell>
          <cell r="J687" t="str">
            <v>REGULER</v>
          </cell>
          <cell r="K687" t="str">
            <v>REGULER</v>
          </cell>
          <cell r="L687" t="str">
            <v>REGULER</v>
          </cell>
          <cell r="M687">
            <v>0</v>
          </cell>
          <cell r="N687">
            <v>0</v>
          </cell>
          <cell r="O687">
            <v>3</v>
          </cell>
          <cell r="P687">
            <v>5</v>
          </cell>
          <cell r="Q687">
            <v>14</v>
          </cell>
          <cell r="R687">
            <v>13</v>
          </cell>
          <cell r="S687">
            <v>16</v>
          </cell>
          <cell r="T687">
            <v>51</v>
          </cell>
          <cell r="U687">
            <v>0</v>
          </cell>
          <cell r="V687">
            <v>0</v>
          </cell>
          <cell r="W687">
            <v>3</v>
          </cell>
          <cell r="X687">
            <v>5</v>
          </cell>
          <cell r="Y687">
            <v>14</v>
          </cell>
          <cell r="Z687">
            <v>13</v>
          </cell>
          <cell r="AA687">
            <v>16</v>
          </cell>
          <cell r="AB687">
            <v>51</v>
          </cell>
          <cell r="AC687">
            <v>0</v>
          </cell>
          <cell r="AD687" t="str">
            <v>TIDAK</v>
          </cell>
          <cell r="AE687" t="str">
            <v>TIDAK</v>
          </cell>
          <cell r="AF687">
            <v>51</v>
          </cell>
          <cell r="AG687">
            <v>1</v>
          </cell>
          <cell r="AH687" t="str">
            <v>SAPHIRE</v>
          </cell>
          <cell r="AI687">
            <v>0</v>
          </cell>
          <cell r="AJ687" t="str">
            <v>FALSE</v>
          </cell>
          <cell r="AK687">
            <v>0</v>
          </cell>
          <cell r="AL687">
            <v>45261</v>
          </cell>
          <cell r="AM687">
            <v>45701</v>
          </cell>
          <cell r="AN687">
            <v>1</v>
          </cell>
          <cell r="AO687">
            <v>51</v>
          </cell>
          <cell r="AP687" t="str">
            <v>-</v>
          </cell>
          <cell r="AQ687" t="str">
            <v>REGULER</v>
          </cell>
          <cell r="AR687" t="str">
            <v>REGULER</v>
          </cell>
          <cell r="AS687" t="str">
            <v>-</v>
          </cell>
          <cell r="AT687" t="str">
            <v>REGULER</v>
          </cell>
          <cell r="AU687" t="str">
            <v>REGULER</v>
          </cell>
          <cell r="AV687" t="str">
            <v/>
          </cell>
          <cell r="AW687">
            <v>34</v>
          </cell>
          <cell r="AX687">
            <v>41</v>
          </cell>
          <cell r="AY687">
            <v>29</v>
          </cell>
          <cell r="AZ687">
            <v>29</v>
          </cell>
          <cell r="BA687">
            <v>28</v>
          </cell>
          <cell r="BB687" t="str">
            <v/>
          </cell>
          <cell r="BC687" t="str">
            <v/>
          </cell>
          <cell r="BD687" t="str">
            <v/>
          </cell>
          <cell r="BE687" t="str">
            <v/>
          </cell>
          <cell r="BF687" t="str">
            <v/>
          </cell>
          <cell r="BG687">
            <v>12</v>
          </cell>
          <cell r="BH687">
            <v>34</v>
          </cell>
          <cell r="BI687">
            <v>41</v>
          </cell>
          <cell r="BJ687">
            <v>29</v>
          </cell>
          <cell r="BK687">
            <v>29</v>
          </cell>
          <cell r="BL687">
            <v>28</v>
          </cell>
          <cell r="BM687" t="str">
            <v/>
          </cell>
          <cell r="BN687">
            <v>173</v>
          </cell>
          <cell r="BO687">
            <v>12</v>
          </cell>
          <cell r="BP687">
            <v>34</v>
          </cell>
          <cell r="BQ687">
            <v>41</v>
          </cell>
          <cell r="BR687">
            <v>29</v>
          </cell>
          <cell r="BS687">
            <v>29</v>
          </cell>
          <cell r="BT687">
            <v>28</v>
          </cell>
          <cell r="BU687" t="str">
            <v/>
          </cell>
          <cell r="BV687">
            <v>173</v>
          </cell>
          <cell r="BW687">
            <v>1</v>
          </cell>
          <cell r="BX687" t="str">
            <v>TIDAK</v>
          </cell>
          <cell r="BY687" t="str">
            <v>TIDAK</v>
          </cell>
        </row>
        <row r="688">
          <cell r="A688" t="str">
            <v>A4016</v>
          </cell>
          <cell r="B688" t="str">
            <v>RICHARD RONALDI SOUISA</v>
          </cell>
          <cell r="C688" t="str">
            <v>TEMA C1</v>
          </cell>
          <cell r="D688" t="str">
            <v>08 Mei 2024</v>
          </cell>
          <cell r="E688" t="str">
            <v>08 Mei 2024</v>
          </cell>
          <cell r="F688" t="str">
            <v>-</v>
          </cell>
          <cell r="G688" t="str">
            <v>-</v>
          </cell>
          <cell r="H688" t="str">
            <v>-</v>
          </cell>
          <cell r="I688" t="str">
            <v>-</v>
          </cell>
          <cell r="J688" t="str">
            <v>-</v>
          </cell>
          <cell r="K688" t="str">
            <v>REGULER</v>
          </cell>
          <cell r="L688" t="str">
            <v>REGULER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22</v>
          </cell>
          <cell r="S688">
            <v>13</v>
          </cell>
          <cell r="T688">
            <v>35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22</v>
          </cell>
          <cell r="AA688">
            <v>13</v>
          </cell>
          <cell r="AB688">
            <v>35</v>
          </cell>
          <cell r="AC688">
            <v>5</v>
          </cell>
          <cell r="AD688" t="str">
            <v>DOWNGRADE</v>
          </cell>
          <cell r="AE688" t="str">
            <v>RESET</v>
          </cell>
          <cell r="AF688">
            <v>0</v>
          </cell>
          <cell r="AG688">
            <v>1</v>
          </cell>
          <cell r="AH688" t="str">
            <v>SAPHIRE</v>
          </cell>
          <cell r="AI688">
            <v>0</v>
          </cell>
          <cell r="AJ688" t="str">
            <v>FALSE</v>
          </cell>
          <cell r="AK688">
            <v>0</v>
          </cell>
          <cell r="AL688">
            <v>45261</v>
          </cell>
          <cell r="AM688">
            <v>45701</v>
          </cell>
          <cell r="AN688">
            <v>1</v>
          </cell>
          <cell r="AO688">
            <v>0</v>
          </cell>
          <cell r="AP688" t="str">
            <v>-</v>
          </cell>
          <cell r="AQ688" t="str">
            <v>REGULER</v>
          </cell>
          <cell r="AR688" t="str">
            <v>REGULER</v>
          </cell>
          <cell r="AS688" t="str">
            <v>-</v>
          </cell>
          <cell r="AT688" t="str">
            <v>-</v>
          </cell>
          <cell r="AU688" t="str">
            <v>REGULER</v>
          </cell>
          <cell r="AV688" t="str">
            <v/>
          </cell>
          <cell r="AW688">
            <v>17</v>
          </cell>
          <cell r="AX688">
            <v>11</v>
          </cell>
          <cell r="AY688">
            <v>0</v>
          </cell>
          <cell r="AZ688">
            <v>0</v>
          </cell>
          <cell r="BA688">
            <v>9</v>
          </cell>
          <cell r="BB688" t="str">
            <v/>
          </cell>
          <cell r="BC688" t="str">
            <v/>
          </cell>
          <cell r="BD688" t="str">
            <v/>
          </cell>
          <cell r="BE688" t="str">
            <v/>
          </cell>
          <cell r="BF688" t="str">
            <v/>
          </cell>
          <cell r="BG688">
            <v>15</v>
          </cell>
          <cell r="BH688">
            <v>17</v>
          </cell>
          <cell r="BI688">
            <v>11</v>
          </cell>
          <cell r="BJ688">
            <v>0</v>
          </cell>
          <cell r="BK688">
            <v>0</v>
          </cell>
          <cell r="BL688">
            <v>9</v>
          </cell>
          <cell r="BM688">
            <v>10</v>
          </cell>
          <cell r="BN688">
            <v>62</v>
          </cell>
          <cell r="BO688">
            <v>15</v>
          </cell>
          <cell r="BP688">
            <v>17</v>
          </cell>
          <cell r="BQ688">
            <v>11</v>
          </cell>
          <cell r="BR688">
            <v>0</v>
          </cell>
          <cell r="BS688">
            <v>0</v>
          </cell>
          <cell r="BT688">
            <v>9</v>
          </cell>
          <cell r="BU688">
            <v>10</v>
          </cell>
          <cell r="BV688">
            <v>62</v>
          </cell>
          <cell r="BW688">
            <v>2</v>
          </cell>
          <cell r="BX688" t="str">
            <v>TIDAK</v>
          </cell>
          <cell r="BY688" t="str">
            <v>TIDAK</v>
          </cell>
        </row>
        <row r="689">
          <cell r="A689" t="str">
            <v>A1678</v>
          </cell>
          <cell r="B689" t="str">
            <v xml:space="preserve">Rizky Yuliani </v>
          </cell>
          <cell r="C689" t="str">
            <v>TEMA C1</v>
          </cell>
          <cell r="D689">
            <v>44995</v>
          </cell>
          <cell r="E689" t="str">
            <v>Mar-23</v>
          </cell>
          <cell r="F689" t="str">
            <v>REGULER</v>
          </cell>
          <cell r="G689" t="str">
            <v>-</v>
          </cell>
          <cell r="H689" t="str">
            <v>-</v>
          </cell>
          <cell r="I689" t="str">
            <v>-</v>
          </cell>
          <cell r="J689" t="str">
            <v>-</v>
          </cell>
          <cell r="K689" t="str">
            <v>-</v>
          </cell>
          <cell r="L689" t="str">
            <v>-</v>
          </cell>
          <cell r="M689">
            <v>12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12</v>
          </cell>
          <cell r="U689">
            <v>12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12</v>
          </cell>
          <cell r="AC689">
            <v>6</v>
          </cell>
          <cell r="AD689" t="str">
            <v>DOWNGRADE</v>
          </cell>
          <cell r="AE689" t="str">
            <v>RESET</v>
          </cell>
          <cell r="AF689">
            <v>0</v>
          </cell>
          <cell r="AG689">
            <v>1</v>
          </cell>
          <cell r="AH689" t="str">
            <v>SAPHIRE</v>
          </cell>
          <cell r="AI689">
            <v>0</v>
          </cell>
          <cell r="AJ689" t="str">
            <v>FALSE</v>
          </cell>
          <cell r="AK689">
            <v>0</v>
          </cell>
          <cell r="AL689">
            <v>45261</v>
          </cell>
          <cell r="AM689">
            <v>45701</v>
          </cell>
          <cell r="AN689">
            <v>1</v>
          </cell>
          <cell r="AO689">
            <v>0</v>
          </cell>
          <cell r="AP689" t="str">
            <v>-</v>
          </cell>
          <cell r="AQ689" t="str">
            <v>-</v>
          </cell>
          <cell r="AR689" t="str">
            <v>-</v>
          </cell>
          <cell r="AS689" t="str">
            <v>-</v>
          </cell>
          <cell r="AT689" t="str">
            <v>-</v>
          </cell>
          <cell r="AU689" t="str">
            <v>-</v>
          </cell>
          <cell r="AV689" t="str">
            <v/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 t="str">
            <v/>
          </cell>
          <cell r="BC689" t="str">
            <v/>
          </cell>
          <cell r="BD689" t="str">
            <v/>
          </cell>
          <cell r="BE689" t="str">
            <v/>
          </cell>
          <cell r="BF689" t="str">
            <v/>
          </cell>
          <cell r="BG689" t="str">
            <v/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 t="str">
            <v/>
          </cell>
          <cell r="BN689">
            <v>0</v>
          </cell>
          <cell r="BO689" t="str">
            <v/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 t="str">
            <v/>
          </cell>
          <cell r="BV689">
            <v>0</v>
          </cell>
          <cell r="BW689">
            <v>7</v>
          </cell>
          <cell r="BX689" t="str">
            <v>DOWNGRADE</v>
          </cell>
          <cell r="BY689" t="str">
            <v>RESET</v>
          </cell>
        </row>
        <row r="690">
          <cell r="A690" t="str">
            <v>A3885</v>
          </cell>
          <cell r="B690" t="str">
            <v>Sella Oktiansyah</v>
          </cell>
          <cell r="C690" t="str">
            <v>TEMA C1</v>
          </cell>
          <cell r="D690">
            <v>45357</v>
          </cell>
          <cell r="E690" t="str">
            <v>Mar-24</v>
          </cell>
          <cell r="F690" t="str">
            <v>-</v>
          </cell>
          <cell r="G690" t="str">
            <v>-</v>
          </cell>
          <cell r="H690" t="str">
            <v>-</v>
          </cell>
          <cell r="I690" t="str">
            <v>REGULER</v>
          </cell>
          <cell r="J690" t="str">
            <v>-</v>
          </cell>
          <cell r="K690" t="str">
            <v>-</v>
          </cell>
          <cell r="L690" t="str">
            <v>-</v>
          </cell>
          <cell r="M690">
            <v>0</v>
          </cell>
          <cell r="N690">
            <v>0</v>
          </cell>
          <cell r="O690">
            <v>0</v>
          </cell>
          <cell r="P690">
            <v>2</v>
          </cell>
          <cell r="Q690">
            <v>0</v>
          </cell>
          <cell r="R690">
            <v>0</v>
          </cell>
          <cell r="S690" t="str">
            <v/>
          </cell>
          <cell r="T690">
            <v>2</v>
          </cell>
          <cell r="U690">
            <v>0</v>
          </cell>
          <cell r="V690">
            <v>0</v>
          </cell>
          <cell r="W690">
            <v>0</v>
          </cell>
          <cell r="X690">
            <v>2</v>
          </cell>
          <cell r="Y690">
            <v>0</v>
          </cell>
          <cell r="Z690">
            <v>0</v>
          </cell>
          <cell r="AA690" t="str">
            <v/>
          </cell>
          <cell r="AB690">
            <v>2</v>
          </cell>
          <cell r="AC690">
            <v>3</v>
          </cell>
          <cell r="AD690" t="str">
            <v>DOWNGRADE</v>
          </cell>
          <cell r="AE690" t="str">
            <v>RESET</v>
          </cell>
          <cell r="AF690">
            <v>0</v>
          </cell>
          <cell r="AG690">
            <v>1</v>
          </cell>
          <cell r="AH690" t="str">
            <v>SAPHIRE</v>
          </cell>
          <cell r="AI690">
            <v>0</v>
          </cell>
          <cell r="AJ690" t="str">
            <v>FALSE</v>
          </cell>
          <cell r="AK690">
            <v>0</v>
          </cell>
          <cell r="AL690">
            <v>45261</v>
          </cell>
          <cell r="AM690">
            <v>45701</v>
          </cell>
          <cell r="AN690">
            <v>1</v>
          </cell>
          <cell r="AO690">
            <v>0</v>
          </cell>
          <cell r="AP690" t="str">
            <v>-</v>
          </cell>
          <cell r="AQ690" t="str">
            <v>-</v>
          </cell>
          <cell r="AR690" t="str">
            <v>-</v>
          </cell>
          <cell r="AS690" t="str">
            <v>-</v>
          </cell>
          <cell r="AT690" t="str">
            <v>-</v>
          </cell>
          <cell r="AU690" t="str">
            <v>-</v>
          </cell>
          <cell r="AV690" t="str">
            <v/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 t="str">
            <v/>
          </cell>
          <cell r="BC690" t="str">
            <v/>
          </cell>
          <cell r="BD690" t="str">
            <v/>
          </cell>
          <cell r="BE690" t="str">
            <v/>
          </cell>
          <cell r="BF690" t="str">
            <v/>
          </cell>
          <cell r="BG690" t="str">
            <v/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 t="str">
            <v/>
          </cell>
          <cell r="BN690">
            <v>0</v>
          </cell>
          <cell r="BO690" t="str">
            <v/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 t="str">
            <v/>
          </cell>
          <cell r="BV690">
            <v>0</v>
          </cell>
          <cell r="BW690">
            <v>7</v>
          </cell>
          <cell r="BX690" t="str">
            <v>DOWNGRADE</v>
          </cell>
          <cell r="BY690" t="str">
            <v>RESET</v>
          </cell>
        </row>
        <row r="691">
          <cell r="A691" t="str">
            <v>A3779</v>
          </cell>
          <cell r="B691" t="str">
            <v>Tegar Muhammad Pradana</v>
          </cell>
          <cell r="C691" t="str">
            <v>TEMA C1</v>
          </cell>
          <cell r="D691">
            <v>45335</v>
          </cell>
          <cell r="E691" t="str">
            <v>Feb-24</v>
          </cell>
          <cell r="F691" t="str">
            <v>-</v>
          </cell>
          <cell r="G691" t="str">
            <v>-</v>
          </cell>
          <cell r="H691" t="str">
            <v>REGULER</v>
          </cell>
          <cell r="I691" t="str">
            <v>-</v>
          </cell>
          <cell r="J691" t="str">
            <v>-</v>
          </cell>
          <cell r="K691" t="str">
            <v>-</v>
          </cell>
          <cell r="L691" t="str">
            <v>-</v>
          </cell>
          <cell r="M691">
            <v>0</v>
          </cell>
          <cell r="N691">
            <v>0</v>
          </cell>
          <cell r="O691">
            <v>18</v>
          </cell>
          <cell r="P691">
            <v>0</v>
          </cell>
          <cell r="Q691">
            <v>0</v>
          </cell>
          <cell r="R691">
            <v>0</v>
          </cell>
          <cell r="S691" t="str">
            <v/>
          </cell>
          <cell r="T691">
            <v>18</v>
          </cell>
          <cell r="U691">
            <v>0</v>
          </cell>
          <cell r="V691">
            <v>0</v>
          </cell>
          <cell r="W691">
            <v>18</v>
          </cell>
          <cell r="X691">
            <v>0</v>
          </cell>
          <cell r="Y691">
            <v>0</v>
          </cell>
          <cell r="Z691">
            <v>0</v>
          </cell>
          <cell r="AA691" t="str">
            <v/>
          </cell>
          <cell r="AB691">
            <v>18</v>
          </cell>
          <cell r="AC691">
            <v>4</v>
          </cell>
          <cell r="AD691" t="str">
            <v>DOWNGRADE</v>
          </cell>
          <cell r="AE691" t="str">
            <v>RESET</v>
          </cell>
          <cell r="AF691">
            <v>0</v>
          </cell>
          <cell r="AG691">
            <v>1</v>
          </cell>
          <cell r="AH691" t="str">
            <v>SAPHIRE</v>
          </cell>
          <cell r="AI691">
            <v>0</v>
          </cell>
          <cell r="AJ691" t="str">
            <v>FALSE</v>
          </cell>
          <cell r="AK691">
            <v>0</v>
          </cell>
          <cell r="AL691">
            <v>45261</v>
          </cell>
          <cell r="AM691">
            <v>45701</v>
          </cell>
          <cell r="AN691">
            <v>1</v>
          </cell>
          <cell r="AO691">
            <v>0</v>
          </cell>
          <cell r="AP691" t="str">
            <v>-</v>
          </cell>
          <cell r="AQ691" t="str">
            <v>-</v>
          </cell>
          <cell r="AR691" t="str">
            <v>-</v>
          </cell>
          <cell r="AS691" t="str">
            <v>-</v>
          </cell>
          <cell r="AT691" t="str">
            <v>-</v>
          </cell>
          <cell r="AU691" t="str">
            <v>-</v>
          </cell>
          <cell r="AV691" t="str">
            <v/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 t="str">
            <v/>
          </cell>
          <cell r="BC691" t="str">
            <v/>
          </cell>
          <cell r="BD691" t="str">
            <v/>
          </cell>
          <cell r="BE691" t="str">
            <v/>
          </cell>
          <cell r="BF691" t="str">
            <v/>
          </cell>
          <cell r="BG691" t="str">
            <v/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 t="str">
            <v/>
          </cell>
          <cell r="BN691">
            <v>0</v>
          </cell>
          <cell r="BO691" t="str">
            <v/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 t="str">
            <v/>
          </cell>
          <cell r="BV691">
            <v>0</v>
          </cell>
          <cell r="BW691">
            <v>7</v>
          </cell>
          <cell r="BX691" t="str">
            <v>DOWNGRADE</v>
          </cell>
          <cell r="BY691" t="str">
            <v>RESET</v>
          </cell>
        </row>
        <row r="692">
          <cell r="A692" t="str">
            <v>A4017</v>
          </cell>
          <cell r="B692" t="str">
            <v>VIRGIN DARUS</v>
          </cell>
          <cell r="C692" t="str">
            <v>TEMA C1</v>
          </cell>
          <cell r="D692" t="str">
            <v>16 Mei 2024</v>
          </cell>
          <cell r="E692" t="str">
            <v>16 Mei 2024</v>
          </cell>
          <cell r="F692" t="str">
            <v>-</v>
          </cell>
          <cell r="G692" t="str">
            <v>-</v>
          </cell>
          <cell r="H692" t="str">
            <v>-</v>
          </cell>
          <cell r="I692" t="str">
            <v>-</v>
          </cell>
          <cell r="J692" t="str">
            <v>-</v>
          </cell>
          <cell r="K692" t="str">
            <v>REGULER</v>
          </cell>
          <cell r="L692" t="str">
            <v>REGULER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18</v>
          </cell>
          <cell r="S692">
            <v>2</v>
          </cell>
          <cell r="T692">
            <v>20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18</v>
          </cell>
          <cell r="AA692">
            <v>2</v>
          </cell>
          <cell r="AB692">
            <v>20</v>
          </cell>
          <cell r="AC692">
            <v>5</v>
          </cell>
          <cell r="AD692" t="str">
            <v>DOWNGRADE</v>
          </cell>
          <cell r="AE692" t="str">
            <v>RESET</v>
          </cell>
          <cell r="AF692">
            <v>0</v>
          </cell>
          <cell r="AG692">
            <v>1</v>
          </cell>
          <cell r="AH692" t="str">
            <v>SAPHIRE</v>
          </cell>
          <cell r="AI692">
            <v>0</v>
          </cell>
          <cell r="AJ692" t="str">
            <v>FALSE</v>
          </cell>
          <cell r="AK692">
            <v>0</v>
          </cell>
          <cell r="AL692">
            <v>45261</v>
          </cell>
          <cell r="AM692">
            <v>45701</v>
          </cell>
          <cell r="AN692">
            <v>1</v>
          </cell>
          <cell r="AO692">
            <v>0</v>
          </cell>
          <cell r="AP692" t="str">
            <v>-</v>
          </cell>
          <cell r="AQ692" t="str">
            <v>-</v>
          </cell>
          <cell r="AR692" t="str">
            <v>-</v>
          </cell>
          <cell r="AS692" t="str">
            <v>-</v>
          </cell>
          <cell r="AT692" t="str">
            <v>-</v>
          </cell>
          <cell r="AU692" t="str">
            <v>-</v>
          </cell>
          <cell r="AV692" t="str">
            <v/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 t="str">
            <v/>
          </cell>
          <cell r="BC692" t="str">
            <v/>
          </cell>
          <cell r="BD692" t="str">
            <v/>
          </cell>
          <cell r="BE692" t="str">
            <v/>
          </cell>
          <cell r="BF692" t="str">
            <v/>
          </cell>
          <cell r="BG692" t="str">
            <v/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 t="str">
            <v/>
          </cell>
          <cell r="BN692">
            <v>0</v>
          </cell>
          <cell r="BO692" t="str">
            <v/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 t="str">
            <v/>
          </cell>
          <cell r="BV692">
            <v>0</v>
          </cell>
          <cell r="BW692">
            <v>7</v>
          </cell>
          <cell r="BX692" t="str">
            <v>DOWNGRADE</v>
          </cell>
          <cell r="BY692" t="str">
            <v>RESET</v>
          </cell>
        </row>
        <row r="693">
          <cell r="A693" t="str">
            <v>A3736</v>
          </cell>
          <cell r="B693" t="str">
            <v>Wahyu Vance Velly Brian Margaretta</v>
          </cell>
          <cell r="C693" t="str">
            <v>TEMA C1</v>
          </cell>
          <cell r="D693">
            <v>45334</v>
          </cell>
          <cell r="E693" t="str">
            <v>Feb-24</v>
          </cell>
          <cell r="F693" t="str">
            <v>-</v>
          </cell>
          <cell r="G693" t="str">
            <v>-</v>
          </cell>
          <cell r="H693" t="str">
            <v>REGULER</v>
          </cell>
          <cell r="I693" t="str">
            <v>REGULER</v>
          </cell>
          <cell r="J693" t="str">
            <v>REGULER</v>
          </cell>
          <cell r="K693" t="str">
            <v>REGULER</v>
          </cell>
          <cell r="L693" t="str">
            <v>REGULER</v>
          </cell>
          <cell r="M693">
            <v>0</v>
          </cell>
          <cell r="N693">
            <v>0</v>
          </cell>
          <cell r="O693">
            <v>10</v>
          </cell>
          <cell r="P693">
            <v>9</v>
          </cell>
          <cell r="Q693">
            <v>28</v>
          </cell>
          <cell r="R693">
            <v>17</v>
          </cell>
          <cell r="S693">
            <v>4</v>
          </cell>
          <cell r="T693">
            <v>68</v>
          </cell>
          <cell r="U693">
            <v>0</v>
          </cell>
          <cell r="V693">
            <v>0</v>
          </cell>
          <cell r="W693">
            <v>10</v>
          </cell>
          <cell r="X693">
            <v>9</v>
          </cell>
          <cell r="Y693">
            <v>28</v>
          </cell>
          <cell r="Z693">
            <v>17</v>
          </cell>
          <cell r="AA693">
            <v>4</v>
          </cell>
          <cell r="AB693">
            <v>68</v>
          </cell>
          <cell r="AC693">
            <v>0</v>
          </cell>
          <cell r="AD693" t="str">
            <v>TIDAK</v>
          </cell>
          <cell r="AE693" t="str">
            <v>TIDAK</v>
          </cell>
          <cell r="AF693">
            <v>68</v>
          </cell>
          <cell r="AG693">
            <v>1</v>
          </cell>
          <cell r="AH693" t="str">
            <v>SAPHIRE</v>
          </cell>
          <cell r="AI693">
            <v>0</v>
          </cell>
          <cell r="AJ693" t="str">
            <v>Y</v>
          </cell>
          <cell r="AK693">
            <v>0</v>
          </cell>
          <cell r="AL693">
            <v>45261</v>
          </cell>
          <cell r="AM693">
            <v>45701</v>
          </cell>
          <cell r="AN693">
            <v>1</v>
          </cell>
          <cell r="AO693">
            <v>68</v>
          </cell>
          <cell r="AP693" t="str">
            <v>-</v>
          </cell>
          <cell r="AQ693" t="str">
            <v>REGULER</v>
          </cell>
          <cell r="AR693" t="str">
            <v>REGULER</v>
          </cell>
          <cell r="AS693" t="str">
            <v>-</v>
          </cell>
          <cell r="AT693" t="str">
            <v>REGULER</v>
          </cell>
          <cell r="AU693" t="str">
            <v>REGULER</v>
          </cell>
          <cell r="AV693" t="str">
            <v/>
          </cell>
          <cell r="AW693">
            <v>33</v>
          </cell>
          <cell r="AX693">
            <v>17</v>
          </cell>
          <cell r="AY693">
            <v>16</v>
          </cell>
          <cell r="AZ693">
            <v>3</v>
          </cell>
          <cell r="BA693">
            <v>3</v>
          </cell>
          <cell r="BB693" t="str">
            <v/>
          </cell>
          <cell r="BC693" t="str">
            <v/>
          </cell>
          <cell r="BD693" t="str">
            <v/>
          </cell>
          <cell r="BE693" t="str">
            <v/>
          </cell>
          <cell r="BF693" t="str">
            <v/>
          </cell>
          <cell r="BG693">
            <v>13</v>
          </cell>
          <cell r="BH693">
            <v>33</v>
          </cell>
          <cell r="BI693">
            <v>17</v>
          </cell>
          <cell r="BJ693">
            <v>16</v>
          </cell>
          <cell r="BK693">
            <v>3</v>
          </cell>
          <cell r="BL693">
            <v>3</v>
          </cell>
          <cell r="BM693" t="str">
            <v/>
          </cell>
          <cell r="BN693">
            <v>85</v>
          </cell>
          <cell r="BO693">
            <v>13</v>
          </cell>
          <cell r="BP693">
            <v>33</v>
          </cell>
          <cell r="BQ693">
            <v>17</v>
          </cell>
          <cell r="BR693">
            <v>16</v>
          </cell>
          <cell r="BS693">
            <v>3</v>
          </cell>
          <cell r="BT693">
            <v>3</v>
          </cell>
          <cell r="BU693" t="str">
            <v/>
          </cell>
          <cell r="BV693">
            <v>85</v>
          </cell>
          <cell r="BW693">
            <v>1</v>
          </cell>
          <cell r="BX693" t="str">
            <v>TIDAK</v>
          </cell>
          <cell r="BY693" t="str">
            <v>TIDAK</v>
          </cell>
        </row>
        <row r="694">
          <cell r="A694" t="str">
            <v>A4137</v>
          </cell>
          <cell r="B694" t="str">
            <v>MISYELLA FANNY CHRISTIANI</v>
          </cell>
          <cell r="C694" t="str">
            <v>TEMA C1</v>
          </cell>
          <cell r="D694">
            <v>45477</v>
          </cell>
          <cell r="E694" t="str">
            <v>Jul-24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 t="str">
            <v>-</v>
          </cell>
          <cell r="AQ694" t="str">
            <v>REGULER</v>
          </cell>
          <cell r="AR694" t="str">
            <v>REGULER</v>
          </cell>
          <cell r="AS694" t="str">
            <v>-</v>
          </cell>
          <cell r="AT694" t="str">
            <v>REGULER</v>
          </cell>
          <cell r="AU694" t="str">
            <v>REGULER</v>
          </cell>
          <cell r="AV694" t="str">
            <v/>
          </cell>
          <cell r="AW694">
            <v>13</v>
          </cell>
          <cell r="AX694">
            <v>22</v>
          </cell>
          <cell r="AY694">
            <v>26</v>
          </cell>
          <cell r="AZ694">
            <v>41</v>
          </cell>
          <cell r="BA694">
            <v>33</v>
          </cell>
          <cell r="BB694" t="str">
            <v/>
          </cell>
          <cell r="BC694" t="str">
            <v/>
          </cell>
          <cell r="BD694" t="str">
            <v/>
          </cell>
          <cell r="BE694" t="str">
            <v/>
          </cell>
          <cell r="BF694" t="str">
            <v/>
          </cell>
          <cell r="BG694">
            <v>0</v>
          </cell>
          <cell r="BH694">
            <v>13</v>
          </cell>
          <cell r="BI694">
            <v>22</v>
          </cell>
          <cell r="BJ694">
            <v>26</v>
          </cell>
          <cell r="BK694">
            <v>41</v>
          </cell>
          <cell r="BL694">
            <v>33</v>
          </cell>
          <cell r="BM694">
            <v>12</v>
          </cell>
          <cell r="BN694">
            <v>147</v>
          </cell>
          <cell r="BO694">
            <v>0</v>
          </cell>
          <cell r="BP694">
            <v>13</v>
          </cell>
          <cell r="BQ694">
            <v>22</v>
          </cell>
          <cell r="BR694">
            <v>26</v>
          </cell>
          <cell r="BS694">
            <v>41</v>
          </cell>
          <cell r="BT694">
            <v>33</v>
          </cell>
          <cell r="BU694">
            <v>12</v>
          </cell>
          <cell r="BV694">
            <v>147</v>
          </cell>
          <cell r="BW694">
            <v>0</v>
          </cell>
          <cell r="BX694" t="str">
            <v>TIDAK</v>
          </cell>
          <cell r="BY694" t="str">
            <v>TIDAK</v>
          </cell>
        </row>
        <row r="695">
          <cell r="A695" t="str">
            <v>A4138</v>
          </cell>
          <cell r="B695" t="str">
            <v>DIAN KRISTINA</v>
          </cell>
          <cell r="C695" t="str">
            <v>TEMA C1</v>
          </cell>
          <cell r="D695">
            <v>45482</v>
          </cell>
          <cell r="E695" t="str">
            <v>Jul-24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 t="str">
            <v>-</v>
          </cell>
          <cell r="AQ695" t="str">
            <v>REGULER</v>
          </cell>
          <cell r="AR695" t="str">
            <v>REGULER</v>
          </cell>
          <cell r="AS695" t="str">
            <v>-</v>
          </cell>
          <cell r="AT695" t="str">
            <v>REGULER</v>
          </cell>
          <cell r="AU695" t="str">
            <v>REGULER</v>
          </cell>
          <cell r="AV695" t="str">
            <v/>
          </cell>
          <cell r="AW695">
            <v>21</v>
          </cell>
          <cell r="AX695">
            <v>42</v>
          </cell>
          <cell r="AY695">
            <v>40</v>
          </cell>
          <cell r="AZ695">
            <v>41</v>
          </cell>
          <cell r="BA695">
            <v>38</v>
          </cell>
          <cell r="BB695" t="str">
            <v/>
          </cell>
          <cell r="BC695" t="str">
            <v/>
          </cell>
          <cell r="BD695" t="str">
            <v/>
          </cell>
          <cell r="BE695" t="str">
            <v/>
          </cell>
          <cell r="BF695" t="str">
            <v/>
          </cell>
          <cell r="BG695">
            <v>0</v>
          </cell>
          <cell r="BH695">
            <v>21</v>
          </cell>
          <cell r="BI695">
            <v>42</v>
          </cell>
          <cell r="BJ695">
            <v>40</v>
          </cell>
          <cell r="BK695">
            <v>41</v>
          </cell>
          <cell r="BL695">
            <v>38</v>
          </cell>
          <cell r="BM695">
            <v>12</v>
          </cell>
          <cell r="BN695">
            <v>194</v>
          </cell>
          <cell r="BO695">
            <v>0</v>
          </cell>
          <cell r="BP695">
            <v>21</v>
          </cell>
          <cell r="BQ695">
            <v>42</v>
          </cell>
          <cell r="BR695">
            <v>40</v>
          </cell>
          <cell r="BS695">
            <v>41</v>
          </cell>
          <cell r="BT695">
            <v>38</v>
          </cell>
          <cell r="BU695">
            <v>12</v>
          </cell>
          <cell r="BV695">
            <v>194</v>
          </cell>
          <cell r="BW695">
            <v>0</v>
          </cell>
          <cell r="BX695" t="str">
            <v>TIDAK</v>
          </cell>
          <cell r="BY695" t="str">
            <v>TIDAK</v>
          </cell>
        </row>
        <row r="696">
          <cell r="A696" t="str">
            <v>A4171</v>
          </cell>
          <cell r="B696" t="str">
            <v>EDWIN PUTRAGA</v>
          </cell>
          <cell r="C696" t="str">
            <v>TEMA C1</v>
          </cell>
          <cell r="D696">
            <v>45481</v>
          </cell>
          <cell r="E696" t="str">
            <v>Jul-24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 t="str">
            <v>-</v>
          </cell>
          <cell r="AQ696" t="str">
            <v>REGULER</v>
          </cell>
          <cell r="AR696" t="str">
            <v>REGULER</v>
          </cell>
          <cell r="AS696" t="str">
            <v>-</v>
          </cell>
          <cell r="AT696" t="str">
            <v>-</v>
          </cell>
          <cell r="AU696" t="str">
            <v>-</v>
          </cell>
          <cell r="AV696" t="str">
            <v/>
          </cell>
          <cell r="AW696">
            <v>19</v>
          </cell>
          <cell r="AX696">
            <v>26</v>
          </cell>
          <cell r="AY696">
            <v>0</v>
          </cell>
          <cell r="AZ696">
            <v>0</v>
          </cell>
          <cell r="BA696">
            <v>0</v>
          </cell>
          <cell r="BB696" t="str">
            <v/>
          </cell>
          <cell r="BC696" t="str">
            <v/>
          </cell>
          <cell r="BD696" t="str">
            <v/>
          </cell>
          <cell r="BE696" t="str">
            <v/>
          </cell>
          <cell r="BF696" t="str">
            <v/>
          </cell>
          <cell r="BG696">
            <v>0</v>
          </cell>
          <cell r="BH696">
            <v>19</v>
          </cell>
          <cell r="BI696">
            <v>26</v>
          </cell>
          <cell r="BJ696">
            <v>0</v>
          </cell>
          <cell r="BK696">
            <v>0</v>
          </cell>
          <cell r="BL696">
            <v>0</v>
          </cell>
          <cell r="BM696" t="str">
            <v/>
          </cell>
          <cell r="BN696">
            <v>45</v>
          </cell>
          <cell r="BO696">
            <v>0</v>
          </cell>
          <cell r="BP696">
            <v>19</v>
          </cell>
          <cell r="BQ696">
            <v>26</v>
          </cell>
          <cell r="BR696">
            <v>0</v>
          </cell>
          <cell r="BS696">
            <v>0</v>
          </cell>
          <cell r="BT696">
            <v>0</v>
          </cell>
          <cell r="BU696" t="str">
            <v/>
          </cell>
          <cell r="BV696">
            <v>45</v>
          </cell>
          <cell r="BW696">
            <v>4</v>
          </cell>
          <cell r="BX696" t="str">
            <v>DOWNGRADE</v>
          </cell>
          <cell r="BY696" t="str">
            <v>RESET</v>
          </cell>
        </row>
        <row r="697">
          <cell r="A697" t="str">
            <v>A4278</v>
          </cell>
          <cell r="B697" t="str">
            <v>INDAHRIZKY DINARTANTY PRASETYO</v>
          </cell>
          <cell r="C697" t="str">
            <v>TEMA C1</v>
          </cell>
          <cell r="D697">
            <v>45546</v>
          </cell>
          <cell r="E697" t="str">
            <v>Sep-24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 t="str">
            <v>-</v>
          </cell>
          <cell r="AQ697" t="str">
            <v>-</v>
          </cell>
          <cell r="AR697" t="str">
            <v>-</v>
          </cell>
          <cell r="AS697" t="str">
            <v>-</v>
          </cell>
          <cell r="AT697" t="str">
            <v>REGULER</v>
          </cell>
          <cell r="AU697" t="str">
            <v>REGULER</v>
          </cell>
          <cell r="AV697" t="str">
            <v/>
          </cell>
          <cell r="AW697">
            <v>0</v>
          </cell>
          <cell r="AX697">
            <v>0</v>
          </cell>
          <cell r="AY697">
            <v>21</v>
          </cell>
          <cell r="AZ697">
            <v>42</v>
          </cell>
          <cell r="BA697">
            <v>36</v>
          </cell>
          <cell r="BB697" t="str">
            <v/>
          </cell>
          <cell r="BC697" t="str">
            <v/>
          </cell>
          <cell r="BD697" t="str">
            <v/>
          </cell>
          <cell r="BE697" t="str">
            <v/>
          </cell>
          <cell r="BF697" t="str">
            <v/>
          </cell>
          <cell r="BG697" t="str">
            <v/>
          </cell>
          <cell r="BH697">
            <v>0</v>
          </cell>
          <cell r="BI697">
            <v>0</v>
          </cell>
          <cell r="BJ697">
            <v>21</v>
          </cell>
          <cell r="BK697">
            <v>42</v>
          </cell>
          <cell r="BL697">
            <v>36</v>
          </cell>
          <cell r="BM697">
            <v>20</v>
          </cell>
          <cell r="BN697">
            <v>119</v>
          </cell>
          <cell r="BO697" t="str">
            <v/>
          </cell>
          <cell r="BP697">
            <v>0</v>
          </cell>
          <cell r="BQ697">
            <v>0</v>
          </cell>
          <cell r="BR697">
            <v>21</v>
          </cell>
          <cell r="BS697">
            <v>42</v>
          </cell>
          <cell r="BT697">
            <v>36</v>
          </cell>
          <cell r="BU697">
            <v>20</v>
          </cell>
          <cell r="BV697">
            <v>119</v>
          </cell>
          <cell r="BW697">
            <v>0</v>
          </cell>
          <cell r="BX697" t="str">
            <v>TIDAK</v>
          </cell>
          <cell r="BY697" t="str">
            <v>TIDAK</v>
          </cell>
        </row>
        <row r="698">
          <cell r="A698" t="str">
            <v>A4277</v>
          </cell>
          <cell r="B698" t="str">
            <v>ANGELINE CHALYA AURANTI LAKSITA</v>
          </cell>
          <cell r="C698" t="str">
            <v>TEMA C1</v>
          </cell>
          <cell r="D698">
            <v>45552</v>
          </cell>
          <cell r="E698" t="str">
            <v>Sep-24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 t="str">
            <v>-</v>
          </cell>
          <cell r="AQ698" t="str">
            <v>-</v>
          </cell>
          <cell r="AR698" t="str">
            <v>-</v>
          </cell>
          <cell r="AS698" t="str">
            <v>-</v>
          </cell>
          <cell r="AT698" t="str">
            <v>REGULER</v>
          </cell>
          <cell r="AU698" t="str">
            <v>REGULER</v>
          </cell>
          <cell r="AV698" t="str">
            <v/>
          </cell>
          <cell r="AW698">
            <v>0</v>
          </cell>
          <cell r="AX698">
            <v>0</v>
          </cell>
          <cell r="AY698">
            <v>12</v>
          </cell>
          <cell r="AZ698">
            <v>8</v>
          </cell>
          <cell r="BA698">
            <v>14</v>
          </cell>
          <cell r="BB698" t="str">
            <v/>
          </cell>
          <cell r="BC698" t="str">
            <v/>
          </cell>
          <cell r="BD698" t="str">
            <v/>
          </cell>
          <cell r="BE698" t="str">
            <v/>
          </cell>
          <cell r="BF698" t="str">
            <v/>
          </cell>
          <cell r="BG698" t="str">
            <v/>
          </cell>
          <cell r="BH698">
            <v>0</v>
          </cell>
          <cell r="BI698">
            <v>0</v>
          </cell>
          <cell r="BJ698">
            <v>12</v>
          </cell>
          <cell r="BK698">
            <v>8</v>
          </cell>
          <cell r="BL698">
            <v>14</v>
          </cell>
          <cell r="BM698" t="str">
            <v/>
          </cell>
          <cell r="BN698">
            <v>34</v>
          </cell>
          <cell r="BO698" t="str">
            <v/>
          </cell>
          <cell r="BP698">
            <v>0</v>
          </cell>
          <cell r="BQ698">
            <v>0</v>
          </cell>
          <cell r="BR698">
            <v>12</v>
          </cell>
          <cell r="BS698">
            <v>8</v>
          </cell>
          <cell r="BT698">
            <v>14</v>
          </cell>
          <cell r="BU698" t="str">
            <v/>
          </cell>
          <cell r="BV698">
            <v>34</v>
          </cell>
          <cell r="BW698">
            <v>1</v>
          </cell>
          <cell r="BX698" t="str">
            <v>TIDAK</v>
          </cell>
          <cell r="BY698" t="str">
            <v>TIDAK</v>
          </cell>
        </row>
        <row r="699">
          <cell r="A699" t="str">
            <v>A4358</v>
          </cell>
          <cell r="B699" t="str">
            <v>RASYA NI MA ATHYA</v>
          </cell>
          <cell r="C699" t="str">
            <v>TEMA C1</v>
          </cell>
          <cell r="D699">
            <v>45573</v>
          </cell>
          <cell r="E699" t="str">
            <v>Oct-24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 t="str">
            <v>-</v>
          </cell>
          <cell r="AQ699" t="str">
            <v>-</v>
          </cell>
          <cell r="AR699" t="str">
            <v>-</v>
          </cell>
          <cell r="AS699" t="str">
            <v>-</v>
          </cell>
          <cell r="AT699" t="str">
            <v>REGULER</v>
          </cell>
          <cell r="AU699" t="str">
            <v>REGULER</v>
          </cell>
          <cell r="AV699" t="str">
            <v/>
          </cell>
          <cell r="AW699">
            <v>0</v>
          </cell>
          <cell r="AX699">
            <v>0</v>
          </cell>
          <cell r="AY699">
            <v>0</v>
          </cell>
          <cell r="AZ699">
            <v>21</v>
          </cell>
          <cell r="BA699">
            <v>9</v>
          </cell>
          <cell r="BB699" t="str">
            <v/>
          </cell>
          <cell r="BC699" t="str">
            <v/>
          </cell>
          <cell r="BD699" t="str">
            <v/>
          </cell>
          <cell r="BE699" t="str">
            <v/>
          </cell>
          <cell r="BF699" t="str">
            <v/>
          </cell>
          <cell r="BG699" t="str">
            <v/>
          </cell>
          <cell r="BH699">
            <v>0</v>
          </cell>
          <cell r="BI699">
            <v>0</v>
          </cell>
          <cell r="BJ699">
            <v>0</v>
          </cell>
          <cell r="BK699">
            <v>21</v>
          </cell>
          <cell r="BL699">
            <v>9</v>
          </cell>
          <cell r="BM699" t="str">
            <v/>
          </cell>
          <cell r="BN699">
            <v>30</v>
          </cell>
          <cell r="BO699" t="str">
            <v/>
          </cell>
          <cell r="BP699">
            <v>0</v>
          </cell>
          <cell r="BQ699">
            <v>0</v>
          </cell>
          <cell r="BR699">
            <v>0</v>
          </cell>
          <cell r="BS699">
            <v>21</v>
          </cell>
          <cell r="BT699">
            <v>9</v>
          </cell>
          <cell r="BU699" t="str">
            <v/>
          </cell>
          <cell r="BV699">
            <v>30</v>
          </cell>
          <cell r="BW699">
            <v>1</v>
          </cell>
          <cell r="BX699" t="str">
            <v>TIDAK</v>
          </cell>
          <cell r="BY699" t="str">
            <v>TIDAK</v>
          </cell>
        </row>
        <row r="700">
          <cell r="A700" t="str">
            <v>A4357</v>
          </cell>
          <cell r="B700" t="str">
            <v>WINDI NABILAH FEBRIANI</v>
          </cell>
          <cell r="C700" t="str">
            <v>TEMA C1</v>
          </cell>
          <cell r="D700">
            <v>45583</v>
          </cell>
          <cell r="E700" t="str">
            <v>Oct-24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 t="str">
            <v>-</v>
          </cell>
          <cell r="AQ700" t="str">
            <v>-</v>
          </cell>
          <cell r="AR700" t="str">
            <v>-</v>
          </cell>
          <cell r="AS700" t="str">
            <v>-</v>
          </cell>
          <cell r="AT700" t="str">
            <v>REGULER</v>
          </cell>
          <cell r="AU700" t="str">
            <v>REGULER</v>
          </cell>
          <cell r="AV700" t="str">
            <v/>
          </cell>
          <cell r="AW700">
            <v>0</v>
          </cell>
          <cell r="AX700">
            <v>0</v>
          </cell>
          <cell r="AY700">
            <v>0</v>
          </cell>
          <cell r="AZ700">
            <v>10</v>
          </cell>
          <cell r="BA700">
            <v>27</v>
          </cell>
          <cell r="BB700" t="str">
            <v/>
          </cell>
          <cell r="BC700" t="str">
            <v/>
          </cell>
          <cell r="BD700" t="str">
            <v/>
          </cell>
          <cell r="BE700" t="str">
            <v/>
          </cell>
          <cell r="BF700" t="str">
            <v/>
          </cell>
          <cell r="BG700" t="str">
            <v/>
          </cell>
          <cell r="BH700">
            <v>0</v>
          </cell>
          <cell r="BI700">
            <v>0</v>
          </cell>
          <cell r="BJ700">
            <v>0</v>
          </cell>
          <cell r="BK700">
            <v>10</v>
          </cell>
          <cell r="BL700">
            <v>27</v>
          </cell>
          <cell r="BM700">
            <v>11</v>
          </cell>
          <cell r="BN700">
            <v>48</v>
          </cell>
          <cell r="BO700" t="str">
            <v/>
          </cell>
          <cell r="BP700">
            <v>0</v>
          </cell>
          <cell r="BQ700">
            <v>0</v>
          </cell>
          <cell r="BR700">
            <v>0</v>
          </cell>
          <cell r="BS700">
            <v>10</v>
          </cell>
          <cell r="BT700">
            <v>27</v>
          </cell>
          <cell r="BU700">
            <v>11</v>
          </cell>
          <cell r="BV700">
            <v>48</v>
          </cell>
          <cell r="BW700">
            <v>0</v>
          </cell>
          <cell r="BX700" t="str">
            <v>TIDAK</v>
          </cell>
          <cell r="BY700" t="str">
            <v>TIDAK</v>
          </cell>
        </row>
        <row r="701">
          <cell r="A701" t="str">
            <v>A4513</v>
          </cell>
          <cell r="B701" t="str">
            <v>MUHAMMAD NUR RAMADANI</v>
          </cell>
          <cell r="C701" t="str">
            <v>TEMA C1</v>
          </cell>
          <cell r="D701">
            <v>45629</v>
          </cell>
          <cell r="E701" t="str">
            <v>Dec-24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 t="str">
            <v/>
          </cell>
          <cell r="AW701" t="str">
            <v/>
          </cell>
          <cell r="AX701" t="str">
            <v/>
          </cell>
          <cell r="AY701" t="str">
            <v/>
          </cell>
          <cell r="AZ701" t="str">
            <v/>
          </cell>
          <cell r="BA701" t="str">
            <v/>
          </cell>
          <cell r="BB701" t="str">
            <v/>
          </cell>
          <cell r="BC701" t="str">
            <v/>
          </cell>
          <cell r="BD701" t="str">
            <v/>
          </cell>
          <cell r="BE701" t="str">
            <v/>
          </cell>
          <cell r="BF701" t="str">
            <v/>
          </cell>
          <cell r="BG701">
            <v>0</v>
          </cell>
          <cell r="BH701" t="str">
            <v/>
          </cell>
          <cell r="BI701" t="str">
            <v/>
          </cell>
          <cell r="BJ701" t="str">
            <v/>
          </cell>
          <cell r="BK701" t="str">
            <v/>
          </cell>
          <cell r="BL701" t="str">
            <v/>
          </cell>
          <cell r="BM701">
            <v>16</v>
          </cell>
          <cell r="BN701">
            <v>16</v>
          </cell>
          <cell r="BO701">
            <v>0</v>
          </cell>
          <cell r="BP701" t="str">
            <v/>
          </cell>
          <cell r="BQ701" t="str">
            <v/>
          </cell>
          <cell r="BR701" t="str">
            <v/>
          </cell>
          <cell r="BS701" t="str">
            <v/>
          </cell>
          <cell r="BT701" t="str">
            <v/>
          </cell>
          <cell r="BU701">
            <v>16</v>
          </cell>
          <cell r="BV701">
            <v>16</v>
          </cell>
          <cell r="BW701">
            <v>0</v>
          </cell>
          <cell r="BX701" t="str">
            <v>TIDAK</v>
          </cell>
          <cell r="BY701" t="str">
            <v>TIDAK</v>
          </cell>
        </row>
        <row r="702">
          <cell r="A702" t="str">
            <v>A4514</v>
          </cell>
          <cell r="B702" t="str">
            <v>PRINCE EKA SAPUTRI</v>
          </cell>
          <cell r="C702" t="str">
            <v>TEMA C1</v>
          </cell>
          <cell r="D702">
            <v>45635</v>
          </cell>
          <cell r="E702" t="str">
            <v>Dec-24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 t="str">
            <v/>
          </cell>
          <cell r="AW702" t="str">
            <v/>
          </cell>
          <cell r="AX702" t="str">
            <v/>
          </cell>
          <cell r="AY702" t="str">
            <v/>
          </cell>
          <cell r="AZ702" t="str">
            <v/>
          </cell>
          <cell r="BA702" t="str">
            <v/>
          </cell>
          <cell r="BB702" t="str">
            <v/>
          </cell>
          <cell r="BC702" t="str">
            <v/>
          </cell>
          <cell r="BD702" t="str">
            <v/>
          </cell>
          <cell r="BE702" t="str">
            <v/>
          </cell>
          <cell r="BF702" t="str">
            <v/>
          </cell>
          <cell r="BG702">
            <v>0</v>
          </cell>
          <cell r="BH702" t="str">
            <v/>
          </cell>
          <cell r="BI702" t="str">
            <v/>
          </cell>
          <cell r="BJ702" t="str">
            <v/>
          </cell>
          <cell r="BK702" t="str">
            <v/>
          </cell>
          <cell r="BL702" t="str">
            <v/>
          </cell>
          <cell r="BM702">
            <v>10</v>
          </cell>
          <cell r="BN702">
            <v>10</v>
          </cell>
          <cell r="BO702">
            <v>0</v>
          </cell>
          <cell r="BP702" t="str">
            <v/>
          </cell>
          <cell r="BQ702" t="str">
            <v/>
          </cell>
          <cell r="BR702" t="str">
            <v/>
          </cell>
          <cell r="BS702" t="str">
            <v/>
          </cell>
          <cell r="BT702" t="str">
            <v/>
          </cell>
          <cell r="BU702">
            <v>10</v>
          </cell>
          <cell r="BV702">
            <v>10</v>
          </cell>
          <cell r="BW702">
            <v>0</v>
          </cell>
          <cell r="BX702" t="str">
            <v>TIDAK</v>
          </cell>
          <cell r="BY702" t="str">
            <v>TIDAK</v>
          </cell>
        </row>
        <row r="703">
          <cell r="A703" t="str">
            <v>A4569</v>
          </cell>
          <cell r="B703" t="str">
            <v>MANUEL APRILIYO</v>
          </cell>
          <cell r="C703" t="str">
            <v>TEMA C1</v>
          </cell>
          <cell r="D703" t="str">
            <v/>
          </cell>
          <cell r="E703" t="str">
            <v/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</row>
        <row r="704">
          <cell r="A704" t="str">
            <v>A4570</v>
          </cell>
          <cell r="B704" t="str">
            <v>DIMAS AJI SAPUTRA</v>
          </cell>
          <cell r="C704" t="str">
            <v>TEMA C1</v>
          </cell>
          <cell r="D704" t="str">
            <v/>
          </cell>
          <cell r="E704" t="str">
            <v/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</row>
        <row r="705">
          <cell r="A705" t="str">
            <v>A4572</v>
          </cell>
          <cell r="B705" t="str">
            <v>SEKAR AYU ARUMDITA</v>
          </cell>
          <cell r="C705" t="str">
            <v>TEMA C1</v>
          </cell>
          <cell r="D705" t="str">
            <v/>
          </cell>
          <cell r="E705" t="str">
            <v/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</row>
        <row r="706">
          <cell r="A706" t="str">
            <v>A4512</v>
          </cell>
          <cell r="B706" t="str">
            <v>AZZAHRA SEGITHA GANISWARI</v>
          </cell>
          <cell r="C706" t="str">
            <v>TEMA C1</v>
          </cell>
          <cell r="D706" t="str">
            <v/>
          </cell>
          <cell r="E706" t="str">
            <v/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</row>
        <row r="707">
          <cell r="A707" t="str">
            <v>A4571</v>
          </cell>
          <cell r="B707" t="str">
            <v>KARTIKA SUGIARTI</v>
          </cell>
          <cell r="C707" t="str">
            <v>TEMA C1</v>
          </cell>
          <cell r="D707" t="str">
            <v/>
          </cell>
          <cell r="E707" t="str">
            <v/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</row>
        <row r="708">
          <cell r="A708" t="str">
            <v>A4641</v>
          </cell>
          <cell r="B708" t="str">
            <v>PAMELLA SANDY YUSHARA</v>
          </cell>
          <cell r="C708" t="str">
            <v>TEMA C1</v>
          </cell>
          <cell r="D708" t="str">
            <v/>
          </cell>
          <cell r="E708" t="str">
            <v/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</row>
        <row r="709">
          <cell r="A709" t="str">
            <v>A4621</v>
          </cell>
          <cell r="B709" t="str">
            <v>DEWI INTAN RAHAYU</v>
          </cell>
          <cell r="C709" t="str">
            <v>TEMA C1</v>
          </cell>
          <cell r="D709" t="str">
            <v/>
          </cell>
          <cell r="E709" t="str">
            <v/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</row>
        <row r="710">
          <cell r="A710" t="str">
            <v>A4661</v>
          </cell>
          <cell r="B710" t="str">
            <v>DEYLA OCTA PRASASTI</v>
          </cell>
          <cell r="C710" t="str">
            <v>TEMA C1</v>
          </cell>
          <cell r="D710" t="str">
            <v/>
          </cell>
          <cell r="E710" t="str">
            <v/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</row>
        <row r="711">
          <cell r="A711" t="str">
            <v>A4665</v>
          </cell>
          <cell r="B711" t="str">
            <v>DEFASYA ZULSYIFAH</v>
          </cell>
          <cell r="C711" t="str">
            <v>TEMA C1</v>
          </cell>
          <cell r="D711" t="str">
            <v/>
          </cell>
          <cell r="E711" t="str">
            <v/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</row>
        <row r="712">
          <cell r="A712" t="str">
            <v>A4662</v>
          </cell>
          <cell r="B712" t="str">
            <v>DAFFA NUR AHMAD</v>
          </cell>
          <cell r="C712" t="str">
            <v>TEMA C1</v>
          </cell>
          <cell r="D712" t="str">
            <v/>
          </cell>
          <cell r="E712" t="str">
            <v/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</row>
        <row r="713">
          <cell r="A713" t="str">
            <v>A3326</v>
          </cell>
          <cell r="B713" t="str">
            <v>Disa Putri Hapsari</v>
          </cell>
          <cell r="C713" t="str">
            <v>TEMA C2</v>
          </cell>
          <cell r="D713">
            <v>45255</v>
          </cell>
          <cell r="E713" t="str">
            <v>Nov-23</v>
          </cell>
          <cell r="F713" t="str">
            <v>-</v>
          </cell>
          <cell r="G713" t="str">
            <v>REGULER</v>
          </cell>
          <cell r="H713" t="str">
            <v>-</v>
          </cell>
          <cell r="I713" t="str">
            <v>REGULER</v>
          </cell>
          <cell r="J713" t="str">
            <v>REGULER</v>
          </cell>
          <cell r="K713" t="str">
            <v>-</v>
          </cell>
          <cell r="L713" t="str">
            <v>-</v>
          </cell>
          <cell r="M713">
            <v>0</v>
          </cell>
          <cell r="N713">
            <v>7</v>
          </cell>
          <cell r="O713">
            <v>0</v>
          </cell>
          <cell r="P713">
            <v>2</v>
          </cell>
          <cell r="Q713">
            <v>5</v>
          </cell>
          <cell r="R713">
            <v>0</v>
          </cell>
          <cell r="S713" t="str">
            <v/>
          </cell>
          <cell r="T713">
            <v>14</v>
          </cell>
          <cell r="U713">
            <v>0</v>
          </cell>
          <cell r="V713">
            <v>7</v>
          </cell>
          <cell r="W713">
            <v>0</v>
          </cell>
          <cell r="X713">
            <v>2</v>
          </cell>
          <cell r="Y713">
            <v>5</v>
          </cell>
          <cell r="Z713">
            <v>0</v>
          </cell>
          <cell r="AA713" t="str">
            <v/>
          </cell>
          <cell r="AB713">
            <v>14</v>
          </cell>
          <cell r="AC713">
            <v>4</v>
          </cell>
          <cell r="AD713" t="str">
            <v>DOWNGRADE</v>
          </cell>
          <cell r="AE713" t="str">
            <v>TIDAK</v>
          </cell>
          <cell r="AF713">
            <v>7</v>
          </cell>
          <cell r="AG713">
            <v>1</v>
          </cell>
          <cell r="AH713" t="str">
            <v>SAPHIRE</v>
          </cell>
          <cell r="AI713">
            <v>0</v>
          </cell>
          <cell r="AJ713" t="str">
            <v>FALSE</v>
          </cell>
          <cell r="AK713">
            <v>0</v>
          </cell>
          <cell r="AL713">
            <v>45261</v>
          </cell>
          <cell r="AM713">
            <v>45701</v>
          </cell>
          <cell r="AN713">
            <v>1</v>
          </cell>
          <cell r="AO713">
            <v>7</v>
          </cell>
          <cell r="AP713" t="str">
            <v>-</v>
          </cell>
          <cell r="AQ713" t="str">
            <v>-</v>
          </cell>
          <cell r="AR713" t="str">
            <v>-</v>
          </cell>
          <cell r="AS713" t="str">
            <v>-</v>
          </cell>
          <cell r="AT713" t="str">
            <v>-</v>
          </cell>
          <cell r="AU713" t="str">
            <v>-</v>
          </cell>
          <cell r="AV713" t="str">
            <v/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 t="str">
            <v/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17</v>
          </cell>
          <cell r="BN713">
            <v>17</v>
          </cell>
          <cell r="BO713" t="str">
            <v/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17</v>
          </cell>
          <cell r="BV713">
            <v>17</v>
          </cell>
          <cell r="BW713">
            <v>6</v>
          </cell>
          <cell r="BX713" t="str">
            <v>DOWNGRADE</v>
          </cell>
          <cell r="BY713" t="str">
            <v>RESET</v>
          </cell>
        </row>
        <row r="714">
          <cell r="A714" t="str">
            <v>A4089</v>
          </cell>
          <cell r="B714" t="str">
            <v>ADI FIRMANSYAH</v>
          </cell>
          <cell r="C714" t="str">
            <v>TEMA C2</v>
          </cell>
          <cell r="D714">
            <v>45442</v>
          </cell>
          <cell r="E714" t="str">
            <v>May-24</v>
          </cell>
          <cell r="F714" t="str">
            <v>-</v>
          </cell>
          <cell r="G714" t="str">
            <v>-</v>
          </cell>
          <cell r="H714" t="str">
            <v>-</v>
          </cell>
          <cell r="I714" t="str">
            <v>-</v>
          </cell>
          <cell r="J714" t="str">
            <v>-</v>
          </cell>
          <cell r="K714" t="str">
            <v>REGULER</v>
          </cell>
          <cell r="L714" t="str">
            <v>REGULER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4</v>
          </cell>
          <cell r="S714">
            <v>20</v>
          </cell>
          <cell r="T714">
            <v>24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4</v>
          </cell>
          <cell r="AA714">
            <v>20</v>
          </cell>
          <cell r="AB714">
            <v>24</v>
          </cell>
          <cell r="AC714">
            <v>0</v>
          </cell>
          <cell r="AD714" t="str">
            <v>TIDAK</v>
          </cell>
          <cell r="AE714" t="str">
            <v>TIDAK</v>
          </cell>
          <cell r="AF714">
            <v>24</v>
          </cell>
          <cell r="AG714">
            <v>1</v>
          </cell>
          <cell r="AH714" t="str">
            <v>SAPHIRE</v>
          </cell>
          <cell r="AI714">
            <v>0</v>
          </cell>
          <cell r="AJ714" t="str">
            <v>FALSE</v>
          </cell>
          <cell r="AK714">
            <v>0</v>
          </cell>
          <cell r="AL714">
            <v>45261</v>
          </cell>
          <cell r="AM714">
            <v>45701</v>
          </cell>
          <cell r="AN714">
            <v>1</v>
          </cell>
          <cell r="AO714">
            <v>24</v>
          </cell>
          <cell r="AP714" t="str">
            <v>-</v>
          </cell>
          <cell r="AQ714" t="str">
            <v>-</v>
          </cell>
          <cell r="AR714" t="str">
            <v>EKSKLUSIF</v>
          </cell>
          <cell r="AS714" t="str">
            <v>EKSKLUSIF</v>
          </cell>
          <cell r="AT714" t="str">
            <v>EKSKLUSIF</v>
          </cell>
          <cell r="AU714" t="str">
            <v>REGULER</v>
          </cell>
          <cell r="AV714" t="str">
            <v/>
          </cell>
          <cell r="AW714">
            <v>43</v>
          </cell>
          <cell r="AX714">
            <v>46</v>
          </cell>
          <cell r="AY714">
            <v>41</v>
          </cell>
          <cell r="AZ714">
            <v>48</v>
          </cell>
          <cell r="BA714">
            <v>40</v>
          </cell>
          <cell r="BB714">
            <v>43</v>
          </cell>
          <cell r="BC714">
            <v>46</v>
          </cell>
          <cell r="BD714">
            <v>41</v>
          </cell>
          <cell r="BE714">
            <v>48</v>
          </cell>
          <cell r="BF714">
            <v>40</v>
          </cell>
          <cell r="BG714">
            <v>18</v>
          </cell>
          <cell r="BH714">
            <v>43</v>
          </cell>
          <cell r="BI714">
            <v>46</v>
          </cell>
          <cell r="BJ714">
            <v>41</v>
          </cell>
          <cell r="BK714">
            <v>48</v>
          </cell>
          <cell r="BL714">
            <v>40</v>
          </cell>
          <cell r="BM714">
            <v>20</v>
          </cell>
          <cell r="BN714">
            <v>256</v>
          </cell>
          <cell r="BO714">
            <v>18</v>
          </cell>
          <cell r="BP714">
            <v>43</v>
          </cell>
          <cell r="BQ714">
            <v>0</v>
          </cell>
          <cell r="BR714">
            <v>0</v>
          </cell>
          <cell r="BS714">
            <v>0</v>
          </cell>
          <cell r="BT714">
            <v>40</v>
          </cell>
          <cell r="BU714">
            <v>20</v>
          </cell>
          <cell r="BV714">
            <v>121</v>
          </cell>
          <cell r="BW714">
            <v>0</v>
          </cell>
          <cell r="BX714" t="str">
            <v>TIDAK</v>
          </cell>
          <cell r="BY714" t="str">
            <v>TIDAK</v>
          </cell>
        </row>
        <row r="715">
          <cell r="A715" t="str">
            <v>A3800</v>
          </cell>
          <cell r="B715" t="str">
            <v>Adictia Abib Sujatmiko</v>
          </cell>
          <cell r="C715" t="str">
            <v>TEMA C2</v>
          </cell>
          <cell r="D715">
            <v>45337</v>
          </cell>
          <cell r="E715" t="str">
            <v>Feb-24</v>
          </cell>
          <cell r="F715" t="str">
            <v>-</v>
          </cell>
          <cell r="G715" t="str">
            <v>-</v>
          </cell>
          <cell r="H715" t="str">
            <v>REGULER</v>
          </cell>
          <cell r="I715" t="str">
            <v>REGULER</v>
          </cell>
          <cell r="J715" t="str">
            <v>-</v>
          </cell>
          <cell r="K715" t="str">
            <v>-</v>
          </cell>
          <cell r="L715" t="str">
            <v>-</v>
          </cell>
          <cell r="M715">
            <v>0</v>
          </cell>
          <cell r="N715">
            <v>0</v>
          </cell>
          <cell r="O715">
            <v>12</v>
          </cell>
          <cell r="P715">
            <v>29</v>
          </cell>
          <cell r="Q715">
            <v>0</v>
          </cell>
          <cell r="R715">
            <v>0</v>
          </cell>
          <cell r="S715" t="str">
            <v/>
          </cell>
          <cell r="T715">
            <v>41</v>
          </cell>
          <cell r="U715">
            <v>0</v>
          </cell>
          <cell r="V715">
            <v>0</v>
          </cell>
          <cell r="W715">
            <v>12</v>
          </cell>
          <cell r="X715">
            <v>29</v>
          </cell>
          <cell r="Y715">
            <v>0</v>
          </cell>
          <cell r="Z715">
            <v>0</v>
          </cell>
          <cell r="AA715" t="str">
            <v/>
          </cell>
          <cell r="AB715">
            <v>41</v>
          </cell>
          <cell r="AC715">
            <v>3</v>
          </cell>
          <cell r="AD715" t="str">
            <v>DOWNGRADE</v>
          </cell>
          <cell r="AE715" t="str">
            <v>RESET</v>
          </cell>
          <cell r="AF715">
            <v>0</v>
          </cell>
          <cell r="AG715">
            <v>1</v>
          </cell>
          <cell r="AH715" t="str">
            <v>SAPHIRE</v>
          </cell>
          <cell r="AI715">
            <v>0</v>
          </cell>
          <cell r="AJ715" t="str">
            <v>FALSE</v>
          </cell>
          <cell r="AK715">
            <v>0</v>
          </cell>
          <cell r="AL715">
            <v>45261</v>
          </cell>
          <cell r="AM715">
            <v>45701</v>
          </cell>
          <cell r="AN715">
            <v>1</v>
          </cell>
          <cell r="AO715">
            <v>0</v>
          </cell>
          <cell r="AP715" t="str">
            <v>-</v>
          </cell>
          <cell r="AQ715" t="str">
            <v>-</v>
          </cell>
          <cell r="AR715" t="str">
            <v>-</v>
          </cell>
          <cell r="AS715" t="str">
            <v>-</v>
          </cell>
          <cell r="AT715" t="str">
            <v>-</v>
          </cell>
          <cell r="AU715" t="str">
            <v>-</v>
          </cell>
          <cell r="AV715" t="str">
            <v/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 t="str">
            <v/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 t="str">
            <v/>
          </cell>
          <cell r="BN715">
            <v>0</v>
          </cell>
          <cell r="BO715" t="str">
            <v/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 t="str">
            <v/>
          </cell>
          <cell r="BV715">
            <v>0</v>
          </cell>
          <cell r="BW715">
            <v>7</v>
          </cell>
          <cell r="BX715" t="str">
            <v>DOWNGRADE</v>
          </cell>
          <cell r="BY715" t="str">
            <v>RESET</v>
          </cell>
        </row>
        <row r="716">
          <cell r="A716" t="str">
            <v>A0370</v>
          </cell>
          <cell r="B716" t="str">
            <v>Adila Fitri</v>
          </cell>
          <cell r="C716" t="str">
            <v>TEMA C2</v>
          </cell>
          <cell r="D716">
            <v>45219</v>
          </cell>
          <cell r="E716" t="str">
            <v>Oct-23</v>
          </cell>
          <cell r="F716" t="str">
            <v>REGULER</v>
          </cell>
          <cell r="G716" t="str">
            <v>REGULER</v>
          </cell>
          <cell r="H716" t="str">
            <v>REGULER</v>
          </cell>
          <cell r="I716" t="str">
            <v>REGULER</v>
          </cell>
          <cell r="J716" t="str">
            <v>-</v>
          </cell>
          <cell r="K716" t="str">
            <v>-</v>
          </cell>
          <cell r="L716" t="str">
            <v>-</v>
          </cell>
          <cell r="M716">
            <v>15</v>
          </cell>
          <cell r="N716">
            <v>1</v>
          </cell>
          <cell r="O716">
            <v>25</v>
          </cell>
          <cell r="P716">
            <v>4</v>
          </cell>
          <cell r="Q716">
            <v>0</v>
          </cell>
          <cell r="R716">
            <v>0</v>
          </cell>
          <cell r="S716" t="str">
            <v/>
          </cell>
          <cell r="T716">
            <v>45</v>
          </cell>
          <cell r="U716">
            <v>15</v>
          </cell>
          <cell r="V716">
            <v>1</v>
          </cell>
          <cell r="W716">
            <v>25</v>
          </cell>
          <cell r="X716">
            <v>4</v>
          </cell>
          <cell r="Y716">
            <v>0</v>
          </cell>
          <cell r="Z716">
            <v>0</v>
          </cell>
          <cell r="AA716" t="str">
            <v/>
          </cell>
          <cell r="AB716">
            <v>45</v>
          </cell>
          <cell r="AC716">
            <v>3</v>
          </cell>
          <cell r="AD716" t="str">
            <v>DOWNGRADE</v>
          </cell>
          <cell r="AE716" t="str">
            <v>RESET</v>
          </cell>
          <cell r="AF716">
            <v>0</v>
          </cell>
          <cell r="AG716">
            <v>3</v>
          </cell>
          <cell r="AH716" t="str">
            <v>SAPHIRE</v>
          </cell>
          <cell r="AI716">
            <v>0</v>
          </cell>
          <cell r="AJ716" t="str">
            <v>FALSE</v>
          </cell>
          <cell r="AK716">
            <v>0</v>
          </cell>
          <cell r="AL716">
            <v>45261</v>
          </cell>
          <cell r="AM716">
            <v>45701</v>
          </cell>
          <cell r="AN716">
            <v>1</v>
          </cell>
          <cell r="AO716">
            <v>0</v>
          </cell>
          <cell r="AP716" t="str">
            <v>-</v>
          </cell>
          <cell r="AQ716" t="str">
            <v>-</v>
          </cell>
          <cell r="AR716" t="str">
            <v>-</v>
          </cell>
          <cell r="AS716" t="str">
            <v>-</v>
          </cell>
          <cell r="AT716" t="str">
            <v>-</v>
          </cell>
          <cell r="AU716" t="str">
            <v>-</v>
          </cell>
          <cell r="AV716" t="str">
            <v/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 t="str">
            <v/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 t="str">
            <v/>
          </cell>
          <cell r="BN716">
            <v>0</v>
          </cell>
          <cell r="BO716" t="str">
            <v/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 t="str">
            <v/>
          </cell>
          <cell r="BV716">
            <v>0</v>
          </cell>
          <cell r="BW716">
            <v>7</v>
          </cell>
          <cell r="BX716" t="str">
            <v>DOWNGRADE</v>
          </cell>
          <cell r="BY716" t="str">
            <v>RESET</v>
          </cell>
        </row>
        <row r="717">
          <cell r="A717" t="str">
            <v>A4111</v>
          </cell>
          <cell r="B717" t="str">
            <v>ADINDA AMALIA</v>
          </cell>
          <cell r="C717" t="str">
            <v>TEMA C2</v>
          </cell>
          <cell r="D717">
            <v>45456</v>
          </cell>
          <cell r="E717" t="str">
            <v>Jun-24</v>
          </cell>
          <cell r="F717" t="str">
            <v>-</v>
          </cell>
          <cell r="G717" t="str">
            <v>-</v>
          </cell>
          <cell r="H717" t="str">
            <v>-</v>
          </cell>
          <cell r="I717" t="str">
            <v>-</v>
          </cell>
          <cell r="J717" t="str">
            <v>-</v>
          </cell>
          <cell r="K717" t="str">
            <v>-</v>
          </cell>
          <cell r="L717" t="str">
            <v>REGULER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3</v>
          </cell>
          <cell r="T717">
            <v>3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3</v>
          </cell>
          <cell r="AB717">
            <v>3</v>
          </cell>
          <cell r="AC717">
            <v>0</v>
          </cell>
          <cell r="AD717" t="str">
            <v>TIDAK</v>
          </cell>
          <cell r="AE717" t="str">
            <v>TIDAK</v>
          </cell>
          <cell r="AF717">
            <v>3</v>
          </cell>
          <cell r="AG717">
            <v>1</v>
          </cell>
          <cell r="AH717" t="str">
            <v>SAPHIRE</v>
          </cell>
          <cell r="AI717">
            <v>0</v>
          </cell>
          <cell r="AJ717" t="str">
            <v>FALSE</v>
          </cell>
          <cell r="AK717">
            <v>0</v>
          </cell>
          <cell r="AL717">
            <v>45261</v>
          </cell>
          <cell r="AM717">
            <v>45701</v>
          </cell>
          <cell r="AN717">
            <v>1</v>
          </cell>
          <cell r="AO717">
            <v>3</v>
          </cell>
          <cell r="AP717" t="str">
            <v>-</v>
          </cell>
          <cell r="AQ717" t="str">
            <v>-</v>
          </cell>
          <cell r="AR717" t="str">
            <v>REGULER</v>
          </cell>
          <cell r="AS717" t="str">
            <v>-</v>
          </cell>
          <cell r="AT717" t="str">
            <v>-</v>
          </cell>
          <cell r="AU717" t="str">
            <v>-</v>
          </cell>
          <cell r="AV717" t="str">
            <v/>
          </cell>
          <cell r="AW717">
            <v>46</v>
          </cell>
          <cell r="AX717">
            <v>1</v>
          </cell>
          <cell r="AY717">
            <v>0</v>
          </cell>
          <cell r="AZ717">
            <v>0</v>
          </cell>
          <cell r="BA717">
            <v>0</v>
          </cell>
          <cell r="BB717">
            <v>46</v>
          </cell>
          <cell r="BC717">
            <v>1</v>
          </cell>
          <cell r="BD717">
            <v>0</v>
          </cell>
          <cell r="BE717">
            <v>0</v>
          </cell>
          <cell r="BF717">
            <v>0</v>
          </cell>
          <cell r="BG717">
            <v>20</v>
          </cell>
          <cell r="BH717">
            <v>46</v>
          </cell>
          <cell r="BI717">
            <v>1</v>
          </cell>
          <cell r="BJ717">
            <v>0</v>
          </cell>
          <cell r="BK717">
            <v>0</v>
          </cell>
          <cell r="BL717">
            <v>0</v>
          </cell>
          <cell r="BM717" t="str">
            <v/>
          </cell>
          <cell r="BN717">
            <v>67</v>
          </cell>
          <cell r="BO717">
            <v>20</v>
          </cell>
          <cell r="BP717">
            <v>46</v>
          </cell>
          <cell r="BQ717">
            <v>1</v>
          </cell>
          <cell r="BR717">
            <v>0</v>
          </cell>
          <cell r="BS717">
            <v>0</v>
          </cell>
          <cell r="BT717">
            <v>0</v>
          </cell>
          <cell r="BU717" t="str">
            <v/>
          </cell>
          <cell r="BV717">
            <v>67</v>
          </cell>
          <cell r="BW717">
            <v>4</v>
          </cell>
          <cell r="BX717" t="str">
            <v>DOWNGRADE</v>
          </cell>
          <cell r="BY717" t="str">
            <v>RESET</v>
          </cell>
        </row>
        <row r="718">
          <cell r="A718" t="str">
            <v>A1792</v>
          </cell>
          <cell r="B718" t="str">
            <v>Adinda Putri Zela</v>
          </cell>
          <cell r="C718" t="str">
            <v>TEMA C2</v>
          </cell>
          <cell r="D718">
            <v>45019</v>
          </cell>
          <cell r="E718" t="str">
            <v>Apr-23</v>
          </cell>
          <cell r="F718" t="str">
            <v>REGULER</v>
          </cell>
          <cell r="G718" t="str">
            <v>REGULER</v>
          </cell>
          <cell r="H718" t="str">
            <v>EKSKLUSIF</v>
          </cell>
          <cell r="I718" t="str">
            <v>EKSKLUSIF</v>
          </cell>
          <cell r="J718" t="str">
            <v>EKSKLUSIF</v>
          </cell>
          <cell r="K718" t="str">
            <v>EKSKLUSIF</v>
          </cell>
          <cell r="L718" t="str">
            <v>EKSKLUSIF</v>
          </cell>
          <cell r="M718">
            <v>19</v>
          </cell>
          <cell r="N718">
            <v>39</v>
          </cell>
          <cell r="O718">
            <v>38</v>
          </cell>
          <cell r="P718">
            <v>37</v>
          </cell>
          <cell r="Q718">
            <v>32</v>
          </cell>
          <cell r="R718">
            <v>39</v>
          </cell>
          <cell r="S718">
            <v>19</v>
          </cell>
          <cell r="T718">
            <v>223</v>
          </cell>
          <cell r="U718">
            <v>19</v>
          </cell>
          <cell r="V718">
            <v>39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58</v>
          </cell>
          <cell r="AC718">
            <v>0</v>
          </cell>
          <cell r="AD718" t="str">
            <v>TIDAK</v>
          </cell>
          <cell r="AE718" t="str">
            <v>TIDAK</v>
          </cell>
          <cell r="AF718">
            <v>58</v>
          </cell>
          <cell r="AG718">
            <v>2</v>
          </cell>
          <cell r="AH718" t="str">
            <v>SAPHIRE</v>
          </cell>
          <cell r="AI718">
            <v>0</v>
          </cell>
          <cell r="AJ718" t="str">
            <v>FALSE</v>
          </cell>
          <cell r="AK718">
            <v>0</v>
          </cell>
          <cell r="AL718">
            <v>45261</v>
          </cell>
          <cell r="AM718">
            <v>45701</v>
          </cell>
          <cell r="AN718">
            <v>1</v>
          </cell>
          <cell r="AO718">
            <v>58</v>
          </cell>
          <cell r="AP718" t="str">
            <v>EKSKLUSIF</v>
          </cell>
          <cell r="AQ718" t="str">
            <v>-</v>
          </cell>
          <cell r="AR718" t="str">
            <v>EKSKLUSIF</v>
          </cell>
          <cell r="AS718" t="str">
            <v>EKSKLUSIF</v>
          </cell>
          <cell r="AT718" t="str">
            <v>EKSKLUSIF</v>
          </cell>
          <cell r="AU718" t="str">
            <v>REGULER</v>
          </cell>
          <cell r="AV718" t="str">
            <v/>
          </cell>
          <cell r="AW718">
            <v>46</v>
          </cell>
          <cell r="AX718">
            <v>44</v>
          </cell>
          <cell r="AY718">
            <v>40</v>
          </cell>
          <cell r="AZ718">
            <v>46</v>
          </cell>
          <cell r="BA718">
            <v>10</v>
          </cell>
          <cell r="BB718">
            <v>46</v>
          </cell>
          <cell r="BC718">
            <v>44</v>
          </cell>
          <cell r="BD718">
            <v>40</v>
          </cell>
          <cell r="BE718">
            <v>46</v>
          </cell>
          <cell r="BF718">
            <v>10</v>
          </cell>
          <cell r="BG718">
            <v>18</v>
          </cell>
          <cell r="BH718">
            <v>46</v>
          </cell>
          <cell r="BI718">
            <v>44</v>
          </cell>
          <cell r="BJ718">
            <v>40</v>
          </cell>
          <cell r="BK718">
            <v>46</v>
          </cell>
          <cell r="BL718">
            <v>10</v>
          </cell>
          <cell r="BM718">
            <v>3</v>
          </cell>
          <cell r="BN718">
            <v>207</v>
          </cell>
          <cell r="BO718">
            <v>0</v>
          </cell>
          <cell r="BP718">
            <v>46</v>
          </cell>
          <cell r="BQ718">
            <v>0</v>
          </cell>
          <cell r="BR718">
            <v>0</v>
          </cell>
          <cell r="BS718">
            <v>0</v>
          </cell>
          <cell r="BT718">
            <v>10</v>
          </cell>
          <cell r="BU718">
            <v>3</v>
          </cell>
          <cell r="BV718">
            <v>59</v>
          </cell>
          <cell r="BW718">
            <v>0</v>
          </cell>
          <cell r="BX718" t="str">
            <v>TIDAK</v>
          </cell>
          <cell r="BY718" t="str">
            <v>TIDAK</v>
          </cell>
        </row>
        <row r="719">
          <cell r="A719" t="str">
            <v>A2916</v>
          </cell>
          <cell r="B719" t="str">
            <v>Adrian Putra</v>
          </cell>
          <cell r="C719" t="str">
            <v>TEMA C2</v>
          </cell>
          <cell r="D719">
            <v>45231</v>
          </cell>
          <cell r="E719" t="str">
            <v>Nov-23</v>
          </cell>
          <cell r="F719" t="str">
            <v>REGULER</v>
          </cell>
          <cell r="G719" t="str">
            <v>REGULER</v>
          </cell>
          <cell r="H719" t="str">
            <v>EKSKLUSIF</v>
          </cell>
          <cell r="I719" t="str">
            <v>REGULER</v>
          </cell>
          <cell r="J719" t="str">
            <v>-</v>
          </cell>
          <cell r="K719" t="str">
            <v>-</v>
          </cell>
          <cell r="L719" t="str">
            <v>-</v>
          </cell>
          <cell r="M719">
            <v>12</v>
          </cell>
          <cell r="N719">
            <v>21</v>
          </cell>
          <cell r="O719">
            <v>40</v>
          </cell>
          <cell r="P719">
            <v>19</v>
          </cell>
          <cell r="Q719">
            <v>0</v>
          </cell>
          <cell r="R719">
            <v>0</v>
          </cell>
          <cell r="S719" t="str">
            <v/>
          </cell>
          <cell r="T719">
            <v>92</v>
          </cell>
          <cell r="U719">
            <v>12</v>
          </cell>
          <cell r="V719">
            <v>21</v>
          </cell>
          <cell r="W719">
            <v>0</v>
          </cell>
          <cell r="X719">
            <v>19</v>
          </cell>
          <cell r="Y719">
            <v>0</v>
          </cell>
          <cell r="Z719">
            <v>0</v>
          </cell>
          <cell r="AA719" t="str">
            <v/>
          </cell>
          <cell r="AB719">
            <v>52</v>
          </cell>
          <cell r="AC719">
            <v>3</v>
          </cell>
          <cell r="AD719" t="str">
            <v>DOWNGRADE</v>
          </cell>
          <cell r="AE719" t="str">
            <v>RESET</v>
          </cell>
          <cell r="AF719">
            <v>0</v>
          </cell>
          <cell r="AG719">
            <v>2</v>
          </cell>
          <cell r="AH719" t="str">
            <v>SAPHIRE</v>
          </cell>
          <cell r="AI719">
            <v>0</v>
          </cell>
          <cell r="AJ719" t="str">
            <v>FALSE</v>
          </cell>
          <cell r="AK719">
            <v>0</v>
          </cell>
          <cell r="AL719">
            <v>45261</v>
          </cell>
          <cell r="AM719">
            <v>45701</v>
          </cell>
          <cell r="AN719">
            <v>1</v>
          </cell>
          <cell r="AO719">
            <v>0</v>
          </cell>
          <cell r="AP719" t="str">
            <v>-</v>
          </cell>
          <cell r="AQ719" t="str">
            <v>-</v>
          </cell>
          <cell r="AR719" t="str">
            <v>-</v>
          </cell>
          <cell r="AS719" t="str">
            <v>-</v>
          </cell>
          <cell r="AT719" t="str">
            <v>-</v>
          </cell>
          <cell r="AU719" t="str">
            <v>-</v>
          </cell>
          <cell r="AV719" t="str">
            <v/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 t="str">
            <v/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 t="str">
            <v/>
          </cell>
          <cell r="BN719">
            <v>0</v>
          </cell>
          <cell r="BO719" t="str">
            <v/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 t="str">
            <v/>
          </cell>
          <cell r="BV719">
            <v>0</v>
          </cell>
          <cell r="BW719">
            <v>7</v>
          </cell>
          <cell r="BX719" t="str">
            <v>DOWNGRADE</v>
          </cell>
          <cell r="BY719" t="str">
            <v>RESET</v>
          </cell>
        </row>
        <row r="720">
          <cell r="A720" t="str">
            <v>A3226</v>
          </cell>
          <cell r="B720" t="str">
            <v>Afifah Zubatric</v>
          </cell>
          <cell r="C720" t="str">
            <v>TEMA C2</v>
          </cell>
          <cell r="D720">
            <v>45233</v>
          </cell>
          <cell r="E720" t="str">
            <v>Nov-23</v>
          </cell>
          <cell r="F720" t="str">
            <v>REGULER</v>
          </cell>
          <cell r="G720" t="str">
            <v>REGULER</v>
          </cell>
          <cell r="H720" t="str">
            <v>-</v>
          </cell>
          <cell r="I720" t="str">
            <v>-</v>
          </cell>
          <cell r="J720" t="str">
            <v>-</v>
          </cell>
          <cell r="K720" t="str">
            <v>-</v>
          </cell>
          <cell r="L720" t="str">
            <v>-</v>
          </cell>
          <cell r="M720">
            <v>8</v>
          </cell>
          <cell r="N720">
            <v>4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 t="str">
            <v/>
          </cell>
          <cell r="T720">
            <v>12</v>
          </cell>
          <cell r="U720">
            <v>8</v>
          </cell>
          <cell r="V720">
            <v>4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/>
          </cell>
          <cell r="AB720">
            <v>12</v>
          </cell>
          <cell r="AC720">
            <v>5</v>
          </cell>
          <cell r="AD720" t="str">
            <v>DOWNGRADE</v>
          </cell>
          <cell r="AE720" t="str">
            <v>RESET</v>
          </cell>
          <cell r="AF720">
            <v>0</v>
          </cell>
          <cell r="AG720">
            <v>1</v>
          </cell>
          <cell r="AH720" t="str">
            <v>SAPHIRE</v>
          </cell>
          <cell r="AI720">
            <v>0</v>
          </cell>
          <cell r="AJ720" t="str">
            <v>FALSE</v>
          </cell>
          <cell r="AK720">
            <v>0</v>
          </cell>
          <cell r="AL720">
            <v>45261</v>
          </cell>
          <cell r="AM720">
            <v>45701</v>
          </cell>
          <cell r="AN720">
            <v>1</v>
          </cell>
          <cell r="AO720">
            <v>0</v>
          </cell>
          <cell r="AP720" t="str">
            <v>-</v>
          </cell>
          <cell r="AQ720" t="str">
            <v>-</v>
          </cell>
          <cell r="AR720" t="str">
            <v>-</v>
          </cell>
          <cell r="AS720" t="str">
            <v>-</v>
          </cell>
          <cell r="AT720" t="str">
            <v>-</v>
          </cell>
          <cell r="AU720" t="str">
            <v>-</v>
          </cell>
          <cell r="AV720" t="str">
            <v/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 t="str">
            <v/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 t="str">
            <v/>
          </cell>
          <cell r="BN720">
            <v>0</v>
          </cell>
          <cell r="BO720" t="str">
            <v/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 t="str">
            <v/>
          </cell>
          <cell r="BV720">
            <v>0</v>
          </cell>
          <cell r="BW720">
            <v>7</v>
          </cell>
          <cell r="BX720" t="str">
            <v>DOWNGRADE</v>
          </cell>
          <cell r="BY720" t="str">
            <v>RESET</v>
          </cell>
        </row>
        <row r="721">
          <cell r="A721" t="str">
            <v>A3515</v>
          </cell>
          <cell r="B721" t="str">
            <v>Agata Istikalani</v>
          </cell>
          <cell r="C721" t="str">
            <v>TEMA C2</v>
          </cell>
          <cell r="D721">
            <v>45262</v>
          </cell>
          <cell r="E721" t="str">
            <v>Dec-23</v>
          </cell>
          <cell r="F721" t="str">
            <v>REGULER</v>
          </cell>
          <cell r="G721" t="str">
            <v>REGULER</v>
          </cell>
          <cell r="H721" t="str">
            <v>REGULER</v>
          </cell>
          <cell r="I721" t="str">
            <v>REGULER</v>
          </cell>
          <cell r="J721" t="str">
            <v>REGULER</v>
          </cell>
          <cell r="K721" t="str">
            <v>REGULER</v>
          </cell>
          <cell r="L721" t="str">
            <v>REGULER</v>
          </cell>
          <cell r="M721">
            <v>8</v>
          </cell>
          <cell r="N721">
            <v>31</v>
          </cell>
          <cell r="O721">
            <v>28</v>
          </cell>
          <cell r="P721">
            <v>35</v>
          </cell>
          <cell r="Q721">
            <v>36</v>
          </cell>
          <cell r="R721">
            <v>30</v>
          </cell>
          <cell r="S721">
            <v>17</v>
          </cell>
          <cell r="T721">
            <v>185</v>
          </cell>
          <cell r="U721">
            <v>8</v>
          </cell>
          <cell r="V721">
            <v>31</v>
          </cell>
          <cell r="W721">
            <v>28</v>
          </cell>
          <cell r="X721">
            <v>35</v>
          </cell>
          <cell r="Y721">
            <v>36</v>
          </cell>
          <cell r="Z721">
            <v>30</v>
          </cell>
          <cell r="AA721">
            <v>17</v>
          </cell>
          <cell r="AB721">
            <v>185</v>
          </cell>
          <cell r="AC721">
            <v>0</v>
          </cell>
          <cell r="AD721" t="str">
            <v>TIDAK</v>
          </cell>
          <cell r="AE721" t="str">
            <v>TIDAK</v>
          </cell>
          <cell r="AF721">
            <v>185</v>
          </cell>
          <cell r="AG721">
            <v>4</v>
          </cell>
          <cell r="AH721" t="str">
            <v>SAPHIRE</v>
          </cell>
          <cell r="AI721">
            <v>0</v>
          </cell>
          <cell r="AJ721" t="str">
            <v>Y</v>
          </cell>
          <cell r="AK721">
            <v>0</v>
          </cell>
          <cell r="AL721">
            <v>45261</v>
          </cell>
          <cell r="AM721">
            <v>45701</v>
          </cell>
          <cell r="AN721">
            <v>1</v>
          </cell>
          <cell r="AO721">
            <v>185</v>
          </cell>
          <cell r="AP721" t="str">
            <v>-</v>
          </cell>
          <cell r="AQ721" t="str">
            <v>-</v>
          </cell>
          <cell r="AR721" t="str">
            <v>REGULER</v>
          </cell>
          <cell r="AS721" t="str">
            <v>REGULER</v>
          </cell>
          <cell r="AT721" t="str">
            <v>REGULER</v>
          </cell>
          <cell r="AU721" t="str">
            <v>REGULER</v>
          </cell>
          <cell r="AV721" t="str">
            <v/>
          </cell>
          <cell r="AW721">
            <v>34</v>
          </cell>
          <cell r="AX721">
            <v>16</v>
          </cell>
          <cell r="AY721">
            <v>34</v>
          </cell>
          <cell r="AZ721">
            <v>40</v>
          </cell>
          <cell r="BA721">
            <v>30</v>
          </cell>
          <cell r="BB721">
            <v>34</v>
          </cell>
          <cell r="BC721">
            <v>16</v>
          </cell>
          <cell r="BD721">
            <v>34</v>
          </cell>
          <cell r="BE721">
            <v>40</v>
          </cell>
          <cell r="BF721">
            <v>30</v>
          </cell>
          <cell r="BG721">
            <v>11</v>
          </cell>
          <cell r="BH721">
            <v>34</v>
          </cell>
          <cell r="BI721">
            <v>16</v>
          </cell>
          <cell r="BJ721">
            <v>34</v>
          </cell>
          <cell r="BK721">
            <v>40</v>
          </cell>
          <cell r="BL721">
            <v>30</v>
          </cell>
          <cell r="BM721">
            <v>16</v>
          </cell>
          <cell r="BN721">
            <v>181</v>
          </cell>
          <cell r="BO721">
            <v>11</v>
          </cell>
          <cell r="BP721">
            <v>34</v>
          </cell>
          <cell r="BQ721">
            <v>16</v>
          </cell>
          <cell r="BR721">
            <v>34</v>
          </cell>
          <cell r="BS721">
            <v>40</v>
          </cell>
          <cell r="BT721">
            <v>30</v>
          </cell>
          <cell r="BU721">
            <v>16</v>
          </cell>
          <cell r="BV721">
            <v>181</v>
          </cell>
          <cell r="BW721">
            <v>0</v>
          </cell>
          <cell r="BX721" t="str">
            <v>TIDAK</v>
          </cell>
          <cell r="BY721" t="str">
            <v>TIDAK</v>
          </cell>
        </row>
        <row r="722">
          <cell r="A722" t="str">
            <v>A3747</v>
          </cell>
          <cell r="B722" t="str">
            <v>Agatha Nias Sari</v>
          </cell>
          <cell r="C722" t="str">
            <v>TEMA C2</v>
          </cell>
          <cell r="D722">
            <v>45348</v>
          </cell>
          <cell r="E722" t="str">
            <v>Feb-24</v>
          </cell>
          <cell r="F722" t="str">
            <v>-</v>
          </cell>
          <cell r="G722" t="str">
            <v>-</v>
          </cell>
          <cell r="H722" t="str">
            <v>REGULER</v>
          </cell>
          <cell r="I722" t="str">
            <v>REGULER</v>
          </cell>
          <cell r="J722" t="str">
            <v>-</v>
          </cell>
          <cell r="K722" t="str">
            <v>-</v>
          </cell>
          <cell r="L722" t="str">
            <v>-</v>
          </cell>
          <cell r="M722">
            <v>0</v>
          </cell>
          <cell r="N722">
            <v>0</v>
          </cell>
          <cell r="O722">
            <v>1</v>
          </cell>
          <cell r="P722">
            <v>5</v>
          </cell>
          <cell r="Q722">
            <v>0</v>
          </cell>
          <cell r="R722">
            <v>0</v>
          </cell>
          <cell r="S722" t="str">
            <v/>
          </cell>
          <cell r="T722">
            <v>6</v>
          </cell>
          <cell r="U722">
            <v>0</v>
          </cell>
          <cell r="V722">
            <v>0</v>
          </cell>
          <cell r="W722">
            <v>1</v>
          </cell>
          <cell r="X722">
            <v>5</v>
          </cell>
          <cell r="Y722">
            <v>0</v>
          </cell>
          <cell r="Z722">
            <v>0</v>
          </cell>
          <cell r="AA722" t="str">
            <v/>
          </cell>
          <cell r="AB722">
            <v>6</v>
          </cell>
          <cell r="AC722">
            <v>3</v>
          </cell>
          <cell r="AD722" t="str">
            <v>DOWNGRADE</v>
          </cell>
          <cell r="AE722" t="str">
            <v>RESET</v>
          </cell>
          <cell r="AF722">
            <v>0</v>
          </cell>
          <cell r="AG722">
            <v>1</v>
          </cell>
          <cell r="AH722" t="str">
            <v>SAPHIRE</v>
          </cell>
          <cell r="AI722">
            <v>0</v>
          </cell>
          <cell r="AJ722" t="str">
            <v>FALSE</v>
          </cell>
          <cell r="AK722">
            <v>0</v>
          </cell>
          <cell r="AL722">
            <v>45261</v>
          </cell>
          <cell r="AM722">
            <v>45701</v>
          </cell>
          <cell r="AN722">
            <v>1</v>
          </cell>
          <cell r="AO722">
            <v>0</v>
          </cell>
          <cell r="AP722" t="str">
            <v>-</v>
          </cell>
          <cell r="AQ722" t="str">
            <v>-</v>
          </cell>
          <cell r="AR722" t="str">
            <v>-</v>
          </cell>
          <cell r="AS722" t="str">
            <v>-</v>
          </cell>
          <cell r="AT722" t="str">
            <v>-</v>
          </cell>
          <cell r="AU722" t="str">
            <v>-</v>
          </cell>
          <cell r="AV722" t="str">
            <v/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 t="str">
            <v/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 t="str">
            <v/>
          </cell>
          <cell r="BN722">
            <v>0</v>
          </cell>
          <cell r="BO722" t="str">
            <v/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 t="str">
            <v/>
          </cell>
          <cell r="BV722">
            <v>0</v>
          </cell>
          <cell r="BW722">
            <v>7</v>
          </cell>
          <cell r="BX722" t="str">
            <v>DOWNGRADE</v>
          </cell>
          <cell r="BY722" t="str">
            <v>RESET</v>
          </cell>
        </row>
        <row r="723">
          <cell r="A723" t="str">
            <v>A3791</v>
          </cell>
          <cell r="B723" t="str">
            <v>Agatha Putri Rastania</v>
          </cell>
          <cell r="C723" t="str">
            <v>TEMA C2</v>
          </cell>
          <cell r="D723">
            <v>45345</v>
          </cell>
          <cell r="E723" t="str">
            <v>Feb-24</v>
          </cell>
          <cell r="F723" t="str">
            <v>-</v>
          </cell>
          <cell r="G723" t="str">
            <v>-</v>
          </cell>
          <cell r="H723" t="str">
            <v>REGULER</v>
          </cell>
          <cell r="I723" t="str">
            <v>REGULER</v>
          </cell>
          <cell r="J723" t="str">
            <v>REGULER</v>
          </cell>
          <cell r="K723" t="str">
            <v>REGULER</v>
          </cell>
          <cell r="L723" t="str">
            <v>REGULER</v>
          </cell>
          <cell r="M723">
            <v>0</v>
          </cell>
          <cell r="N723">
            <v>0</v>
          </cell>
          <cell r="O723">
            <v>5</v>
          </cell>
          <cell r="P723">
            <v>34</v>
          </cell>
          <cell r="Q723">
            <v>38</v>
          </cell>
          <cell r="R723">
            <v>41</v>
          </cell>
          <cell r="S723">
            <v>19</v>
          </cell>
          <cell r="T723">
            <v>137</v>
          </cell>
          <cell r="U723">
            <v>0</v>
          </cell>
          <cell r="V723">
            <v>0</v>
          </cell>
          <cell r="W723">
            <v>5</v>
          </cell>
          <cell r="X723">
            <v>34</v>
          </cell>
          <cell r="Y723">
            <v>38</v>
          </cell>
          <cell r="Z723">
            <v>41</v>
          </cell>
          <cell r="AA723">
            <v>19</v>
          </cell>
          <cell r="AB723">
            <v>137</v>
          </cell>
          <cell r="AC723">
            <v>0</v>
          </cell>
          <cell r="AD723" t="str">
            <v>TIDAK</v>
          </cell>
          <cell r="AE723" t="str">
            <v>TIDAK</v>
          </cell>
          <cell r="AF723">
            <v>137</v>
          </cell>
          <cell r="AG723">
            <v>2</v>
          </cell>
          <cell r="AH723" t="str">
            <v>SAPHIRE</v>
          </cell>
          <cell r="AI723">
            <v>135</v>
          </cell>
          <cell r="AJ723" t="str">
            <v>Y</v>
          </cell>
          <cell r="AK723">
            <v>0</v>
          </cell>
          <cell r="AL723">
            <v>45261</v>
          </cell>
          <cell r="AM723">
            <v>45701</v>
          </cell>
          <cell r="AN723">
            <v>1</v>
          </cell>
          <cell r="AO723">
            <v>2</v>
          </cell>
          <cell r="AP723" t="str">
            <v>-</v>
          </cell>
          <cell r="AQ723" t="str">
            <v>-</v>
          </cell>
          <cell r="AR723" t="str">
            <v>-</v>
          </cell>
          <cell r="AS723" t="str">
            <v>-</v>
          </cell>
          <cell r="AT723" t="str">
            <v>-</v>
          </cell>
          <cell r="AU723" t="str">
            <v>-</v>
          </cell>
          <cell r="AV723" t="str">
            <v/>
          </cell>
          <cell r="AW723">
            <v>19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19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15</v>
          </cell>
          <cell r="BH723">
            <v>19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 t="str">
            <v/>
          </cell>
          <cell r="BN723">
            <v>34</v>
          </cell>
          <cell r="BO723">
            <v>15</v>
          </cell>
          <cell r="BP723">
            <v>19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 t="str">
            <v/>
          </cell>
          <cell r="BV723">
            <v>34</v>
          </cell>
          <cell r="BW723">
            <v>5</v>
          </cell>
          <cell r="BX723" t="str">
            <v>DOWNGRADE</v>
          </cell>
          <cell r="BY723" t="str">
            <v>RESET</v>
          </cell>
        </row>
        <row r="724">
          <cell r="A724" t="str">
            <v>A2876</v>
          </cell>
          <cell r="B724" t="str">
            <v>Agung Sandi Nurfaisal</v>
          </cell>
          <cell r="C724" t="str">
            <v>TEMA C2</v>
          </cell>
          <cell r="D724">
            <v>45190</v>
          </cell>
          <cell r="E724" t="str">
            <v>Sep-23</v>
          </cell>
          <cell r="F724" t="str">
            <v>REGULER</v>
          </cell>
          <cell r="G724" t="str">
            <v>REGULER</v>
          </cell>
          <cell r="H724" t="str">
            <v>REGULER</v>
          </cell>
          <cell r="I724" t="str">
            <v>REGULER</v>
          </cell>
          <cell r="J724" t="str">
            <v>REGULER</v>
          </cell>
          <cell r="K724" t="str">
            <v>-</v>
          </cell>
          <cell r="L724" t="str">
            <v>-</v>
          </cell>
          <cell r="M724">
            <v>7</v>
          </cell>
          <cell r="N724">
            <v>27</v>
          </cell>
          <cell r="O724">
            <v>23</v>
          </cell>
          <cell r="P724">
            <v>22</v>
          </cell>
          <cell r="Q724">
            <v>10</v>
          </cell>
          <cell r="R724">
            <v>0</v>
          </cell>
          <cell r="S724" t="str">
            <v/>
          </cell>
          <cell r="T724">
            <v>89</v>
          </cell>
          <cell r="U724">
            <v>7</v>
          </cell>
          <cell r="V724">
            <v>27</v>
          </cell>
          <cell r="W724">
            <v>23</v>
          </cell>
          <cell r="X724">
            <v>22</v>
          </cell>
          <cell r="Y724">
            <v>10</v>
          </cell>
          <cell r="Z724">
            <v>0</v>
          </cell>
          <cell r="AA724" t="str">
            <v/>
          </cell>
          <cell r="AB724">
            <v>89</v>
          </cell>
          <cell r="AC724">
            <v>2</v>
          </cell>
          <cell r="AD724" t="str">
            <v>TIDAK</v>
          </cell>
          <cell r="AE724" t="str">
            <v>TIDAK</v>
          </cell>
          <cell r="AF724">
            <v>89</v>
          </cell>
          <cell r="AG724">
            <v>2</v>
          </cell>
          <cell r="AH724" t="str">
            <v>SAPHIRE</v>
          </cell>
          <cell r="AI724">
            <v>0</v>
          </cell>
          <cell r="AJ724" t="str">
            <v>Y</v>
          </cell>
          <cell r="AK724">
            <v>0</v>
          </cell>
          <cell r="AL724">
            <v>45261</v>
          </cell>
          <cell r="AM724">
            <v>45701</v>
          </cell>
          <cell r="AN724">
            <v>1</v>
          </cell>
          <cell r="AO724">
            <v>89</v>
          </cell>
          <cell r="AP724" t="str">
            <v>-</v>
          </cell>
          <cell r="AQ724" t="str">
            <v>-</v>
          </cell>
          <cell r="AR724" t="str">
            <v>-</v>
          </cell>
          <cell r="AS724" t="str">
            <v>-</v>
          </cell>
          <cell r="AT724" t="str">
            <v>-</v>
          </cell>
          <cell r="AU724" t="str">
            <v>-</v>
          </cell>
          <cell r="AV724" t="str">
            <v/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 t="str">
            <v/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 t="str">
            <v/>
          </cell>
          <cell r="BN724">
            <v>0</v>
          </cell>
          <cell r="BO724" t="str">
            <v/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 t="str">
            <v/>
          </cell>
          <cell r="BV724">
            <v>0</v>
          </cell>
          <cell r="BW724">
            <v>7</v>
          </cell>
          <cell r="BX724" t="str">
            <v>DOWNGRADE</v>
          </cell>
          <cell r="BY724" t="str">
            <v>RESET</v>
          </cell>
        </row>
        <row r="725">
          <cell r="A725" t="str">
            <v>A3788</v>
          </cell>
          <cell r="B725" t="str">
            <v>Ahmad Daffa</v>
          </cell>
          <cell r="C725" t="str">
            <v>TEMA C2</v>
          </cell>
          <cell r="D725">
            <v>45345</v>
          </cell>
          <cell r="E725" t="str">
            <v>Feb-24</v>
          </cell>
          <cell r="F725" t="str">
            <v>-</v>
          </cell>
          <cell r="G725" t="str">
            <v>-</v>
          </cell>
          <cell r="H725" t="str">
            <v>REGULER</v>
          </cell>
          <cell r="I725" t="str">
            <v>REGULER</v>
          </cell>
          <cell r="J725" t="str">
            <v>REGULER</v>
          </cell>
          <cell r="K725" t="str">
            <v>REGULER</v>
          </cell>
          <cell r="L725" t="str">
            <v>REGULER</v>
          </cell>
          <cell r="M725">
            <v>0</v>
          </cell>
          <cell r="N725">
            <v>0</v>
          </cell>
          <cell r="O725">
            <v>1</v>
          </cell>
          <cell r="P725">
            <v>16</v>
          </cell>
          <cell r="Q725">
            <v>11</v>
          </cell>
          <cell r="R725">
            <v>16</v>
          </cell>
          <cell r="S725">
            <v>12</v>
          </cell>
          <cell r="T725">
            <v>56</v>
          </cell>
          <cell r="U725">
            <v>0</v>
          </cell>
          <cell r="V725">
            <v>0</v>
          </cell>
          <cell r="W725">
            <v>1</v>
          </cell>
          <cell r="X725">
            <v>16</v>
          </cell>
          <cell r="Y725">
            <v>11</v>
          </cell>
          <cell r="Z725">
            <v>16</v>
          </cell>
          <cell r="AA725">
            <v>12</v>
          </cell>
          <cell r="AB725">
            <v>56</v>
          </cell>
          <cell r="AC725">
            <v>0</v>
          </cell>
          <cell r="AD725" t="str">
            <v>TIDAK</v>
          </cell>
          <cell r="AE725" t="str">
            <v>TIDAK</v>
          </cell>
          <cell r="AF725">
            <v>56</v>
          </cell>
          <cell r="AG725">
            <v>1</v>
          </cell>
          <cell r="AH725" t="str">
            <v>SAPHIRE</v>
          </cell>
          <cell r="AI725">
            <v>0</v>
          </cell>
          <cell r="AJ725" t="str">
            <v>FALSE</v>
          </cell>
          <cell r="AK725">
            <v>0</v>
          </cell>
          <cell r="AL725">
            <v>45261</v>
          </cell>
          <cell r="AM725">
            <v>45701</v>
          </cell>
          <cell r="AN725">
            <v>1</v>
          </cell>
          <cell r="AO725">
            <v>56</v>
          </cell>
          <cell r="AP725" t="str">
            <v>-</v>
          </cell>
          <cell r="AQ725" t="str">
            <v>-</v>
          </cell>
          <cell r="AR725" t="str">
            <v>-</v>
          </cell>
          <cell r="AS725" t="str">
            <v>-</v>
          </cell>
          <cell r="AT725" t="str">
            <v>-</v>
          </cell>
          <cell r="AU725" t="str">
            <v>-</v>
          </cell>
          <cell r="AV725" t="str">
            <v/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11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 t="str">
            <v/>
          </cell>
          <cell r="BN725">
            <v>11</v>
          </cell>
          <cell r="BO725">
            <v>11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 t="str">
            <v/>
          </cell>
          <cell r="BV725">
            <v>11</v>
          </cell>
          <cell r="BW725">
            <v>6</v>
          </cell>
          <cell r="BX725" t="str">
            <v>DOWNGRADE</v>
          </cell>
          <cell r="BY725" t="str">
            <v>RESET</v>
          </cell>
        </row>
        <row r="726">
          <cell r="A726" t="str">
            <v>A2589</v>
          </cell>
          <cell r="B726" t="str">
            <v>Ahmad Ramadhansyah</v>
          </cell>
          <cell r="C726" t="str">
            <v>TEMA C2</v>
          </cell>
          <cell r="D726">
            <v>45093</v>
          </cell>
          <cell r="E726" t="str">
            <v>Jun-23</v>
          </cell>
          <cell r="F726" t="str">
            <v>REGULER</v>
          </cell>
          <cell r="G726" t="str">
            <v>REGULER</v>
          </cell>
          <cell r="H726" t="str">
            <v>REGULER</v>
          </cell>
          <cell r="I726" t="str">
            <v>-</v>
          </cell>
          <cell r="J726" t="str">
            <v>-</v>
          </cell>
          <cell r="K726" t="str">
            <v>-</v>
          </cell>
          <cell r="L726" t="str">
            <v>-</v>
          </cell>
          <cell r="M726">
            <v>9</v>
          </cell>
          <cell r="N726">
            <v>14</v>
          </cell>
          <cell r="O726">
            <v>7</v>
          </cell>
          <cell r="P726">
            <v>0</v>
          </cell>
          <cell r="Q726">
            <v>0</v>
          </cell>
          <cell r="R726">
            <v>0</v>
          </cell>
          <cell r="S726" t="str">
            <v/>
          </cell>
          <cell r="T726">
            <v>30</v>
          </cell>
          <cell r="U726">
            <v>9</v>
          </cell>
          <cell r="V726">
            <v>14</v>
          </cell>
          <cell r="W726">
            <v>7</v>
          </cell>
          <cell r="X726">
            <v>0</v>
          </cell>
          <cell r="Y726">
            <v>0</v>
          </cell>
          <cell r="Z726">
            <v>0</v>
          </cell>
          <cell r="AA726" t="str">
            <v/>
          </cell>
          <cell r="AB726">
            <v>30</v>
          </cell>
          <cell r="AC726">
            <v>4</v>
          </cell>
          <cell r="AD726" t="str">
            <v>DOWNGRADE</v>
          </cell>
          <cell r="AE726" t="str">
            <v>RESET</v>
          </cell>
          <cell r="AF726">
            <v>0</v>
          </cell>
          <cell r="AG726">
            <v>1</v>
          </cell>
          <cell r="AH726" t="str">
            <v>SAPHIRE</v>
          </cell>
          <cell r="AI726">
            <v>0</v>
          </cell>
          <cell r="AJ726" t="str">
            <v>FALSE</v>
          </cell>
          <cell r="AK726">
            <v>0</v>
          </cell>
          <cell r="AL726">
            <v>45261</v>
          </cell>
          <cell r="AM726">
            <v>45701</v>
          </cell>
          <cell r="AN726">
            <v>1</v>
          </cell>
          <cell r="AO726">
            <v>0</v>
          </cell>
          <cell r="AP726" t="str">
            <v>-</v>
          </cell>
          <cell r="AQ726" t="str">
            <v>-</v>
          </cell>
          <cell r="AR726" t="str">
            <v>-</v>
          </cell>
          <cell r="AS726" t="str">
            <v>-</v>
          </cell>
          <cell r="AT726" t="str">
            <v>-</v>
          </cell>
          <cell r="AU726" t="str">
            <v>-</v>
          </cell>
          <cell r="AV726" t="str">
            <v/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 t="str">
            <v/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 t="str">
            <v/>
          </cell>
          <cell r="BN726">
            <v>0</v>
          </cell>
          <cell r="BO726" t="str">
            <v/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 t="str">
            <v/>
          </cell>
          <cell r="BV726">
            <v>0</v>
          </cell>
          <cell r="BW726">
            <v>7</v>
          </cell>
          <cell r="BX726" t="str">
            <v>DOWNGRADE</v>
          </cell>
          <cell r="BY726" t="str">
            <v>RESET</v>
          </cell>
        </row>
        <row r="727">
          <cell r="A727" t="str">
            <v>A4085</v>
          </cell>
          <cell r="B727" t="str">
            <v>AHMAD YOGA AZ ZUMAR SIDIQ</v>
          </cell>
          <cell r="C727" t="str">
            <v>TEMA C2</v>
          </cell>
          <cell r="D727">
            <v>45442</v>
          </cell>
          <cell r="E727" t="str">
            <v>May-24</v>
          </cell>
          <cell r="F727" t="str">
            <v>-</v>
          </cell>
          <cell r="G727" t="str">
            <v>-</v>
          </cell>
          <cell r="H727" t="str">
            <v>-</v>
          </cell>
          <cell r="I727" t="str">
            <v>-</v>
          </cell>
          <cell r="J727" t="str">
            <v>-</v>
          </cell>
          <cell r="K727" t="str">
            <v>REGULER</v>
          </cell>
          <cell r="L727" t="str">
            <v>REGULER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2</v>
          </cell>
          <cell r="S727">
            <v>17</v>
          </cell>
          <cell r="T727">
            <v>19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2</v>
          </cell>
          <cell r="AA727">
            <v>17</v>
          </cell>
          <cell r="AB727">
            <v>19</v>
          </cell>
          <cell r="AC727">
            <v>0</v>
          </cell>
          <cell r="AD727" t="str">
            <v>TIDAK</v>
          </cell>
          <cell r="AE727" t="str">
            <v>TIDAK</v>
          </cell>
          <cell r="AF727">
            <v>19</v>
          </cell>
          <cell r="AG727">
            <v>1</v>
          </cell>
          <cell r="AH727" t="str">
            <v>SAPHIRE</v>
          </cell>
          <cell r="AI727">
            <v>0</v>
          </cell>
          <cell r="AJ727" t="str">
            <v>FALSE</v>
          </cell>
          <cell r="AK727">
            <v>0</v>
          </cell>
          <cell r="AL727">
            <v>45261</v>
          </cell>
          <cell r="AM727">
            <v>45701</v>
          </cell>
          <cell r="AN727">
            <v>1</v>
          </cell>
          <cell r="AO727">
            <v>19</v>
          </cell>
          <cell r="AP727" t="str">
            <v>-</v>
          </cell>
          <cell r="AQ727" t="str">
            <v>-</v>
          </cell>
          <cell r="AR727" t="str">
            <v>REGULER</v>
          </cell>
          <cell r="AS727" t="str">
            <v>-</v>
          </cell>
          <cell r="AT727" t="str">
            <v>-</v>
          </cell>
          <cell r="AU727" t="str">
            <v>-</v>
          </cell>
          <cell r="AV727" t="str">
            <v/>
          </cell>
          <cell r="AW727">
            <v>43</v>
          </cell>
          <cell r="AX727">
            <v>26</v>
          </cell>
          <cell r="AY727">
            <v>0</v>
          </cell>
          <cell r="AZ727">
            <v>0</v>
          </cell>
          <cell r="BA727">
            <v>0</v>
          </cell>
          <cell r="BB727">
            <v>43</v>
          </cell>
          <cell r="BC727">
            <v>26</v>
          </cell>
          <cell r="BD727">
            <v>0</v>
          </cell>
          <cell r="BE727">
            <v>0</v>
          </cell>
          <cell r="BF727">
            <v>0</v>
          </cell>
          <cell r="BG727">
            <v>11</v>
          </cell>
          <cell r="BH727">
            <v>43</v>
          </cell>
          <cell r="BI727">
            <v>26</v>
          </cell>
          <cell r="BJ727">
            <v>0</v>
          </cell>
          <cell r="BK727">
            <v>0</v>
          </cell>
          <cell r="BL727">
            <v>0</v>
          </cell>
          <cell r="BM727" t="str">
            <v/>
          </cell>
          <cell r="BN727">
            <v>80</v>
          </cell>
          <cell r="BO727">
            <v>11</v>
          </cell>
          <cell r="BP727">
            <v>43</v>
          </cell>
          <cell r="BQ727">
            <v>26</v>
          </cell>
          <cell r="BR727">
            <v>0</v>
          </cell>
          <cell r="BS727">
            <v>0</v>
          </cell>
          <cell r="BT727">
            <v>0</v>
          </cell>
          <cell r="BU727" t="str">
            <v/>
          </cell>
          <cell r="BV727">
            <v>80</v>
          </cell>
          <cell r="BW727">
            <v>4</v>
          </cell>
          <cell r="BX727" t="str">
            <v>DOWNGRADE</v>
          </cell>
          <cell r="BY727" t="str">
            <v>RESET</v>
          </cell>
        </row>
        <row r="728">
          <cell r="A728" t="str">
            <v>A2964</v>
          </cell>
          <cell r="B728" t="str">
            <v>Akhaya Arsyoga</v>
          </cell>
          <cell r="C728" t="str">
            <v>TEMA C2</v>
          </cell>
          <cell r="D728">
            <v>45187</v>
          </cell>
          <cell r="E728" t="str">
            <v>Sep-23</v>
          </cell>
          <cell r="F728" t="str">
            <v>REGULER</v>
          </cell>
          <cell r="G728" t="str">
            <v>REGULER</v>
          </cell>
          <cell r="H728" t="str">
            <v>REGULER</v>
          </cell>
          <cell r="I728" t="str">
            <v>EKSKLUSIF</v>
          </cell>
          <cell r="J728" t="str">
            <v>EKSKLUSIF</v>
          </cell>
          <cell r="K728" t="str">
            <v>EKSKLUSIF</v>
          </cell>
          <cell r="L728" t="str">
            <v>REGULER</v>
          </cell>
          <cell r="M728">
            <v>20</v>
          </cell>
          <cell r="N728">
            <v>46</v>
          </cell>
          <cell r="O728">
            <v>36</v>
          </cell>
          <cell r="P728">
            <v>39</v>
          </cell>
          <cell r="Q728">
            <v>35</v>
          </cell>
          <cell r="R728">
            <v>40</v>
          </cell>
          <cell r="S728">
            <v>16</v>
          </cell>
          <cell r="T728">
            <v>232</v>
          </cell>
          <cell r="U728">
            <v>20</v>
          </cell>
          <cell r="V728">
            <v>46</v>
          </cell>
          <cell r="W728">
            <v>36</v>
          </cell>
          <cell r="X728">
            <v>0</v>
          </cell>
          <cell r="Y728">
            <v>0</v>
          </cell>
          <cell r="Z728">
            <v>0</v>
          </cell>
          <cell r="AA728">
            <v>16</v>
          </cell>
          <cell r="AB728">
            <v>118</v>
          </cell>
          <cell r="AC728">
            <v>0</v>
          </cell>
          <cell r="AD728" t="str">
            <v>TIDAK</v>
          </cell>
          <cell r="AE728" t="str">
            <v>TIDAK</v>
          </cell>
          <cell r="AF728">
            <v>118</v>
          </cell>
          <cell r="AG728">
            <v>2</v>
          </cell>
          <cell r="AH728" t="str">
            <v>SAPHIRE</v>
          </cell>
          <cell r="AI728">
            <v>0</v>
          </cell>
          <cell r="AJ728" t="str">
            <v>Y</v>
          </cell>
          <cell r="AK728">
            <v>0</v>
          </cell>
          <cell r="AL728">
            <v>45261</v>
          </cell>
          <cell r="AM728">
            <v>45701</v>
          </cell>
          <cell r="AN728">
            <v>1</v>
          </cell>
          <cell r="AO728">
            <v>118</v>
          </cell>
          <cell r="AP728" t="str">
            <v>-</v>
          </cell>
          <cell r="AQ728" t="str">
            <v>-</v>
          </cell>
          <cell r="AR728" t="str">
            <v>REGULER</v>
          </cell>
          <cell r="AS728" t="str">
            <v>REGULER</v>
          </cell>
          <cell r="AT728" t="str">
            <v>REGULER</v>
          </cell>
          <cell r="AU728" t="str">
            <v>REGULER</v>
          </cell>
          <cell r="AV728" t="str">
            <v/>
          </cell>
          <cell r="AW728">
            <v>25</v>
          </cell>
          <cell r="AX728">
            <v>30</v>
          </cell>
          <cell r="AY728">
            <v>30</v>
          </cell>
          <cell r="AZ728">
            <v>37</v>
          </cell>
          <cell r="BA728">
            <v>28</v>
          </cell>
          <cell r="BB728">
            <v>25</v>
          </cell>
          <cell r="BC728">
            <v>30</v>
          </cell>
          <cell r="BD728">
            <v>30</v>
          </cell>
          <cell r="BE728">
            <v>37</v>
          </cell>
          <cell r="BF728">
            <v>28</v>
          </cell>
          <cell r="BG728">
            <v>13</v>
          </cell>
          <cell r="BH728">
            <v>25</v>
          </cell>
          <cell r="BI728">
            <v>30</v>
          </cell>
          <cell r="BJ728">
            <v>30</v>
          </cell>
          <cell r="BK728">
            <v>37</v>
          </cell>
          <cell r="BL728">
            <v>28</v>
          </cell>
          <cell r="BM728">
            <v>15</v>
          </cell>
          <cell r="BN728">
            <v>178</v>
          </cell>
          <cell r="BO728">
            <v>13</v>
          </cell>
          <cell r="BP728">
            <v>25</v>
          </cell>
          <cell r="BQ728">
            <v>30</v>
          </cell>
          <cell r="BR728">
            <v>30</v>
          </cell>
          <cell r="BS728">
            <v>37</v>
          </cell>
          <cell r="BT728">
            <v>28</v>
          </cell>
          <cell r="BU728">
            <v>15</v>
          </cell>
          <cell r="BV728">
            <v>178</v>
          </cell>
          <cell r="BW728">
            <v>0</v>
          </cell>
          <cell r="BX728" t="str">
            <v>TIDAK</v>
          </cell>
          <cell r="BY728" t="str">
            <v>TIDAK</v>
          </cell>
        </row>
        <row r="729">
          <cell r="A729" t="str">
            <v>A3391</v>
          </cell>
          <cell r="B729" t="str">
            <v>Alam Maulana</v>
          </cell>
          <cell r="C729" t="str">
            <v>TEMA C2</v>
          </cell>
          <cell r="D729">
            <v>45262</v>
          </cell>
          <cell r="E729" t="str">
            <v>Dec-23</v>
          </cell>
          <cell r="F729" t="str">
            <v>REGULER</v>
          </cell>
          <cell r="G729" t="str">
            <v>REGULER</v>
          </cell>
          <cell r="H729" t="str">
            <v>REGULER</v>
          </cell>
          <cell r="I729" t="str">
            <v>REGULER</v>
          </cell>
          <cell r="J729" t="str">
            <v>REGULER</v>
          </cell>
          <cell r="K729" t="str">
            <v>-</v>
          </cell>
          <cell r="L729" t="str">
            <v>-</v>
          </cell>
          <cell r="M729">
            <v>6</v>
          </cell>
          <cell r="N729">
            <v>25</v>
          </cell>
          <cell r="O729">
            <v>29</v>
          </cell>
          <cell r="P729">
            <v>15</v>
          </cell>
          <cell r="Q729">
            <v>16</v>
          </cell>
          <cell r="R729">
            <v>0</v>
          </cell>
          <cell r="S729" t="str">
            <v/>
          </cell>
          <cell r="T729">
            <v>91</v>
          </cell>
          <cell r="U729">
            <v>6</v>
          </cell>
          <cell r="V729">
            <v>25</v>
          </cell>
          <cell r="W729">
            <v>29</v>
          </cell>
          <cell r="X729">
            <v>15</v>
          </cell>
          <cell r="Y729">
            <v>16</v>
          </cell>
          <cell r="Z729">
            <v>0</v>
          </cell>
          <cell r="AA729" t="str">
            <v/>
          </cell>
          <cell r="AB729">
            <v>91</v>
          </cell>
          <cell r="AC729">
            <v>2</v>
          </cell>
          <cell r="AD729" t="str">
            <v>TIDAK</v>
          </cell>
          <cell r="AE729" t="str">
            <v>TIDAK</v>
          </cell>
          <cell r="AF729">
            <v>91</v>
          </cell>
          <cell r="AG729">
            <v>2</v>
          </cell>
          <cell r="AH729" t="str">
            <v>SAPHIRE</v>
          </cell>
          <cell r="AI729">
            <v>0</v>
          </cell>
          <cell r="AJ729" t="str">
            <v>Y</v>
          </cell>
          <cell r="AK729">
            <v>0</v>
          </cell>
          <cell r="AL729">
            <v>45261</v>
          </cell>
          <cell r="AM729">
            <v>45701</v>
          </cell>
          <cell r="AN729">
            <v>1</v>
          </cell>
          <cell r="AO729">
            <v>91</v>
          </cell>
          <cell r="AP729" t="str">
            <v>-</v>
          </cell>
          <cell r="AQ729" t="str">
            <v>-</v>
          </cell>
          <cell r="AR729" t="str">
            <v>-</v>
          </cell>
          <cell r="AS729" t="str">
            <v>-</v>
          </cell>
          <cell r="AT729" t="str">
            <v>-</v>
          </cell>
          <cell r="AU729" t="str">
            <v>-</v>
          </cell>
          <cell r="AV729" t="str">
            <v/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 t="str">
            <v/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 t="str">
            <v/>
          </cell>
          <cell r="BN729">
            <v>0</v>
          </cell>
          <cell r="BO729" t="str">
            <v/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 t="str">
            <v/>
          </cell>
          <cell r="BV729">
            <v>0</v>
          </cell>
          <cell r="BW729">
            <v>7</v>
          </cell>
          <cell r="BX729" t="str">
            <v>DOWNGRADE</v>
          </cell>
          <cell r="BY729" t="str">
            <v>RESET</v>
          </cell>
        </row>
        <row r="730">
          <cell r="A730" t="str">
            <v>A1748</v>
          </cell>
          <cell r="B730" t="str">
            <v>Aldi Prayoga</v>
          </cell>
          <cell r="C730" t="str">
            <v>TEMA C2</v>
          </cell>
          <cell r="D730">
            <v>45246</v>
          </cell>
          <cell r="E730" t="str">
            <v>Nov-23</v>
          </cell>
          <cell r="F730" t="str">
            <v>REGULER</v>
          </cell>
          <cell r="G730" t="str">
            <v>REGULER</v>
          </cell>
          <cell r="H730" t="str">
            <v>-</v>
          </cell>
          <cell r="I730" t="str">
            <v>-</v>
          </cell>
          <cell r="J730" t="str">
            <v>-</v>
          </cell>
          <cell r="K730" t="str">
            <v>-</v>
          </cell>
          <cell r="L730" t="str">
            <v>-</v>
          </cell>
          <cell r="M730">
            <v>8</v>
          </cell>
          <cell r="N730">
            <v>21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/>
          </cell>
          <cell r="T730">
            <v>29</v>
          </cell>
          <cell r="U730">
            <v>8</v>
          </cell>
          <cell r="V730">
            <v>21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 t="str">
            <v/>
          </cell>
          <cell r="AB730">
            <v>29</v>
          </cell>
          <cell r="AC730">
            <v>5</v>
          </cell>
          <cell r="AD730" t="str">
            <v>DOWNGRADE</v>
          </cell>
          <cell r="AE730" t="str">
            <v>RESET</v>
          </cell>
          <cell r="AF730">
            <v>0</v>
          </cell>
          <cell r="AG730">
            <v>3</v>
          </cell>
          <cell r="AH730" t="str">
            <v>SAPHIRE</v>
          </cell>
          <cell r="AI730">
            <v>0</v>
          </cell>
          <cell r="AJ730" t="str">
            <v>FALSE</v>
          </cell>
          <cell r="AK730">
            <v>0</v>
          </cell>
          <cell r="AL730">
            <v>45261</v>
          </cell>
          <cell r="AM730">
            <v>45701</v>
          </cell>
          <cell r="AN730">
            <v>1</v>
          </cell>
          <cell r="AO730">
            <v>0</v>
          </cell>
          <cell r="AP730" t="str">
            <v>-</v>
          </cell>
          <cell r="AQ730" t="str">
            <v>-</v>
          </cell>
          <cell r="AR730" t="str">
            <v>-</v>
          </cell>
          <cell r="AS730" t="str">
            <v>-</v>
          </cell>
          <cell r="AT730" t="str">
            <v>-</v>
          </cell>
          <cell r="AU730" t="str">
            <v>-</v>
          </cell>
          <cell r="AV730" t="str">
            <v/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 t="str">
            <v/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 t="str">
            <v/>
          </cell>
          <cell r="BN730">
            <v>0</v>
          </cell>
          <cell r="BO730" t="str">
            <v/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 t="str">
            <v/>
          </cell>
          <cell r="BV730">
            <v>0</v>
          </cell>
          <cell r="BW730">
            <v>7</v>
          </cell>
          <cell r="BX730" t="str">
            <v>DOWNGRADE</v>
          </cell>
          <cell r="BY730" t="str">
            <v>RESET</v>
          </cell>
        </row>
        <row r="731">
          <cell r="A731" t="str">
            <v>A2729</v>
          </cell>
          <cell r="B731" t="str">
            <v>Alessio Inzaghi W</v>
          </cell>
          <cell r="C731" t="str">
            <v>TEMA C2</v>
          </cell>
          <cell r="D731">
            <v>45162</v>
          </cell>
          <cell r="E731" t="str">
            <v>Aug-23</v>
          </cell>
          <cell r="F731" t="str">
            <v>REGULER</v>
          </cell>
          <cell r="G731" t="str">
            <v>REGULER</v>
          </cell>
          <cell r="H731" t="str">
            <v>REGULER</v>
          </cell>
          <cell r="I731" t="str">
            <v>REGULER</v>
          </cell>
          <cell r="J731" t="str">
            <v>REGULER</v>
          </cell>
          <cell r="K731" t="str">
            <v>-</v>
          </cell>
          <cell r="L731" t="str">
            <v>-</v>
          </cell>
          <cell r="M731">
            <v>19</v>
          </cell>
          <cell r="N731">
            <v>28</v>
          </cell>
          <cell r="O731">
            <v>11</v>
          </cell>
          <cell r="P731">
            <v>2</v>
          </cell>
          <cell r="Q731">
            <v>8</v>
          </cell>
          <cell r="R731">
            <v>0</v>
          </cell>
          <cell r="S731" t="str">
            <v/>
          </cell>
          <cell r="T731">
            <v>68</v>
          </cell>
          <cell r="U731">
            <v>19</v>
          </cell>
          <cell r="V731">
            <v>28</v>
          </cell>
          <cell r="W731">
            <v>11</v>
          </cell>
          <cell r="X731">
            <v>2</v>
          </cell>
          <cell r="Y731">
            <v>8</v>
          </cell>
          <cell r="Z731">
            <v>0</v>
          </cell>
          <cell r="AA731" t="str">
            <v/>
          </cell>
          <cell r="AB731">
            <v>68</v>
          </cell>
          <cell r="AC731">
            <v>2</v>
          </cell>
          <cell r="AD731" t="str">
            <v>TIDAK</v>
          </cell>
          <cell r="AE731" t="str">
            <v>TIDAK</v>
          </cell>
          <cell r="AF731">
            <v>68</v>
          </cell>
          <cell r="AG731">
            <v>2</v>
          </cell>
          <cell r="AH731" t="str">
            <v>SAPHIRE</v>
          </cell>
          <cell r="AI731">
            <v>0</v>
          </cell>
          <cell r="AJ731" t="str">
            <v>Y</v>
          </cell>
          <cell r="AK731">
            <v>0</v>
          </cell>
          <cell r="AL731">
            <v>45261</v>
          </cell>
          <cell r="AM731">
            <v>45701</v>
          </cell>
          <cell r="AN731">
            <v>1</v>
          </cell>
          <cell r="AO731">
            <v>68</v>
          </cell>
          <cell r="AP731" t="str">
            <v>-</v>
          </cell>
          <cell r="AQ731" t="str">
            <v>-</v>
          </cell>
          <cell r="AR731" t="str">
            <v>-</v>
          </cell>
          <cell r="AS731" t="str">
            <v>-</v>
          </cell>
          <cell r="AT731" t="str">
            <v>-</v>
          </cell>
          <cell r="AU731" t="str">
            <v>-</v>
          </cell>
          <cell r="AV731" t="str">
            <v/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 t="str">
            <v/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 t="str">
            <v/>
          </cell>
          <cell r="BN731">
            <v>0</v>
          </cell>
          <cell r="BO731" t="str">
            <v/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 t="str">
            <v/>
          </cell>
          <cell r="BV731">
            <v>0</v>
          </cell>
          <cell r="BW731">
            <v>7</v>
          </cell>
          <cell r="BX731" t="str">
            <v>DOWNGRADE</v>
          </cell>
          <cell r="BY731" t="str">
            <v>RESET</v>
          </cell>
        </row>
        <row r="732">
          <cell r="A732" t="str">
            <v>A3514</v>
          </cell>
          <cell r="B732" t="str">
            <v>Alexsandre Dede</v>
          </cell>
          <cell r="C732" t="str">
            <v>TEMA C2</v>
          </cell>
          <cell r="D732">
            <v>45262</v>
          </cell>
          <cell r="E732" t="str">
            <v>Dec-23</v>
          </cell>
          <cell r="F732" t="str">
            <v>REGULER</v>
          </cell>
          <cell r="G732" t="str">
            <v>REGULER</v>
          </cell>
          <cell r="H732" t="str">
            <v>REGULER</v>
          </cell>
          <cell r="I732" t="str">
            <v>REGULER</v>
          </cell>
          <cell r="J732" t="str">
            <v>REGULER</v>
          </cell>
          <cell r="K732" t="str">
            <v>REGULER</v>
          </cell>
          <cell r="L732" t="str">
            <v>REGULER</v>
          </cell>
          <cell r="M732">
            <v>2</v>
          </cell>
          <cell r="N732">
            <v>26</v>
          </cell>
          <cell r="O732">
            <v>33</v>
          </cell>
          <cell r="P732">
            <v>34</v>
          </cell>
          <cell r="Q732">
            <v>36</v>
          </cell>
          <cell r="R732">
            <v>34</v>
          </cell>
          <cell r="S732">
            <v>20</v>
          </cell>
          <cell r="T732">
            <v>185</v>
          </cell>
          <cell r="U732">
            <v>2</v>
          </cell>
          <cell r="V732">
            <v>26</v>
          </cell>
          <cell r="W732">
            <v>33</v>
          </cell>
          <cell r="X732">
            <v>34</v>
          </cell>
          <cell r="Y732">
            <v>36</v>
          </cell>
          <cell r="Z732">
            <v>34</v>
          </cell>
          <cell r="AA732">
            <v>20</v>
          </cell>
          <cell r="AB732">
            <v>185</v>
          </cell>
          <cell r="AC732">
            <v>0</v>
          </cell>
          <cell r="AD732" t="str">
            <v>TIDAK</v>
          </cell>
          <cell r="AE732" t="str">
            <v>TIDAK</v>
          </cell>
          <cell r="AF732">
            <v>185</v>
          </cell>
          <cell r="AG732">
            <v>4</v>
          </cell>
          <cell r="AH732" t="str">
            <v>SAPHIRE</v>
          </cell>
          <cell r="AI732">
            <v>0</v>
          </cell>
          <cell r="AJ732" t="str">
            <v>Y</v>
          </cell>
          <cell r="AK732">
            <v>0</v>
          </cell>
          <cell r="AL732">
            <v>45261</v>
          </cell>
          <cell r="AM732">
            <v>45701</v>
          </cell>
          <cell r="AN732">
            <v>1</v>
          </cell>
          <cell r="AO732">
            <v>185</v>
          </cell>
          <cell r="AP732" t="str">
            <v>-</v>
          </cell>
          <cell r="AQ732" t="str">
            <v>-</v>
          </cell>
          <cell r="AR732" t="str">
            <v>REGULER</v>
          </cell>
          <cell r="AS732" t="str">
            <v>REGULER</v>
          </cell>
          <cell r="AT732" t="str">
            <v>REGULER</v>
          </cell>
          <cell r="AU732" t="str">
            <v>REGULER</v>
          </cell>
          <cell r="AV732" t="str">
            <v/>
          </cell>
          <cell r="AW732">
            <v>41</v>
          </cell>
          <cell r="AX732">
            <v>38</v>
          </cell>
          <cell r="AY732">
            <v>39</v>
          </cell>
          <cell r="AZ732">
            <v>37</v>
          </cell>
          <cell r="BA732">
            <v>37</v>
          </cell>
          <cell r="BB732">
            <v>41</v>
          </cell>
          <cell r="BC732">
            <v>38</v>
          </cell>
          <cell r="BD732">
            <v>39</v>
          </cell>
          <cell r="BE732">
            <v>37</v>
          </cell>
          <cell r="BF732">
            <v>37</v>
          </cell>
          <cell r="BG732">
            <v>19</v>
          </cell>
          <cell r="BH732">
            <v>41</v>
          </cell>
          <cell r="BI732">
            <v>38</v>
          </cell>
          <cell r="BJ732">
            <v>39</v>
          </cell>
          <cell r="BK732">
            <v>37</v>
          </cell>
          <cell r="BL732">
            <v>37</v>
          </cell>
          <cell r="BM732">
            <v>15</v>
          </cell>
          <cell r="BN732">
            <v>226</v>
          </cell>
          <cell r="BO732">
            <v>19</v>
          </cell>
          <cell r="BP732">
            <v>41</v>
          </cell>
          <cell r="BQ732">
            <v>38</v>
          </cell>
          <cell r="BR732">
            <v>39</v>
          </cell>
          <cell r="BS732">
            <v>37</v>
          </cell>
          <cell r="BT732">
            <v>37</v>
          </cell>
          <cell r="BU732">
            <v>15</v>
          </cell>
          <cell r="BV732">
            <v>226</v>
          </cell>
          <cell r="BW732">
            <v>0</v>
          </cell>
          <cell r="BX732" t="str">
            <v>TIDAK</v>
          </cell>
          <cell r="BY732" t="str">
            <v>TIDAK</v>
          </cell>
        </row>
        <row r="733">
          <cell r="A733" t="str">
            <v>A2899</v>
          </cell>
          <cell r="B733" t="str">
            <v>Alfath Rainey</v>
          </cell>
          <cell r="C733" t="str">
            <v>TEMA C2</v>
          </cell>
          <cell r="D733">
            <v>45187</v>
          </cell>
          <cell r="E733" t="str">
            <v>Sep-23</v>
          </cell>
          <cell r="F733" t="str">
            <v>REGULER</v>
          </cell>
          <cell r="G733" t="str">
            <v>REGULER</v>
          </cell>
          <cell r="H733" t="str">
            <v>REGULER</v>
          </cell>
          <cell r="I733" t="str">
            <v>REGULER</v>
          </cell>
          <cell r="J733" t="str">
            <v>REGULER</v>
          </cell>
          <cell r="K733" t="str">
            <v>REGULER</v>
          </cell>
          <cell r="L733" t="str">
            <v>REGULER</v>
          </cell>
          <cell r="M733">
            <v>18</v>
          </cell>
          <cell r="N733">
            <v>34</v>
          </cell>
          <cell r="O733">
            <v>37</v>
          </cell>
          <cell r="P733">
            <v>31</v>
          </cell>
          <cell r="Q733">
            <v>15</v>
          </cell>
          <cell r="R733">
            <v>33</v>
          </cell>
          <cell r="S733">
            <v>10</v>
          </cell>
          <cell r="T733">
            <v>178</v>
          </cell>
          <cell r="U733">
            <v>18</v>
          </cell>
          <cell r="V733">
            <v>34</v>
          </cell>
          <cell r="W733">
            <v>37</v>
          </cell>
          <cell r="X733">
            <v>31</v>
          </cell>
          <cell r="Y733">
            <v>15</v>
          </cell>
          <cell r="Z733">
            <v>33</v>
          </cell>
          <cell r="AA733">
            <v>10</v>
          </cell>
          <cell r="AB733">
            <v>178</v>
          </cell>
          <cell r="AC733">
            <v>0</v>
          </cell>
          <cell r="AD733" t="str">
            <v>TIDAK</v>
          </cell>
          <cell r="AE733" t="str">
            <v>TIDAK</v>
          </cell>
          <cell r="AF733">
            <v>178</v>
          </cell>
          <cell r="AG733">
            <v>2</v>
          </cell>
          <cell r="AH733" t="str">
            <v>SAPHIRE</v>
          </cell>
          <cell r="AI733">
            <v>0</v>
          </cell>
          <cell r="AJ733" t="str">
            <v>Y</v>
          </cell>
          <cell r="AK733">
            <v>0</v>
          </cell>
          <cell r="AL733">
            <v>45261</v>
          </cell>
          <cell r="AM733">
            <v>45701</v>
          </cell>
          <cell r="AN733">
            <v>1</v>
          </cell>
          <cell r="AO733">
            <v>178</v>
          </cell>
          <cell r="AP733" t="str">
            <v>-</v>
          </cell>
          <cell r="AQ733" t="str">
            <v>-</v>
          </cell>
          <cell r="AR733" t="str">
            <v>REGULER</v>
          </cell>
          <cell r="AS733" t="str">
            <v>REGULER</v>
          </cell>
          <cell r="AT733" t="str">
            <v>REGULER</v>
          </cell>
          <cell r="AU733" t="str">
            <v>REGULER</v>
          </cell>
          <cell r="AV733" t="str">
            <v/>
          </cell>
          <cell r="AW733">
            <v>23</v>
          </cell>
          <cell r="AX733">
            <v>24</v>
          </cell>
          <cell r="AY733">
            <v>1</v>
          </cell>
          <cell r="AZ733">
            <v>5</v>
          </cell>
          <cell r="BA733">
            <v>5</v>
          </cell>
          <cell r="BB733">
            <v>23</v>
          </cell>
          <cell r="BC733">
            <v>24</v>
          </cell>
          <cell r="BD733">
            <v>1</v>
          </cell>
          <cell r="BE733">
            <v>5</v>
          </cell>
          <cell r="BF733">
            <v>5</v>
          </cell>
          <cell r="BG733">
            <v>8</v>
          </cell>
          <cell r="BH733">
            <v>23</v>
          </cell>
          <cell r="BI733">
            <v>24</v>
          </cell>
          <cell r="BJ733">
            <v>1</v>
          </cell>
          <cell r="BK733">
            <v>5</v>
          </cell>
          <cell r="BL733">
            <v>5</v>
          </cell>
          <cell r="BM733" t="str">
            <v/>
          </cell>
          <cell r="BN733">
            <v>66</v>
          </cell>
          <cell r="BO733">
            <v>8</v>
          </cell>
          <cell r="BP733">
            <v>23</v>
          </cell>
          <cell r="BQ733">
            <v>24</v>
          </cell>
          <cell r="BR733">
            <v>1</v>
          </cell>
          <cell r="BS733">
            <v>5</v>
          </cell>
          <cell r="BT733">
            <v>5</v>
          </cell>
          <cell r="BU733" t="str">
            <v/>
          </cell>
          <cell r="BV733">
            <v>66</v>
          </cell>
          <cell r="BW733">
            <v>1</v>
          </cell>
          <cell r="BX733" t="str">
            <v>TIDAK</v>
          </cell>
          <cell r="BY733" t="str">
            <v>TIDAK</v>
          </cell>
        </row>
        <row r="734">
          <cell r="A734" t="str">
            <v>A0407</v>
          </cell>
          <cell r="B734" t="str">
            <v>Alfiana Isnaini</v>
          </cell>
          <cell r="C734" t="str">
            <v>TEMA C2</v>
          </cell>
          <cell r="D734">
            <v>45311</v>
          </cell>
          <cell r="E734" t="str">
            <v>Jan-24</v>
          </cell>
          <cell r="F734" t="str">
            <v>-</v>
          </cell>
          <cell r="G734" t="str">
            <v>REGULER</v>
          </cell>
          <cell r="H734" t="str">
            <v>REGULER</v>
          </cell>
          <cell r="I734" t="str">
            <v>-</v>
          </cell>
          <cell r="J734" t="str">
            <v>-</v>
          </cell>
          <cell r="K734" t="str">
            <v>-</v>
          </cell>
          <cell r="L734" t="str">
            <v>-</v>
          </cell>
          <cell r="M734">
            <v>0</v>
          </cell>
          <cell r="N734">
            <v>4</v>
          </cell>
          <cell r="O734">
            <v>2</v>
          </cell>
          <cell r="P734">
            <v>0</v>
          </cell>
          <cell r="Q734">
            <v>0</v>
          </cell>
          <cell r="R734">
            <v>0</v>
          </cell>
          <cell r="S734" t="str">
            <v/>
          </cell>
          <cell r="T734">
            <v>6</v>
          </cell>
          <cell r="U734">
            <v>0</v>
          </cell>
          <cell r="V734">
            <v>4</v>
          </cell>
          <cell r="W734">
            <v>2</v>
          </cell>
          <cell r="X734">
            <v>0</v>
          </cell>
          <cell r="Y734">
            <v>0</v>
          </cell>
          <cell r="Z734">
            <v>0</v>
          </cell>
          <cell r="AA734" t="str">
            <v/>
          </cell>
          <cell r="AB734">
            <v>6</v>
          </cell>
          <cell r="AC734">
            <v>4</v>
          </cell>
          <cell r="AD734" t="str">
            <v>DOWNGRADE</v>
          </cell>
          <cell r="AE734" t="str">
            <v>RESET</v>
          </cell>
          <cell r="AF734">
            <v>0</v>
          </cell>
          <cell r="AG734">
            <v>1</v>
          </cell>
          <cell r="AH734" t="str">
            <v>SAPHIRE</v>
          </cell>
          <cell r="AI734">
            <v>0</v>
          </cell>
          <cell r="AJ734" t="str">
            <v>FALSE</v>
          </cell>
          <cell r="AK734">
            <v>0</v>
          </cell>
          <cell r="AL734">
            <v>45261</v>
          </cell>
          <cell r="AM734">
            <v>45701</v>
          </cell>
          <cell r="AN734">
            <v>1</v>
          </cell>
          <cell r="AO734">
            <v>0</v>
          </cell>
          <cell r="AP734" t="str">
            <v>-</v>
          </cell>
          <cell r="AQ734" t="str">
            <v>-</v>
          </cell>
          <cell r="AR734" t="str">
            <v>-</v>
          </cell>
          <cell r="AS734" t="str">
            <v>-</v>
          </cell>
          <cell r="AT734" t="str">
            <v>-</v>
          </cell>
          <cell r="AU734" t="str">
            <v>-</v>
          </cell>
          <cell r="AV734" t="str">
            <v/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 t="str">
            <v/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 t="str">
            <v/>
          </cell>
          <cell r="BN734">
            <v>0</v>
          </cell>
          <cell r="BO734" t="str">
            <v/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 t="str">
            <v/>
          </cell>
          <cell r="BV734">
            <v>0</v>
          </cell>
          <cell r="BW734">
            <v>7</v>
          </cell>
          <cell r="BX734" t="str">
            <v>DOWNGRADE</v>
          </cell>
          <cell r="BY734" t="str">
            <v>RESET</v>
          </cell>
        </row>
        <row r="735">
          <cell r="A735" t="str">
            <v>A2211</v>
          </cell>
          <cell r="B735" t="str">
            <v>ALFONSUS GASO</v>
          </cell>
          <cell r="C735" t="str">
            <v>TEMA C2</v>
          </cell>
          <cell r="D735">
            <v>45442</v>
          </cell>
          <cell r="E735" t="str">
            <v>May-24</v>
          </cell>
          <cell r="F735" t="str">
            <v>-</v>
          </cell>
          <cell r="G735" t="str">
            <v>-</v>
          </cell>
          <cell r="H735" t="str">
            <v>-</v>
          </cell>
          <cell r="I735" t="str">
            <v>-</v>
          </cell>
          <cell r="J735" t="str">
            <v>-</v>
          </cell>
          <cell r="K735" t="str">
            <v>REGULER</v>
          </cell>
          <cell r="L735" t="str">
            <v>REGULER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4</v>
          </cell>
          <cell r="S735">
            <v>22</v>
          </cell>
          <cell r="T735">
            <v>26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4</v>
          </cell>
          <cell r="AA735">
            <v>22</v>
          </cell>
          <cell r="AB735">
            <v>26</v>
          </cell>
          <cell r="AC735">
            <v>0</v>
          </cell>
          <cell r="AD735" t="str">
            <v>TIDAK</v>
          </cell>
          <cell r="AE735" t="str">
            <v>TIDAK</v>
          </cell>
          <cell r="AF735">
            <v>26</v>
          </cell>
          <cell r="AG735">
            <v>1</v>
          </cell>
          <cell r="AH735" t="str">
            <v>SAPHIRE</v>
          </cell>
          <cell r="AI735">
            <v>0</v>
          </cell>
          <cell r="AJ735" t="str">
            <v>FALSE</v>
          </cell>
          <cell r="AK735">
            <v>0</v>
          </cell>
          <cell r="AL735">
            <v>45261</v>
          </cell>
          <cell r="AM735">
            <v>45701</v>
          </cell>
          <cell r="AN735">
            <v>1</v>
          </cell>
          <cell r="AO735">
            <v>26</v>
          </cell>
          <cell r="AP735" t="str">
            <v>-</v>
          </cell>
          <cell r="AQ735" t="str">
            <v>-</v>
          </cell>
          <cell r="AR735" t="str">
            <v>REGULER</v>
          </cell>
          <cell r="AS735" t="str">
            <v>REGULER</v>
          </cell>
          <cell r="AT735" t="str">
            <v>-</v>
          </cell>
          <cell r="AU735" t="str">
            <v>-</v>
          </cell>
          <cell r="AV735" t="str">
            <v/>
          </cell>
          <cell r="AW735">
            <v>39</v>
          </cell>
          <cell r="AX735">
            <v>47</v>
          </cell>
          <cell r="AY735">
            <v>21</v>
          </cell>
          <cell r="AZ735">
            <v>0</v>
          </cell>
          <cell r="BA735">
            <v>0</v>
          </cell>
          <cell r="BB735">
            <v>39</v>
          </cell>
          <cell r="BC735">
            <v>47</v>
          </cell>
          <cell r="BD735">
            <v>21</v>
          </cell>
          <cell r="BE735">
            <v>0</v>
          </cell>
          <cell r="BF735">
            <v>0</v>
          </cell>
          <cell r="BG735">
            <v>20</v>
          </cell>
          <cell r="BH735">
            <v>39</v>
          </cell>
          <cell r="BI735">
            <v>47</v>
          </cell>
          <cell r="BJ735">
            <v>21</v>
          </cell>
          <cell r="BK735">
            <v>0</v>
          </cell>
          <cell r="BL735">
            <v>0</v>
          </cell>
          <cell r="BM735" t="str">
            <v/>
          </cell>
          <cell r="BN735">
            <v>127</v>
          </cell>
          <cell r="BO735">
            <v>20</v>
          </cell>
          <cell r="BP735">
            <v>39</v>
          </cell>
          <cell r="BQ735">
            <v>47</v>
          </cell>
          <cell r="BR735">
            <v>21</v>
          </cell>
          <cell r="BS735">
            <v>0</v>
          </cell>
          <cell r="BT735">
            <v>0</v>
          </cell>
          <cell r="BU735" t="str">
            <v/>
          </cell>
          <cell r="BV735">
            <v>127</v>
          </cell>
          <cell r="BW735">
            <v>3</v>
          </cell>
          <cell r="BX735" t="str">
            <v>DOWNGRADE</v>
          </cell>
          <cell r="BY735" t="str">
            <v>RESET</v>
          </cell>
        </row>
        <row r="736">
          <cell r="A736" t="str">
            <v>A0499</v>
          </cell>
          <cell r="B736" t="str">
            <v>Alindi Candra Dewi</v>
          </cell>
          <cell r="C736" t="str">
            <v>TEMA C2</v>
          </cell>
          <cell r="D736">
            <v>44865</v>
          </cell>
          <cell r="E736" t="str">
            <v>Oct-22</v>
          </cell>
          <cell r="F736" t="str">
            <v>EKSKLUSIF</v>
          </cell>
          <cell r="G736" t="str">
            <v>REGULER</v>
          </cell>
          <cell r="H736" t="str">
            <v>-</v>
          </cell>
          <cell r="I736" t="str">
            <v>-</v>
          </cell>
          <cell r="J736" t="str">
            <v>-</v>
          </cell>
          <cell r="K736" t="str">
            <v>-</v>
          </cell>
          <cell r="L736" t="str">
            <v>-</v>
          </cell>
          <cell r="M736">
            <v>20</v>
          </cell>
          <cell r="N736">
            <v>32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 t="str">
            <v/>
          </cell>
          <cell r="T736">
            <v>52</v>
          </cell>
          <cell r="U736">
            <v>0</v>
          </cell>
          <cell r="V736">
            <v>32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 t="str">
            <v/>
          </cell>
          <cell r="AB736">
            <v>32</v>
          </cell>
          <cell r="AC736">
            <v>5</v>
          </cell>
          <cell r="AD736" t="str">
            <v>DOWNGRADE</v>
          </cell>
          <cell r="AE736" t="str">
            <v>RESET</v>
          </cell>
          <cell r="AF736">
            <v>0</v>
          </cell>
          <cell r="AG736">
            <v>2</v>
          </cell>
          <cell r="AH736" t="str">
            <v>SAPHIRE</v>
          </cell>
          <cell r="AI736">
            <v>0</v>
          </cell>
          <cell r="AJ736" t="str">
            <v>FALSE</v>
          </cell>
          <cell r="AK736">
            <v>0</v>
          </cell>
          <cell r="AL736">
            <v>45261</v>
          </cell>
          <cell r="AM736">
            <v>45701</v>
          </cell>
          <cell r="AN736">
            <v>1</v>
          </cell>
          <cell r="AO736">
            <v>0</v>
          </cell>
          <cell r="AP736" t="str">
            <v>-</v>
          </cell>
          <cell r="AQ736" t="str">
            <v>-</v>
          </cell>
          <cell r="AR736" t="str">
            <v>-</v>
          </cell>
          <cell r="AS736" t="str">
            <v>-</v>
          </cell>
          <cell r="AT736" t="str">
            <v>-</v>
          </cell>
          <cell r="AU736" t="str">
            <v>-</v>
          </cell>
          <cell r="AV736" t="str">
            <v/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 t="str">
            <v/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 t="str">
            <v/>
          </cell>
          <cell r="BN736">
            <v>0</v>
          </cell>
          <cell r="BO736" t="str">
            <v/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 t="str">
            <v/>
          </cell>
          <cell r="BV736">
            <v>0</v>
          </cell>
          <cell r="BW736">
            <v>7</v>
          </cell>
          <cell r="BX736" t="str">
            <v>DOWNGRADE</v>
          </cell>
          <cell r="BY736" t="str">
            <v>RESET</v>
          </cell>
        </row>
        <row r="737">
          <cell r="A737" t="str">
            <v>A2026</v>
          </cell>
          <cell r="B737" t="str">
            <v>Almay Caesari Ismiaji</v>
          </cell>
          <cell r="C737" t="str">
            <v>TEMA C2</v>
          </cell>
          <cell r="D737">
            <v>45033</v>
          </cell>
          <cell r="E737" t="str">
            <v>Apr-23</v>
          </cell>
          <cell r="F737" t="str">
            <v>REGULER</v>
          </cell>
          <cell r="G737" t="str">
            <v>REGULER</v>
          </cell>
          <cell r="H737" t="str">
            <v>REGULER</v>
          </cell>
          <cell r="I737" t="str">
            <v>REGULER</v>
          </cell>
          <cell r="J737" t="str">
            <v>REGULER</v>
          </cell>
          <cell r="K737" t="str">
            <v>EKSKLUSIF</v>
          </cell>
          <cell r="L737" t="str">
            <v>EKSKLUSIF</v>
          </cell>
          <cell r="M737">
            <v>19</v>
          </cell>
          <cell r="N737">
            <v>42</v>
          </cell>
          <cell r="O737">
            <v>37</v>
          </cell>
          <cell r="P737">
            <v>40</v>
          </cell>
          <cell r="Q737">
            <v>32</v>
          </cell>
          <cell r="R737">
            <v>41</v>
          </cell>
          <cell r="S737">
            <v>20</v>
          </cell>
          <cell r="T737">
            <v>231</v>
          </cell>
          <cell r="U737">
            <v>19</v>
          </cell>
          <cell r="V737">
            <v>42</v>
          </cell>
          <cell r="W737">
            <v>37</v>
          </cell>
          <cell r="X737">
            <v>40</v>
          </cell>
          <cell r="Y737">
            <v>32</v>
          </cell>
          <cell r="Z737">
            <v>0</v>
          </cell>
          <cell r="AA737">
            <v>0</v>
          </cell>
          <cell r="AB737">
            <v>170</v>
          </cell>
          <cell r="AC737">
            <v>0</v>
          </cell>
          <cell r="AD737" t="str">
            <v>TIDAK</v>
          </cell>
          <cell r="AE737" t="str">
            <v>TIDAK</v>
          </cell>
          <cell r="AF737">
            <v>170</v>
          </cell>
          <cell r="AG737">
            <v>2</v>
          </cell>
          <cell r="AH737" t="str">
            <v>SAPHIRE</v>
          </cell>
          <cell r="AI737">
            <v>135</v>
          </cell>
          <cell r="AJ737" t="str">
            <v>Y</v>
          </cell>
          <cell r="AK737">
            <v>0</v>
          </cell>
          <cell r="AL737">
            <v>45261</v>
          </cell>
          <cell r="AM737">
            <v>45701</v>
          </cell>
          <cell r="AN737">
            <v>1</v>
          </cell>
          <cell r="AO737">
            <v>35</v>
          </cell>
          <cell r="AP737" t="str">
            <v>EKSKLUSIF</v>
          </cell>
          <cell r="AQ737" t="str">
            <v>-</v>
          </cell>
          <cell r="AR737" t="str">
            <v>REGULER</v>
          </cell>
          <cell r="AS737" t="str">
            <v>REGULER</v>
          </cell>
          <cell r="AT737" t="str">
            <v>REGULER</v>
          </cell>
          <cell r="AU737" t="str">
            <v>REGULER</v>
          </cell>
          <cell r="AV737" t="str">
            <v/>
          </cell>
          <cell r="AW737">
            <v>46</v>
          </cell>
          <cell r="AX737">
            <v>34</v>
          </cell>
          <cell r="AY737">
            <v>18</v>
          </cell>
          <cell r="AZ737">
            <v>4</v>
          </cell>
          <cell r="BA737">
            <v>7</v>
          </cell>
          <cell r="BB737">
            <v>46</v>
          </cell>
          <cell r="BC737">
            <v>34</v>
          </cell>
          <cell r="BD737">
            <v>18</v>
          </cell>
          <cell r="BE737">
            <v>4</v>
          </cell>
          <cell r="BF737">
            <v>7</v>
          </cell>
          <cell r="BG737">
            <v>19</v>
          </cell>
          <cell r="BH737">
            <v>46</v>
          </cell>
          <cell r="BI737">
            <v>34</v>
          </cell>
          <cell r="BJ737">
            <v>18</v>
          </cell>
          <cell r="BK737">
            <v>4</v>
          </cell>
          <cell r="BL737">
            <v>7</v>
          </cell>
          <cell r="BM737">
            <v>2</v>
          </cell>
          <cell r="BN737">
            <v>130</v>
          </cell>
          <cell r="BO737">
            <v>0</v>
          </cell>
          <cell r="BP737">
            <v>46</v>
          </cell>
          <cell r="BQ737">
            <v>34</v>
          </cell>
          <cell r="BR737">
            <v>18</v>
          </cell>
          <cell r="BS737">
            <v>4</v>
          </cell>
          <cell r="BT737">
            <v>7</v>
          </cell>
          <cell r="BU737">
            <v>2</v>
          </cell>
          <cell r="BV737">
            <v>111</v>
          </cell>
          <cell r="BW737">
            <v>0</v>
          </cell>
          <cell r="BX737" t="str">
            <v>TIDAK</v>
          </cell>
          <cell r="BY737" t="str">
            <v>TIDAK</v>
          </cell>
        </row>
        <row r="738">
          <cell r="A738">
            <v>90847</v>
          </cell>
          <cell r="B738" t="str">
            <v>Aloina Br Tarigan</v>
          </cell>
          <cell r="C738" t="str">
            <v>TEMA C2</v>
          </cell>
          <cell r="D738">
            <v>44501</v>
          </cell>
          <cell r="E738" t="str">
            <v>Nov-21</v>
          </cell>
          <cell r="F738" t="str">
            <v>EKSKLUSIF</v>
          </cell>
          <cell r="G738" t="str">
            <v>REGULER</v>
          </cell>
          <cell r="H738" t="str">
            <v>-</v>
          </cell>
          <cell r="I738" t="str">
            <v>-</v>
          </cell>
          <cell r="J738" t="str">
            <v>-</v>
          </cell>
          <cell r="K738" t="str">
            <v>-</v>
          </cell>
          <cell r="L738" t="str">
            <v>-</v>
          </cell>
          <cell r="M738">
            <v>17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 t="str">
            <v/>
          </cell>
          <cell r="T738">
            <v>17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 t="str">
            <v/>
          </cell>
          <cell r="AB738">
            <v>0</v>
          </cell>
          <cell r="AC738">
            <v>6</v>
          </cell>
          <cell r="AD738" t="str">
            <v>DOWNGRADE</v>
          </cell>
          <cell r="AE738" t="str">
            <v>RESET</v>
          </cell>
          <cell r="AF738">
            <v>0</v>
          </cell>
          <cell r="AG738">
            <v>2</v>
          </cell>
          <cell r="AH738" t="str">
            <v>SAPHIRE</v>
          </cell>
          <cell r="AI738">
            <v>0</v>
          </cell>
          <cell r="AJ738" t="str">
            <v>FALSE</v>
          </cell>
          <cell r="AK738">
            <v>0</v>
          </cell>
          <cell r="AL738">
            <v>45261</v>
          </cell>
          <cell r="AM738">
            <v>45701</v>
          </cell>
          <cell r="AN738">
            <v>1</v>
          </cell>
          <cell r="AO738">
            <v>0</v>
          </cell>
          <cell r="AP738" t="str">
            <v>-</v>
          </cell>
          <cell r="AQ738" t="str">
            <v>-</v>
          </cell>
          <cell r="AR738" t="str">
            <v>-</v>
          </cell>
          <cell r="AS738" t="str">
            <v>-</v>
          </cell>
          <cell r="AT738" t="str">
            <v>-</v>
          </cell>
          <cell r="AU738" t="str">
            <v>-</v>
          </cell>
          <cell r="AV738" t="str">
            <v/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 t="str">
            <v/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 t="str">
            <v/>
          </cell>
          <cell r="BN738">
            <v>0</v>
          </cell>
          <cell r="BO738" t="str">
            <v/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 t="str">
            <v/>
          </cell>
          <cell r="BV738">
            <v>0</v>
          </cell>
          <cell r="BW738">
            <v>7</v>
          </cell>
          <cell r="BX738" t="str">
            <v>DOWNGRADE</v>
          </cell>
          <cell r="BY738" t="str">
            <v>RESET</v>
          </cell>
        </row>
        <row r="739">
          <cell r="A739" t="str">
            <v>A4051</v>
          </cell>
          <cell r="B739" t="str">
            <v>ALVIANI TRESNA PUTRI UTAMI</v>
          </cell>
          <cell r="C739" t="str">
            <v>TEMA C2</v>
          </cell>
          <cell r="D739">
            <v>45437</v>
          </cell>
          <cell r="E739" t="str">
            <v>May-24</v>
          </cell>
          <cell r="F739" t="str">
            <v>-</v>
          </cell>
          <cell r="G739" t="str">
            <v>-</v>
          </cell>
          <cell r="H739" t="str">
            <v>-</v>
          </cell>
          <cell r="I739" t="str">
            <v>-</v>
          </cell>
          <cell r="J739" t="str">
            <v>-</v>
          </cell>
          <cell r="K739" t="str">
            <v>REGULER</v>
          </cell>
          <cell r="L739" t="str">
            <v>REGULER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11</v>
          </cell>
          <cell r="S739">
            <v>19</v>
          </cell>
          <cell r="T739">
            <v>30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11</v>
          </cell>
          <cell r="AA739">
            <v>19</v>
          </cell>
          <cell r="AB739">
            <v>30</v>
          </cell>
          <cell r="AC739">
            <v>0</v>
          </cell>
          <cell r="AD739" t="str">
            <v>TIDAK</v>
          </cell>
          <cell r="AE739" t="str">
            <v>TIDAK</v>
          </cell>
          <cell r="AF739">
            <v>30</v>
          </cell>
          <cell r="AG739">
            <v>1</v>
          </cell>
          <cell r="AH739" t="str">
            <v>SAPHIRE</v>
          </cell>
          <cell r="AI739">
            <v>0</v>
          </cell>
          <cell r="AJ739" t="str">
            <v>FALSE</v>
          </cell>
          <cell r="AK739">
            <v>0</v>
          </cell>
          <cell r="AL739">
            <v>45261</v>
          </cell>
          <cell r="AM739">
            <v>45701</v>
          </cell>
          <cell r="AN739">
            <v>1</v>
          </cell>
          <cell r="AO739">
            <v>30</v>
          </cell>
          <cell r="AP739" t="str">
            <v>-</v>
          </cell>
          <cell r="AQ739" t="str">
            <v>-</v>
          </cell>
          <cell r="AR739" t="str">
            <v>REGULER</v>
          </cell>
          <cell r="AS739" t="str">
            <v>REGULER</v>
          </cell>
          <cell r="AT739" t="str">
            <v>-</v>
          </cell>
          <cell r="AU739" t="str">
            <v>-</v>
          </cell>
          <cell r="AV739" t="str">
            <v/>
          </cell>
          <cell r="AW739">
            <v>36</v>
          </cell>
          <cell r="AX739">
            <v>31</v>
          </cell>
          <cell r="AY739">
            <v>20</v>
          </cell>
          <cell r="AZ739">
            <v>0</v>
          </cell>
          <cell r="BA739">
            <v>0</v>
          </cell>
          <cell r="BB739">
            <v>36</v>
          </cell>
          <cell r="BC739">
            <v>31</v>
          </cell>
          <cell r="BD739">
            <v>20</v>
          </cell>
          <cell r="BE739">
            <v>0</v>
          </cell>
          <cell r="BF739">
            <v>0</v>
          </cell>
          <cell r="BG739">
            <v>13</v>
          </cell>
          <cell r="BH739">
            <v>36</v>
          </cell>
          <cell r="BI739">
            <v>31</v>
          </cell>
          <cell r="BJ739">
            <v>20</v>
          </cell>
          <cell r="BK739">
            <v>0</v>
          </cell>
          <cell r="BL739">
            <v>0</v>
          </cell>
          <cell r="BM739" t="str">
            <v/>
          </cell>
          <cell r="BN739">
            <v>100</v>
          </cell>
          <cell r="BO739">
            <v>13</v>
          </cell>
          <cell r="BP739">
            <v>36</v>
          </cell>
          <cell r="BQ739">
            <v>31</v>
          </cell>
          <cell r="BR739">
            <v>20</v>
          </cell>
          <cell r="BS739">
            <v>0</v>
          </cell>
          <cell r="BT739">
            <v>0</v>
          </cell>
          <cell r="BU739" t="str">
            <v/>
          </cell>
          <cell r="BV739">
            <v>100</v>
          </cell>
          <cell r="BW739">
            <v>3</v>
          </cell>
          <cell r="BX739" t="str">
            <v>DOWNGRADE</v>
          </cell>
          <cell r="BY739" t="str">
            <v>RESET</v>
          </cell>
        </row>
        <row r="740">
          <cell r="A740" t="str">
            <v>A2730</v>
          </cell>
          <cell r="B740" t="str">
            <v>Amalia Wahyu Wulandari</v>
          </cell>
          <cell r="C740" t="str">
            <v>TEMA C2</v>
          </cell>
          <cell r="D740">
            <v>45154</v>
          </cell>
          <cell r="E740" t="str">
            <v>Aug-23</v>
          </cell>
          <cell r="F740" t="str">
            <v>REGULER</v>
          </cell>
          <cell r="G740" t="str">
            <v>REGULER</v>
          </cell>
          <cell r="H740" t="str">
            <v>REGULER</v>
          </cell>
          <cell r="I740" t="str">
            <v>REGULER</v>
          </cell>
          <cell r="J740" t="str">
            <v>REGULER</v>
          </cell>
          <cell r="K740" t="str">
            <v>-</v>
          </cell>
          <cell r="L740" t="str">
            <v>-</v>
          </cell>
          <cell r="M740">
            <v>3</v>
          </cell>
          <cell r="N740">
            <v>15</v>
          </cell>
          <cell r="O740">
            <v>11</v>
          </cell>
          <cell r="P740">
            <v>4</v>
          </cell>
          <cell r="Q740">
            <v>9</v>
          </cell>
          <cell r="R740">
            <v>0</v>
          </cell>
          <cell r="S740" t="str">
            <v/>
          </cell>
          <cell r="T740">
            <v>42</v>
          </cell>
          <cell r="U740">
            <v>3</v>
          </cell>
          <cell r="V740">
            <v>15</v>
          </cell>
          <cell r="W740">
            <v>11</v>
          </cell>
          <cell r="X740">
            <v>4</v>
          </cell>
          <cell r="Y740">
            <v>9</v>
          </cell>
          <cell r="Z740">
            <v>0</v>
          </cell>
          <cell r="AA740" t="str">
            <v/>
          </cell>
          <cell r="AB740">
            <v>42</v>
          </cell>
          <cell r="AC740">
            <v>2</v>
          </cell>
          <cell r="AD740" t="str">
            <v>TIDAK</v>
          </cell>
          <cell r="AE740" t="str">
            <v>TIDAK</v>
          </cell>
          <cell r="AF740">
            <v>42</v>
          </cell>
          <cell r="AG740">
            <v>1</v>
          </cell>
          <cell r="AH740" t="str">
            <v>SAPHIRE</v>
          </cell>
          <cell r="AI740">
            <v>0</v>
          </cell>
          <cell r="AJ740" t="str">
            <v>FALSE</v>
          </cell>
          <cell r="AK740">
            <v>0</v>
          </cell>
          <cell r="AL740">
            <v>45261</v>
          </cell>
          <cell r="AM740">
            <v>45701</v>
          </cell>
          <cell r="AN740">
            <v>1</v>
          </cell>
          <cell r="AO740">
            <v>42</v>
          </cell>
          <cell r="AP740" t="str">
            <v>-</v>
          </cell>
          <cell r="AQ740" t="str">
            <v>-</v>
          </cell>
          <cell r="AR740" t="str">
            <v>REGULER</v>
          </cell>
          <cell r="AS740" t="str">
            <v>-</v>
          </cell>
          <cell r="AT740" t="str">
            <v>-</v>
          </cell>
          <cell r="AU740" t="str">
            <v>-</v>
          </cell>
          <cell r="AV740" t="str">
            <v/>
          </cell>
          <cell r="AW740">
            <v>0</v>
          </cell>
          <cell r="AX740">
            <v>4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4</v>
          </cell>
          <cell r="BD740">
            <v>0</v>
          </cell>
          <cell r="BE740">
            <v>0</v>
          </cell>
          <cell r="BF740">
            <v>0</v>
          </cell>
          <cell r="BG740">
            <v>2</v>
          </cell>
          <cell r="BH740">
            <v>0</v>
          </cell>
          <cell r="BI740">
            <v>4</v>
          </cell>
          <cell r="BJ740">
            <v>0</v>
          </cell>
          <cell r="BK740">
            <v>0</v>
          </cell>
          <cell r="BL740">
            <v>0</v>
          </cell>
          <cell r="BM740" t="str">
            <v/>
          </cell>
          <cell r="BN740">
            <v>6</v>
          </cell>
          <cell r="BO740">
            <v>2</v>
          </cell>
          <cell r="BP740">
            <v>0</v>
          </cell>
          <cell r="BQ740">
            <v>4</v>
          </cell>
          <cell r="BR740">
            <v>0</v>
          </cell>
          <cell r="BS740">
            <v>0</v>
          </cell>
          <cell r="BT740">
            <v>0</v>
          </cell>
          <cell r="BU740" t="str">
            <v/>
          </cell>
          <cell r="BV740">
            <v>6</v>
          </cell>
          <cell r="BW740">
            <v>5</v>
          </cell>
          <cell r="BX740" t="str">
            <v>DOWNGRADE</v>
          </cell>
          <cell r="BY740" t="str">
            <v>RESET</v>
          </cell>
        </row>
        <row r="741">
          <cell r="A741" t="str">
            <v>A3207</v>
          </cell>
          <cell r="B741" t="str">
            <v>Amelia Tri C Naibaho</v>
          </cell>
          <cell r="C741" t="str">
            <v>TEMA C2</v>
          </cell>
          <cell r="D741">
            <v>45231</v>
          </cell>
          <cell r="E741" t="str">
            <v>Nov-23</v>
          </cell>
          <cell r="F741" t="str">
            <v>REGULER</v>
          </cell>
          <cell r="G741" t="str">
            <v>-</v>
          </cell>
          <cell r="H741" t="str">
            <v>REGULER</v>
          </cell>
          <cell r="I741" t="str">
            <v>REGULER</v>
          </cell>
          <cell r="J741" t="str">
            <v>REGULER</v>
          </cell>
          <cell r="K741" t="str">
            <v>REGULER</v>
          </cell>
          <cell r="L741" t="str">
            <v>REGULER</v>
          </cell>
          <cell r="M741">
            <v>0</v>
          </cell>
          <cell r="N741">
            <v>0</v>
          </cell>
          <cell r="O741">
            <v>29</v>
          </cell>
          <cell r="P741">
            <v>38</v>
          </cell>
          <cell r="Q741">
            <v>36</v>
          </cell>
          <cell r="R741">
            <v>28</v>
          </cell>
          <cell r="S741">
            <v>14</v>
          </cell>
          <cell r="T741">
            <v>145</v>
          </cell>
          <cell r="U741">
            <v>0</v>
          </cell>
          <cell r="V741">
            <v>0</v>
          </cell>
          <cell r="W741">
            <v>29</v>
          </cell>
          <cell r="X741">
            <v>38</v>
          </cell>
          <cell r="Y741">
            <v>36</v>
          </cell>
          <cell r="Z741">
            <v>28</v>
          </cell>
          <cell r="AA741">
            <v>14</v>
          </cell>
          <cell r="AB741">
            <v>145</v>
          </cell>
          <cell r="AC741">
            <v>2</v>
          </cell>
          <cell r="AD741" t="str">
            <v>TIDAK</v>
          </cell>
          <cell r="AE741" t="str">
            <v>TIDAK</v>
          </cell>
          <cell r="AF741">
            <v>145</v>
          </cell>
          <cell r="AG741">
            <v>2</v>
          </cell>
          <cell r="AH741" t="str">
            <v>SAPHIRE</v>
          </cell>
          <cell r="AI741">
            <v>0</v>
          </cell>
          <cell r="AJ741" t="str">
            <v>Y</v>
          </cell>
          <cell r="AK741">
            <v>0</v>
          </cell>
          <cell r="AL741">
            <v>45261</v>
          </cell>
          <cell r="AM741">
            <v>45701</v>
          </cell>
          <cell r="AN741">
            <v>1</v>
          </cell>
          <cell r="AO741">
            <v>145</v>
          </cell>
          <cell r="AP741" t="str">
            <v>-</v>
          </cell>
          <cell r="AQ741" t="str">
            <v>-</v>
          </cell>
          <cell r="AR741" t="str">
            <v>REGULER</v>
          </cell>
          <cell r="AS741" t="str">
            <v>REGULER</v>
          </cell>
          <cell r="AT741" t="str">
            <v>-</v>
          </cell>
          <cell r="AU741" t="str">
            <v>-</v>
          </cell>
          <cell r="AV741" t="str">
            <v/>
          </cell>
          <cell r="AW741">
            <v>0</v>
          </cell>
          <cell r="AX741">
            <v>34</v>
          </cell>
          <cell r="AY741">
            <v>2</v>
          </cell>
          <cell r="AZ741">
            <v>0</v>
          </cell>
          <cell r="BA741">
            <v>0</v>
          </cell>
          <cell r="BB741">
            <v>0</v>
          </cell>
          <cell r="BC741">
            <v>34</v>
          </cell>
          <cell r="BD741">
            <v>2</v>
          </cell>
          <cell r="BE741">
            <v>0</v>
          </cell>
          <cell r="BF741">
            <v>0</v>
          </cell>
          <cell r="BG741" t="str">
            <v/>
          </cell>
          <cell r="BH741">
            <v>0</v>
          </cell>
          <cell r="BI741">
            <v>34</v>
          </cell>
          <cell r="BJ741">
            <v>2</v>
          </cell>
          <cell r="BK741">
            <v>0</v>
          </cell>
          <cell r="BL741">
            <v>0</v>
          </cell>
          <cell r="BM741" t="str">
            <v/>
          </cell>
          <cell r="BN741">
            <v>36</v>
          </cell>
          <cell r="BO741" t="str">
            <v/>
          </cell>
          <cell r="BP741">
            <v>0</v>
          </cell>
          <cell r="BQ741">
            <v>34</v>
          </cell>
          <cell r="BR741">
            <v>2</v>
          </cell>
          <cell r="BS741">
            <v>0</v>
          </cell>
          <cell r="BT741">
            <v>0</v>
          </cell>
          <cell r="BU741" t="str">
            <v/>
          </cell>
          <cell r="BV741">
            <v>36</v>
          </cell>
          <cell r="BW741">
            <v>5</v>
          </cell>
          <cell r="BX741" t="str">
            <v>DOWNGRADE</v>
          </cell>
          <cell r="BY741" t="str">
            <v>RESET</v>
          </cell>
        </row>
        <row r="742">
          <cell r="A742" t="str">
            <v>A3233</v>
          </cell>
          <cell r="B742" t="str">
            <v>Andhika Syeilla Ramdhani</v>
          </cell>
          <cell r="C742" t="str">
            <v>TEMA C2</v>
          </cell>
          <cell r="D742">
            <v>45293</v>
          </cell>
          <cell r="E742" t="str">
            <v>Jan-24</v>
          </cell>
          <cell r="F742" t="str">
            <v>-</v>
          </cell>
          <cell r="G742" t="str">
            <v>REGULER</v>
          </cell>
          <cell r="H742" t="str">
            <v>-</v>
          </cell>
          <cell r="I742" t="str">
            <v>-</v>
          </cell>
          <cell r="J742" t="str">
            <v>-</v>
          </cell>
          <cell r="K742" t="str">
            <v>-</v>
          </cell>
          <cell r="L742" t="str">
            <v>-</v>
          </cell>
          <cell r="M742">
            <v>0</v>
          </cell>
          <cell r="N742">
            <v>4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 t="str">
            <v/>
          </cell>
          <cell r="T742">
            <v>4</v>
          </cell>
          <cell r="U742">
            <v>0</v>
          </cell>
          <cell r="V742">
            <v>4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 t="str">
            <v/>
          </cell>
          <cell r="AB742">
            <v>4</v>
          </cell>
          <cell r="AC742">
            <v>5</v>
          </cell>
          <cell r="AD742" t="str">
            <v>DOWNGRADE</v>
          </cell>
          <cell r="AE742" t="str">
            <v>RESET</v>
          </cell>
          <cell r="AF742">
            <v>0</v>
          </cell>
          <cell r="AG742">
            <v>1</v>
          </cell>
          <cell r="AH742" t="str">
            <v>SAPHIRE</v>
          </cell>
          <cell r="AI742">
            <v>0</v>
          </cell>
          <cell r="AJ742" t="str">
            <v>FALSE</v>
          </cell>
          <cell r="AK742">
            <v>0</v>
          </cell>
          <cell r="AL742">
            <v>45261</v>
          </cell>
          <cell r="AM742">
            <v>45701</v>
          </cell>
          <cell r="AN742">
            <v>1</v>
          </cell>
          <cell r="AO742">
            <v>0</v>
          </cell>
          <cell r="AP742" t="str">
            <v>-</v>
          </cell>
          <cell r="AQ742" t="str">
            <v>-</v>
          </cell>
          <cell r="AR742" t="str">
            <v>-</v>
          </cell>
          <cell r="AS742" t="str">
            <v>-</v>
          </cell>
          <cell r="AT742" t="str">
            <v>-</v>
          </cell>
          <cell r="AU742" t="str">
            <v>-</v>
          </cell>
          <cell r="AV742" t="str">
            <v/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 t="str">
            <v/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 t="str">
            <v/>
          </cell>
          <cell r="BN742">
            <v>0</v>
          </cell>
          <cell r="BO742" t="str">
            <v/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 t="str">
            <v/>
          </cell>
          <cell r="BV742">
            <v>0</v>
          </cell>
          <cell r="BW742">
            <v>7</v>
          </cell>
          <cell r="BX742" t="str">
            <v>DOWNGRADE</v>
          </cell>
          <cell r="BY742" t="str">
            <v>RESET</v>
          </cell>
        </row>
        <row r="743">
          <cell r="A743" t="str">
            <v>A1698</v>
          </cell>
          <cell r="B743" t="str">
            <v xml:space="preserve">Andika Dewantoro Wibowo </v>
          </cell>
          <cell r="C743" t="str">
            <v>TEMA C2</v>
          </cell>
          <cell r="D743">
            <v>45019</v>
          </cell>
          <cell r="E743" t="str">
            <v>Apr-23</v>
          </cell>
          <cell r="F743" t="str">
            <v>REGULER</v>
          </cell>
          <cell r="G743" t="str">
            <v>REGULER</v>
          </cell>
          <cell r="H743" t="str">
            <v>REGULER</v>
          </cell>
          <cell r="I743" t="str">
            <v>REGULER</v>
          </cell>
          <cell r="J743" t="str">
            <v>REGULER</v>
          </cell>
          <cell r="K743" t="str">
            <v>EKSKLUSIF</v>
          </cell>
          <cell r="L743" t="str">
            <v>-</v>
          </cell>
          <cell r="M743">
            <v>16</v>
          </cell>
          <cell r="N743">
            <v>39</v>
          </cell>
          <cell r="O743">
            <v>28</v>
          </cell>
          <cell r="P743">
            <v>33</v>
          </cell>
          <cell r="Q743">
            <v>37</v>
          </cell>
          <cell r="R743">
            <v>40</v>
          </cell>
          <cell r="S743">
            <v>0</v>
          </cell>
          <cell r="T743">
            <v>193</v>
          </cell>
          <cell r="U743">
            <v>16</v>
          </cell>
          <cell r="V743">
            <v>39</v>
          </cell>
          <cell r="W743">
            <v>28</v>
          </cell>
          <cell r="X743">
            <v>33</v>
          </cell>
          <cell r="Y743">
            <v>37</v>
          </cell>
          <cell r="Z743">
            <v>0</v>
          </cell>
          <cell r="AA743">
            <v>0</v>
          </cell>
          <cell r="AB743">
            <v>153</v>
          </cell>
          <cell r="AC743">
            <v>1</v>
          </cell>
          <cell r="AD743" t="str">
            <v>TIDAK</v>
          </cell>
          <cell r="AE743" t="str">
            <v>TIDAK</v>
          </cell>
          <cell r="AF743">
            <v>153</v>
          </cell>
          <cell r="AG743">
            <v>2</v>
          </cell>
          <cell r="AH743" t="str">
            <v>SAPHIRE</v>
          </cell>
          <cell r="AI743">
            <v>0</v>
          </cell>
          <cell r="AJ743" t="str">
            <v>Y</v>
          </cell>
          <cell r="AK743">
            <v>0</v>
          </cell>
          <cell r="AL743">
            <v>45261</v>
          </cell>
          <cell r="AM743">
            <v>45701</v>
          </cell>
          <cell r="AN743">
            <v>1</v>
          </cell>
          <cell r="AO743">
            <v>153</v>
          </cell>
          <cell r="AP743" t="str">
            <v>-</v>
          </cell>
          <cell r="AQ743" t="str">
            <v>-</v>
          </cell>
          <cell r="AR743" t="str">
            <v>-</v>
          </cell>
          <cell r="AS743" t="str">
            <v>-</v>
          </cell>
          <cell r="AT743" t="str">
            <v>-</v>
          </cell>
          <cell r="AU743" t="str">
            <v>-</v>
          </cell>
          <cell r="AV743" t="str">
            <v/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 t="str">
            <v/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 t="str">
            <v/>
          </cell>
          <cell r="BN743">
            <v>0</v>
          </cell>
          <cell r="BO743" t="str">
            <v/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 t="str">
            <v/>
          </cell>
          <cell r="BV743">
            <v>0</v>
          </cell>
          <cell r="BW743">
            <v>7</v>
          </cell>
          <cell r="BX743" t="str">
            <v>DOWNGRADE</v>
          </cell>
          <cell r="BY743" t="str">
            <v>RESET</v>
          </cell>
        </row>
        <row r="744">
          <cell r="A744" t="str">
            <v>A1566</v>
          </cell>
          <cell r="B744" t="str">
            <v>Andita Hermawanto</v>
          </cell>
          <cell r="C744" t="str">
            <v>TEMA C2</v>
          </cell>
          <cell r="D744">
            <v>45001</v>
          </cell>
          <cell r="E744" t="str">
            <v>Mar-23</v>
          </cell>
          <cell r="F744" t="str">
            <v>REGULER</v>
          </cell>
          <cell r="G744" t="str">
            <v>REGULER</v>
          </cell>
          <cell r="H744" t="str">
            <v>REGULER</v>
          </cell>
          <cell r="I744" t="str">
            <v>REGULER</v>
          </cell>
          <cell r="J744" t="str">
            <v>REGULER</v>
          </cell>
          <cell r="K744" t="str">
            <v>REGULER</v>
          </cell>
          <cell r="L744" t="str">
            <v>REGULER</v>
          </cell>
          <cell r="M744">
            <v>15</v>
          </cell>
          <cell r="N744">
            <v>27</v>
          </cell>
          <cell r="O744">
            <v>27</v>
          </cell>
          <cell r="P744">
            <v>26</v>
          </cell>
          <cell r="Q744">
            <v>21</v>
          </cell>
          <cell r="R744">
            <v>25</v>
          </cell>
          <cell r="S744">
            <v>4</v>
          </cell>
          <cell r="T744">
            <v>145</v>
          </cell>
          <cell r="U744">
            <v>15</v>
          </cell>
          <cell r="V744">
            <v>27</v>
          </cell>
          <cell r="W744">
            <v>27</v>
          </cell>
          <cell r="X744">
            <v>26</v>
          </cell>
          <cell r="Y744">
            <v>21</v>
          </cell>
          <cell r="Z744">
            <v>25</v>
          </cell>
          <cell r="AA744">
            <v>4</v>
          </cell>
          <cell r="AB744">
            <v>145</v>
          </cell>
          <cell r="AC744">
            <v>0</v>
          </cell>
          <cell r="AD744" t="str">
            <v>TIDAK</v>
          </cell>
          <cell r="AE744" t="str">
            <v>TIDAK</v>
          </cell>
          <cell r="AF744">
            <v>145</v>
          </cell>
          <cell r="AG744">
            <v>3</v>
          </cell>
          <cell r="AH744" t="str">
            <v>SAPHIRE</v>
          </cell>
          <cell r="AI744">
            <v>0</v>
          </cell>
          <cell r="AJ744" t="str">
            <v>Y</v>
          </cell>
          <cell r="AK744">
            <v>0</v>
          </cell>
          <cell r="AL744">
            <v>45261</v>
          </cell>
          <cell r="AM744">
            <v>45701</v>
          </cell>
          <cell r="AN744">
            <v>1</v>
          </cell>
          <cell r="AO744">
            <v>145</v>
          </cell>
          <cell r="AP744" t="str">
            <v>-</v>
          </cell>
          <cell r="AQ744" t="str">
            <v>-</v>
          </cell>
          <cell r="AR744" t="str">
            <v>REGULER</v>
          </cell>
          <cell r="AS744" t="str">
            <v>REGULER</v>
          </cell>
          <cell r="AT744" t="str">
            <v>REGULER</v>
          </cell>
          <cell r="AU744" t="str">
            <v>REGULER</v>
          </cell>
          <cell r="AV744" t="str">
            <v/>
          </cell>
          <cell r="AW744">
            <v>6</v>
          </cell>
          <cell r="AX744">
            <v>24</v>
          </cell>
          <cell r="AY744">
            <v>23</v>
          </cell>
          <cell r="AZ744">
            <v>18</v>
          </cell>
          <cell r="BA744">
            <v>17</v>
          </cell>
          <cell r="BB744">
            <v>6</v>
          </cell>
          <cell r="BC744">
            <v>24</v>
          </cell>
          <cell r="BD744">
            <v>23</v>
          </cell>
          <cell r="BE744">
            <v>18</v>
          </cell>
          <cell r="BF744">
            <v>17</v>
          </cell>
          <cell r="BG744">
            <v>3</v>
          </cell>
          <cell r="BH744">
            <v>6</v>
          </cell>
          <cell r="BI744">
            <v>24</v>
          </cell>
          <cell r="BJ744">
            <v>23</v>
          </cell>
          <cell r="BK744">
            <v>18</v>
          </cell>
          <cell r="BL744">
            <v>17</v>
          </cell>
          <cell r="BM744" t="str">
            <v/>
          </cell>
          <cell r="BN744">
            <v>91</v>
          </cell>
          <cell r="BO744">
            <v>3</v>
          </cell>
          <cell r="BP744">
            <v>6</v>
          </cell>
          <cell r="BQ744">
            <v>24</v>
          </cell>
          <cell r="BR744">
            <v>23</v>
          </cell>
          <cell r="BS744">
            <v>18</v>
          </cell>
          <cell r="BT744">
            <v>17</v>
          </cell>
          <cell r="BU744" t="str">
            <v/>
          </cell>
          <cell r="BV744">
            <v>91</v>
          </cell>
          <cell r="BW744">
            <v>1</v>
          </cell>
          <cell r="BX744" t="str">
            <v>TIDAK</v>
          </cell>
          <cell r="BY744" t="str">
            <v>TIDAK</v>
          </cell>
        </row>
        <row r="745">
          <cell r="A745" t="str">
            <v>A3815</v>
          </cell>
          <cell r="B745" t="str">
            <v>Andreane Amarissa</v>
          </cell>
          <cell r="C745" t="str">
            <v>TEMA C2</v>
          </cell>
          <cell r="D745">
            <v>45367</v>
          </cell>
          <cell r="E745" t="str">
            <v>Mar-24</v>
          </cell>
          <cell r="F745" t="str">
            <v>-</v>
          </cell>
          <cell r="G745" t="str">
            <v>-</v>
          </cell>
          <cell r="H745" t="str">
            <v>-</v>
          </cell>
          <cell r="I745" t="str">
            <v>REGULER</v>
          </cell>
          <cell r="J745" t="str">
            <v>REGULER</v>
          </cell>
          <cell r="K745" t="str">
            <v>REGULER</v>
          </cell>
          <cell r="L745" t="str">
            <v>REGULER</v>
          </cell>
          <cell r="M745">
            <v>0</v>
          </cell>
          <cell r="N745">
            <v>0</v>
          </cell>
          <cell r="O745">
            <v>0</v>
          </cell>
          <cell r="P745">
            <v>38</v>
          </cell>
          <cell r="Q745">
            <v>38</v>
          </cell>
          <cell r="R745">
            <v>42</v>
          </cell>
          <cell r="S745">
            <v>22</v>
          </cell>
          <cell r="T745">
            <v>140</v>
          </cell>
          <cell r="U745">
            <v>0</v>
          </cell>
          <cell r="V745">
            <v>0</v>
          </cell>
          <cell r="W745">
            <v>0</v>
          </cell>
          <cell r="X745">
            <v>38</v>
          </cell>
          <cell r="Y745">
            <v>38</v>
          </cell>
          <cell r="Z745">
            <v>42</v>
          </cell>
          <cell r="AA745">
            <v>22</v>
          </cell>
          <cell r="AB745">
            <v>140</v>
          </cell>
          <cell r="AC745">
            <v>0</v>
          </cell>
          <cell r="AD745" t="str">
            <v>TIDAK</v>
          </cell>
          <cell r="AE745" t="str">
            <v>TIDAK</v>
          </cell>
          <cell r="AF745">
            <v>140</v>
          </cell>
          <cell r="AG745">
            <v>3</v>
          </cell>
          <cell r="AH745" t="str">
            <v>SAPHIRE</v>
          </cell>
          <cell r="AI745">
            <v>0</v>
          </cell>
          <cell r="AJ745" t="str">
            <v>Y</v>
          </cell>
          <cell r="AK745">
            <v>0</v>
          </cell>
          <cell r="AL745">
            <v>45261</v>
          </cell>
          <cell r="AM745">
            <v>45701</v>
          </cell>
          <cell r="AN745">
            <v>1</v>
          </cell>
          <cell r="AO745">
            <v>140</v>
          </cell>
          <cell r="AP745" t="str">
            <v>-</v>
          </cell>
          <cell r="AQ745" t="str">
            <v>-</v>
          </cell>
          <cell r="AR745" t="str">
            <v>EKSKLUSIF</v>
          </cell>
          <cell r="AS745" t="str">
            <v>EKSKLUSIF</v>
          </cell>
          <cell r="AT745" t="str">
            <v>EKSKLUSIF</v>
          </cell>
          <cell r="AU745" t="str">
            <v>REGULER</v>
          </cell>
          <cell r="AV745" t="str">
            <v/>
          </cell>
          <cell r="AW745">
            <v>42</v>
          </cell>
          <cell r="AX745">
            <v>46</v>
          </cell>
          <cell r="AY745">
            <v>35</v>
          </cell>
          <cell r="AZ745">
            <v>49</v>
          </cell>
          <cell r="BA745">
            <v>18</v>
          </cell>
          <cell r="BB745">
            <v>42</v>
          </cell>
          <cell r="BC745">
            <v>46</v>
          </cell>
          <cell r="BD745">
            <v>35</v>
          </cell>
          <cell r="BE745">
            <v>49</v>
          </cell>
          <cell r="BF745">
            <v>18</v>
          </cell>
          <cell r="BG745">
            <v>19</v>
          </cell>
          <cell r="BH745">
            <v>42</v>
          </cell>
          <cell r="BI745">
            <v>46</v>
          </cell>
          <cell r="BJ745">
            <v>35</v>
          </cell>
          <cell r="BK745">
            <v>49</v>
          </cell>
          <cell r="BL745">
            <v>18</v>
          </cell>
          <cell r="BM745">
            <v>17</v>
          </cell>
          <cell r="BN745">
            <v>226</v>
          </cell>
          <cell r="BO745">
            <v>19</v>
          </cell>
          <cell r="BP745">
            <v>42</v>
          </cell>
          <cell r="BQ745">
            <v>0</v>
          </cell>
          <cell r="BR745">
            <v>0</v>
          </cell>
          <cell r="BS745">
            <v>0</v>
          </cell>
          <cell r="BT745">
            <v>18</v>
          </cell>
          <cell r="BU745">
            <v>17</v>
          </cell>
          <cell r="BV745">
            <v>96</v>
          </cell>
          <cell r="BW745">
            <v>0</v>
          </cell>
          <cell r="BX745" t="str">
            <v>TIDAK</v>
          </cell>
          <cell r="BY745" t="str">
            <v>TIDAK</v>
          </cell>
        </row>
        <row r="746">
          <cell r="A746" t="str">
            <v>A2686</v>
          </cell>
          <cell r="B746" t="str">
            <v>Andreas Aji Wicaksono</v>
          </cell>
          <cell r="C746" t="str">
            <v>TEMA C2</v>
          </cell>
          <cell r="D746">
            <v>45124</v>
          </cell>
          <cell r="E746" t="str">
            <v>Jul-23</v>
          </cell>
          <cell r="F746" t="str">
            <v>EKSKLUSIF</v>
          </cell>
          <cell r="G746" t="str">
            <v>EKSKLUSIF</v>
          </cell>
          <cell r="H746" t="str">
            <v>EKSKLUSIF</v>
          </cell>
          <cell r="I746" t="str">
            <v>EKSKLUSIF</v>
          </cell>
          <cell r="J746" t="str">
            <v>EKSKLUSIF</v>
          </cell>
          <cell r="K746" t="str">
            <v>EKSKLUSIF</v>
          </cell>
          <cell r="L746" t="str">
            <v>EKSKLUSIF</v>
          </cell>
          <cell r="M746">
            <v>20</v>
          </cell>
          <cell r="N746">
            <v>48</v>
          </cell>
          <cell r="O746">
            <v>40</v>
          </cell>
          <cell r="P746">
            <v>35</v>
          </cell>
          <cell r="Q746">
            <v>36</v>
          </cell>
          <cell r="R746">
            <v>41</v>
          </cell>
          <cell r="S746">
            <v>22</v>
          </cell>
          <cell r="T746">
            <v>242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 t="str">
            <v>TIDAK</v>
          </cell>
          <cell r="AE746" t="str">
            <v>TIDAK</v>
          </cell>
          <cell r="AF746">
            <v>0</v>
          </cell>
          <cell r="AG746">
            <v>2</v>
          </cell>
          <cell r="AH746" t="str">
            <v>SAPHIRE</v>
          </cell>
          <cell r="AI746">
            <v>0</v>
          </cell>
          <cell r="AJ746" t="str">
            <v>FALSE</v>
          </cell>
          <cell r="AK746">
            <v>0</v>
          </cell>
          <cell r="AL746">
            <v>45261</v>
          </cell>
          <cell r="AM746">
            <v>45701</v>
          </cell>
          <cell r="AN746">
            <v>1</v>
          </cell>
          <cell r="AO746">
            <v>0</v>
          </cell>
          <cell r="AP746" t="str">
            <v>EKSKLUSIF</v>
          </cell>
          <cell r="AQ746" t="str">
            <v>-</v>
          </cell>
          <cell r="AR746" t="str">
            <v>EKSKLUSIF</v>
          </cell>
          <cell r="AS746" t="str">
            <v>REGULER</v>
          </cell>
          <cell r="AT746" t="str">
            <v>-</v>
          </cell>
          <cell r="AU746" t="str">
            <v>-</v>
          </cell>
          <cell r="AV746" t="str">
            <v/>
          </cell>
          <cell r="AW746">
            <v>46</v>
          </cell>
          <cell r="AX746">
            <v>45</v>
          </cell>
          <cell r="AY746">
            <v>5</v>
          </cell>
          <cell r="AZ746">
            <v>0</v>
          </cell>
          <cell r="BA746">
            <v>0</v>
          </cell>
          <cell r="BB746">
            <v>46</v>
          </cell>
          <cell r="BC746">
            <v>45</v>
          </cell>
          <cell r="BD746">
            <v>5</v>
          </cell>
          <cell r="BE746">
            <v>0</v>
          </cell>
          <cell r="BF746">
            <v>0</v>
          </cell>
          <cell r="BG746">
            <v>20</v>
          </cell>
          <cell r="BH746">
            <v>46</v>
          </cell>
          <cell r="BI746">
            <v>45</v>
          </cell>
          <cell r="BJ746">
            <v>5</v>
          </cell>
          <cell r="BK746">
            <v>0</v>
          </cell>
          <cell r="BL746">
            <v>0</v>
          </cell>
          <cell r="BM746" t="str">
            <v/>
          </cell>
          <cell r="BN746">
            <v>116</v>
          </cell>
          <cell r="BO746">
            <v>0</v>
          </cell>
          <cell r="BP746">
            <v>46</v>
          </cell>
          <cell r="BQ746">
            <v>0</v>
          </cell>
          <cell r="BR746">
            <v>5</v>
          </cell>
          <cell r="BS746">
            <v>0</v>
          </cell>
          <cell r="BT746">
            <v>0</v>
          </cell>
          <cell r="BU746" t="str">
            <v/>
          </cell>
          <cell r="BV746">
            <v>51</v>
          </cell>
          <cell r="BW746">
            <v>3</v>
          </cell>
          <cell r="BX746" t="str">
            <v>DOWNGRADE</v>
          </cell>
          <cell r="BY746" t="str">
            <v>RESET</v>
          </cell>
        </row>
        <row r="747">
          <cell r="A747" t="str">
            <v>A3692</v>
          </cell>
          <cell r="B747" t="str">
            <v>Angela Roselie</v>
          </cell>
          <cell r="C747" t="str">
            <v>TEMA C2</v>
          </cell>
          <cell r="D747">
            <v>45311</v>
          </cell>
          <cell r="E747" t="str">
            <v>Jan-24</v>
          </cell>
          <cell r="F747" t="str">
            <v>-</v>
          </cell>
          <cell r="G747" t="str">
            <v>REGULER</v>
          </cell>
          <cell r="H747" t="str">
            <v>REGULER</v>
          </cell>
          <cell r="I747" t="str">
            <v>REGULER</v>
          </cell>
          <cell r="J747" t="str">
            <v>-</v>
          </cell>
          <cell r="K747" t="str">
            <v>-</v>
          </cell>
          <cell r="L747" t="str">
            <v>REGULER</v>
          </cell>
          <cell r="M747">
            <v>0</v>
          </cell>
          <cell r="N747">
            <v>10</v>
          </cell>
          <cell r="O747">
            <v>5</v>
          </cell>
          <cell r="P747">
            <v>1</v>
          </cell>
          <cell r="Q747">
            <v>0</v>
          </cell>
          <cell r="R747">
            <v>0</v>
          </cell>
          <cell r="S747">
            <v>4</v>
          </cell>
          <cell r="T747">
            <v>20</v>
          </cell>
          <cell r="U747">
            <v>0</v>
          </cell>
          <cell r="V747">
            <v>10</v>
          </cell>
          <cell r="W747">
            <v>5</v>
          </cell>
          <cell r="X747">
            <v>1</v>
          </cell>
          <cell r="Y747">
            <v>0</v>
          </cell>
          <cell r="Z747">
            <v>0</v>
          </cell>
          <cell r="AA747">
            <v>4</v>
          </cell>
          <cell r="AB747">
            <v>20</v>
          </cell>
          <cell r="AC747">
            <v>2</v>
          </cell>
          <cell r="AD747" t="str">
            <v>TIDAK</v>
          </cell>
          <cell r="AE747" t="str">
            <v>TIDAK</v>
          </cell>
          <cell r="AF747">
            <v>20</v>
          </cell>
          <cell r="AG747">
            <v>1</v>
          </cell>
          <cell r="AH747" t="str">
            <v>SAPHIRE</v>
          </cell>
          <cell r="AI747">
            <v>0</v>
          </cell>
          <cell r="AJ747" t="str">
            <v>FALSE</v>
          </cell>
          <cell r="AK747">
            <v>0</v>
          </cell>
          <cell r="AL747">
            <v>45261</v>
          </cell>
          <cell r="AM747">
            <v>45701</v>
          </cell>
          <cell r="AN747">
            <v>1</v>
          </cell>
          <cell r="AO747">
            <v>20</v>
          </cell>
          <cell r="AP747" t="str">
            <v>-</v>
          </cell>
          <cell r="AQ747" t="str">
            <v>-</v>
          </cell>
          <cell r="AR747" t="str">
            <v>REGULER</v>
          </cell>
          <cell r="AS747" t="str">
            <v>REGULER</v>
          </cell>
          <cell r="AT747" t="str">
            <v>REGULER</v>
          </cell>
          <cell r="AU747" t="str">
            <v>-</v>
          </cell>
          <cell r="AV747" t="str">
            <v/>
          </cell>
          <cell r="AW747">
            <v>10</v>
          </cell>
          <cell r="AX747">
            <v>6</v>
          </cell>
          <cell r="AY747">
            <v>19</v>
          </cell>
          <cell r="AZ747">
            <v>1</v>
          </cell>
          <cell r="BA747">
            <v>0</v>
          </cell>
          <cell r="BB747">
            <v>10</v>
          </cell>
          <cell r="BC747">
            <v>6</v>
          </cell>
          <cell r="BD747">
            <v>19</v>
          </cell>
          <cell r="BE747">
            <v>1</v>
          </cell>
          <cell r="BF747">
            <v>0</v>
          </cell>
          <cell r="BG747">
            <v>1</v>
          </cell>
          <cell r="BH747">
            <v>10</v>
          </cell>
          <cell r="BI747">
            <v>6</v>
          </cell>
          <cell r="BJ747">
            <v>19</v>
          </cell>
          <cell r="BK747">
            <v>1</v>
          </cell>
          <cell r="BL747">
            <v>0</v>
          </cell>
          <cell r="BM747" t="str">
            <v/>
          </cell>
          <cell r="BN747">
            <v>37</v>
          </cell>
          <cell r="BO747">
            <v>1</v>
          </cell>
          <cell r="BP747">
            <v>10</v>
          </cell>
          <cell r="BQ747">
            <v>6</v>
          </cell>
          <cell r="BR747">
            <v>19</v>
          </cell>
          <cell r="BS747">
            <v>1</v>
          </cell>
          <cell r="BT747">
            <v>0</v>
          </cell>
          <cell r="BU747" t="str">
            <v/>
          </cell>
          <cell r="BV747">
            <v>37</v>
          </cell>
          <cell r="BW747">
            <v>2</v>
          </cell>
          <cell r="BX747" t="str">
            <v>TIDAK</v>
          </cell>
          <cell r="BY747" t="str">
            <v>TIDAK</v>
          </cell>
        </row>
        <row r="748">
          <cell r="A748" t="str">
            <v>A4025</v>
          </cell>
          <cell r="B748" t="str">
            <v>ANGELINA CHRYSILLA</v>
          </cell>
          <cell r="C748" t="str">
            <v>TEMA C2</v>
          </cell>
          <cell r="D748">
            <v>45422</v>
          </cell>
          <cell r="E748" t="str">
            <v>May-24</v>
          </cell>
          <cell r="F748" t="str">
            <v>-</v>
          </cell>
          <cell r="G748" t="str">
            <v>-</v>
          </cell>
          <cell r="H748" t="str">
            <v>-</v>
          </cell>
          <cell r="I748" t="str">
            <v>-</v>
          </cell>
          <cell r="J748" t="str">
            <v>-</v>
          </cell>
          <cell r="K748" t="str">
            <v>REGULER</v>
          </cell>
          <cell r="L748" t="str">
            <v>REGULER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6</v>
          </cell>
          <cell r="S748">
            <v>11</v>
          </cell>
          <cell r="T748">
            <v>17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6</v>
          </cell>
          <cell r="AA748">
            <v>11</v>
          </cell>
          <cell r="AB748">
            <v>17</v>
          </cell>
          <cell r="AC748">
            <v>0</v>
          </cell>
          <cell r="AD748" t="str">
            <v>TIDAK</v>
          </cell>
          <cell r="AE748" t="str">
            <v>TIDAK</v>
          </cell>
          <cell r="AF748">
            <v>17</v>
          </cell>
          <cell r="AG748">
            <v>1</v>
          </cell>
          <cell r="AH748" t="str">
            <v>SAPHIRE</v>
          </cell>
          <cell r="AI748">
            <v>0</v>
          </cell>
          <cell r="AJ748" t="str">
            <v>FALSE</v>
          </cell>
          <cell r="AK748">
            <v>0</v>
          </cell>
          <cell r="AL748">
            <v>45261</v>
          </cell>
          <cell r="AM748">
            <v>45701</v>
          </cell>
          <cell r="AN748">
            <v>1</v>
          </cell>
          <cell r="AO748">
            <v>17</v>
          </cell>
          <cell r="AP748" t="str">
            <v>-</v>
          </cell>
          <cell r="AQ748" t="str">
            <v>-</v>
          </cell>
          <cell r="AR748" t="str">
            <v>REGULER</v>
          </cell>
          <cell r="AS748" t="str">
            <v>-</v>
          </cell>
          <cell r="AT748" t="str">
            <v>-</v>
          </cell>
          <cell r="AU748" t="str">
            <v>-</v>
          </cell>
          <cell r="AV748" t="str">
            <v/>
          </cell>
          <cell r="AW748">
            <v>0</v>
          </cell>
          <cell r="AX748">
            <v>4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4</v>
          </cell>
          <cell r="BD748">
            <v>0</v>
          </cell>
          <cell r="BE748">
            <v>0</v>
          </cell>
          <cell r="BF748">
            <v>0</v>
          </cell>
          <cell r="BG748">
            <v>8</v>
          </cell>
          <cell r="BH748">
            <v>0</v>
          </cell>
          <cell r="BI748">
            <v>4</v>
          </cell>
          <cell r="BJ748">
            <v>0</v>
          </cell>
          <cell r="BK748">
            <v>0</v>
          </cell>
          <cell r="BL748">
            <v>0</v>
          </cell>
          <cell r="BM748" t="str">
            <v/>
          </cell>
          <cell r="BN748">
            <v>12</v>
          </cell>
          <cell r="BO748">
            <v>8</v>
          </cell>
          <cell r="BP748">
            <v>0</v>
          </cell>
          <cell r="BQ748">
            <v>4</v>
          </cell>
          <cell r="BR748">
            <v>0</v>
          </cell>
          <cell r="BS748">
            <v>0</v>
          </cell>
          <cell r="BT748">
            <v>0</v>
          </cell>
          <cell r="BU748" t="str">
            <v/>
          </cell>
          <cell r="BV748">
            <v>12</v>
          </cell>
          <cell r="BW748">
            <v>5</v>
          </cell>
          <cell r="BX748" t="str">
            <v>DOWNGRADE</v>
          </cell>
          <cell r="BY748" t="str">
            <v>RESET</v>
          </cell>
        </row>
        <row r="749">
          <cell r="A749" t="str">
            <v>A2481</v>
          </cell>
          <cell r="B749" t="str">
            <v>Anggara Pramushinta</v>
          </cell>
          <cell r="C749" t="str">
            <v>TEMA C2</v>
          </cell>
          <cell r="D749">
            <v>45100</v>
          </cell>
          <cell r="E749" t="str">
            <v>Jun-23</v>
          </cell>
          <cell r="F749" t="str">
            <v>REGULER</v>
          </cell>
          <cell r="G749" t="str">
            <v>REGULER</v>
          </cell>
          <cell r="H749" t="str">
            <v>REGULER</v>
          </cell>
          <cell r="I749" t="str">
            <v>REGULER</v>
          </cell>
          <cell r="J749" t="str">
            <v>REGULER</v>
          </cell>
          <cell r="K749" t="str">
            <v>REGULER</v>
          </cell>
          <cell r="L749" t="str">
            <v>REGULER</v>
          </cell>
          <cell r="M749">
            <v>16</v>
          </cell>
          <cell r="N749">
            <v>40</v>
          </cell>
          <cell r="O749">
            <v>31</v>
          </cell>
          <cell r="P749">
            <v>21</v>
          </cell>
          <cell r="Q749">
            <v>31</v>
          </cell>
          <cell r="R749">
            <v>21</v>
          </cell>
          <cell r="S749">
            <v>12</v>
          </cell>
          <cell r="T749">
            <v>172</v>
          </cell>
          <cell r="U749">
            <v>16</v>
          </cell>
          <cell r="V749">
            <v>40</v>
          </cell>
          <cell r="W749">
            <v>31</v>
          </cell>
          <cell r="X749">
            <v>21</v>
          </cell>
          <cell r="Y749">
            <v>31</v>
          </cell>
          <cell r="Z749">
            <v>21</v>
          </cell>
          <cell r="AA749">
            <v>12</v>
          </cell>
          <cell r="AB749">
            <v>172</v>
          </cell>
          <cell r="AC749">
            <v>0</v>
          </cell>
          <cell r="AD749" t="str">
            <v>TIDAK</v>
          </cell>
          <cell r="AE749" t="str">
            <v>TIDAK</v>
          </cell>
          <cell r="AF749">
            <v>172</v>
          </cell>
          <cell r="AG749">
            <v>2</v>
          </cell>
          <cell r="AH749" t="str">
            <v>SAPHIRE</v>
          </cell>
          <cell r="AI749">
            <v>0</v>
          </cell>
          <cell r="AJ749" t="str">
            <v>Y</v>
          </cell>
          <cell r="AK749">
            <v>0</v>
          </cell>
          <cell r="AL749">
            <v>45261</v>
          </cell>
          <cell r="AM749">
            <v>45701</v>
          </cell>
          <cell r="AN749">
            <v>1</v>
          </cell>
          <cell r="AO749">
            <v>172</v>
          </cell>
          <cell r="AP749" t="str">
            <v>-</v>
          </cell>
          <cell r="AQ749" t="str">
            <v>-</v>
          </cell>
          <cell r="AR749" t="str">
            <v>REGULER</v>
          </cell>
          <cell r="AS749" t="str">
            <v>REGULER</v>
          </cell>
          <cell r="AT749" t="str">
            <v>-</v>
          </cell>
          <cell r="AU749" t="str">
            <v>-</v>
          </cell>
          <cell r="AV749" t="str">
            <v/>
          </cell>
          <cell r="AW749">
            <v>20</v>
          </cell>
          <cell r="AX749">
            <v>21</v>
          </cell>
          <cell r="AY749">
            <v>1</v>
          </cell>
          <cell r="AZ749">
            <v>0</v>
          </cell>
          <cell r="BA749">
            <v>0</v>
          </cell>
          <cell r="BB749">
            <v>20</v>
          </cell>
          <cell r="BC749">
            <v>21</v>
          </cell>
          <cell r="BD749">
            <v>1</v>
          </cell>
          <cell r="BE749">
            <v>0</v>
          </cell>
          <cell r="BF749">
            <v>0</v>
          </cell>
          <cell r="BG749">
            <v>10</v>
          </cell>
          <cell r="BH749">
            <v>20</v>
          </cell>
          <cell r="BI749">
            <v>21</v>
          </cell>
          <cell r="BJ749">
            <v>1</v>
          </cell>
          <cell r="BK749">
            <v>0</v>
          </cell>
          <cell r="BL749">
            <v>0</v>
          </cell>
          <cell r="BM749" t="str">
            <v/>
          </cell>
          <cell r="BN749">
            <v>52</v>
          </cell>
          <cell r="BO749">
            <v>10</v>
          </cell>
          <cell r="BP749">
            <v>20</v>
          </cell>
          <cell r="BQ749">
            <v>21</v>
          </cell>
          <cell r="BR749">
            <v>1</v>
          </cell>
          <cell r="BS749">
            <v>0</v>
          </cell>
          <cell r="BT749">
            <v>0</v>
          </cell>
          <cell r="BU749" t="str">
            <v/>
          </cell>
          <cell r="BV749">
            <v>52</v>
          </cell>
          <cell r="BW749">
            <v>3</v>
          </cell>
          <cell r="BX749" t="str">
            <v>DOWNGRADE</v>
          </cell>
          <cell r="BY749" t="str">
            <v>RESET</v>
          </cell>
        </row>
        <row r="750">
          <cell r="A750" t="str">
            <v>A3820</v>
          </cell>
          <cell r="B750" t="str">
            <v>Ania Dewi</v>
          </cell>
          <cell r="C750" t="str">
            <v>TEMA C2</v>
          </cell>
          <cell r="D750">
            <v>45369</v>
          </cell>
          <cell r="E750" t="str">
            <v>Mar-24</v>
          </cell>
          <cell r="F750" t="str">
            <v>-</v>
          </cell>
          <cell r="G750" t="str">
            <v>-</v>
          </cell>
          <cell r="H750" t="str">
            <v>-</v>
          </cell>
          <cell r="I750" t="str">
            <v>REGULER</v>
          </cell>
          <cell r="J750" t="str">
            <v>REGULER</v>
          </cell>
          <cell r="K750" t="str">
            <v>REGULER</v>
          </cell>
          <cell r="L750" t="str">
            <v>-</v>
          </cell>
          <cell r="M750">
            <v>0</v>
          </cell>
          <cell r="N750">
            <v>0</v>
          </cell>
          <cell r="O750">
            <v>0</v>
          </cell>
          <cell r="P750">
            <v>15</v>
          </cell>
          <cell r="Q750">
            <v>2</v>
          </cell>
          <cell r="R750">
            <v>7</v>
          </cell>
          <cell r="S750" t="str">
            <v/>
          </cell>
          <cell r="T750">
            <v>24</v>
          </cell>
          <cell r="U750">
            <v>0</v>
          </cell>
          <cell r="V750">
            <v>0</v>
          </cell>
          <cell r="W750">
            <v>0</v>
          </cell>
          <cell r="X750">
            <v>15</v>
          </cell>
          <cell r="Y750">
            <v>2</v>
          </cell>
          <cell r="Z750">
            <v>7</v>
          </cell>
          <cell r="AA750" t="str">
            <v/>
          </cell>
          <cell r="AB750">
            <v>24</v>
          </cell>
          <cell r="AC750">
            <v>1</v>
          </cell>
          <cell r="AD750" t="str">
            <v>TIDAK</v>
          </cell>
          <cell r="AE750" t="str">
            <v>TIDAK</v>
          </cell>
          <cell r="AF750">
            <v>24</v>
          </cell>
          <cell r="AG750">
            <v>1</v>
          </cell>
          <cell r="AH750" t="str">
            <v>SAPHIRE</v>
          </cell>
          <cell r="AI750">
            <v>0</v>
          </cell>
          <cell r="AJ750" t="str">
            <v>FALSE</v>
          </cell>
          <cell r="AK750">
            <v>0</v>
          </cell>
          <cell r="AL750">
            <v>45261</v>
          </cell>
          <cell r="AM750">
            <v>45701</v>
          </cell>
          <cell r="AN750">
            <v>1</v>
          </cell>
          <cell r="AO750">
            <v>24</v>
          </cell>
          <cell r="AP750" t="str">
            <v>-</v>
          </cell>
          <cell r="AQ750" t="str">
            <v>-</v>
          </cell>
          <cell r="AR750" t="str">
            <v>-</v>
          </cell>
          <cell r="AS750" t="str">
            <v>-</v>
          </cell>
          <cell r="AT750" t="str">
            <v>-</v>
          </cell>
          <cell r="AU750" t="str">
            <v>-</v>
          </cell>
          <cell r="AV750" t="str">
            <v/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 t="str">
            <v/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 t="str">
            <v/>
          </cell>
          <cell r="BN750">
            <v>0</v>
          </cell>
          <cell r="BO750" t="str">
            <v/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 t="str">
            <v/>
          </cell>
          <cell r="BV750">
            <v>0</v>
          </cell>
          <cell r="BW750">
            <v>7</v>
          </cell>
          <cell r="BX750" t="str">
            <v>DOWNGRADE</v>
          </cell>
          <cell r="BY750" t="str">
            <v>RESET</v>
          </cell>
        </row>
        <row r="751">
          <cell r="A751" t="str">
            <v>A3500</v>
          </cell>
          <cell r="B751" t="str">
            <v>Anindita Khusnul Oktavia</v>
          </cell>
          <cell r="C751" t="str">
            <v>TEMA C2</v>
          </cell>
          <cell r="D751">
            <v>45262</v>
          </cell>
          <cell r="E751" t="str">
            <v>Dec-23</v>
          </cell>
          <cell r="F751" t="str">
            <v>REGULER</v>
          </cell>
          <cell r="G751" t="str">
            <v>REGULER</v>
          </cell>
          <cell r="H751" t="str">
            <v>-</v>
          </cell>
          <cell r="I751" t="str">
            <v>-</v>
          </cell>
          <cell r="J751" t="str">
            <v>-</v>
          </cell>
          <cell r="K751" t="str">
            <v>-</v>
          </cell>
          <cell r="L751" t="str">
            <v>-</v>
          </cell>
          <cell r="M751">
            <v>5</v>
          </cell>
          <cell r="N751">
            <v>4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 t="str">
            <v/>
          </cell>
          <cell r="T751">
            <v>9</v>
          </cell>
          <cell r="U751">
            <v>5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 t="str">
            <v/>
          </cell>
          <cell r="AB751">
            <v>9</v>
          </cell>
          <cell r="AC751">
            <v>5</v>
          </cell>
          <cell r="AD751" t="str">
            <v>DOWNGRADE</v>
          </cell>
          <cell r="AE751" t="str">
            <v>RESET</v>
          </cell>
          <cell r="AF751">
            <v>0</v>
          </cell>
          <cell r="AG751">
            <v>1</v>
          </cell>
          <cell r="AH751" t="str">
            <v>SAPHIRE</v>
          </cell>
          <cell r="AI751">
            <v>0</v>
          </cell>
          <cell r="AJ751" t="str">
            <v>FALSE</v>
          </cell>
          <cell r="AK751">
            <v>0</v>
          </cell>
          <cell r="AL751">
            <v>45261</v>
          </cell>
          <cell r="AM751">
            <v>45701</v>
          </cell>
          <cell r="AN751">
            <v>1</v>
          </cell>
          <cell r="AO751">
            <v>0</v>
          </cell>
          <cell r="AP751" t="str">
            <v>-</v>
          </cell>
          <cell r="AQ751" t="str">
            <v>-</v>
          </cell>
          <cell r="AR751" t="str">
            <v>-</v>
          </cell>
          <cell r="AS751" t="str">
            <v>-</v>
          </cell>
          <cell r="AT751" t="str">
            <v>-</v>
          </cell>
          <cell r="AU751" t="str">
            <v>-</v>
          </cell>
          <cell r="AV751" t="str">
            <v/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 t="str">
            <v/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 t="str">
            <v/>
          </cell>
          <cell r="BN751">
            <v>0</v>
          </cell>
          <cell r="BO751" t="str">
            <v/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 t="str">
            <v/>
          </cell>
          <cell r="BV751">
            <v>0</v>
          </cell>
          <cell r="BW751">
            <v>7</v>
          </cell>
          <cell r="BX751" t="str">
            <v>DOWNGRADE</v>
          </cell>
          <cell r="BY751" t="str">
            <v>RESET</v>
          </cell>
        </row>
        <row r="752">
          <cell r="A752" t="str">
            <v>A2369</v>
          </cell>
          <cell r="B752" t="str">
            <v xml:space="preserve">Anis Diana Sari </v>
          </cell>
          <cell r="C752" t="str">
            <v>TEMA C2</v>
          </cell>
          <cell r="D752">
            <v>45062</v>
          </cell>
          <cell r="E752" t="str">
            <v>May-23</v>
          </cell>
          <cell r="F752" t="str">
            <v>EKSKLUSIF</v>
          </cell>
          <cell r="G752" t="str">
            <v>EKSKLUSIF</v>
          </cell>
          <cell r="H752" t="str">
            <v>EKSKLUSIF</v>
          </cell>
          <cell r="I752" t="str">
            <v>EKSKLUSIF</v>
          </cell>
          <cell r="J752" t="str">
            <v>EKSKLUSIF</v>
          </cell>
          <cell r="K752" t="str">
            <v>EKSKLUSIF</v>
          </cell>
          <cell r="L752" t="str">
            <v>EKSKLUSIF</v>
          </cell>
          <cell r="M752">
            <v>19</v>
          </cell>
          <cell r="N752">
            <v>46</v>
          </cell>
          <cell r="O752">
            <v>36</v>
          </cell>
          <cell r="P752">
            <v>42</v>
          </cell>
          <cell r="Q752">
            <v>32</v>
          </cell>
          <cell r="R752">
            <v>42</v>
          </cell>
          <cell r="S752">
            <v>19</v>
          </cell>
          <cell r="T752">
            <v>236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 t="str">
            <v>TIDAK</v>
          </cell>
          <cell r="AE752" t="str">
            <v>TIDAK</v>
          </cell>
          <cell r="AF752">
            <v>0</v>
          </cell>
          <cell r="AG752">
            <v>3</v>
          </cell>
          <cell r="AH752" t="str">
            <v>SAPHIRE</v>
          </cell>
          <cell r="AI752">
            <v>0</v>
          </cell>
          <cell r="AJ752" t="str">
            <v>FALSE</v>
          </cell>
          <cell r="AK752">
            <v>0</v>
          </cell>
          <cell r="AL752">
            <v>45261</v>
          </cell>
          <cell r="AM752">
            <v>45701</v>
          </cell>
          <cell r="AN752">
            <v>1</v>
          </cell>
          <cell r="AO752">
            <v>0</v>
          </cell>
          <cell r="AP752" t="str">
            <v>EKSKLUSIF</v>
          </cell>
          <cell r="AQ752" t="str">
            <v>-</v>
          </cell>
          <cell r="AR752" t="str">
            <v>EKSKLUSIF</v>
          </cell>
          <cell r="AS752" t="str">
            <v>REGULER</v>
          </cell>
          <cell r="AT752" t="str">
            <v>EKSKLUSIF</v>
          </cell>
          <cell r="AU752" t="str">
            <v>EKSKLUSIF</v>
          </cell>
          <cell r="AV752" t="str">
            <v/>
          </cell>
          <cell r="AW752">
            <v>45</v>
          </cell>
          <cell r="AX752">
            <v>46</v>
          </cell>
          <cell r="AY752">
            <v>30</v>
          </cell>
          <cell r="AZ752">
            <v>44</v>
          </cell>
          <cell r="BA752">
            <v>41</v>
          </cell>
          <cell r="BB752">
            <v>45</v>
          </cell>
          <cell r="BC752">
            <v>46</v>
          </cell>
          <cell r="BD752">
            <v>30</v>
          </cell>
          <cell r="BE752">
            <v>44</v>
          </cell>
          <cell r="BF752">
            <v>41</v>
          </cell>
          <cell r="BG752">
            <v>20</v>
          </cell>
          <cell r="BH752">
            <v>45</v>
          </cell>
          <cell r="BI752">
            <v>46</v>
          </cell>
          <cell r="BJ752">
            <v>30</v>
          </cell>
          <cell r="BK752">
            <v>44</v>
          </cell>
          <cell r="BL752">
            <v>41</v>
          </cell>
          <cell r="BM752">
            <v>20</v>
          </cell>
          <cell r="BN752">
            <v>246</v>
          </cell>
          <cell r="BO752">
            <v>0</v>
          </cell>
          <cell r="BP752">
            <v>45</v>
          </cell>
          <cell r="BQ752">
            <v>0</v>
          </cell>
          <cell r="BR752">
            <v>30</v>
          </cell>
          <cell r="BS752">
            <v>0</v>
          </cell>
          <cell r="BT752">
            <v>0</v>
          </cell>
          <cell r="BU752">
            <v>20</v>
          </cell>
          <cell r="BV752">
            <v>95</v>
          </cell>
          <cell r="BW752">
            <v>0</v>
          </cell>
          <cell r="BX752" t="str">
            <v>TIDAK</v>
          </cell>
          <cell r="BY752" t="str">
            <v>TIDAK</v>
          </cell>
        </row>
        <row r="753">
          <cell r="A753" t="str">
            <v>A2623</v>
          </cell>
          <cell r="B753" t="str">
            <v>Anisa Fitri Nurmayanti</v>
          </cell>
          <cell r="C753" t="str">
            <v>TEMA C2</v>
          </cell>
          <cell r="D753">
            <v>45115</v>
          </cell>
          <cell r="E753" t="str">
            <v>Jul-23</v>
          </cell>
          <cell r="F753" t="str">
            <v>REGULER</v>
          </cell>
          <cell r="G753" t="str">
            <v>REGULER</v>
          </cell>
          <cell r="H753" t="str">
            <v>-</v>
          </cell>
          <cell r="I753" t="str">
            <v>-</v>
          </cell>
          <cell r="J753" t="str">
            <v>-</v>
          </cell>
          <cell r="K753" t="str">
            <v>-</v>
          </cell>
          <cell r="L753" t="str">
            <v>-</v>
          </cell>
          <cell r="M753">
            <v>21</v>
          </cell>
          <cell r="N753">
            <v>29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 t="str">
            <v/>
          </cell>
          <cell r="T753">
            <v>50</v>
          </cell>
          <cell r="U753">
            <v>21</v>
          </cell>
          <cell r="V753">
            <v>29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 t="str">
            <v/>
          </cell>
          <cell r="AB753">
            <v>50</v>
          </cell>
          <cell r="AC753">
            <v>5</v>
          </cell>
          <cell r="AD753" t="str">
            <v>DOWNGRADE</v>
          </cell>
          <cell r="AE753" t="str">
            <v>RESET</v>
          </cell>
          <cell r="AF753">
            <v>0</v>
          </cell>
          <cell r="AG753">
            <v>3</v>
          </cell>
          <cell r="AH753" t="str">
            <v>SAPHIRE</v>
          </cell>
          <cell r="AI753">
            <v>0</v>
          </cell>
          <cell r="AJ753" t="str">
            <v>FALSE</v>
          </cell>
          <cell r="AK753">
            <v>0</v>
          </cell>
          <cell r="AL753">
            <v>45261</v>
          </cell>
          <cell r="AM753">
            <v>45701</v>
          </cell>
          <cell r="AN753">
            <v>1</v>
          </cell>
          <cell r="AO753">
            <v>0</v>
          </cell>
          <cell r="AP753" t="str">
            <v>-</v>
          </cell>
          <cell r="AQ753" t="str">
            <v>-</v>
          </cell>
          <cell r="AR753" t="str">
            <v>-</v>
          </cell>
          <cell r="AS753" t="str">
            <v>-</v>
          </cell>
          <cell r="AT753" t="str">
            <v>-</v>
          </cell>
          <cell r="AU753" t="str">
            <v>-</v>
          </cell>
          <cell r="AV753" t="str">
            <v/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 t="str">
            <v/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 t="str">
            <v/>
          </cell>
          <cell r="BN753">
            <v>0</v>
          </cell>
          <cell r="BO753" t="str">
            <v/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 t="str">
            <v/>
          </cell>
          <cell r="BV753">
            <v>0</v>
          </cell>
          <cell r="BW753">
            <v>7</v>
          </cell>
          <cell r="BX753" t="str">
            <v>DOWNGRADE</v>
          </cell>
          <cell r="BY753" t="str">
            <v>RESET</v>
          </cell>
        </row>
        <row r="754">
          <cell r="A754" t="str">
            <v>A3261</v>
          </cell>
          <cell r="B754" t="str">
            <v>ANISA RAHMAWATI PAMUNGKAS</v>
          </cell>
          <cell r="C754" t="str">
            <v>TEMA C2</v>
          </cell>
          <cell r="D754">
            <v>45418</v>
          </cell>
          <cell r="E754" t="str">
            <v>May-24</v>
          </cell>
          <cell r="F754" t="str">
            <v>-</v>
          </cell>
          <cell r="G754" t="str">
            <v>-</v>
          </cell>
          <cell r="H754" t="str">
            <v>-</v>
          </cell>
          <cell r="I754" t="str">
            <v>-</v>
          </cell>
          <cell r="J754" t="str">
            <v>-</v>
          </cell>
          <cell r="K754" t="str">
            <v>REGULER</v>
          </cell>
          <cell r="L754" t="str">
            <v>REGULER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26</v>
          </cell>
          <cell r="S754">
            <v>11</v>
          </cell>
          <cell r="T754">
            <v>37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26</v>
          </cell>
          <cell r="AA754">
            <v>11</v>
          </cell>
          <cell r="AB754">
            <v>37</v>
          </cell>
          <cell r="AC754">
            <v>0</v>
          </cell>
          <cell r="AD754" t="str">
            <v>TIDAK</v>
          </cell>
          <cell r="AE754" t="str">
            <v>TIDAK</v>
          </cell>
          <cell r="AF754">
            <v>37</v>
          </cell>
          <cell r="AG754">
            <v>1</v>
          </cell>
          <cell r="AH754" t="str">
            <v>SAPHIRE</v>
          </cell>
          <cell r="AI754">
            <v>0</v>
          </cell>
          <cell r="AJ754" t="str">
            <v>FALSE</v>
          </cell>
          <cell r="AK754">
            <v>0</v>
          </cell>
          <cell r="AL754">
            <v>45261</v>
          </cell>
          <cell r="AM754">
            <v>45701</v>
          </cell>
          <cell r="AN754">
            <v>1</v>
          </cell>
          <cell r="AO754">
            <v>37</v>
          </cell>
          <cell r="AP754" t="str">
            <v>-</v>
          </cell>
          <cell r="AQ754" t="str">
            <v>-</v>
          </cell>
          <cell r="AR754" t="str">
            <v>REGULER</v>
          </cell>
          <cell r="AS754" t="str">
            <v>REGULER</v>
          </cell>
          <cell r="AT754" t="str">
            <v>-</v>
          </cell>
          <cell r="AU754" t="str">
            <v>-</v>
          </cell>
          <cell r="AV754" t="str">
            <v/>
          </cell>
          <cell r="AW754">
            <v>23</v>
          </cell>
          <cell r="AX754">
            <v>12</v>
          </cell>
          <cell r="AY754">
            <v>5</v>
          </cell>
          <cell r="AZ754">
            <v>0</v>
          </cell>
          <cell r="BA754">
            <v>0</v>
          </cell>
          <cell r="BB754">
            <v>23</v>
          </cell>
          <cell r="BC754">
            <v>12</v>
          </cell>
          <cell r="BD754">
            <v>5</v>
          </cell>
          <cell r="BE754">
            <v>0</v>
          </cell>
          <cell r="BF754">
            <v>0</v>
          </cell>
          <cell r="BG754">
            <v>13</v>
          </cell>
          <cell r="BH754">
            <v>23</v>
          </cell>
          <cell r="BI754">
            <v>12</v>
          </cell>
          <cell r="BJ754">
            <v>5</v>
          </cell>
          <cell r="BK754">
            <v>0</v>
          </cell>
          <cell r="BL754">
            <v>0</v>
          </cell>
          <cell r="BM754" t="str">
            <v/>
          </cell>
          <cell r="BN754">
            <v>53</v>
          </cell>
          <cell r="BO754">
            <v>13</v>
          </cell>
          <cell r="BP754">
            <v>23</v>
          </cell>
          <cell r="BQ754">
            <v>12</v>
          </cell>
          <cell r="BR754">
            <v>5</v>
          </cell>
          <cell r="BS754">
            <v>0</v>
          </cell>
          <cell r="BT754">
            <v>0</v>
          </cell>
          <cell r="BU754" t="str">
            <v/>
          </cell>
          <cell r="BV754">
            <v>53</v>
          </cell>
          <cell r="BW754">
            <v>3</v>
          </cell>
          <cell r="BX754" t="str">
            <v>DOWNGRADE</v>
          </cell>
          <cell r="BY754" t="str">
            <v>RESET</v>
          </cell>
        </row>
        <row r="755">
          <cell r="A755" t="str">
            <v>A2069</v>
          </cell>
          <cell r="B755" t="str">
            <v>ANISA UL KHIKMAH</v>
          </cell>
          <cell r="C755" t="str">
            <v>TEMA C2</v>
          </cell>
          <cell r="D755">
            <v>45456</v>
          </cell>
          <cell r="E755" t="str">
            <v>Jun-24</v>
          </cell>
          <cell r="F755" t="str">
            <v>-</v>
          </cell>
          <cell r="G755" t="str">
            <v>-</v>
          </cell>
          <cell r="H755" t="str">
            <v>-</v>
          </cell>
          <cell r="I755" t="str">
            <v>-</v>
          </cell>
          <cell r="J755" t="str">
            <v>-</v>
          </cell>
          <cell r="K755" t="str">
            <v>-</v>
          </cell>
          <cell r="L755" t="str">
            <v>REGULER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2</v>
          </cell>
          <cell r="T755">
            <v>2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2</v>
          </cell>
          <cell r="AB755">
            <v>2</v>
          </cell>
          <cell r="AC755">
            <v>0</v>
          </cell>
          <cell r="AD755" t="str">
            <v>TIDAK</v>
          </cell>
          <cell r="AE755" t="str">
            <v>TIDAK</v>
          </cell>
          <cell r="AF755">
            <v>2</v>
          </cell>
          <cell r="AG755">
            <v>1</v>
          </cell>
          <cell r="AH755" t="str">
            <v>SAPHIRE</v>
          </cell>
          <cell r="AI755">
            <v>0</v>
          </cell>
          <cell r="AJ755" t="str">
            <v>FALSE</v>
          </cell>
          <cell r="AK755">
            <v>0</v>
          </cell>
          <cell r="AL755">
            <v>45261</v>
          </cell>
          <cell r="AM755">
            <v>45701</v>
          </cell>
          <cell r="AN755">
            <v>1</v>
          </cell>
          <cell r="AO755">
            <v>2</v>
          </cell>
          <cell r="AP755" t="str">
            <v>-</v>
          </cell>
          <cell r="AQ755" t="str">
            <v>-</v>
          </cell>
          <cell r="AR755" t="str">
            <v>-</v>
          </cell>
          <cell r="AS755" t="str">
            <v>-</v>
          </cell>
          <cell r="AT755" t="str">
            <v>-</v>
          </cell>
          <cell r="AU755" t="str">
            <v>-</v>
          </cell>
          <cell r="AV755" t="str">
            <v/>
          </cell>
          <cell r="AW755">
            <v>19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19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14</v>
          </cell>
          <cell r="BH755">
            <v>19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 t="str">
            <v/>
          </cell>
          <cell r="BN755">
            <v>33</v>
          </cell>
          <cell r="BO755">
            <v>14</v>
          </cell>
          <cell r="BP755">
            <v>19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 t="str">
            <v/>
          </cell>
          <cell r="BV755">
            <v>33</v>
          </cell>
          <cell r="BW755">
            <v>5</v>
          </cell>
          <cell r="BX755" t="str">
            <v>DOWNGRADE</v>
          </cell>
          <cell r="BY755" t="str">
            <v>RESET</v>
          </cell>
        </row>
        <row r="756">
          <cell r="A756" t="str">
            <v>A2756</v>
          </cell>
          <cell r="B756" t="str">
            <v>Anisya Parastika Wati</v>
          </cell>
          <cell r="C756" t="str">
            <v>TEMA C2</v>
          </cell>
          <cell r="D756">
            <v>45157</v>
          </cell>
          <cell r="E756" t="str">
            <v>Aug-23</v>
          </cell>
          <cell r="F756" t="str">
            <v>REGULER</v>
          </cell>
          <cell r="G756" t="str">
            <v>REGULER</v>
          </cell>
          <cell r="H756" t="str">
            <v>REGULER</v>
          </cell>
          <cell r="I756" t="str">
            <v>REGULER</v>
          </cell>
          <cell r="J756" t="str">
            <v>REGULER</v>
          </cell>
          <cell r="K756" t="str">
            <v>REGULER</v>
          </cell>
          <cell r="L756" t="str">
            <v>REGULER</v>
          </cell>
          <cell r="M756">
            <v>20</v>
          </cell>
          <cell r="N756">
            <v>43</v>
          </cell>
          <cell r="O756">
            <v>37</v>
          </cell>
          <cell r="P756">
            <v>23</v>
          </cell>
          <cell r="Q756">
            <v>2</v>
          </cell>
          <cell r="R756">
            <v>2</v>
          </cell>
          <cell r="S756">
            <v>2</v>
          </cell>
          <cell r="T756">
            <v>129</v>
          </cell>
          <cell r="U756">
            <v>20</v>
          </cell>
          <cell r="V756">
            <v>43</v>
          </cell>
          <cell r="W756">
            <v>37</v>
          </cell>
          <cell r="X756">
            <v>23</v>
          </cell>
          <cell r="Y756">
            <v>2</v>
          </cell>
          <cell r="Z756">
            <v>2</v>
          </cell>
          <cell r="AA756">
            <v>2</v>
          </cell>
          <cell r="AB756">
            <v>129</v>
          </cell>
          <cell r="AC756">
            <v>0</v>
          </cell>
          <cell r="AD756" t="str">
            <v>TIDAK</v>
          </cell>
          <cell r="AE756" t="str">
            <v>TIDAK</v>
          </cell>
          <cell r="AF756">
            <v>129</v>
          </cell>
          <cell r="AG756">
            <v>2</v>
          </cell>
          <cell r="AH756" t="str">
            <v>SAPHIRE</v>
          </cell>
          <cell r="AI756">
            <v>0</v>
          </cell>
          <cell r="AJ756" t="str">
            <v>Y</v>
          </cell>
          <cell r="AK756">
            <v>0</v>
          </cell>
          <cell r="AL756">
            <v>45261</v>
          </cell>
          <cell r="AM756">
            <v>45701</v>
          </cell>
          <cell r="AN756">
            <v>1</v>
          </cell>
          <cell r="AO756">
            <v>129</v>
          </cell>
          <cell r="AP756" t="str">
            <v>-</v>
          </cell>
          <cell r="AQ756" t="str">
            <v>-</v>
          </cell>
          <cell r="AR756" t="str">
            <v>REGULER</v>
          </cell>
          <cell r="AS756" t="str">
            <v>REGULER</v>
          </cell>
          <cell r="AT756" t="str">
            <v>-</v>
          </cell>
          <cell r="AU756" t="str">
            <v>-</v>
          </cell>
          <cell r="AV756" t="str">
            <v/>
          </cell>
          <cell r="AW756">
            <v>11</v>
          </cell>
          <cell r="AX756">
            <v>3</v>
          </cell>
          <cell r="AY756">
            <v>1</v>
          </cell>
          <cell r="AZ756">
            <v>0</v>
          </cell>
          <cell r="BA756">
            <v>0</v>
          </cell>
          <cell r="BB756">
            <v>11</v>
          </cell>
          <cell r="BC756">
            <v>3</v>
          </cell>
          <cell r="BD756">
            <v>1</v>
          </cell>
          <cell r="BE756">
            <v>0</v>
          </cell>
          <cell r="BF756">
            <v>0</v>
          </cell>
          <cell r="BG756" t="str">
            <v/>
          </cell>
          <cell r="BH756">
            <v>11</v>
          </cell>
          <cell r="BI756">
            <v>3</v>
          </cell>
          <cell r="BJ756">
            <v>1</v>
          </cell>
          <cell r="BK756">
            <v>0</v>
          </cell>
          <cell r="BL756">
            <v>0</v>
          </cell>
          <cell r="BM756" t="str">
            <v/>
          </cell>
          <cell r="BN756">
            <v>15</v>
          </cell>
          <cell r="BO756" t="str">
            <v/>
          </cell>
          <cell r="BP756">
            <v>11</v>
          </cell>
          <cell r="BQ756">
            <v>3</v>
          </cell>
          <cell r="BR756">
            <v>1</v>
          </cell>
          <cell r="BS756">
            <v>0</v>
          </cell>
          <cell r="BT756">
            <v>0</v>
          </cell>
          <cell r="BU756" t="str">
            <v/>
          </cell>
          <cell r="BV756">
            <v>15</v>
          </cell>
          <cell r="BW756">
            <v>4</v>
          </cell>
          <cell r="BX756" t="str">
            <v>DOWNGRADE</v>
          </cell>
          <cell r="BY756" t="str">
            <v>RESET</v>
          </cell>
        </row>
        <row r="757">
          <cell r="A757" t="str">
            <v>A1836</v>
          </cell>
          <cell r="B757" t="str">
            <v>Annisa Disafira</v>
          </cell>
          <cell r="C757" t="str">
            <v>TEMA C2</v>
          </cell>
          <cell r="D757">
            <v>45020</v>
          </cell>
          <cell r="E757" t="str">
            <v>Apr-23</v>
          </cell>
          <cell r="F757" t="str">
            <v>REGULER</v>
          </cell>
          <cell r="G757" t="str">
            <v>REGULER</v>
          </cell>
          <cell r="H757" t="str">
            <v>REGULER</v>
          </cell>
          <cell r="I757" t="str">
            <v>REGULER</v>
          </cell>
          <cell r="J757" t="str">
            <v>REGULER</v>
          </cell>
          <cell r="K757" t="str">
            <v>REGULER</v>
          </cell>
          <cell r="L757" t="str">
            <v>REGULER</v>
          </cell>
          <cell r="M757">
            <v>2</v>
          </cell>
          <cell r="N757">
            <v>14</v>
          </cell>
          <cell r="O757">
            <v>9</v>
          </cell>
          <cell r="P757">
            <v>6</v>
          </cell>
          <cell r="Q757">
            <v>12</v>
          </cell>
          <cell r="R757">
            <v>6</v>
          </cell>
          <cell r="S757">
            <v>7</v>
          </cell>
          <cell r="T757">
            <v>56</v>
          </cell>
          <cell r="U757">
            <v>2</v>
          </cell>
          <cell r="V757">
            <v>14</v>
          </cell>
          <cell r="W757">
            <v>9</v>
          </cell>
          <cell r="X757">
            <v>6</v>
          </cell>
          <cell r="Y757">
            <v>12</v>
          </cell>
          <cell r="Z757">
            <v>6</v>
          </cell>
          <cell r="AA757">
            <v>7</v>
          </cell>
          <cell r="AB757">
            <v>56</v>
          </cell>
          <cell r="AC757">
            <v>0</v>
          </cell>
          <cell r="AD757" t="str">
            <v>TIDAK</v>
          </cell>
          <cell r="AE757" t="str">
            <v>TIDAK</v>
          </cell>
          <cell r="AF757">
            <v>56</v>
          </cell>
          <cell r="AG757">
            <v>1</v>
          </cell>
          <cell r="AH757" t="str">
            <v>SAPHIRE</v>
          </cell>
          <cell r="AI757">
            <v>0</v>
          </cell>
          <cell r="AJ757" t="str">
            <v>FALSE</v>
          </cell>
          <cell r="AK757">
            <v>0</v>
          </cell>
          <cell r="AL757">
            <v>45261</v>
          </cell>
          <cell r="AM757">
            <v>45701</v>
          </cell>
          <cell r="AN757">
            <v>1</v>
          </cell>
          <cell r="AO757">
            <v>56</v>
          </cell>
          <cell r="AP757" t="str">
            <v>-</v>
          </cell>
          <cell r="AQ757" t="str">
            <v>-</v>
          </cell>
          <cell r="AR757" t="str">
            <v>REGULER</v>
          </cell>
          <cell r="AS757" t="str">
            <v>REGULER</v>
          </cell>
          <cell r="AT757" t="str">
            <v>REGULER</v>
          </cell>
          <cell r="AU757" t="str">
            <v>REGULER</v>
          </cell>
          <cell r="AV757" t="str">
            <v/>
          </cell>
          <cell r="AW757">
            <v>46</v>
          </cell>
          <cell r="AX757">
            <v>30</v>
          </cell>
          <cell r="AY757">
            <v>14</v>
          </cell>
          <cell r="AZ757">
            <v>14</v>
          </cell>
          <cell r="BA757">
            <v>13</v>
          </cell>
          <cell r="BB757">
            <v>46</v>
          </cell>
          <cell r="BC757">
            <v>30</v>
          </cell>
          <cell r="BD757">
            <v>14</v>
          </cell>
          <cell r="BE757">
            <v>14</v>
          </cell>
          <cell r="BF757">
            <v>13</v>
          </cell>
          <cell r="BG757">
            <v>14</v>
          </cell>
          <cell r="BH757">
            <v>46</v>
          </cell>
          <cell r="BI757">
            <v>30</v>
          </cell>
          <cell r="BJ757">
            <v>14</v>
          </cell>
          <cell r="BK757">
            <v>14</v>
          </cell>
          <cell r="BL757">
            <v>13</v>
          </cell>
          <cell r="BM757" t="str">
            <v/>
          </cell>
          <cell r="BN757">
            <v>131</v>
          </cell>
          <cell r="BO757">
            <v>14</v>
          </cell>
          <cell r="BP757">
            <v>46</v>
          </cell>
          <cell r="BQ757">
            <v>30</v>
          </cell>
          <cell r="BR757">
            <v>14</v>
          </cell>
          <cell r="BS757">
            <v>14</v>
          </cell>
          <cell r="BT757">
            <v>13</v>
          </cell>
          <cell r="BU757" t="str">
            <v/>
          </cell>
          <cell r="BV757">
            <v>131</v>
          </cell>
          <cell r="BW757">
            <v>1</v>
          </cell>
          <cell r="BX757" t="str">
            <v>TIDAK</v>
          </cell>
          <cell r="BY757" t="str">
            <v>TIDAK</v>
          </cell>
        </row>
        <row r="758">
          <cell r="A758" t="str">
            <v>A3510</v>
          </cell>
          <cell r="B758" t="str">
            <v>Annisa Fadya</v>
          </cell>
          <cell r="C758" t="str">
            <v>TEMA C2</v>
          </cell>
          <cell r="D758">
            <v>45262</v>
          </cell>
          <cell r="E758" t="str">
            <v>Dec-23</v>
          </cell>
          <cell r="F758" t="str">
            <v>REGULER</v>
          </cell>
          <cell r="G758" t="str">
            <v>REGULER</v>
          </cell>
          <cell r="H758" t="str">
            <v>REGULER</v>
          </cell>
          <cell r="I758" t="str">
            <v>EKSKLUSIF</v>
          </cell>
          <cell r="J758" t="str">
            <v>EKSKLUSIF</v>
          </cell>
          <cell r="K758" t="str">
            <v>EKSKLUSIF</v>
          </cell>
          <cell r="L758" t="str">
            <v>EKSKLUSIF</v>
          </cell>
          <cell r="M758">
            <v>14</v>
          </cell>
          <cell r="N758">
            <v>37</v>
          </cell>
          <cell r="O758">
            <v>29</v>
          </cell>
          <cell r="P758">
            <v>41</v>
          </cell>
          <cell r="Q758">
            <v>36</v>
          </cell>
          <cell r="R758">
            <v>40</v>
          </cell>
          <cell r="S758">
            <v>21</v>
          </cell>
          <cell r="T758">
            <v>218</v>
          </cell>
          <cell r="U758">
            <v>14</v>
          </cell>
          <cell r="V758">
            <v>37</v>
          </cell>
          <cell r="W758">
            <v>29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80</v>
          </cell>
          <cell r="AC758">
            <v>0</v>
          </cell>
          <cell r="AD758" t="str">
            <v>TIDAK</v>
          </cell>
          <cell r="AE758" t="str">
            <v>TIDAK</v>
          </cell>
          <cell r="AF758">
            <v>80</v>
          </cell>
          <cell r="AG758">
            <v>2</v>
          </cell>
          <cell r="AH758" t="str">
            <v>SAPHIRE</v>
          </cell>
          <cell r="AI758">
            <v>65</v>
          </cell>
          <cell r="AJ758" t="str">
            <v>Y</v>
          </cell>
          <cell r="AK758">
            <v>0</v>
          </cell>
          <cell r="AL758">
            <v>45261</v>
          </cell>
          <cell r="AM758">
            <v>45701</v>
          </cell>
          <cell r="AN758">
            <v>1</v>
          </cell>
          <cell r="AO758">
            <v>15</v>
          </cell>
          <cell r="AP758" t="str">
            <v>EKSKLUSIF</v>
          </cell>
          <cell r="AQ758" t="str">
            <v>-</v>
          </cell>
          <cell r="AR758" t="str">
            <v>EKSKLUSIF</v>
          </cell>
          <cell r="AS758" t="str">
            <v>EKSKLUSIF</v>
          </cell>
          <cell r="AT758" t="str">
            <v>EKSKLUSIF</v>
          </cell>
          <cell r="AU758" t="str">
            <v>EKSKLUSIF</v>
          </cell>
          <cell r="AV758" t="str">
            <v/>
          </cell>
          <cell r="AW758">
            <v>45</v>
          </cell>
          <cell r="AX758">
            <v>44</v>
          </cell>
          <cell r="AY758">
            <v>25</v>
          </cell>
          <cell r="AZ758">
            <v>46</v>
          </cell>
          <cell r="BA758">
            <v>41</v>
          </cell>
          <cell r="BB758">
            <v>45</v>
          </cell>
          <cell r="BC758">
            <v>44</v>
          </cell>
          <cell r="BD758">
            <v>25</v>
          </cell>
          <cell r="BE758">
            <v>46</v>
          </cell>
          <cell r="BF758">
            <v>41</v>
          </cell>
          <cell r="BG758">
            <v>20</v>
          </cell>
          <cell r="BH758">
            <v>45</v>
          </cell>
          <cell r="BI758">
            <v>44</v>
          </cell>
          <cell r="BJ758">
            <v>25</v>
          </cell>
          <cell r="BK758">
            <v>46</v>
          </cell>
          <cell r="BL758">
            <v>41</v>
          </cell>
          <cell r="BM758">
            <v>9</v>
          </cell>
          <cell r="BN758">
            <v>230</v>
          </cell>
          <cell r="BO758">
            <v>0</v>
          </cell>
          <cell r="BP758">
            <v>45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9</v>
          </cell>
          <cell r="BV758">
            <v>54</v>
          </cell>
          <cell r="BW758">
            <v>0</v>
          </cell>
          <cell r="BX758" t="str">
            <v>TIDAK</v>
          </cell>
          <cell r="BY758" t="str">
            <v>TIDAK</v>
          </cell>
        </row>
        <row r="759">
          <cell r="A759" t="str">
            <v>A2582</v>
          </cell>
          <cell r="B759" t="str">
            <v>Annisa Maulidina</v>
          </cell>
          <cell r="C759" t="str">
            <v>TEMA C2</v>
          </cell>
          <cell r="D759">
            <v>45093</v>
          </cell>
          <cell r="E759" t="str">
            <v>Jun-23</v>
          </cell>
          <cell r="F759" t="str">
            <v>REGULER</v>
          </cell>
          <cell r="G759" t="str">
            <v>REGULER</v>
          </cell>
          <cell r="H759" t="str">
            <v>REGULER</v>
          </cell>
          <cell r="I759" t="str">
            <v>REGULER</v>
          </cell>
          <cell r="J759" t="str">
            <v>REGULER</v>
          </cell>
          <cell r="K759" t="str">
            <v>-</v>
          </cell>
          <cell r="L759" t="str">
            <v>-</v>
          </cell>
          <cell r="M759">
            <v>12</v>
          </cell>
          <cell r="N759">
            <v>36</v>
          </cell>
          <cell r="O759">
            <v>14</v>
          </cell>
          <cell r="P759">
            <v>18</v>
          </cell>
          <cell r="Q759">
            <v>1</v>
          </cell>
          <cell r="R759">
            <v>0</v>
          </cell>
          <cell r="S759" t="str">
            <v/>
          </cell>
          <cell r="T759">
            <v>81</v>
          </cell>
          <cell r="U759">
            <v>12</v>
          </cell>
          <cell r="V759">
            <v>36</v>
          </cell>
          <cell r="W759">
            <v>14</v>
          </cell>
          <cell r="X759">
            <v>18</v>
          </cell>
          <cell r="Y759">
            <v>1</v>
          </cell>
          <cell r="Z759">
            <v>0</v>
          </cell>
          <cell r="AA759" t="str">
            <v/>
          </cell>
          <cell r="AB759">
            <v>81</v>
          </cell>
          <cell r="AC759">
            <v>2</v>
          </cell>
          <cell r="AD759" t="str">
            <v>TIDAK</v>
          </cell>
          <cell r="AE759" t="str">
            <v>TIDAK</v>
          </cell>
          <cell r="AF759">
            <v>81</v>
          </cell>
          <cell r="AG759">
            <v>1</v>
          </cell>
          <cell r="AH759" t="str">
            <v>SAPHIRE</v>
          </cell>
          <cell r="AI759">
            <v>0</v>
          </cell>
          <cell r="AJ759" t="str">
            <v>Y</v>
          </cell>
          <cell r="AK759">
            <v>0</v>
          </cell>
          <cell r="AL759">
            <v>45261</v>
          </cell>
          <cell r="AM759">
            <v>45701</v>
          </cell>
          <cell r="AN759">
            <v>1</v>
          </cell>
          <cell r="AO759">
            <v>81</v>
          </cell>
          <cell r="AP759" t="str">
            <v>-</v>
          </cell>
          <cell r="AQ759" t="str">
            <v>-</v>
          </cell>
          <cell r="AR759" t="str">
            <v>-</v>
          </cell>
          <cell r="AS759" t="str">
            <v>-</v>
          </cell>
          <cell r="AT759" t="str">
            <v>-</v>
          </cell>
          <cell r="AU759" t="str">
            <v>-</v>
          </cell>
          <cell r="AV759" t="str">
            <v/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 t="str">
            <v/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 t="str">
            <v/>
          </cell>
          <cell r="BN759">
            <v>0</v>
          </cell>
          <cell r="BO759" t="str">
            <v/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 t="str">
            <v/>
          </cell>
          <cell r="BV759">
            <v>0</v>
          </cell>
          <cell r="BW759">
            <v>7</v>
          </cell>
          <cell r="BX759" t="str">
            <v>DOWNGRADE</v>
          </cell>
          <cell r="BY759" t="str">
            <v>RESET</v>
          </cell>
        </row>
        <row r="760">
          <cell r="A760" t="str">
            <v>A3963</v>
          </cell>
          <cell r="B760" t="str">
            <v>Annisa Pratita</v>
          </cell>
          <cell r="C760" t="str">
            <v>TEMA C2</v>
          </cell>
          <cell r="D760">
            <v>45377</v>
          </cell>
          <cell r="E760" t="str">
            <v>Mar-24</v>
          </cell>
          <cell r="F760" t="str">
            <v>-</v>
          </cell>
          <cell r="G760" t="str">
            <v>-</v>
          </cell>
          <cell r="H760" t="str">
            <v>-</v>
          </cell>
          <cell r="I760" t="str">
            <v>REGULER</v>
          </cell>
          <cell r="J760" t="str">
            <v>REGULER</v>
          </cell>
          <cell r="K760" t="str">
            <v>REGULER</v>
          </cell>
          <cell r="L760" t="str">
            <v>REGULER</v>
          </cell>
          <cell r="M760">
            <v>0</v>
          </cell>
          <cell r="N760">
            <v>0</v>
          </cell>
          <cell r="O760">
            <v>0</v>
          </cell>
          <cell r="P760">
            <v>1</v>
          </cell>
          <cell r="Q760">
            <v>28</v>
          </cell>
          <cell r="R760">
            <v>22</v>
          </cell>
          <cell r="S760">
            <v>6</v>
          </cell>
          <cell r="T760">
            <v>57</v>
          </cell>
          <cell r="U760">
            <v>0</v>
          </cell>
          <cell r="V760">
            <v>0</v>
          </cell>
          <cell r="W760">
            <v>0</v>
          </cell>
          <cell r="X760">
            <v>1</v>
          </cell>
          <cell r="Y760">
            <v>28</v>
          </cell>
          <cell r="Z760">
            <v>22</v>
          </cell>
          <cell r="AA760">
            <v>6</v>
          </cell>
          <cell r="AB760">
            <v>57</v>
          </cell>
          <cell r="AC760">
            <v>0</v>
          </cell>
          <cell r="AD760" t="str">
            <v>TIDAK</v>
          </cell>
          <cell r="AE760" t="str">
            <v>TIDAK</v>
          </cell>
          <cell r="AF760">
            <v>57</v>
          </cell>
          <cell r="AG760">
            <v>1</v>
          </cell>
          <cell r="AH760" t="str">
            <v>SAPHIRE</v>
          </cell>
          <cell r="AI760">
            <v>0</v>
          </cell>
          <cell r="AJ760" t="str">
            <v>FALSE</v>
          </cell>
          <cell r="AK760">
            <v>0</v>
          </cell>
          <cell r="AL760">
            <v>45261</v>
          </cell>
          <cell r="AM760">
            <v>45701</v>
          </cell>
          <cell r="AN760">
            <v>1</v>
          </cell>
          <cell r="AO760">
            <v>57</v>
          </cell>
          <cell r="AP760" t="str">
            <v>-</v>
          </cell>
          <cell r="AQ760" t="str">
            <v>-</v>
          </cell>
          <cell r="AR760" t="str">
            <v>REGULER</v>
          </cell>
          <cell r="AS760" t="str">
            <v>REGULER</v>
          </cell>
          <cell r="AT760" t="str">
            <v>REGULER</v>
          </cell>
          <cell r="AU760" t="str">
            <v>-</v>
          </cell>
          <cell r="AV760" t="str">
            <v/>
          </cell>
          <cell r="AW760">
            <v>18</v>
          </cell>
          <cell r="AX760">
            <v>9</v>
          </cell>
          <cell r="AY760">
            <v>14</v>
          </cell>
          <cell r="AZ760">
            <v>11</v>
          </cell>
          <cell r="BA760">
            <v>0</v>
          </cell>
          <cell r="BB760">
            <v>18</v>
          </cell>
          <cell r="BC760">
            <v>9</v>
          </cell>
          <cell r="BD760">
            <v>14</v>
          </cell>
          <cell r="BE760">
            <v>11</v>
          </cell>
          <cell r="BF760">
            <v>0</v>
          </cell>
          <cell r="BG760" t="str">
            <v/>
          </cell>
          <cell r="BH760">
            <v>18</v>
          </cell>
          <cell r="BI760">
            <v>9</v>
          </cell>
          <cell r="BJ760">
            <v>14</v>
          </cell>
          <cell r="BK760">
            <v>11</v>
          </cell>
          <cell r="BL760">
            <v>0</v>
          </cell>
          <cell r="BM760" t="str">
            <v/>
          </cell>
          <cell r="BN760">
            <v>52</v>
          </cell>
          <cell r="BO760" t="str">
            <v/>
          </cell>
          <cell r="BP760">
            <v>18</v>
          </cell>
          <cell r="BQ760">
            <v>9</v>
          </cell>
          <cell r="BR760">
            <v>14</v>
          </cell>
          <cell r="BS760">
            <v>11</v>
          </cell>
          <cell r="BT760">
            <v>0</v>
          </cell>
          <cell r="BU760" t="str">
            <v/>
          </cell>
          <cell r="BV760">
            <v>52</v>
          </cell>
          <cell r="BW760">
            <v>3</v>
          </cell>
          <cell r="BX760" t="str">
            <v>DOWNGRADE</v>
          </cell>
          <cell r="BY760" t="str">
            <v>TIDAK</v>
          </cell>
        </row>
        <row r="761">
          <cell r="A761" t="str">
            <v>A2459</v>
          </cell>
          <cell r="B761" t="str">
            <v>Annisa Rizki Pratiwi</v>
          </cell>
          <cell r="C761" t="str">
            <v>TEMA C2</v>
          </cell>
          <cell r="D761">
            <v>45079</v>
          </cell>
          <cell r="E761" t="str">
            <v>Jun-23</v>
          </cell>
          <cell r="F761" t="str">
            <v>REGULER</v>
          </cell>
          <cell r="G761" t="str">
            <v>REGULER</v>
          </cell>
          <cell r="H761" t="str">
            <v>REGULER</v>
          </cell>
          <cell r="I761" t="str">
            <v>REGULER</v>
          </cell>
          <cell r="J761" t="str">
            <v>REGULER</v>
          </cell>
          <cell r="K761" t="str">
            <v>REGULER</v>
          </cell>
          <cell r="L761" t="str">
            <v>REGULER</v>
          </cell>
          <cell r="M761">
            <v>19</v>
          </cell>
          <cell r="N761">
            <v>31</v>
          </cell>
          <cell r="O761">
            <v>14</v>
          </cell>
          <cell r="P761">
            <v>32</v>
          </cell>
          <cell r="Q761">
            <v>9</v>
          </cell>
          <cell r="R761">
            <v>6</v>
          </cell>
          <cell r="S761">
            <v>19</v>
          </cell>
          <cell r="T761">
            <v>130</v>
          </cell>
          <cell r="U761">
            <v>19</v>
          </cell>
          <cell r="V761">
            <v>31</v>
          </cell>
          <cell r="W761">
            <v>14</v>
          </cell>
          <cell r="X761">
            <v>32</v>
          </cell>
          <cell r="Y761">
            <v>9</v>
          </cell>
          <cell r="Z761">
            <v>6</v>
          </cell>
          <cell r="AA761">
            <v>19</v>
          </cell>
          <cell r="AB761">
            <v>130</v>
          </cell>
          <cell r="AC761">
            <v>0</v>
          </cell>
          <cell r="AD761" t="str">
            <v>TIDAK</v>
          </cell>
          <cell r="AE761" t="str">
            <v>TIDAK</v>
          </cell>
          <cell r="AF761">
            <v>130</v>
          </cell>
          <cell r="AG761">
            <v>3</v>
          </cell>
          <cell r="AH761" t="str">
            <v>SAPHIRE</v>
          </cell>
          <cell r="AI761">
            <v>0</v>
          </cell>
          <cell r="AJ761" t="str">
            <v>Y</v>
          </cell>
          <cell r="AK761">
            <v>0</v>
          </cell>
          <cell r="AL761">
            <v>45261</v>
          </cell>
          <cell r="AM761">
            <v>45701</v>
          </cell>
          <cell r="AN761">
            <v>1</v>
          </cell>
          <cell r="AO761">
            <v>130</v>
          </cell>
          <cell r="AP761" t="str">
            <v>-</v>
          </cell>
          <cell r="AQ761" t="str">
            <v>-</v>
          </cell>
          <cell r="AR761" t="str">
            <v>-</v>
          </cell>
          <cell r="AS761" t="str">
            <v>-</v>
          </cell>
          <cell r="AT761" t="str">
            <v>-</v>
          </cell>
          <cell r="AU761" t="str">
            <v>-</v>
          </cell>
          <cell r="AV761" t="str">
            <v/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7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 t="str">
            <v/>
          </cell>
          <cell r="BN761">
            <v>7</v>
          </cell>
          <cell r="BO761">
            <v>7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 t="str">
            <v/>
          </cell>
          <cell r="BV761">
            <v>7</v>
          </cell>
          <cell r="BW761">
            <v>6</v>
          </cell>
          <cell r="BX761" t="str">
            <v>DOWNGRADE</v>
          </cell>
          <cell r="BY761" t="str">
            <v>RESET</v>
          </cell>
        </row>
        <row r="762">
          <cell r="A762" t="str">
            <v>A3636</v>
          </cell>
          <cell r="B762" t="str">
            <v>Annisa Safira Salsabila</v>
          </cell>
          <cell r="C762" t="str">
            <v>TEMA C2</v>
          </cell>
          <cell r="D762">
            <v>45313</v>
          </cell>
          <cell r="E762" t="str">
            <v>Jan-24</v>
          </cell>
          <cell r="F762" t="str">
            <v>-</v>
          </cell>
          <cell r="G762" t="str">
            <v>REGULER</v>
          </cell>
          <cell r="H762" t="str">
            <v>REGULER</v>
          </cell>
          <cell r="I762" t="str">
            <v>-</v>
          </cell>
          <cell r="J762" t="str">
            <v>-</v>
          </cell>
          <cell r="K762" t="str">
            <v>-</v>
          </cell>
          <cell r="L762" t="str">
            <v>-</v>
          </cell>
          <cell r="M762">
            <v>0</v>
          </cell>
          <cell r="N762">
            <v>6</v>
          </cell>
          <cell r="O762">
            <v>3</v>
          </cell>
          <cell r="P762">
            <v>0</v>
          </cell>
          <cell r="Q762">
            <v>0</v>
          </cell>
          <cell r="R762">
            <v>0</v>
          </cell>
          <cell r="S762" t="str">
            <v/>
          </cell>
          <cell r="T762">
            <v>9</v>
          </cell>
          <cell r="U762">
            <v>0</v>
          </cell>
          <cell r="V762">
            <v>6</v>
          </cell>
          <cell r="W762">
            <v>3</v>
          </cell>
          <cell r="X762">
            <v>0</v>
          </cell>
          <cell r="Y762">
            <v>0</v>
          </cell>
          <cell r="Z762">
            <v>0</v>
          </cell>
          <cell r="AA762" t="str">
            <v/>
          </cell>
          <cell r="AB762">
            <v>9</v>
          </cell>
          <cell r="AC762">
            <v>4</v>
          </cell>
          <cell r="AD762" t="str">
            <v>DOWNGRADE</v>
          </cell>
          <cell r="AE762" t="str">
            <v>RESET</v>
          </cell>
          <cell r="AF762">
            <v>0</v>
          </cell>
          <cell r="AG762">
            <v>1</v>
          </cell>
          <cell r="AH762" t="str">
            <v>SAPHIRE</v>
          </cell>
          <cell r="AI762">
            <v>0</v>
          </cell>
          <cell r="AJ762" t="str">
            <v>FALSE</v>
          </cell>
          <cell r="AK762">
            <v>0</v>
          </cell>
          <cell r="AL762">
            <v>45261</v>
          </cell>
          <cell r="AM762">
            <v>45701</v>
          </cell>
          <cell r="AN762">
            <v>1</v>
          </cell>
          <cell r="AO762">
            <v>0</v>
          </cell>
          <cell r="AP762" t="str">
            <v>-</v>
          </cell>
          <cell r="AQ762" t="str">
            <v>-</v>
          </cell>
          <cell r="AR762" t="str">
            <v>-</v>
          </cell>
          <cell r="AS762" t="str">
            <v>-</v>
          </cell>
          <cell r="AT762" t="str">
            <v>-</v>
          </cell>
          <cell r="AU762" t="str">
            <v>-</v>
          </cell>
          <cell r="AV762" t="str">
            <v/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 t="str">
            <v/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 t="str">
            <v/>
          </cell>
          <cell r="BN762">
            <v>0</v>
          </cell>
          <cell r="BO762" t="str">
            <v/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 t="str">
            <v/>
          </cell>
          <cell r="BV762">
            <v>0</v>
          </cell>
          <cell r="BW762">
            <v>7</v>
          </cell>
          <cell r="BX762" t="str">
            <v>DOWNGRADE</v>
          </cell>
          <cell r="BY762" t="str">
            <v>RESET</v>
          </cell>
        </row>
        <row r="763">
          <cell r="A763" t="str">
            <v>A4023</v>
          </cell>
          <cell r="B763" t="str">
            <v>ANNISA SEKAR WARDAYA</v>
          </cell>
          <cell r="C763" t="str">
            <v>TEMA C2</v>
          </cell>
          <cell r="D763">
            <v>45426</v>
          </cell>
          <cell r="E763" t="str">
            <v>May-24</v>
          </cell>
          <cell r="F763" t="str">
            <v>-</v>
          </cell>
          <cell r="G763" t="str">
            <v>-</v>
          </cell>
          <cell r="H763" t="str">
            <v>-</v>
          </cell>
          <cell r="I763" t="str">
            <v>-</v>
          </cell>
          <cell r="J763" t="str">
            <v>-</v>
          </cell>
          <cell r="K763" t="str">
            <v>REGULER</v>
          </cell>
          <cell r="L763" t="str">
            <v>REGULER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22</v>
          </cell>
          <cell r="S763">
            <v>15</v>
          </cell>
          <cell r="T763">
            <v>37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22</v>
          </cell>
          <cell r="AA763">
            <v>15</v>
          </cell>
          <cell r="AB763">
            <v>37</v>
          </cell>
          <cell r="AC763">
            <v>0</v>
          </cell>
          <cell r="AD763" t="str">
            <v>TIDAK</v>
          </cell>
          <cell r="AE763" t="str">
            <v>TIDAK</v>
          </cell>
          <cell r="AF763">
            <v>37</v>
          </cell>
          <cell r="AG763">
            <v>1</v>
          </cell>
          <cell r="AH763" t="str">
            <v>SAPHIRE</v>
          </cell>
          <cell r="AI763">
            <v>0</v>
          </cell>
          <cell r="AJ763" t="str">
            <v>FALSE</v>
          </cell>
          <cell r="AK763">
            <v>0</v>
          </cell>
          <cell r="AL763">
            <v>45261</v>
          </cell>
          <cell r="AM763">
            <v>45701</v>
          </cell>
          <cell r="AN763">
            <v>1</v>
          </cell>
          <cell r="AO763">
            <v>37</v>
          </cell>
          <cell r="AP763" t="str">
            <v>-</v>
          </cell>
          <cell r="AQ763" t="str">
            <v>-</v>
          </cell>
          <cell r="AR763" t="str">
            <v>REGULER</v>
          </cell>
          <cell r="AS763" t="str">
            <v>-</v>
          </cell>
          <cell r="AT763" t="str">
            <v>-</v>
          </cell>
          <cell r="AU763" t="str">
            <v>-</v>
          </cell>
          <cell r="AV763" t="str">
            <v/>
          </cell>
          <cell r="AW763">
            <v>28</v>
          </cell>
          <cell r="AX763">
            <v>14</v>
          </cell>
          <cell r="AY763">
            <v>0</v>
          </cell>
          <cell r="AZ763">
            <v>0</v>
          </cell>
          <cell r="BA763">
            <v>0</v>
          </cell>
          <cell r="BB763">
            <v>28</v>
          </cell>
          <cell r="BC763">
            <v>14</v>
          </cell>
          <cell r="BD763">
            <v>0</v>
          </cell>
          <cell r="BE763">
            <v>0</v>
          </cell>
          <cell r="BF763">
            <v>0</v>
          </cell>
          <cell r="BG763">
            <v>7</v>
          </cell>
          <cell r="BH763">
            <v>28</v>
          </cell>
          <cell r="BI763">
            <v>14</v>
          </cell>
          <cell r="BJ763">
            <v>0</v>
          </cell>
          <cell r="BK763">
            <v>0</v>
          </cell>
          <cell r="BL763">
            <v>0</v>
          </cell>
          <cell r="BM763" t="str">
            <v/>
          </cell>
          <cell r="BN763">
            <v>49</v>
          </cell>
          <cell r="BO763">
            <v>7</v>
          </cell>
          <cell r="BP763">
            <v>28</v>
          </cell>
          <cell r="BQ763">
            <v>14</v>
          </cell>
          <cell r="BR763">
            <v>0</v>
          </cell>
          <cell r="BS763">
            <v>0</v>
          </cell>
          <cell r="BT763">
            <v>0</v>
          </cell>
          <cell r="BU763" t="str">
            <v/>
          </cell>
          <cell r="BV763">
            <v>49</v>
          </cell>
          <cell r="BW763">
            <v>4</v>
          </cell>
          <cell r="BX763" t="str">
            <v>DOWNGRADE</v>
          </cell>
          <cell r="BY763" t="str">
            <v>RESET</v>
          </cell>
        </row>
        <row r="764">
          <cell r="A764" t="str">
            <v>A2977</v>
          </cell>
          <cell r="B764" t="str">
            <v>Anti Widia</v>
          </cell>
          <cell r="C764" t="str">
            <v>TEMA C2</v>
          </cell>
          <cell r="D764">
            <v>45345</v>
          </cell>
          <cell r="E764" t="str">
            <v>Feb-24</v>
          </cell>
          <cell r="F764" t="str">
            <v>-</v>
          </cell>
          <cell r="G764" t="str">
            <v>-</v>
          </cell>
          <cell r="H764" t="str">
            <v>REGULER</v>
          </cell>
          <cell r="I764" t="str">
            <v>REGULER</v>
          </cell>
          <cell r="J764" t="str">
            <v>REGULER</v>
          </cell>
          <cell r="K764" t="str">
            <v>-</v>
          </cell>
          <cell r="L764" t="str">
            <v>-</v>
          </cell>
          <cell r="M764">
            <v>0</v>
          </cell>
          <cell r="N764">
            <v>0</v>
          </cell>
          <cell r="O764">
            <v>5</v>
          </cell>
          <cell r="P764">
            <v>29</v>
          </cell>
          <cell r="Q764">
            <v>4</v>
          </cell>
          <cell r="R764">
            <v>0</v>
          </cell>
          <cell r="S764" t="str">
            <v/>
          </cell>
          <cell r="T764">
            <v>38</v>
          </cell>
          <cell r="U764">
            <v>0</v>
          </cell>
          <cell r="V764">
            <v>0</v>
          </cell>
          <cell r="W764">
            <v>5</v>
          </cell>
          <cell r="X764">
            <v>29</v>
          </cell>
          <cell r="Y764">
            <v>4</v>
          </cell>
          <cell r="Z764">
            <v>0</v>
          </cell>
          <cell r="AA764" t="str">
            <v/>
          </cell>
          <cell r="AB764">
            <v>38</v>
          </cell>
          <cell r="AC764">
            <v>2</v>
          </cell>
          <cell r="AD764" t="str">
            <v>TIDAK</v>
          </cell>
          <cell r="AE764" t="str">
            <v>TIDAK</v>
          </cell>
          <cell r="AF764">
            <v>38</v>
          </cell>
          <cell r="AG764">
            <v>1</v>
          </cell>
          <cell r="AH764" t="str">
            <v>SAPHIRE</v>
          </cell>
          <cell r="AI764">
            <v>0</v>
          </cell>
          <cell r="AJ764" t="str">
            <v>FALSE</v>
          </cell>
          <cell r="AK764">
            <v>0</v>
          </cell>
          <cell r="AL764">
            <v>45261</v>
          </cell>
          <cell r="AM764">
            <v>45701</v>
          </cell>
          <cell r="AN764">
            <v>1</v>
          </cell>
          <cell r="AO764">
            <v>38</v>
          </cell>
          <cell r="AP764" t="str">
            <v>-</v>
          </cell>
          <cell r="AQ764" t="str">
            <v>-</v>
          </cell>
          <cell r="AR764" t="str">
            <v>-</v>
          </cell>
          <cell r="AS764" t="str">
            <v>-</v>
          </cell>
          <cell r="AT764" t="str">
            <v>-</v>
          </cell>
          <cell r="AU764" t="str">
            <v>-</v>
          </cell>
          <cell r="AV764" t="str">
            <v/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 t="str">
            <v/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 t="str">
            <v/>
          </cell>
          <cell r="BN764">
            <v>0</v>
          </cell>
          <cell r="BO764" t="str">
            <v/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 t="str">
            <v/>
          </cell>
          <cell r="BV764">
            <v>0</v>
          </cell>
          <cell r="BW764">
            <v>7</v>
          </cell>
          <cell r="BX764" t="str">
            <v>DOWNGRADE</v>
          </cell>
          <cell r="BY764" t="str">
            <v>RESET</v>
          </cell>
        </row>
        <row r="765">
          <cell r="A765" t="str">
            <v>A2705</v>
          </cell>
          <cell r="B765" t="str">
            <v>Antonia Desi Endah Kristiyanti</v>
          </cell>
          <cell r="C765" t="str">
            <v>TEMA C2</v>
          </cell>
          <cell r="D765">
            <v>45131</v>
          </cell>
          <cell r="E765" t="str">
            <v>Jul-23</v>
          </cell>
          <cell r="F765" t="str">
            <v>EKSKLUSIF</v>
          </cell>
          <cell r="G765" t="str">
            <v>EKSKLUSIF</v>
          </cell>
          <cell r="H765" t="str">
            <v>EKSKLUSIF</v>
          </cell>
          <cell r="I765" t="str">
            <v>REGULER</v>
          </cell>
          <cell r="J765" t="str">
            <v>REGULER</v>
          </cell>
          <cell r="K765" t="str">
            <v>REGULER</v>
          </cell>
          <cell r="L765" t="str">
            <v>REGULER</v>
          </cell>
          <cell r="M765">
            <v>19</v>
          </cell>
          <cell r="N765">
            <v>45</v>
          </cell>
          <cell r="O765">
            <v>38</v>
          </cell>
          <cell r="P765">
            <v>37</v>
          </cell>
          <cell r="Q765">
            <v>30</v>
          </cell>
          <cell r="R765">
            <v>32</v>
          </cell>
          <cell r="S765">
            <v>18</v>
          </cell>
          <cell r="T765">
            <v>219</v>
          </cell>
          <cell r="U765">
            <v>0</v>
          </cell>
          <cell r="V765">
            <v>0</v>
          </cell>
          <cell r="W765">
            <v>0</v>
          </cell>
          <cell r="X765">
            <v>37</v>
          </cell>
          <cell r="Y765">
            <v>30</v>
          </cell>
          <cell r="Z765">
            <v>32</v>
          </cell>
          <cell r="AA765">
            <v>18</v>
          </cell>
          <cell r="AB765">
            <v>117</v>
          </cell>
          <cell r="AC765">
            <v>0</v>
          </cell>
          <cell r="AD765" t="str">
            <v>TIDAK</v>
          </cell>
          <cell r="AE765" t="str">
            <v>TIDAK</v>
          </cell>
          <cell r="AF765">
            <v>117</v>
          </cell>
          <cell r="AG765">
            <v>1</v>
          </cell>
          <cell r="AH765" t="str">
            <v>SAPHIRE</v>
          </cell>
          <cell r="AI765">
            <v>65</v>
          </cell>
          <cell r="AJ765" t="str">
            <v>Y</v>
          </cell>
          <cell r="AK765">
            <v>0</v>
          </cell>
          <cell r="AL765">
            <v>45261</v>
          </cell>
          <cell r="AM765">
            <v>45701</v>
          </cell>
          <cell r="AN765">
            <v>1</v>
          </cell>
          <cell r="AO765">
            <v>52</v>
          </cell>
          <cell r="AP765" t="str">
            <v>-</v>
          </cell>
          <cell r="AQ765" t="str">
            <v>-</v>
          </cell>
          <cell r="AR765" t="str">
            <v>REGULER</v>
          </cell>
          <cell r="AS765" t="str">
            <v>REGULER</v>
          </cell>
          <cell r="AT765" t="str">
            <v>REGULER</v>
          </cell>
          <cell r="AU765" t="str">
            <v>REGULER</v>
          </cell>
          <cell r="AV765" t="str">
            <v/>
          </cell>
          <cell r="AW765">
            <v>40</v>
          </cell>
          <cell r="AX765">
            <v>28</v>
          </cell>
          <cell r="AY765">
            <v>31</v>
          </cell>
          <cell r="AZ765">
            <v>45</v>
          </cell>
          <cell r="BA765">
            <v>42</v>
          </cell>
          <cell r="BB765">
            <v>40</v>
          </cell>
          <cell r="BC765">
            <v>28</v>
          </cell>
          <cell r="BD765">
            <v>31</v>
          </cell>
          <cell r="BE765">
            <v>45</v>
          </cell>
          <cell r="BF765">
            <v>42</v>
          </cell>
          <cell r="BG765">
            <v>17</v>
          </cell>
          <cell r="BH765">
            <v>40</v>
          </cell>
          <cell r="BI765">
            <v>28</v>
          </cell>
          <cell r="BJ765">
            <v>31</v>
          </cell>
          <cell r="BK765">
            <v>45</v>
          </cell>
          <cell r="BL765">
            <v>42</v>
          </cell>
          <cell r="BM765">
            <v>19</v>
          </cell>
          <cell r="BN765">
            <v>222</v>
          </cell>
          <cell r="BO765">
            <v>17</v>
          </cell>
          <cell r="BP765">
            <v>40</v>
          </cell>
          <cell r="BQ765">
            <v>28</v>
          </cell>
          <cell r="BR765">
            <v>31</v>
          </cell>
          <cell r="BS765">
            <v>45</v>
          </cell>
          <cell r="BT765">
            <v>42</v>
          </cell>
          <cell r="BU765">
            <v>19</v>
          </cell>
          <cell r="BV765">
            <v>222</v>
          </cell>
          <cell r="BW765">
            <v>0</v>
          </cell>
          <cell r="BX765" t="str">
            <v>TIDAK</v>
          </cell>
          <cell r="BY765" t="str">
            <v>TIDAK</v>
          </cell>
        </row>
        <row r="766">
          <cell r="A766" t="str">
            <v>A3739</v>
          </cell>
          <cell r="B766" t="str">
            <v>Antonio Rui Costa Gau</v>
          </cell>
          <cell r="C766" t="str">
            <v>TEMA C2</v>
          </cell>
          <cell r="D766">
            <v>45335</v>
          </cell>
          <cell r="E766" t="str">
            <v>Feb-24</v>
          </cell>
          <cell r="F766" t="str">
            <v>-</v>
          </cell>
          <cell r="G766" t="str">
            <v>-</v>
          </cell>
          <cell r="H766" t="str">
            <v>REGULER</v>
          </cell>
          <cell r="I766" t="str">
            <v>REGULER</v>
          </cell>
          <cell r="J766" t="str">
            <v>REGULER</v>
          </cell>
          <cell r="K766" t="str">
            <v>REGULER</v>
          </cell>
          <cell r="L766" t="str">
            <v>REGULER</v>
          </cell>
          <cell r="M766">
            <v>0</v>
          </cell>
          <cell r="N766">
            <v>0</v>
          </cell>
          <cell r="O766">
            <v>17</v>
          </cell>
          <cell r="P766">
            <v>38</v>
          </cell>
          <cell r="Q766">
            <v>29</v>
          </cell>
          <cell r="R766">
            <v>23</v>
          </cell>
          <cell r="S766">
            <v>11</v>
          </cell>
          <cell r="T766">
            <v>118</v>
          </cell>
          <cell r="U766">
            <v>0</v>
          </cell>
          <cell r="V766">
            <v>0</v>
          </cell>
          <cell r="W766">
            <v>17</v>
          </cell>
          <cell r="X766">
            <v>38</v>
          </cell>
          <cell r="Y766">
            <v>29</v>
          </cell>
          <cell r="Z766">
            <v>23</v>
          </cell>
          <cell r="AA766">
            <v>11</v>
          </cell>
          <cell r="AB766">
            <v>118</v>
          </cell>
          <cell r="AC766">
            <v>0</v>
          </cell>
          <cell r="AD766" t="str">
            <v>TIDAK</v>
          </cell>
          <cell r="AE766" t="str">
            <v>TIDAK</v>
          </cell>
          <cell r="AF766">
            <v>118</v>
          </cell>
          <cell r="AG766">
            <v>2</v>
          </cell>
          <cell r="AH766" t="str">
            <v>SAPHIRE</v>
          </cell>
          <cell r="AI766">
            <v>0</v>
          </cell>
          <cell r="AJ766" t="str">
            <v>Y</v>
          </cell>
          <cell r="AK766">
            <v>0</v>
          </cell>
          <cell r="AL766">
            <v>45261</v>
          </cell>
          <cell r="AM766">
            <v>45701</v>
          </cell>
          <cell r="AN766">
            <v>1</v>
          </cell>
          <cell r="AO766">
            <v>118</v>
          </cell>
          <cell r="AP766" t="str">
            <v>-</v>
          </cell>
          <cell r="AQ766" t="str">
            <v>-</v>
          </cell>
          <cell r="AR766" t="str">
            <v>-</v>
          </cell>
          <cell r="AS766" t="str">
            <v>-</v>
          </cell>
          <cell r="AT766" t="str">
            <v>-</v>
          </cell>
          <cell r="AU766" t="str">
            <v>-</v>
          </cell>
          <cell r="AV766" t="str">
            <v/>
          </cell>
          <cell r="AW766">
            <v>3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3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8</v>
          </cell>
          <cell r="BH766">
            <v>3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 t="str">
            <v/>
          </cell>
          <cell r="BN766">
            <v>11</v>
          </cell>
          <cell r="BO766">
            <v>8</v>
          </cell>
          <cell r="BP766">
            <v>3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 t="str">
            <v/>
          </cell>
          <cell r="BV766">
            <v>11</v>
          </cell>
          <cell r="BW766">
            <v>5</v>
          </cell>
          <cell r="BX766" t="str">
            <v>DOWNGRADE</v>
          </cell>
          <cell r="BY766" t="str">
            <v>RESET</v>
          </cell>
        </row>
        <row r="767">
          <cell r="A767" t="str">
            <v>A1249</v>
          </cell>
          <cell r="B767" t="str">
            <v>Ardiansyah Abubakar</v>
          </cell>
          <cell r="C767" t="str">
            <v>TEMA C2</v>
          </cell>
          <cell r="D767">
            <v>44942</v>
          </cell>
          <cell r="E767" t="str">
            <v>Jan-23</v>
          </cell>
          <cell r="F767" t="str">
            <v>EKSKLUSIF</v>
          </cell>
          <cell r="G767" t="str">
            <v>EKSKLUSIF</v>
          </cell>
          <cell r="H767" t="str">
            <v>EKSKLUSIF</v>
          </cell>
          <cell r="I767" t="str">
            <v>EKSKLUSIF</v>
          </cell>
          <cell r="J767" t="str">
            <v>REGULER</v>
          </cell>
          <cell r="K767" t="str">
            <v>REGULER</v>
          </cell>
          <cell r="L767" t="str">
            <v>REGULER</v>
          </cell>
          <cell r="M767">
            <v>19</v>
          </cell>
          <cell r="N767">
            <v>47</v>
          </cell>
          <cell r="O767">
            <v>38</v>
          </cell>
          <cell r="P767">
            <v>38</v>
          </cell>
          <cell r="Q767">
            <v>6</v>
          </cell>
          <cell r="R767">
            <v>25</v>
          </cell>
          <cell r="S767">
            <v>17</v>
          </cell>
          <cell r="T767">
            <v>190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6</v>
          </cell>
          <cell r="Z767">
            <v>25</v>
          </cell>
          <cell r="AA767">
            <v>17</v>
          </cell>
          <cell r="AB767">
            <v>48</v>
          </cell>
          <cell r="AC767">
            <v>0</v>
          </cell>
          <cell r="AD767" t="str">
            <v>TIDAK</v>
          </cell>
          <cell r="AE767" t="str">
            <v>TIDAK</v>
          </cell>
          <cell r="AF767">
            <v>48</v>
          </cell>
          <cell r="AG767">
            <v>2</v>
          </cell>
          <cell r="AH767" t="str">
            <v>SAPHIRE</v>
          </cell>
          <cell r="AI767">
            <v>0</v>
          </cell>
          <cell r="AJ767" t="str">
            <v>FALSE</v>
          </cell>
          <cell r="AK767">
            <v>0</v>
          </cell>
          <cell r="AL767">
            <v>45261</v>
          </cell>
          <cell r="AM767">
            <v>45701</v>
          </cell>
          <cell r="AN767">
            <v>1</v>
          </cell>
          <cell r="AO767">
            <v>48</v>
          </cell>
          <cell r="AP767" t="str">
            <v>-</v>
          </cell>
          <cell r="AQ767" t="str">
            <v>-</v>
          </cell>
          <cell r="AR767" t="str">
            <v>REGULER</v>
          </cell>
          <cell r="AS767" t="str">
            <v>REGULER</v>
          </cell>
          <cell r="AT767" t="str">
            <v>REGULER</v>
          </cell>
          <cell r="AU767" t="str">
            <v>REGULER</v>
          </cell>
          <cell r="AV767" t="str">
            <v/>
          </cell>
          <cell r="AW767">
            <v>26</v>
          </cell>
          <cell r="AX767">
            <v>41</v>
          </cell>
          <cell r="AY767">
            <v>25</v>
          </cell>
          <cell r="AZ767">
            <v>22</v>
          </cell>
          <cell r="BA767">
            <v>32</v>
          </cell>
          <cell r="BB767">
            <v>26</v>
          </cell>
          <cell r="BC767">
            <v>41</v>
          </cell>
          <cell r="BD767">
            <v>25</v>
          </cell>
          <cell r="BE767">
            <v>22</v>
          </cell>
          <cell r="BF767">
            <v>32</v>
          </cell>
          <cell r="BG767">
            <v>15</v>
          </cell>
          <cell r="BH767">
            <v>26</v>
          </cell>
          <cell r="BI767">
            <v>41</v>
          </cell>
          <cell r="BJ767">
            <v>25</v>
          </cell>
          <cell r="BK767">
            <v>22</v>
          </cell>
          <cell r="BL767">
            <v>32</v>
          </cell>
          <cell r="BM767">
            <v>11</v>
          </cell>
          <cell r="BN767">
            <v>172</v>
          </cell>
          <cell r="BO767">
            <v>15</v>
          </cell>
          <cell r="BP767">
            <v>26</v>
          </cell>
          <cell r="BQ767">
            <v>41</v>
          </cell>
          <cell r="BR767">
            <v>25</v>
          </cell>
          <cell r="BS767">
            <v>22</v>
          </cell>
          <cell r="BT767">
            <v>32</v>
          </cell>
          <cell r="BU767">
            <v>11</v>
          </cell>
          <cell r="BV767">
            <v>172</v>
          </cell>
          <cell r="BW767">
            <v>0</v>
          </cell>
          <cell r="BX767" t="str">
            <v>TIDAK</v>
          </cell>
          <cell r="BY767" t="str">
            <v>TIDAK</v>
          </cell>
        </row>
        <row r="768">
          <cell r="A768">
            <v>92518</v>
          </cell>
          <cell r="B768" t="str">
            <v>Arif Irfanto</v>
          </cell>
          <cell r="C768" t="str">
            <v>TEMA C2</v>
          </cell>
          <cell r="D768">
            <v>44750</v>
          </cell>
          <cell r="E768" t="str">
            <v>Jul-22</v>
          </cell>
          <cell r="F768" t="str">
            <v>EKSKLUSIF</v>
          </cell>
          <cell r="G768" t="str">
            <v>EKSKLUSIF</v>
          </cell>
          <cell r="H768" t="str">
            <v>EKSKLUSIF</v>
          </cell>
          <cell r="I768" t="str">
            <v>REGULER</v>
          </cell>
          <cell r="J768" t="str">
            <v>REGULER</v>
          </cell>
          <cell r="K768" t="str">
            <v>REGULER</v>
          </cell>
          <cell r="L768" t="str">
            <v>-</v>
          </cell>
          <cell r="M768">
            <v>19</v>
          </cell>
          <cell r="N768">
            <v>45</v>
          </cell>
          <cell r="O768">
            <v>39</v>
          </cell>
          <cell r="P768">
            <v>28</v>
          </cell>
          <cell r="Q768">
            <v>32</v>
          </cell>
          <cell r="R768">
            <v>1</v>
          </cell>
          <cell r="S768" t="str">
            <v/>
          </cell>
          <cell r="T768">
            <v>164</v>
          </cell>
          <cell r="U768">
            <v>0</v>
          </cell>
          <cell r="V768">
            <v>0</v>
          </cell>
          <cell r="W768">
            <v>0</v>
          </cell>
          <cell r="X768">
            <v>28</v>
          </cell>
          <cell r="Y768">
            <v>32</v>
          </cell>
          <cell r="Z768">
            <v>1</v>
          </cell>
          <cell r="AA768" t="str">
            <v/>
          </cell>
          <cell r="AB768">
            <v>61</v>
          </cell>
          <cell r="AC768">
            <v>1</v>
          </cell>
          <cell r="AD768" t="str">
            <v>TIDAK</v>
          </cell>
          <cell r="AE768" t="str">
            <v>TIDAK</v>
          </cell>
          <cell r="AF768">
            <v>61</v>
          </cell>
          <cell r="AG768">
            <v>2</v>
          </cell>
          <cell r="AH768" t="str">
            <v>SAPHIRE</v>
          </cell>
          <cell r="AI768">
            <v>0</v>
          </cell>
          <cell r="AJ768" t="str">
            <v>FALSE</v>
          </cell>
          <cell r="AK768">
            <v>0</v>
          </cell>
          <cell r="AL768">
            <v>45261</v>
          </cell>
          <cell r="AM768">
            <v>45701</v>
          </cell>
          <cell r="AN768">
            <v>1</v>
          </cell>
          <cell r="AO768">
            <v>61</v>
          </cell>
          <cell r="AP768" t="str">
            <v>-</v>
          </cell>
          <cell r="AQ768" t="str">
            <v>-</v>
          </cell>
          <cell r="AR768" t="str">
            <v>-</v>
          </cell>
          <cell r="AS768" t="str">
            <v>-</v>
          </cell>
          <cell r="AT768" t="str">
            <v>-</v>
          </cell>
          <cell r="AU768" t="str">
            <v>-</v>
          </cell>
          <cell r="AV768" t="str">
            <v/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 t="str">
            <v/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 t="str">
            <v/>
          </cell>
          <cell r="BN768">
            <v>0</v>
          </cell>
          <cell r="BO768" t="str">
            <v/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 t="str">
            <v/>
          </cell>
          <cell r="BV768">
            <v>0</v>
          </cell>
          <cell r="BW768">
            <v>7</v>
          </cell>
          <cell r="BX768" t="str">
            <v>DOWNGRADE</v>
          </cell>
          <cell r="BY768" t="str">
            <v>RESET</v>
          </cell>
        </row>
        <row r="769">
          <cell r="A769" t="str">
            <v>A3305</v>
          </cell>
          <cell r="B769" t="str">
            <v>Arif Novianto</v>
          </cell>
          <cell r="C769" t="str">
            <v>TEMA C2</v>
          </cell>
          <cell r="D769">
            <v>45246</v>
          </cell>
          <cell r="E769" t="str">
            <v>Nov-23</v>
          </cell>
          <cell r="F769" t="str">
            <v>REGULER</v>
          </cell>
          <cell r="G769" t="str">
            <v>REGULER</v>
          </cell>
          <cell r="H769" t="str">
            <v>REGULER</v>
          </cell>
          <cell r="I769" t="str">
            <v>REGULER</v>
          </cell>
          <cell r="J769" t="str">
            <v>REGULER</v>
          </cell>
          <cell r="K769" t="str">
            <v>REGULER</v>
          </cell>
          <cell r="L769" t="str">
            <v>REGULER</v>
          </cell>
          <cell r="M769">
            <v>21</v>
          </cell>
          <cell r="N769">
            <v>46</v>
          </cell>
          <cell r="O769">
            <v>34</v>
          </cell>
          <cell r="P769">
            <v>41</v>
          </cell>
          <cell r="Q769">
            <v>35</v>
          </cell>
          <cell r="R769">
            <v>42</v>
          </cell>
          <cell r="S769">
            <v>20</v>
          </cell>
          <cell r="T769">
            <v>239</v>
          </cell>
          <cell r="U769">
            <v>21</v>
          </cell>
          <cell r="V769">
            <v>46</v>
          </cell>
          <cell r="W769">
            <v>34</v>
          </cell>
          <cell r="X769">
            <v>41</v>
          </cell>
          <cell r="Y769">
            <v>35</v>
          </cell>
          <cell r="Z769">
            <v>42</v>
          </cell>
          <cell r="AA769">
            <v>20</v>
          </cell>
          <cell r="AB769">
            <v>239</v>
          </cell>
          <cell r="AC769">
            <v>0</v>
          </cell>
          <cell r="AD769" t="str">
            <v>TIDAK</v>
          </cell>
          <cell r="AE769" t="str">
            <v>TIDAK</v>
          </cell>
          <cell r="AF769">
            <v>239</v>
          </cell>
          <cell r="AG769">
            <v>4</v>
          </cell>
          <cell r="AH769" t="str">
            <v>SAPHIRE</v>
          </cell>
          <cell r="AI769">
            <v>0</v>
          </cell>
          <cell r="AJ769" t="str">
            <v>Y</v>
          </cell>
          <cell r="AK769">
            <v>0</v>
          </cell>
          <cell r="AL769">
            <v>45261</v>
          </cell>
          <cell r="AM769">
            <v>45701</v>
          </cell>
          <cell r="AN769">
            <v>1</v>
          </cell>
          <cell r="AO769">
            <v>239</v>
          </cell>
          <cell r="AP769" t="str">
            <v>-</v>
          </cell>
          <cell r="AQ769" t="str">
            <v>-</v>
          </cell>
          <cell r="AR769" t="str">
            <v>EKSKLUSIF</v>
          </cell>
          <cell r="AS769" t="str">
            <v>EKSKLUSIF</v>
          </cell>
          <cell r="AT769" t="str">
            <v>EKSKLUSIF</v>
          </cell>
          <cell r="AU769" t="str">
            <v>EKSKLUSIF</v>
          </cell>
          <cell r="AV769" t="str">
            <v/>
          </cell>
          <cell r="AW769">
            <v>44</v>
          </cell>
          <cell r="AX769">
            <v>48</v>
          </cell>
          <cell r="AY769">
            <v>43</v>
          </cell>
          <cell r="AZ769">
            <v>50</v>
          </cell>
          <cell r="BA769">
            <v>42</v>
          </cell>
          <cell r="BB769">
            <v>44</v>
          </cell>
          <cell r="BC769">
            <v>48</v>
          </cell>
          <cell r="BD769">
            <v>43</v>
          </cell>
          <cell r="BE769">
            <v>50</v>
          </cell>
          <cell r="BF769">
            <v>42</v>
          </cell>
          <cell r="BG769">
            <v>19</v>
          </cell>
          <cell r="BH769">
            <v>44</v>
          </cell>
          <cell r="BI769">
            <v>48</v>
          </cell>
          <cell r="BJ769">
            <v>43</v>
          </cell>
          <cell r="BK769">
            <v>50</v>
          </cell>
          <cell r="BL769">
            <v>42</v>
          </cell>
          <cell r="BM769">
            <v>21</v>
          </cell>
          <cell r="BN769">
            <v>267</v>
          </cell>
          <cell r="BO769">
            <v>19</v>
          </cell>
          <cell r="BP769">
            <v>44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21</v>
          </cell>
          <cell r="BV769">
            <v>84</v>
          </cell>
          <cell r="BW769">
            <v>0</v>
          </cell>
          <cell r="BX769" t="str">
            <v>TIDAK</v>
          </cell>
          <cell r="BY769" t="str">
            <v>TIDAK</v>
          </cell>
        </row>
        <row r="770">
          <cell r="A770" t="str">
            <v>A4087</v>
          </cell>
          <cell r="B770" t="str">
            <v>ARIF TEGUH WICAKSONO</v>
          </cell>
          <cell r="C770" t="str">
            <v>TEMA C2</v>
          </cell>
          <cell r="D770">
            <v>45442</v>
          </cell>
          <cell r="E770" t="str">
            <v>May-24</v>
          </cell>
          <cell r="F770" t="str">
            <v>-</v>
          </cell>
          <cell r="G770" t="str">
            <v>-</v>
          </cell>
          <cell r="H770" t="str">
            <v>-</v>
          </cell>
          <cell r="I770" t="str">
            <v>-</v>
          </cell>
          <cell r="J770" t="str">
            <v>-</v>
          </cell>
          <cell r="K770" t="str">
            <v>-</v>
          </cell>
          <cell r="L770" t="str">
            <v>REGULER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22</v>
          </cell>
          <cell r="T770">
            <v>22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22</v>
          </cell>
          <cell r="AB770">
            <v>22</v>
          </cell>
          <cell r="AC770">
            <v>1</v>
          </cell>
          <cell r="AD770" t="str">
            <v>TIDAK</v>
          </cell>
          <cell r="AE770" t="str">
            <v>TIDAK</v>
          </cell>
          <cell r="AF770">
            <v>22</v>
          </cell>
          <cell r="AG770">
            <v>1</v>
          </cell>
          <cell r="AH770" t="str">
            <v>SAPHIRE</v>
          </cell>
          <cell r="AI770">
            <v>0</v>
          </cell>
          <cell r="AJ770" t="str">
            <v>FALSE</v>
          </cell>
          <cell r="AK770">
            <v>0</v>
          </cell>
          <cell r="AL770">
            <v>45261</v>
          </cell>
          <cell r="AM770">
            <v>45701</v>
          </cell>
          <cell r="AN770">
            <v>1</v>
          </cell>
          <cell r="AO770">
            <v>22</v>
          </cell>
          <cell r="AP770" t="str">
            <v>-</v>
          </cell>
          <cell r="AQ770" t="str">
            <v>-</v>
          </cell>
          <cell r="AR770" t="str">
            <v>EKSKLUSIF</v>
          </cell>
          <cell r="AS770" t="str">
            <v>EKSKLUSIF</v>
          </cell>
          <cell r="AT770" t="str">
            <v>EKSKLUSIF</v>
          </cell>
          <cell r="AU770" t="str">
            <v>REGULER</v>
          </cell>
          <cell r="AV770" t="str">
            <v/>
          </cell>
          <cell r="AW770">
            <v>46</v>
          </cell>
          <cell r="AX770">
            <v>45</v>
          </cell>
          <cell r="AY770">
            <v>37</v>
          </cell>
          <cell r="AZ770">
            <v>48</v>
          </cell>
          <cell r="BA770">
            <v>38</v>
          </cell>
          <cell r="BB770">
            <v>46</v>
          </cell>
          <cell r="BC770">
            <v>45</v>
          </cell>
          <cell r="BD770">
            <v>37</v>
          </cell>
          <cell r="BE770">
            <v>48</v>
          </cell>
          <cell r="BF770">
            <v>38</v>
          </cell>
          <cell r="BG770">
            <v>19</v>
          </cell>
          <cell r="BH770">
            <v>46</v>
          </cell>
          <cell r="BI770">
            <v>45</v>
          </cell>
          <cell r="BJ770">
            <v>37</v>
          </cell>
          <cell r="BK770">
            <v>48</v>
          </cell>
          <cell r="BL770">
            <v>38</v>
          </cell>
          <cell r="BM770">
            <v>15</v>
          </cell>
          <cell r="BN770">
            <v>248</v>
          </cell>
          <cell r="BO770">
            <v>19</v>
          </cell>
          <cell r="BP770">
            <v>46</v>
          </cell>
          <cell r="BQ770">
            <v>0</v>
          </cell>
          <cell r="BR770">
            <v>0</v>
          </cell>
          <cell r="BS770">
            <v>0</v>
          </cell>
          <cell r="BT770">
            <v>38</v>
          </cell>
          <cell r="BU770">
            <v>15</v>
          </cell>
          <cell r="BV770">
            <v>118</v>
          </cell>
          <cell r="BW770">
            <v>0</v>
          </cell>
          <cell r="BX770" t="str">
            <v>TIDAK</v>
          </cell>
          <cell r="BY770" t="str">
            <v>TIDAK</v>
          </cell>
        </row>
        <row r="771">
          <cell r="A771" t="str">
            <v>A4107</v>
          </cell>
          <cell r="B771" t="str">
            <v>ARIYANI KURNIAWATI</v>
          </cell>
          <cell r="C771" t="str">
            <v>TEMA C2</v>
          </cell>
          <cell r="D771">
            <v>45456</v>
          </cell>
          <cell r="E771" t="str">
            <v>Jun-24</v>
          </cell>
          <cell r="F771" t="str">
            <v>-</v>
          </cell>
          <cell r="G771" t="str">
            <v>-</v>
          </cell>
          <cell r="H771" t="str">
            <v>-</v>
          </cell>
          <cell r="I771" t="str">
            <v>-</v>
          </cell>
          <cell r="J771" t="str">
            <v>-</v>
          </cell>
          <cell r="K771" t="str">
            <v>-</v>
          </cell>
          <cell r="L771" t="str">
            <v>REGULER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4</v>
          </cell>
          <cell r="T771">
            <v>4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4</v>
          </cell>
          <cell r="AB771">
            <v>4</v>
          </cell>
          <cell r="AC771">
            <v>0</v>
          </cell>
          <cell r="AD771" t="str">
            <v>TIDAK</v>
          </cell>
          <cell r="AE771" t="str">
            <v>TIDAK</v>
          </cell>
          <cell r="AF771">
            <v>4</v>
          </cell>
          <cell r="AG771">
            <v>1</v>
          </cell>
          <cell r="AH771" t="str">
            <v>SAPHIRE</v>
          </cell>
          <cell r="AI771">
            <v>0</v>
          </cell>
          <cell r="AJ771" t="str">
            <v>FALSE</v>
          </cell>
          <cell r="AK771">
            <v>0</v>
          </cell>
          <cell r="AL771">
            <v>45261</v>
          </cell>
          <cell r="AM771">
            <v>45701</v>
          </cell>
          <cell r="AN771">
            <v>1</v>
          </cell>
          <cell r="AO771">
            <v>4</v>
          </cell>
          <cell r="AP771" t="str">
            <v>-</v>
          </cell>
          <cell r="AQ771" t="str">
            <v>-</v>
          </cell>
          <cell r="AR771" t="str">
            <v>-</v>
          </cell>
          <cell r="AS771" t="str">
            <v>-</v>
          </cell>
          <cell r="AT771" t="str">
            <v>-</v>
          </cell>
          <cell r="AU771" t="str">
            <v>-</v>
          </cell>
          <cell r="AV771" t="str">
            <v/>
          </cell>
          <cell r="AW771">
            <v>10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10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16</v>
          </cell>
          <cell r="BH771">
            <v>10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 t="str">
            <v/>
          </cell>
          <cell r="BN771">
            <v>26</v>
          </cell>
          <cell r="BO771">
            <v>16</v>
          </cell>
          <cell r="BP771">
            <v>10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 t="str">
            <v/>
          </cell>
          <cell r="BV771">
            <v>26</v>
          </cell>
          <cell r="BW771">
            <v>5</v>
          </cell>
          <cell r="BX771" t="str">
            <v>DOWNGRADE</v>
          </cell>
          <cell r="BY771" t="str">
            <v>RESET</v>
          </cell>
        </row>
        <row r="772">
          <cell r="A772" t="str">
            <v>A3209</v>
          </cell>
          <cell r="B772" t="str">
            <v>Arundati Swastika Waranggani</v>
          </cell>
          <cell r="C772" t="str">
            <v>TEMA C2</v>
          </cell>
          <cell r="D772">
            <v>45236</v>
          </cell>
          <cell r="E772" t="str">
            <v>Nov-23</v>
          </cell>
          <cell r="F772" t="str">
            <v>REGULER</v>
          </cell>
          <cell r="G772" t="str">
            <v>REGULER</v>
          </cell>
          <cell r="H772" t="str">
            <v>REGULER</v>
          </cell>
          <cell r="I772" t="str">
            <v>REGULER</v>
          </cell>
          <cell r="J772" t="str">
            <v>REGULER</v>
          </cell>
          <cell r="K772" t="str">
            <v>REGULER</v>
          </cell>
          <cell r="L772" t="str">
            <v>-</v>
          </cell>
          <cell r="M772">
            <v>9</v>
          </cell>
          <cell r="N772">
            <v>22</v>
          </cell>
          <cell r="O772">
            <v>13</v>
          </cell>
          <cell r="P772">
            <v>21</v>
          </cell>
          <cell r="Q772">
            <v>6</v>
          </cell>
          <cell r="R772">
            <v>9</v>
          </cell>
          <cell r="S772" t="str">
            <v/>
          </cell>
          <cell r="T772">
            <v>80</v>
          </cell>
          <cell r="U772">
            <v>9</v>
          </cell>
          <cell r="V772">
            <v>22</v>
          </cell>
          <cell r="W772">
            <v>13</v>
          </cell>
          <cell r="X772">
            <v>21</v>
          </cell>
          <cell r="Y772">
            <v>6</v>
          </cell>
          <cell r="Z772">
            <v>9</v>
          </cell>
          <cell r="AA772" t="str">
            <v/>
          </cell>
          <cell r="AB772">
            <v>80</v>
          </cell>
          <cell r="AC772">
            <v>1</v>
          </cell>
          <cell r="AD772" t="str">
            <v>TIDAK</v>
          </cell>
          <cell r="AE772" t="str">
            <v>TIDAK</v>
          </cell>
          <cell r="AF772">
            <v>80</v>
          </cell>
          <cell r="AG772">
            <v>2</v>
          </cell>
          <cell r="AH772" t="str">
            <v>SAPHIRE</v>
          </cell>
          <cell r="AI772">
            <v>0</v>
          </cell>
          <cell r="AJ772" t="str">
            <v>Y</v>
          </cell>
          <cell r="AK772">
            <v>0</v>
          </cell>
          <cell r="AL772">
            <v>45261</v>
          </cell>
          <cell r="AM772">
            <v>45701</v>
          </cell>
          <cell r="AN772">
            <v>1</v>
          </cell>
          <cell r="AO772">
            <v>80</v>
          </cell>
          <cell r="AP772" t="str">
            <v>-</v>
          </cell>
          <cell r="AQ772" t="str">
            <v>-</v>
          </cell>
          <cell r="AR772" t="str">
            <v>-</v>
          </cell>
          <cell r="AS772" t="str">
            <v>-</v>
          </cell>
          <cell r="AT772" t="str">
            <v>-</v>
          </cell>
          <cell r="AU772" t="str">
            <v>-</v>
          </cell>
          <cell r="AV772" t="str">
            <v/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 t="str">
            <v/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 t="str">
            <v/>
          </cell>
          <cell r="BN772">
            <v>0</v>
          </cell>
          <cell r="BO772" t="str">
            <v/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 t="str">
            <v/>
          </cell>
          <cell r="BV772">
            <v>0</v>
          </cell>
          <cell r="BW772">
            <v>7</v>
          </cell>
          <cell r="BX772" t="str">
            <v>DOWNGRADE</v>
          </cell>
          <cell r="BY772" t="str">
            <v>RESET</v>
          </cell>
        </row>
        <row r="773">
          <cell r="A773" t="str">
            <v>A4021</v>
          </cell>
          <cell r="B773" t="str">
            <v>ARYO LUHUR</v>
          </cell>
          <cell r="C773" t="str">
            <v>TEMA C2</v>
          </cell>
          <cell r="D773">
            <v>45415</v>
          </cell>
          <cell r="E773" t="str">
            <v>May-24</v>
          </cell>
          <cell r="F773" t="str">
            <v>-</v>
          </cell>
          <cell r="G773" t="str">
            <v>-</v>
          </cell>
          <cell r="H773" t="str">
            <v>-</v>
          </cell>
          <cell r="I773" t="str">
            <v>-</v>
          </cell>
          <cell r="J773" t="str">
            <v>-</v>
          </cell>
          <cell r="K773" t="str">
            <v>REGULER</v>
          </cell>
          <cell r="L773" t="str">
            <v>EKSKLUSIF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39</v>
          </cell>
          <cell r="S773">
            <v>18</v>
          </cell>
          <cell r="T773">
            <v>57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39</v>
          </cell>
          <cell r="AA773">
            <v>0</v>
          </cell>
          <cell r="AB773">
            <v>39</v>
          </cell>
          <cell r="AC773">
            <v>0</v>
          </cell>
          <cell r="AD773" t="str">
            <v>TIDAK</v>
          </cell>
          <cell r="AE773" t="str">
            <v>TIDAK</v>
          </cell>
          <cell r="AF773">
            <v>39</v>
          </cell>
          <cell r="AG773">
            <v>1</v>
          </cell>
          <cell r="AH773" t="str">
            <v>SAPHIRE</v>
          </cell>
          <cell r="AI773">
            <v>0</v>
          </cell>
          <cell r="AJ773" t="str">
            <v>FALSE</v>
          </cell>
          <cell r="AK773">
            <v>0</v>
          </cell>
          <cell r="AL773">
            <v>45261</v>
          </cell>
          <cell r="AM773">
            <v>45701</v>
          </cell>
          <cell r="AN773">
            <v>1</v>
          </cell>
          <cell r="AO773">
            <v>39</v>
          </cell>
          <cell r="AP773" t="str">
            <v>EKSKLUSIF</v>
          </cell>
          <cell r="AQ773" t="str">
            <v>-</v>
          </cell>
          <cell r="AR773" t="str">
            <v>REGULER</v>
          </cell>
          <cell r="AS773" t="str">
            <v>-</v>
          </cell>
          <cell r="AT773" t="str">
            <v>-</v>
          </cell>
          <cell r="AU773" t="str">
            <v>-</v>
          </cell>
          <cell r="AV773" t="str">
            <v/>
          </cell>
          <cell r="AW773">
            <v>36</v>
          </cell>
          <cell r="AX773">
            <v>9</v>
          </cell>
          <cell r="AY773">
            <v>0</v>
          </cell>
          <cell r="AZ773">
            <v>0</v>
          </cell>
          <cell r="BA773">
            <v>0</v>
          </cell>
          <cell r="BB773">
            <v>36</v>
          </cell>
          <cell r="BC773">
            <v>9</v>
          </cell>
          <cell r="BD773">
            <v>0</v>
          </cell>
          <cell r="BE773">
            <v>0</v>
          </cell>
          <cell r="BF773">
            <v>0</v>
          </cell>
          <cell r="BG773">
            <v>17</v>
          </cell>
          <cell r="BH773">
            <v>36</v>
          </cell>
          <cell r="BI773">
            <v>9</v>
          </cell>
          <cell r="BJ773">
            <v>0</v>
          </cell>
          <cell r="BK773">
            <v>0</v>
          </cell>
          <cell r="BL773">
            <v>0</v>
          </cell>
          <cell r="BM773" t="str">
            <v/>
          </cell>
          <cell r="BN773">
            <v>62</v>
          </cell>
          <cell r="BO773">
            <v>0</v>
          </cell>
          <cell r="BP773">
            <v>36</v>
          </cell>
          <cell r="BQ773">
            <v>9</v>
          </cell>
          <cell r="BR773">
            <v>0</v>
          </cell>
          <cell r="BS773">
            <v>0</v>
          </cell>
          <cell r="BT773">
            <v>0</v>
          </cell>
          <cell r="BU773" t="str">
            <v/>
          </cell>
          <cell r="BV773">
            <v>45</v>
          </cell>
          <cell r="BW773">
            <v>4</v>
          </cell>
          <cell r="BX773" t="str">
            <v>DOWNGRADE</v>
          </cell>
          <cell r="BY773" t="str">
            <v>RESET</v>
          </cell>
        </row>
        <row r="774">
          <cell r="A774" t="str">
            <v>A3986</v>
          </cell>
          <cell r="B774" t="str">
            <v>ASNA ZALUKHU</v>
          </cell>
          <cell r="C774" t="str">
            <v>TEMA C2</v>
          </cell>
          <cell r="D774">
            <v>45422</v>
          </cell>
          <cell r="E774" t="str">
            <v>May-24</v>
          </cell>
          <cell r="F774" t="str">
            <v>-</v>
          </cell>
          <cell r="G774" t="str">
            <v>-</v>
          </cell>
          <cell r="H774" t="str">
            <v>-</v>
          </cell>
          <cell r="I774" t="str">
            <v>-</v>
          </cell>
          <cell r="J774" t="str">
            <v>-</v>
          </cell>
          <cell r="K774" t="str">
            <v>REGULER</v>
          </cell>
          <cell r="L774" t="str">
            <v>REGULER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18</v>
          </cell>
          <cell r="S774">
            <v>18</v>
          </cell>
          <cell r="T774">
            <v>36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18</v>
          </cell>
          <cell r="AA774">
            <v>18</v>
          </cell>
          <cell r="AB774">
            <v>36</v>
          </cell>
          <cell r="AC774">
            <v>0</v>
          </cell>
          <cell r="AD774" t="str">
            <v>TIDAK</v>
          </cell>
          <cell r="AE774" t="str">
            <v>TIDAK</v>
          </cell>
          <cell r="AF774">
            <v>36</v>
          </cell>
          <cell r="AG774">
            <v>1</v>
          </cell>
          <cell r="AH774" t="str">
            <v>SAPHIRE</v>
          </cell>
          <cell r="AI774">
            <v>0</v>
          </cell>
          <cell r="AJ774" t="str">
            <v>FALSE</v>
          </cell>
          <cell r="AK774">
            <v>0</v>
          </cell>
          <cell r="AL774">
            <v>45261</v>
          </cell>
          <cell r="AM774">
            <v>45701</v>
          </cell>
          <cell r="AN774">
            <v>1</v>
          </cell>
          <cell r="AO774">
            <v>36</v>
          </cell>
          <cell r="AP774" t="str">
            <v>-</v>
          </cell>
          <cell r="AQ774" t="str">
            <v>-</v>
          </cell>
          <cell r="AR774" t="str">
            <v>REGULER</v>
          </cell>
          <cell r="AS774" t="str">
            <v>-</v>
          </cell>
          <cell r="AT774" t="str">
            <v>-</v>
          </cell>
          <cell r="AU774" t="str">
            <v>-</v>
          </cell>
          <cell r="AV774" t="str">
            <v/>
          </cell>
          <cell r="AW774">
            <v>30</v>
          </cell>
          <cell r="AX774">
            <v>11</v>
          </cell>
          <cell r="AY774">
            <v>0</v>
          </cell>
          <cell r="AZ774">
            <v>0</v>
          </cell>
          <cell r="BA774">
            <v>0</v>
          </cell>
          <cell r="BB774">
            <v>30</v>
          </cell>
          <cell r="BC774">
            <v>11</v>
          </cell>
          <cell r="BD774">
            <v>0</v>
          </cell>
          <cell r="BE774">
            <v>0</v>
          </cell>
          <cell r="BF774">
            <v>0</v>
          </cell>
          <cell r="BG774">
            <v>16</v>
          </cell>
          <cell r="BH774">
            <v>30</v>
          </cell>
          <cell r="BI774">
            <v>11</v>
          </cell>
          <cell r="BJ774">
            <v>0</v>
          </cell>
          <cell r="BK774">
            <v>0</v>
          </cell>
          <cell r="BL774">
            <v>0</v>
          </cell>
          <cell r="BM774" t="str">
            <v/>
          </cell>
          <cell r="BN774">
            <v>57</v>
          </cell>
          <cell r="BO774">
            <v>16</v>
          </cell>
          <cell r="BP774">
            <v>30</v>
          </cell>
          <cell r="BQ774">
            <v>11</v>
          </cell>
          <cell r="BR774">
            <v>0</v>
          </cell>
          <cell r="BS774">
            <v>0</v>
          </cell>
          <cell r="BT774">
            <v>0</v>
          </cell>
          <cell r="BU774" t="str">
            <v/>
          </cell>
          <cell r="BV774">
            <v>57</v>
          </cell>
          <cell r="BW774">
            <v>4</v>
          </cell>
          <cell r="BX774" t="str">
            <v>DOWNGRADE</v>
          </cell>
          <cell r="BY774" t="str">
            <v>RESET</v>
          </cell>
        </row>
        <row r="775">
          <cell r="A775" t="str">
            <v>A0681</v>
          </cell>
          <cell r="B775" t="str">
            <v>Aurelia Thalia Putri</v>
          </cell>
          <cell r="C775" t="str">
            <v>TEMA C2</v>
          </cell>
          <cell r="D775">
            <v>45262</v>
          </cell>
          <cell r="E775" t="str">
            <v>Dec-23</v>
          </cell>
          <cell r="F775" t="str">
            <v>REGULER</v>
          </cell>
          <cell r="G775" t="str">
            <v>REGULER</v>
          </cell>
          <cell r="H775" t="str">
            <v>REGULER</v>
          </cell>
          <cell r="I775" t="str">
            <v>REGULER</v>
          </cell>
          <cell r="J775" t="str">
            <v>REGULER</v>
          </cell>
          <cell r="K775" t="str">
            <v>REGULER</v>
          </cell>
          <cell r="L775" t="str">
            <v>REGULER</v>
          </cell>
          <cell r="M775">
            <v>20</v>
          </cell>
          <cell r="N775">
            <v>47</v>
          </cell>
          <cell r="O775">
            <v>35</v>
          </cell>
          <cell r="P775">
            <v>41</v>
          </cell>
          <cell r="Q775">
            <v>38</v>
          </cell>
          <cell r="R775">
            <v>44</v>
          </cell>
          <cell r="S775">
            <v>21</v>
          </cell>
          <cell r="T775">
            <v>246</v>
          </cell>
          <cell r="U775">
            <v>20</v>
          </cell>
          <cell r="V775">
            <v>47</v>
          </cell>
          <cell r="W775">
            <v>35</v>
          </cell>
          <cell r="X775">
            <v>41</v>
          </cell>
          <cell r="Y775">
            <v>38</v>
          </cell>
          <cell r="Z775">
            <v>44</v>
          </cell>
          <cell r="AA775">
            <v>21</v>
          </cell>
          <cell r="AB775">
            <v>246</v>
          </cell>
          <cell r="AC775">
            <v>0</v>
          </cell>
          <cell r="AD775" t="str">
            <v>TIDAK</v>
          </cell>
          <cell r="AE775" t="str">
            <v>TIDAK</v>
          </cell>
          <cell r="AF775">
            <v>246</v>
          </cell>
          <cell r="AG775">
            <v>2</v>
          </cell>
          <cell r="AH775" t="str">
            <v>SAPHIRE</v>
          </cell>
          <cell r="AI775">
            <v>200</v>
          </cell>
          <cell r="AJ775" t="str">
            <v>Y</v>
          </cell>
          <cell r="AK775">
            <v>0</v>
          </cell>
          <cell r="AL775">
            <v>45261</v>
          </cell>
          <cell r="AM775">
            <v>45701</v>
          </cell>
          <cell r="AN775">
            <v>1</v>
          </cell>
          <cell r="AO775">
            <v>46</v>
          </cell>
          <cell r="AP775" t="str">
            <v>-</v>
          </cell>
          <cell r="AQ775" t="str">
            <v>-</v>
          </cell>
          <cell r="AR775" t="str">
            <v>-</v>
          </cell>
          <cell r="AS775" t="str">
            <v>-</v>
          </cell>
          <cell r="AT775" t="str">
            <v>-</v>
          </cell>
          <cell r="AU775" t="str">
            <v>-</v>
          </cell>
          <cell r="AV775" t="str">
            <v/>
          </cell>
          <cell r="AW775">
            <v>38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38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20</v>
          </cell>
          <cell r="BH775">
            <v>38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 t="str">
            <v/>
          </cell>
          <cell r="BN775">
            <v>58</v>
          </cell>
          <cell r="BO775">
            <v>20</v>
          </cell>
          <cell r="BP775">
            <v>38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 t="str">
            <v/>
          </cell>
          <cell r="BV775">
            <v>58</v>
          </cell>
          <cell r="BW775">
            <v>5</v>
          </cell>
          <cell r="BX775" t="str">
            <v>DOWNGRADE</v>
          </cell>
          <cell r="BY775" t="str">
            <v>RESET</v>
          </cell>
        </row>
        <row r="776">
          <cell r="A776" t="str">
            <v>A3160</v>
          </cell>
          <cell r="B776" t="str">
            <v>Ayu Anggraeni</v>
          </cell>
          <cell r="C776" t="str">
            <v>TEMA C2</v>
          </cell>
          <cell r="D776">
            <v>45349</v>
          </cell>
          <cell r="E776" t="str">
            <v>Feb-24</v>
          </cell>
          <cell r="F776" t="str">
            <v>-</v>
          </cell>
          <cell r="G776" t="str">
            <v>-</v>
          </cell>
          <cell r="H776" t="str">
            <v>REGULER</v>
          </cell>
          <cell r="I776" t="str">
            <v>REGULER</v>
          </cell>
          <cell r="J776" t="str">
            <v>REGULER</v>
          </cell>
          <cell r="K776" t="str">
            <v>REGULER</v>
          </cell>
          <cell r="L776" t="str">
            <v>-</v>
          </cell>
          <cell r="M776">
            <v>0</v>
          </cell>
          <cell r="N776">
            <v>0</v>
          </cell>
          <cell r="O776">
            <v>3</v>
          </cell>
          <cell r="P776">
            <v>34</v>
          </cell>
          <cell r="Q776">
            <v>24</v>
          </cell>
          <cell r="R776">
            <v>26</v>
          </cell>
          <cell r="S776" t="str">
            <v/>
          </cell>
          <cell r="T776">
            <v>87</v>
          </cell>
          <cell r="U776">
            <v>0</v>
          </cell>
          <cell r="V776">
            <v>0</v>
          </cell>
          <cell r="W776">
            <v>3</v>
          </cell>
          <cell r="X776">
            <v>34</v>
          </cell>
          <cell r="Y776">
            <v>24</v>
          </cell>
          <cell r="Z776">
            <v>26</v>
          </cell>
          <cell r="AA776" t="str">
            <v/>
          </cell>
          <cell r="AB776">
            <v>87</v>
          </cell>
          <cell r="AC776">
            <v>1</v>
          </cell>
          <cell r="AD776" t="str">
            <v>TIDAK</v>
          </cell>
          <cell r="AE776" t="str">
            <v>TIDAK</v>
          </cell>
          <cell r="AF776">
            <v>87</v>
          </cell>
          <cell r="AG776">
            <v>1</v>
          </cell>
          <cell r="AH776" t="str">
            <v>SAPHIRE</v>
          </cell>
          <cell r="AI776">
            <v>0</v>
          </cell>
          <cell r="AJ776" t="str">
            <v>Y</v>
          </cell>
          <cell r="AK776">
            <v>0</v>
          </cell>
          <cell r="AL776">
            <v>45261</v>
          </cell>
          <cell r="AM776">
            <v>45701</v>
          </cell>
          <cell r="AN776">
            <v>1</v>
          </cell>
          <cell r="AO776">
            <v>87</v>
          </cell>
          <cell r="AP776" t="str">
            <v>-</v>
          </cell>
          <cell r="AQ776" t="str">
            <v>-</v>
          </cell>
          <cell r="AR776" t="str">
            <v>-</v>
          </cell>
          <cell r="AS776" t="str">
            <v>-</v>
          </cell>
          <cell r="AT776" t="str">
            <v>-</v>
          </cell>
          <cell r="AU776" t="str">
            <v>-</v>
          </cell>
          <cell r="AV776" t="str">
            <v/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 t="str">
            <v/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 t="str">
            <v/>
          </cell>
          <cell r="BN776">
            <v>0</v>
          </cell>
          <cell r="BO776" t="str">
            <v/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T776">
            <v>0</v>
          </cell>
          <cell r="BU776" t="str">
            <v/>
          </cell>
          <cell r="BV776">
            <v>0</v>
          </cell>
          <cell r="BW776">
            <v>7</v>
          </cell>
          <cell r="BX776" t="str">
            <v>DOWNGRADE</v>
          </cell>
          <cell r="BY776" t="str">
            <v>RESET</v>
          </cell>
        </row>
        <row r="777">
          <cell r="A777" t="str">
            <v>A1397</v>
          </cell>
          <cell r="B777" t="str">
            <v>Ayu Novitasari</v>
          </cell>
          <cell r="C777" t="str">
            <v>TEMA C2</v>
          </cell>
          <cell r="D777">
            <v>44972</v>
          </cell>
          <cell r="E777" t="str">
            <v>Feb-23</v>
          </cell>
          <cell r="F777" t="str">
            <v>REGULER</v>
          </cell>
          <cell r="G777" t="str">
            <v>REGULER</v>
          </cell>
          <cell r="H777" t="str">
            <v>REGULER</v>
          </cell>
          <cell r="I777" t="str">
            <v>REGULER</v>
          </cell>
          <cell r="J777" t="str">
            <v>REGULER</v>
          </cell>
          <cell r="K777" t="str">
            <v>REGULER</v>
          </cell>
          <cell r="L777" t="str">
            <v>-</v>
          </cell>
          <cell r="M777">
            <v>9</v>
          </cell>
          <cell r="N777">
            <v>41</v>
          </cell>
          <cell r="O777">
            <v>24</v>
          </cell>
          <cell r="P777">
            <v>28</v>
          </cell>
          <cell r="Q777">
            <v>18</v>
          </cell>
          <cell r="R777">
            <v>11</v>
          </cell>
          <cell r="S777" t="str">
            <v/>
          </cell>
          <cell r="T777">
            <v>131</v>
          </cell>
          <cell r="U777">
            <v>9</v>
          </cell>
          <cell r="V777">
            <v>41</v>
          </cell>
          <cell r="W777">
            <v>24</v>
          </cell>
          <cell r="X777">
            <v>28</v>
          </cell>
          <cell r="Y777">
            <v>18</v>
          </cell>
          <cell r="Z777">
            <v>11</v>
          </cell>
          <cell r="AA777" t="str">
            <v/>
          </cell>
          <cell r="AB777">
            <v>131</v>
          </cell>
          <cell r="AC777">
            <v>1</v>
          </cell>
          <cell r="AD777" t="str">
            <v>TIDAK</v>
          </cell>
          <cell r="AE777" t="str">
            <v>TIDAK</v>
          </cell>
          <cell r="AF777">
            <v>131</v>
          </cell>
          <cell r="AG777">
            <v>2</v>
          </cell>
          <cell r="AH777" t="str">
            <v>SAPHIRE</v>
          </cell>
          <cell r="AI777">
            <v>0</v>
          </cell>
          <cell r="AJ777" t="str">
            <v>Y</v>
          </cell>
          <cell r="AK777">
            <v>0</v>
          </cell>
          <cell r="AL777">
            <v>45261</v>
          </cell>
          <cell r="AM777">
            <v>45701</v>
          </cell>
          <cell r="AN777">
            <v>1</v>
          </cell>
          <cell r="AO777">
            <v>131</v>
          </cell>
          <cell r="AP777" t="str">
            <v>-</v>
          </cell>
          <cell r="AQ777" t="str">
            <v>-</v>
          </cell>
          <cell r="AR777" t="str">
            <v>-</v>
          </cell>
          <cell r="AS777" t="str">
            <v>-</v>
          </cell>
          <cell r="AT777" t="str">
            <v>-</v>
          </cell>
          <cell r="AU777" t="str">
            <v>-</v>
          </cell>
          <cell r="AV777" t="str">
            <v/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 t="str">
            <v/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 t="str">
            <v/>
          </cell>
          <cell r="BN777">
            <v>0</v>
          </cell>
          <cell r="BO777" t="str">
            <v/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T777">
            <v>0</v>
          </cell>
          <cell r="BU777" t="str">
            <v/>
          </cell>
          <cell r="BV777">
            <v>0</v>
          </cell>
          <cell r="BW777">
            <v>7</v>
          </cell>
          <cell r="BX777" t="str">
            <v>DOWNGRADE</v>
          </cell>
          <cell r="BY777" t="str">
            <v>RESET</v>
          </cell>
        </row>
        <row r="778">
          <cell r="A778">
            <v>90589</v>
          </cell>
          <cell r="B778" t="str">
            <v>Ayu Yala Pradita</v>
          </cell>
          <cell r="C778" t="str">
            <v>TEMA C2</v>
          </cell>
          <cell r="D778">
            <v>44378</v>
          </cell>
          <cell r="E778" t="str">
            <v>Jul-21</v>
          </cell>
          <cell r="F778" t="str">
            <v>REGULER</v>
          </cell>
          <cell r="G778" t="str">
            <v>REGULER</v>
          </cell>
          <cell r="H778" t="str">
            <v>-</v>
          </cell>
          <cell r="I778" t="str">
            <v>-</v>
          </cell>
          <cell r="J778" t="str">
            <v>-</v>
          </cell>
          <cell r="K778" t="str">
            <v>-</v>
          </cell>
          <cell r="L778" t="str">
            <v>-</v>
          </cell>
          <cell r="M778">
            <v>10</v>
          </cell>
          <cell r="N778">
            <v>20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 t="str">
            <v/>
          </cell>
          <cell r="T778">
            <v>30</v>
          </cell>
          <cell r="U778">
            <v>10</v>
          </cell>
          <cell r="V778">
            <v>20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 t="str">
            <v/>
          </cell>
          <cell r="AB778">
            <v>30</v>
          </cell>
          <cell r="AC778">
            <v>5</v>
          </cell>
          <cell r="AD778" t="str">
            <v>DOWNGRADE</v>
          </cell>
          <cell r="AE778" t="str">
            <v>RESET</v>
          </cell>
          <cell r="AF778">
            <v>0</v>
          </cell>
          <cell r="AG778">
            <v>1</v>
          </cell>
          <cell r="AH778" t="str">
            <v>SAPHIRE</v>
          </cell>
          <cell r="AI778">
            <v>0</v>
          </cell>
          <cell r="AJ778" t="str">
            <v>FALSE</v>
          </cell>
          <cell r="AK778">
            <v>0</v>
          </cell>
          <cell r="AL778">
            <v>45261</v>
          </cell>
          <cell r="AM778">
            <v>45701</v>
          </cell>
          <cell r="AN778">
            <v>1</v>
          </cell>
          <cell r="AO778">
            <v>0</v>
          </cell>
          <cell r="AP778" t="str">
            <v>-</v>
          </cell>
          <cell r="AQ778" t="str">
            <v>-</v>
          </cell>
          <cell r="AR778" t="str">
            <v>-</v>
          </cell>
          <cell r="AS778" t="str">
            <v>-</v>
          </cell>
          <cell r="AT778" t="str">
            <v>-</v>
          </cell>
          <cell r="AU778" t="str">
            <v>-</v>
          </cell>
          <cell r="AV778" t="str">
            <v/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 t="str">
            <v/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 t="str">
            <v/>
          </cell>
          <cell r="BN778">
            <v>0</v>
          </cell>
          <cell r="BO778" t="str">
            <v/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T778">
            <v>0</v>
          </cell>
          <cell r="BU778" t="str">
            <v/>
          </cell>
          <cell r="BV778">
            <v>0</v>
          </cell>
          <cell r="BW778">
            <v>7</v>
          </cell>
          <cell r="BX778" t="str">
            <v>DOWNGRADE</v>
          </cell>
          <cell r="BY778" t="str">
            <v>RESET</v>
          </cell>
        </row>
        <row r="779">
          <cell r="A779" t="str">
            <v>A1059</v>
          </cell>
          <cell r="B779" t="str">
            <v>Azila Zalwa</v>
          </cell>
          <cell r="C779" t="str">
            <v>TEMA C2</v>
          </cell>
          <cell r="D779">
            <v>44923</v>
          </cell>
          <cell r="E779" t="str">
            <v>Dec-22</v>
          </cell>
          <cell r="F779" t="str">
            <v>REGULER</v>
          </cell>
          <cell r="G779" t="str">
            <v>REGULER</v>
          </cell>
          <cell r="H779" t="str">
            <v>EKSKLUSIF</v>
          </cell>
          <cell r="I779" t="str">
            <v>EKSKLUSIF</v>
          </cell>
          <cell r="J779" t="str">
            <v>EKSKLUSIF</v>
          </cell>
          <cell r="K779" t="str">
            <v>EKSKLUSIF</v>
          </cell>
          <cell r="L779" t="str">
            <v>EKSKLUSIF</v>
          </cell>
          <cell r="M779">
            <v>21</v>
          </cell>
          <cell r="N779">
            <v>44</v>
          </cell>
          <cell r="O779">
            <v>41</v>
          </cell>
          <cell r="P779">
            <v>38</v>
          </cell>
          <cell r="Q779">
            <v>37</v>
          </cell>
          <cell r="R779">
            <v>43</v>
          </cell>
          <cell r="S779">
            <v>19</v>
          </cell>
          <cell r="T779">
            <v>243</v>
          </cell>
          <cell r="U779">
            <v>21</v>
          </cell>
          <cell r="V779">
            <v>44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65</v>
          </cell>
          <cell r="AC779">
            <v>0</v>
          </cell>
          <cell r="AD779" t="str">
            <v>TIDAK</v>
          </cell>
          <cell r="AE779" t="str">
            <v>TIDAK</v>
          </cell>
          <cell r="AF779">
            <v>65</v>
          </cell>
          <cell r="AG779">
            <v>2</v>
          </cell>
          <cell r="AH779" t="str">
            <v>SAPHIRE</v>
          </cell>
          <cell r="AI779">
            <v>65</v>
          </cell>
          <cell r="AJ779" t="str">
            <v>Y</v>
          </cell>
          <cell r="AK779">
            <v>0</v>
          </cell>
          <cell r="AL779">
            <v>45261</v>
          </cell>
          <cell r="AM779">
            <v>45701</v>
          </cell>
          <cell r="AN779">
            <v>1</v>
          </cell>
          <cell r="AO779">
            <v>0</v>
          </cell>
          <cell r="AP779" t="str">
            <v>EKSKLUSIF</v>
          </cell>
          <cell r="AQ779" t="str">
            <v>-</v>
          </cell>
          <cell r="AR779" t="str">
            <v>EKSKLUSIF</v>
          </cell>
          <cell r="AS779" t="str">
            <v>EKSKLUSIF</v>
          </cell>
          <cell r="AT779" t="str">
            <v>EKSKLUSIF</v>
          </cell>
          <cell r="AU779" t="str">
            <v>EKSKLUSIF</v>
          </cell>
          <cell r="AV779" t="str">
            <v/>
          </cell>
          <cell r="AW779">
            <v>48</v>
          </cell>
          <cell r="AX779">
            <v>45</v>
          </cell>
          <cell r="AY779">
            <v>43</v>
          </cell>
          <cell r="AZ779">
            <v>48</v>
          </cell>
          <cell r="BA779">
            <v>41</v>
          </cell>
          <cell r="BB779">
            <v>48</v>
          </cell>
          <cell r="BC779">
            <v>45</v>
          </cell>
          <cell r="BD779">
            <v>43</v>
          </cell>
          <cell r="BE779">
            <v>48</v>
          </cell>
          <cell r="BF779">
            <v>41</v>
          </cell>
          <cell r="BG779">
            <v>20</v>
          </cell>
          <cell r="BH779">
            <v>48</v>
          </cell>
          <cell r="BI779">
            <v>45</v>
          </cell>
          <cell r="BJ779">
            <v>43</v>
          </cell>
          <cell r="BK779">
            <v>48</v>
          </cell>
          <cell r="BL779">
            <v>41</v>
          </cell>
          <cell r="BM779">
            <v>22</v>
          </cell>
          <cell r="BN779">
            <v>267</v>
          </cell>
          <cell r="BO779">
            <v>0</v>
          </cell>
          <cell r="BP779">
            <v>48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  <cell r="BU779">
            <v>22</v>
          </cell>
          <cell r="BV779">
            <v>70</v>
          </cell>
          <cell r="BW779">
            <v>0</v>
          </cell>
          <cell r="BX779" t="str">
            <v>TIDAK</v>
          </cell>
          <cell r="BY779" t="str">
            <v>TIDAK</v>
          </cell>
        </row>
        <row r="780">
          <cell r="A780" t="str">
            <v>A3070</v>
          </cell>
          <cell r="B780" t="str">
            <v>Azizul Anse</v>
          </cell>
          <cell r="C780" t="str">
            <v>TEMA C2</v>
          </cell>
          <cell r="D780">
            <v>45205</v>
          </cell>
          <cell r="E780" t="str">
            <v>Oct-23</v>
          </cell>
          <cell r="F780" t="str">
            <v>REGULER</v>
          </cell>
          <cell r="G780" t="str">
            <v>REGULER</v>
          </cell>
          <cell r="H780" t="str">
            <v>REGULER</v>
          </cell>
          <cell r="I780" t="str">
            <v>REGULER</v>
          </cell>
          <cell r="J780" t="str">
            <v>REGULER</v>
          </cell>
          <cell r="K780" t="str">
            <v>REGULER</v>
          </cell>
          <cell r="L780" t="str">
            <v>-</v>
          </cell>
          <cell r="M780">
            <v>19</v>
          </cell>
          <cell r="N780">
            <v>46</v>
          </cell>
          <cell r="O780">
            <v>28</v>
          </cell>
          <cell r="P780">
            <v>40</v>
          </cell>
          <cell r="Q780">
            <v>38</v>
          </cell>
          <cell r="R780">
            <v>11</v>
          </cell>
          <cell r="S780" t="str">
            <v/>
          </cell>
          <cell r="T780">
            <v>182</v>
          </cell>
          <cell r="U780">
            <v>19</v>
          </cell>
          <cell r="V780">
            <v>46</v>
          </cell>
          <cell r="W780">
            <v>28</v>
          </cell>
          <cell r="X780">
            <v>40</v>
          </cell>
          <cell r="Y780">
            <v>38</v>
          </cell>
          <cell r="Z780">
            <v>11</v>
          </cell>
          <cell r="AA780" t="str">
            <v/>
          </cell>
          <cell r="AB780">
            <v>182</v>
          </cell>
          <cell r="AC780">
            <v>1</v>
          </cell>
          <cell r="AD780" t="str">
            <v>TIDAK</v>
          </cell>
          <cell r="AE780" t="str">
            <v>TIDAK</v>
          </cell>
          <cell r="AF780">
            <v>182</v>
          </cell>
          <cell r="AG780">
            <v>2</v>
          </cell>
          <cell r="AH780" t="str">
            <v>SAPHIRE</v>
          </cell>
          <cell r="AI780">
            <v>0</v>
          </cell>
          <cell r="AJ780" t="str">
            <v>Y</v>
          </cell>
          <cell r="AK780">
            <v>0</v>
          </cell>
          <cell r="AL780">
            <v>45261</v>
          </cell>
          <cell r="AM780">
            <v>45701</v>
          </cell>
          <cell r="AN780">
            <v>1</v>
          </cell>
          <cell r="AO780">
            <v>182</v>
          </cell>
          <cell r="AP780" t="str">
            <v>-</v>
          </cell>
          <cell r="AQ780" t="str">
            <v>-</v>
          </cell>
          <cell r="AR780" t="str">
            <v>-</v>
          </cell>
          <cell r="AS780" t="str">
            <v>-</v>
          </cell>
          <cell r="AT780" t="str">
            <v>-</v>
          </cell>
          <cell r="AU780" t="str">
            <v>-</v>
          </cell>
          <cell r="AV780" t="str">
            <v/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 t="str">
            <v/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 t="str">
            <v/>
          </cell>
          <cell r="BV780">
            <v>0</v>
          </cell>
          <cell r="BW780">
            <v>7</v>
          </cell>
          <cell r="BX780" t="str">
            <v>DOWNGRADE</v>
          </cell>
          <cell r="BY780" t="str">
            <v>RESET</v>
          </cell>
        </row>
        <row r="781">
          <cell r="A781" t="str">
            <v>A2969</v>
          </cell>
          <cell r="B781" t="str">
            <v>B Khoiru Addien</v>
          </cell>
          <cell r="C781" t="str">
            <v>TEMA C2</v>
          </cell>
          <cell r="D781">
            <v>45190</v>
          </cell>
          <cell r="E781" t="str">
            <v>Sep-23</v>
          </cell>
          <cell r="F781" t="str">
            <v>REGULER</v>
          </cell>
          <cell r="G781" t="str">
            <v>REGULER</v>
          </cell>
          <cell r="H781" t="str">
            <v>REGULER</v>
          </cell>
          <cell r="I781" t="str">
            <v>REGULER</v>
          </cell>
          <cell r="J781" t="str">
            <v>REGULER</v>
          </cell>
          <cell r="K781" t="str">
            <v>REGULER</v>
          </cell>
          <cell r="L781" t="str">
            <v>REGULER</v>
          </cell>
          <cell r="M781">
            <v>2</v>
          </cell>
          <cell r="N781">
            <v>24</v>
          </cell>
          <cell r="O781">
            <v>19</v>
          </cell>
          <cell r="P781">
            <v>8</v>
          </cell>
          <cell r="Q781">
            <v>15</v>
          </cell>
          <cell r="R781">
            <v>12</v>
          </cell>
          <cell r="S781">
            <v>5</v>
          </cell>
          <cell r="T781">
            <v>85</v>
          </cell>
          <cell r="U781">
            <v>2</v>
          </cell>
          <cell r="V781">
            <v>24</v>
          </cell>
          <cell r="W781">
            <v>19</v>
          </cell>
          <cell r="X781">
            <v>8</v>
          </cell>
          <cell r="Y781">
            <v>15</v>
          </cell>
          <cell r="Z781">
            <v>12</v>
          </cell>
          <cell r="AA781">
            <v>5</v>
          </cell>
          <cell r="AB781">
            <v>85</v>
          </cell>
          <cell r="AC781">
            <v>0</v>
          </cell>
          <cell r="AD781" t="str">
            <v>TIDAK</v>
          </cell>
          <cell r="AE781" t="str">
            <v>TIDAK</v>
          </cell>
          <cell r="AF781">
            <v>85</v>
          </cell>
          <cell r="AG781">
            <v>2</v>
          </cell>
          <cell r="AH781" t="str">
            <v>SAPHIRE</v>
          </cell>
          <cell r="AI781">
            <v>0</v>
          </cell>
          <cell r="AJ781" t="str">
            <v>Y</v>
          </cell>
          <cell r="AK781">
            <v>0</v>
          </cell>
          <cell r="AL781">
            <v>45261</v>
          </cell>
          <cell r="AM781">
            <v>45701</v>
          </cell>
          <cell r="AN781">
            <v>1</v>
          </cell>
          <cell r="AO781">
            <v>85</v>
          </cell>
          <cell r="AP781" t="str">
            <v>-</v>
          </cell>
          <cell r="AQ781" t="str">
            <v>-</v>
          </cell>
          <cell r="AR781" t="str">
            <v>-</v>
          </cell>
          <cell r="AS781" t="str">
            <v>-</v>
          </cell>
          <cell r="AT781" t="str">
            <v>-</v>
          </cell>
          <cell r="AU781" t="str">
            <v>-</v>
          </cell>
          <cell r="AV781" t="str">
            <v/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 t="str">
            <v/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 t="str">
            <v/>
          </cell>
          <cell r="BN781">
            <v>0</v>
          </cell>
          <cell r="BO781" t="str">
            <v/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 t="str">
            <v/>
          </cell>
          <cell r="BV781">
            <v>0</v>
          </cell>
          <cell r="BW781">
            <v>7</v>
          </cell>
          <cell r="BX781" t="str">
            <v>DOWNGRADE</v>
          </cell>
          <cell r="BY781" t="str">
            <v>RESET</v>
          </cell>
        </row>
        <row r="782">
          <cell r="A782" t="str">
            <v>A4048</v>
          </cell>
          <cell r="B782" t="str">
            <v>BAYU NANDA</v>
          </cell>
          <cell r="C782" t="str">
            <v>TEMA C2</v>
          </cell>
          <cell r="D782">
            <v>45440</v>
          </cell>
          <cell r="E782" t="str">
            <v>May-24</v>
          </cell>
          <cell r="F782" t="str">
            <v>-</v>
          </cell>
          <cell r="G782" t="str">
            <v>-</v>
          </cell>
          <cell r="H782" t="str">
            <v>-</v>
          </cell>
          <cell r="I782" t="str">
            <v>-</v>
          </cell>
          <cell r="J782" t="str">
            <v>-</v>
          </cell>
          <cell r="K782" t="str">
            <v>REGULER</v>
          </cell>
          <cell r="L782" t="str">
            <v>-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2</v>
          </cell>
          <cell r="S782" t="str">
            <v/>
          </cell>
          <cell r="T782">
            <v>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2</v>
          </cell>
          <cell r="AA782" t="str">
            <v/>
          </cell>
          <cell r="AB782">
            <v>2</v>
          </cell>
          <cell r="AC782">
            <v>1</v>
          </cell>
          <cell r="AD782" t="str">
            <v>TIDAK</v>
          </cell>
          <cell r="AE782" t="str">
            <v>TIDAK</v>
          </cell>
          <cell r="AF782">
            <v>2</v>
          </cell>
          <cell r="AG782">
            <v>1</v>
          </cell>
          <cell r="AH782" t="str">
            <v>SAPHIRE</v>
          </cell>
          <cell r="AI782">
            <v>0</v>
          </cell>
          <cell r="AJ782" t="str">
            <v>FALSE</v>
          </cell>
          <cell r="AK782">
            <v>0</v>
          </cell>
          <cell r="AL782">
            <v>45261</v>
          </cell>
          <cell r="AM782">
            <v>45701</v>
          </cell>
          <cell r="AN782">
            <v>1</v>
          </cell>
          <cell r="AO782">
            <v>2</v>
          </cell>
          <cell r="AP782" t="str">
            <v>-</v>
          </cell>
          <cell r="AQ782" t="str">
            <v>-</v>
          </cell>
          <cell r="AR782" t="str">
            <v>-</v>
          </cell>
          <cell r="AS782" t="str">
            <v>-</v>
          </cell>
          <cell r="AT782" t="str">
            <v>-</v>
          </cell>
          <cell r="AU782" t="str">
            <v>-</v>
          </cell>
          <cell r="AV782" t="str">
            <v/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 t="str">
            <v/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 t="str">
            <v/>
          </cell>
          <cell r="BN782">
            <v>0</v>
          </cell>
          <cell r="BO782" t="str">
            <v/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 t="str">
            <v/>
          </cell>
          <cell r="BV782">
            <v>0</v>
          </cell>
          <cell r="BW782">
            <v>7</v>
          </cell>
          <cell r="BX782" t="str">
            <v>DOWNGRADE</v>
          </cell>
          <cell r="BY782" t="str">
            <v>RESET</v>
          </cell>
        </row>
        <row r="783">
          <cell r="A783" t="str">
            <v>A3716</v>
          </cell>
          <cell r="B783" t="str">
            <v>Benediktus Adi</v>
          </cell>
          <cell r="C783" t="str">
            <v>TEMA C2</v>
          </cell>
          <cell r="D783">
            <v>45323</v>
          </cell>
          <cell r="E783" t="str">
            <v>Feb-24</v>
          </cell>
          <cell r="F783" t="str">
            <v>-</v>
          </cell>
          <cell r="G783" t="str">
            <v>-</v>
          </cell>
          <cell r="H783" t="str">
            <v>REGULER</v>
          </cell>
          <cell r="I783" t="str">
            <v>-</v>
          </cell>
          <cell r="J783" t="str">
            <v>-</v>
          </cell>
          <cell r="K783" t="str">
            <v>-</v>
          </cell>
          <cell r="L783" t="str">
            <v>-</v>
          </cell>
          <cell r="M783">
            <v>0</v>
          </cell>
          <cell r="N783">
            <v>0</v>
          </cell>
          <cell r="O783">
            <v>14</v>
          </cell>
          <cell r="P783">
            <v>0</v>
          </cell>
          <cell r="Q783">
            <v>0</v>
          </cell>
          <cell r="R783">
            <v>0</v>
          </cell>
          <cell r="S783" t="str">
            <v/>
          </cell>
          <cell r="T783">
            <v>14</v>
          </cell>
          <cell r="U783">
            <v>0</v>
          </cell>
          <cell r="V783">
            <v>0</v>
          </cell>
          <cell r="W783">
            <v>14</v>
          </cell>
          <cell r="X783">
            <v>0</v>
          </cell>
          <cell r="Y783">
            <v>0</v>
          </cell>
          <cell r="Z783">
            <v>0</v>
          </cell>
          <cell r="AA783" t="str">
            <v/>
          </cell>
          <cell r="AB783">
            <v>14</v>
          </cell>
          <cell r="AC783">
            <v>4</v>
          </cell>
          <cell r="AD783" t="str">
            <v>DOWNGRADE</v>
          </cell>
          <cell r="AE783" t="str">
            <v>RESET</v>
          </cell>
          <cell r="AF783">
            <v>0</v>
          </cell>
          <cell r="AG783">
            <v>1</v>
          </cell>
          <cell r="AH783" t="str">
            <v>SAPHIRE</v>
          </cell>
          <cell r="AI783">
            <v>0</v>
          </cell>
          <cell r="AJ783" t="str">
            <v>FALSE</v>
          </cell>
          <cell r="AK783">
            <v>0</v>
          </cell>
          <cell r="AL783">
            <v>45261</v>
          </cell>
          <cell r="AM783">
            <v>45701</v>
          </cell>
          <cell r="AN783">
            <v>1</v>
          </cell>
          <cell r="AO783">
            <v>0</v>
          </cell>
          <cell r="AP783" t="str">
            <v>-</v>
          </cell>
          <cell r="AQ783" t="str">
            <v>-</v>
          </cell>
          <cell r="AR783" t="str">
            <v>-</v>
          </cell>
          <cell r="AS783" t="str">
            <v>-</v>
          </cell>
          <cell r="AT783" t="str">
            <v>-</v>
          </cell>
          <cell r="AU783" t="str">
            <v>-</v>
          </cell>
          <cell r="AV783" t="str">
            <v/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 t="str">
            <v/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 t="str">
            <v/>
          </cell>
          <cell r="BN783">
            <v>0</v>
          </cell>
          <cell r="BO783" t="str">
            <v/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 t="str">
            <v/>
          </cell>
          <cell r="BV783">
            <v>0</v>
          </cell>
          <cell r="BW783">
            <v>7</v>
          </cell>
          <cell r="BX783" t="str">
            <v>DOWNGRADE</v>
          </cell>
          <cell r="BY783" t="str">
            <v>RESET</v>
          </cell>
        </row>
        <row r="784">
          <cell r="A784" t="str">
            <v>A3961</v>
          </cell>
          <cell r="B784" t="str">
            <v>Bernadus Gilang Penggalih</v>
          </cell>
          <cell r="C784" t="str">
            <v>TEMA C2</v>
          </cell>
          <cell r="D784">
            <v>45372</v>
          </cell>
          <cell r="E784" t="str">
            <v>Mar-24</v>
          </cell>
          <cell r="F784" t="str">
            <v>-</v>
          </cell>
          <cell r="G784" t="str">
            <v>-</v>
          </cell>
          <cell r="H784" t="str">
            <v>-</v>
          </cell>
          <cell r="I784" t="str">
            <v>REGULER</v>
          </cell>
          <cell r="J784" t="str">
            <v>REGULER</v>
          </cell>
          <cell r="K784" t="str">
            <v>-</v>
          </cell>
          <cell r="L784" t="str">
            <v>-</v>
          </cell>
          <cell r="M784">
            <v>0</v>
          </cell>
          <cell r="N784">
            <v>0</v>
          </cell>
          <cell r="O784">
            <v>0</v>
          </cell>
          <cell r="P784">
            <v>4</v>
          </cell>
          <cell r="Q784">
            <v>4</v>
          </cell>
          <cell r="R784">
            <v>0</v>
          </cell>
          <cell r="S784" t="str">
            <v/>
          </cell>
          <cell r="T784">
            <v>8</v>
          </cell>
          <cell r="U784">
            <v>0</v>
          </cell>
          <cell r="V784">
            <v>0</v>
          </cell>
          <cell r="W784">
            <v>0</v>
          </cell>
          <cell r="X784">
            <v>4</v>
          </cell>
          <cell r="Y784">
            <v>4</v>
          </cell>
          <cell r="Z784">
            <v>0</v>
          </cell>
          <cell r="AA784" t="str">
            <v/>
          </cell>
          <cell r="AB784">
            <v>8</v>
          </cell>
          <cell r="AC784">
            <v>2</v>
          </cell>
          <cell r="AD784" t="str">
            <v>TIDAK</v>
          </cell>
          <cell r="AE784" t="str">
            <v>TIDAK</v>
          </cell>
          <cell r="AF784">
            <v>8</v>
          </cell>
          <cell r="AG784">
            <v>1</v>
          </cell>
          <cell r="AH784" t="str">
            <v>SAPHIRE</v>
          </cell>
          <cell r="AI784">
            <v>0</v>
          </cell>
          <cell r="AJ784" t="str">
            <v>FALSE</v>
          </cell>
          <cell r="AK784">
            <v>0</v>
          </cell>
          <cell r="AL784">
            <v>45261</v>
          </cell>
          <cell r="AM784">
            <v>45701</v>
          </cell>
          <cell r="AN784">
            <v>1</v>
          </cell>
          <cell r="AO784">
            <v>8</v>
          </cell>
          <cell r="AP784" t="str">
            <v>-</v>
          </cell>
          <cell r="AQ784" t="str">
            <v>-</v>
          </cell>
          <cell r="AR784" t="str">
            <v>-</v>
          </cell>
          <cell r="AS784" t="str">
            <v>-</v>
          </cell>
          <cell r="AT784" t="str">
            <v>-</v>
          </cell>
          <cell r="AU784" t="str">
            <v>-</v>
          </cell>
          <cell r="AV784" t="str">
            <v/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 t="str">
            <v/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 t="str">
            <v/>
          </cell>
          <cell r="BN784">
            <v>0</v>
          </cell>
          <cell r="BO784" t="str">
            <v/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 t="str">
            <v/>
          </cell>
          <cell r="BV784">
            <v>0</v>
          </cell>
          <cell r="BW784">
            <v>7</v>
          </cell>
          <cell r="BX784" t="str">
            <v>DOWNGRADE</v>
          </cell>
          <cell r="BY784" t="str">
            <v>RESET</v>
          </cell>
        </row>
        <row r="785">
          <cell r="A785" t="str">
            <v>A3766</v>
          </cell>
          <cell r="B785" t="str">
            <v>Bestfebri Christy Dameria Pakpahan</v>
          </cell>
          <cell r="C785" t="str">
            <v>TEMA C2</v>
          </cell>
          <cell r="D785">
            <v>45337</v>
          </cell>
          <cell r="E785" t="str">
            <v>Feb-24</v>
          </cell>
          <cell r="F785" t="str">
            <v>-</v>
          </cell>
          <cell r="G785" t="str">
            <v>-</v>
          </cell>
          <cell r="H785" t="str">
            <v>REGULER</v>
          </cell>
          <cell r="I785" t="str">
            <v>REGULER</v>
          </cell>
          <cell r="J785" t="str">
            <v>REGULER</v>
          </cell>
          <cell r="K785" t="str">
            <v>REGULER</v>
          </cell>
          <cell r="L785" t="str">
            <v>EKSKLUSIF</v>
          </cell>
          <cell r="M785">
            <v>0</v>
          </cell>
          <cell r="N785">
            <v>0</v>
          </cell>
          <cell r="O785">
            <v>8</v>
          </cell>
          <cell r="P785">
            <v>30</v>
          </cell>
          <cell r="Q785">
            <v>36</v>
          </cell>
          <cell r="R785">
            <v>35</v>
          </cell>
          <cell r="S785">
            <v>20</v>
          </cell>
          <cell r="T785">
            <v>129</v>
          </cell>
          <cell r="U785">
            <v>0</v>
          </cell>
          <cell r="V785">
            <v>0</v>
          </cell>
          <cell r="W785">
            <v>8</v>
          </cell>
          <cell r="X785">
            <v>30</v>
          </cell>
          <cell r="Y785">
            <v>36</v>
          </cell>
          <cell r="Z785">
            <v>35</v>
          </cell>
          <cell r="AA785">
            <v>0</v>
          </cell>
          <cell r="AB785">
            <v>109</v>
          </cell>
          <cell r="AC785">
            <v>0</v>
          </cell>
          <cell r="AD785" t="str">
            <v>TIDAK</v>
          </cell>
          <cell r="AE785" t="str">
            <v>TIDAK</v>
          </cell>
          <cell r="AF785">
            <v>109</v>
          </cell>
          <cell r="AG785">
            <v>2</v>
          </cell>
          <cell r="AH785" t="str">
            <v>SAPHIRE</v>
          </cell>
          <cell r="AI785">
            <v>0</v>
          </cell>
          <cell r="AJ785" t="str">
            <v>Y</v>
          </cell>
          <cell r="AK785">
            <v>0</v>
          </cell>
          <cell r="AL785">
            <v>45261</v>
          </cell>
          <cell r="AM785">
            <v>45701</v>
          </cell>
          <cell r="AN785">
            <v>1</v>
          </cell>
          <cell r="AO785">
            <v>109</v>
          </cell>
          <cell r="AP785" t="str">
            <v>EKSKLUSIF</v>
          </cell>
          <cell r="AQ785" t="str">
            <v>-</v>
          </cell>
          <cell r="AR785" t="str">
            <v>REGULER</v>
          </cell>
          <cell r="AS785" t="str">
            <v>REGULER</v>
          </cell>
          <cell r="AT785" t="str">
            <v>REGULER</v>
          </cell>
          <cell r="AU785" t="str">
            <v>REGULER</v>
          </cell>
          <cell r="AV785" t="str">
            <v/>
          </cell>
          <cell r="AW785">
            <v>0</v>
          </cell>
          <cell r="AX785">
            <v>31</v>
          </cell>
          <cell r="AY785">
            <v>31</v>
          </cell>
          <cell r="AZ785">
            <v>36</v>
          </cell>
          <cell r="BA785">
            <v>38</v>
          </cell>
          <cell r="BB785">
            <v>0</v>
          </cell>
          <cell r="BC785">
            <v>31</v>
          </cell>
          <cell r="BD785">
            <v>31</v>
          </cell>
          <cell r="BE785">
            <v>36</v>
          </cell>
          <cell r="BF785">
            <v>38</v>
          </cell>
          <cell r="BG785">
            <v>15</v>
          </cell>
          <cell r="BH785">
            <v>0</v>
          </cell>
          <cell r="BI785">
            <v>31</v>
          </cell>
          <cell r="BJ785">
            <v>31</v>
          </cell>
          <cell r="BK785">
            <v>36</v>
          </cell>
          <cell r="BL785">
            <v>38</v>
          </cell>
          <cell r="BM785">
            <v>19</v>
          </cell>
          <cell r="BN785">
            <v>170</v>
          </cell>
          <cell r="BO785">
            <v>0</v>
          </cell>
          <cell r="BP785">
            <v>0</v>
          </cell>
          <cell r="BQ785">
            <v>31</v>
          </cell>
          <cell r="BR785">
            <v>31</v>
          </cell>
          <cell r="BS785">
            <v>36</v>
          </cell>
          <cell r="BT785">
            <v>38</v>
          </cell>
          <cell r="BU785">
            <v>19</v>
          </cell>
          <cell r="BV785">
            <v>155</v>
          </cell>
          <cell r="BW785">
            <v>1</v>
          </cell>
          <cell r="BX785" t="str">
            <v>TIDAK</v>
          </cell>
          <cell r="BY785" t="str">
            <v>TIDAK</v>
          </cell>
        </row>
        <row r="786">
          <cell r="A786">
            <v>92192</v>
          </cell>
          <cell r="B786" t="str">
            <v>Bima Bagaskara</v>
          </cell>
          <cell r="C786" t="str">
            <v>TEMA C2</v>
          </cell>
          <cell r="D786">
            <v>44606</v>
          </cell>
          <cell r="E786" t="str">
            <v>Feb-22</v>
          </cell>
          <cell r="F786" t="str">
            <v>EKSKLUSIF</v>
          </cell>
          <cell r="G786" t="str">
            <v>EKSKLUSIF</v>
          </cell>
          <cell r="H786" t="str">
            <v>EKSKLUSIF</v>
          </cell>
          <cell r="I786" t="str">
            <v>REGULER</v>
          </cell>
          <cell r="J786" t="str">
            <v>REGULER</v>
          </cell>
          <cell r="K786" t="str">
            <v>REGULER</v>
          </cell>
          <cell r="L786" t="str">
            <v>REGULER</v>
          </cell>
          <cell r="M786">
            <v>20</v>
          </cell>
          <cell r="N786">
            <v>44</v>
          </cell>
          <cell r="O786">
            <v>40</v>
          </cell>
          <cell r="P786">
            <v>36</v>
          </cell>
          <cell r="Q786">
            <v>34</v>
          </cell>
          <cell r="R786">
            <v>34</v>
          </cell>
          <cell r="S786">
            <v>18</v>
          </cell>
          <cell r="T786">
            <v>226</v>
          </cell>
          <cell r="U786">
            <v>0</v>
          </cell>
          <cell r="V786">
            <v>0</v>
          </cell>
          <cell r="W786">
            <v>0</v>
          </cell>
          <cell r="X786">
            <v>36</v>
          </cell>
          <cell r="Y786">
            <v>34</v>
          </cell>
          <cell r="Z786">
            <v>34</v>
          </cell>
          <cell r="AA786">
            <v>18</v>
          </cell>
          <cell r="AB786">
            <v>122</v>
          </cell>
          <cell r="AC786">
            <v>0</v>
          </cell>
          <cell r="AD786" t="str">
            <v>TIDAK</v>
          </cell>
          <cell r="AE786" t="str">
            <v>TIDAK</v>
          </cell>
          <cell r="AF786">
            <v>122</v>
          </cell>
          <cell r="AG786">
            <v>2</v>
          </cell>
          <cell r="AH786" t="str">
            <v>SAPHIRE</v>
          </cell>
          <cell r="AI786">
            <v>0</v>
          </cell>
          <cell r="AJ786" t="str">
            <v>Y</v>
          </cell>
          <cell r="AK786">
            <v>0</v>
          </cell>
          <cell r="AL786">
            <v>45261</v>
          </cell>
          <cell r="AM786">
            <v>45701</v>
          </cell>
          <cell r="AN786">
            <v>1</v>
          </cell>
          <cell r="AO786">
            <v>122</v>
          </cell>
          <cell r="AP786" t="str">
            <v>-</v>
          </cell>
          <cell r="AQ786" t="str">
            <v>-</v>
          </cell>
          <cell r="AR786" t="str">
            <v>REGULER</v>
          </cell>
          <cell r="AS786" t="str">
            <v>REGULER</v>
          </cell>
          <cell r="AT786" t="str">
            <v>EKSKLUSIF</v>
          </cell>
          <cell r="AU786" t="str">
            <v>EKSKLUSIF</v>
          </cell>
          <cell r="AV786" t="str">
            <v/>
          </cell>
          <cell r="AW786">
            <v>42</v>
          </cell>
          <cell r="AX786">
            <v>41</v>
          </cell>
          <cell r="AY786">
            <v>38</v>
          </cell>
          <cell r="AZ786">
            <v>48</v>
          </cell>
          <cell r="BA786">
            <v>43</v>
          </cell>
          <cell r="BB786">
            <v>42</v>
          </cell>
          <cell r="BC786">
            <v>41</v>
          </cell>
          <cell r="BD786">
            <v>38</v>
          </cell>
          <cell r="BE786">
            <v>48</v>
          </cell>
          <cell r="BF786">
            <v>43</v>
          </cell>
          <cell r="BG786">
            <v>18</v>
          </cell>
          <cell r="BH786">
            <v>42</v>
          </cell>
          <cell r="BI786">
            <v>41</v>
          </cell>
          <cell r="BJ786">
            <v>38</v>
          </cell>
          <cell r="BK786">
            <v>48</v>
          </cell>
          <cell r="BL786">
            <v>43</v>
          </cell>
          <cell r="BM786">
            <v>21</v>
          </cell>
          <cell r="BN786">
            <v>251</v>
          </cell>
          <cell r="BO786">
            <v>18</v>
          </cell>
          <cell r="BP786">
            <v>42</v>
          </cell>
          <cell r="BQ786">
            <v>41</v>
          </cell>
          <cell r="BR786">
            <v>38</v>
          </cell>
          <cell r="BS786">
            <v>0</v>
          </cell>
          <cell r="BT786">
            <v>0</v>
          </cell>
          <cell r="BU786">
            <v>21</v>
          </cell>
          <cell r="BV786">
            <v>160</v>
          </cell>
          <cell r="BW786">
            <v>0</v>
          </cell>
          <cell r="BX786" t="str">
            <v>TIDAK</v>
          </cell>
          <cell r="BY786" t="str">
            <v>TIDAK</v>
          </cell>
        </row>
        <row r="787">
          <cell r="A787" t="str">
            <v>A3798</v>
          </cell>
          <cell r="B787" t="str">
            <v>Bitha Prabaningtyas</v>
          </cell>
          <cell r="C787" t="str">
            <v>TEMA C2</v>
          </cell>
          <cell r="D787">
            <v>45373</v>
          </cell>
          <cell r="E787" t="str">
            <v>Mar-24</v>
          </cell>
          <cell r="F787" t="str">
            <v>-</v>
          </cell>
          <cell r="G787" t="str">
            <v>-</v>
          </cell>
          <cell r="H787" t="str">
            <v>-</v>
          </cell>
          <cell r="I787" t="str">
            <v>REGULER</v>
          </cell>
          <cell r="J787" t="str">
            <v>REGULER</v>
          </cell>
          <cell r="K787" t="str">
            <v>-</v>
          </cell>
          <cell r="L787" t="str">
            <v>-</v>
          </cell>
          <cell r="M787">
            <v>0</v>
          </cell>
          <cell r="N787">
            <v>0</v>
          </cell>
          <cell r="O787">
            <v>0</v>
          </cell>
          <cell r="P787">
            <v>3</v>
          </cell>
          <cell r="Q787">
            <v>4</v>
          </cell>
          <cell r="R787">
            <v>0</v>
          </cell>
          <cell r="S787" t="str">
            <v/>
          </cell>
          <cell r="T787">
            <v>7</v>
          </cell>
          <cell r="U787">
            <v>0</v>
          </cell>
          <cell r="V787">
            <v>0</v>
          </cell>
          <cell r="W787">
            <v>0</v>
          </cell>
          <cell r="X787">
            <v>3</v>
          </cell>
          <cell r="Y787">
            <v>4</v>
          </cell>
          <cell r="Z787">
            <v>0</v>
          </cell>
          <cell r="AA787" t="str">
            <v/>
          </cell>
          <cell r="AB787">
            <v>7</v>
          </cell>
          <cell r="AC787">
            <v>2</v>
          </cell>
          <cell r="AD787" t="str">
            <v>TIDAK</v>
          </cell>
          <cell r="AE787" t="str">
            <v>TIDAK</v>
          </cell>
          <cell r="AF787">
            <v>7</v>
          </cell>
          <cell r="AG787">
            <v>1</v>
          </cell>
          <cell r="AH787" t="str">
            <v>SAPHIRE</v>
          </cell>
          <cell r="AI787">
            <v>0</v>
          </cell>
          <cell r="AJ787" t="str">
            <v>FALSE</v>
          </cell>
          <cell r="AK787">
            <v>0</v>
          </cell>
          <cell r="AL787">
            <v>45261</v>
          </cell>
          <cell r="AM787">
            <v>45701</v>
          </cell>
          <cell r="AN787">
            <v>1</v>
          </cell>
          <cell r="AO787">
            <v>7</v>
          </cell>
          <cell r="AP787" t="str">
            <v>-</v>
          </cell>
          <cell r="AQ787" t="str">
            <v>-</v>
          </cell>
          <cell r="AR787" t="str">
            <v>-</v>
          </cell>
          <cell r="AS787" t="str">
            <v>-</v>
          </cell>
          <cell r="AT787" t="str">
            <v>-</v>
          </cell>
          <cell r="AU787" t="str">
            <v>-</v>
          </cell>
          <cell r="AV787" t="str">
            <v/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7</v>
          </cell>
          <cell r="BD787">
            <v>7</v>
          </cell>
          <cell r="BE787">
            <v>0</v>
          </cell>
          <cell r="BF787">
            <v>0</v>
          </cell>
          <cell r="BG787" t="str">
            <v/>
          </cell>
          <cell r="BH787">
            <v>0</v>
          </cell>
          <cell r="BI787">
            <v>7</v>
          </cell>
          <cell r="BJ787">
            <v>7</v>
          </cell>
          <cell r="BK787">
            <v>0</v>
          </cell>
          <cell r="BL787">
            <v>0</v>
          </cell>
          <cell r="BM787" t="str">
            <v/>
          </cell>
          <cell r="BN787">
            <v>14</v>
          </cell>
          <cell r="BO787" t="str">
            <v/>
          </cell>
          <cell r="BP787">
            <v>0</v>
          </cell>
          <cell r="BQ787">
            <v>7</v>
          </cell>
          <cell r="BR787">
            <v>7</v>
          </cell>
          <cell r="BS787">
            <v>0</v>
          </cell>
          <cell r="BT787">
            <v>0</v>
          </cell>
          <cell r="BU787" t="str">
            <v/>
          </cell>
          <cell r="BV787">
            <v>14</v>
          </cell>
          <cell r="BW787">
            <v>5</v>
          </cell>
          <cell r="BX787" t="str">
            <v>DOWNGRADE</v>
          </cell>
          <cell r="BY787" t="str">
            <v>RESET</v>
          </cell>
        </row>
        <row r="788">
          <cell r="A788" t="str">
            <v>A2821</v>
          </cell>
          <cell r="B788" t="str">
            <v>Cahyati Wulandari</v>
          </cell>
          <cell r="C788" t="str">
            <v>TEMA C2</v>
          </cell>
          <cell r="D788">
            <v>45157</v>
          </cell>
          <cell r="E788" t="str">
            <v>Aug-23</v>
          </cell>
          <cell r="F788" t="str">
            <v>REGULER</v>
          </cell>
          <cell r="G788" t="str">
            <v>REGULER</v>
          </cell>
          <cell r="H788" t="str">
            <v>REGULER</v>
          </cell>
          <cell r="I788" t="str">
            <v>-</v>
          </cell>
          <cell r="J788" t="str">
            <v>-</v>
          </cell>
          <cell r="K788" t="str">
            <v>-</v>
          </cell>
          <cell r="L788" t="str">
            <v>-</v>
          </cell>
          <cell r="M788">
            <v>1</v>
          </cell>
          <cell r="N788">
            <v>1</v>
          </cell>
          <cell r="O788">
            <v>2</v>
          </cell>
          <cell r="P788">
            <v>0</v>
          </cell>
          <cell r="Q788">
            <v>0</v>
          </cell>
          <cell r="R788">
            <v>0</v>
          </cell>
          <cell r="S788" t="str">
            <v/>
          </cell>
          <cell r="T788">
            <v>4</v>
          </cell>
          <cell r="U788">
            <v>1</v>
          </cell>
          <cell r="V788">
            <v>1</v>
          </cell>
          <cell r="W788">
            <v>2</v>
          </cell>
          <cell r="X788">
            <v>0</v>
          </cell>
          <cell r="Y788">
            <v>0</v>
          </cell>
          <cell r="Z788">
            <v>0</v>
          </cell>
          <cell r="AA788" t="str">
            <v/>
          </cell>
          <cell r="AB788">
            <v>4</v>
          </cell>
          <cell r="AC788">
            <v>4</v>
          </cell>
          <cell r="AD788" t="str">
            <v>DOWNGRADE</v>
          </cell>
          <cell r="AE788" t="str">
            <v>RESET</v>
          </cell>
          <cell r="AF788">
            <v>0</v>
          </cell>
          <cell r="AG788">
            <v>1</v>
          </cell>
          <cell r="AH788" t="str">
            <v>SAPHIRE</v>
          </cell>
          <cell r="AI788">
            <v>0</v>
          </cell>
          <cell r="AJ788" t="str">
            <v>FALSE</v>
          </cell>
          <cell r="AK788">
            <v>0</v>
          </cell>
          <cell r="AL788">
            <v>45261</v>
          </cell>
          <cell r="AM788">
            <v>45701</v>
          </cell>
          <cell r="AN788">
            <v>1</v>
          </cell>
          <cell r="AO788">
            <v>0</v>
          </cell>
          <cell r="AP788" t="str">
            <v>-</v>
          </cell>
          <cell r="AQ788" t="str">
            <v>-</v>
          </cell>
          <cell r="AR788" t="str">
            <v>-</v>
          </cell>
          <cell r="AS788" t="str">
            <v>-</v>
          </cell>
          <cell r="AT788" t="str">
            <v>-</v>
          </cell>
          <cell r="AU788" t="str">
            <v>-</v>
          </cell>
          <cell r="AV788" t="str">
            <v/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 t="str">
            <v/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 t="str">
            <v/>
          </cell>
          <cell r="BN788">
            <v>0</v>
          </cell>
          <cell r="BO788" t="str">
            <v/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 t="str">
            <v/>
          </cell>
          <cell r="BV788">
            <v>0</v>
          </cell>
          <cell r="BW788">
            <v>7</v>
          </cell>
          <cell r="BX788" t="str">
            <v>DOWNGRADE</v>
          </cell>
          <cell r="BY788" t="str">
            <v>RESET</v>
          </cell>
        </row>
        <row r="789">
          <cell r="A789" t="str">
            <v>A0548</v>
          </cell>
          <cell r="B789" t="str">
            <v>Carretha Viola Chamara</v>
          </cell>
          <cell r="C789" t="str">
            <v>TEMA C2</v>
          </cell>
          <cell r="D789">
            <v>44875</v>
          </cell>
          <cell r="E789" t="str">
            <v>Nov-22</v>
          </cell>
          <cell r="F789" t="str">
            <v>REGULER</v>
          </cell>
          <cell r="G789" t="str">
            <v>REGULER</v>
          </cell>
          <cell r="H789" t="str">
            <v>-</v>
          </cell>
          <cell r="I789" t="str">
            <v>-</v>
          </cell>
          <cell r="J789" t="str">
            <v>-</v>
          </cell>
          <cell r="K789" t="str">
            <v>-</v>
          </cell>
          <cell r="L789" t="str">
            <v>-</v>
          </cell>
          <cell r="M789">
            <v>16</v>
          </cell>
          <cell r="N789">
            <v>5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 t="str">
            <v/>
          </cell>
          <cell r="T789">
            <v>21</v>
          </cell>
          <cell r="U789">
            <v>16</v>
          </cell>
          <cell r="V789">
            <v>5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 t="str">
            <v/>
          </cell>
          <cell r="AB789">
            <v>21</v>
          </cell>
          <cell r="AC789">
            <v>5</v>
          </cell>
          <cell r="AD789" t="str">
            <v>DOWNGRADE</v>
          </cell>
          <cell r="AE789" t="str">
            <v>RESET</v>
          </cell>
          <cell r="AF789">
            <v>0</v>
          </cell>
          <cell r="AG789">
            <v>2</v>
          </cell>
          <cell r="AH789" t="str">
            <v>SAPHIRE</v>
          </cell>
          <cell r="AI789">
            <v>0</v>
          </cell>
          <cell r="AJ789" t="str">
            <v>FALSE</v>
          </cell>
          <cell r="AK789">
            <v>0</v>
          </cell>
          <cell r="AL789">
            <v>45261</v>
          </cell>
          <cell r="AM789">
            <v>45701</v>
          </cell>
          <cell r="AN789">
            <v>1</v>
          </cell>
          <cell r="AO789">
            <v>0</v>
          </cell>
          <cell r="AP789" t="str">
            <v>-</v>
          </cell>
          <cell r="AQ789" t="str">
            <v>-</v>
          </cell>
          <cell r="AR789" t="str">
            <v>-</v>
          </cell>
          <cell r="AS789" t="str">
            <v>-</v>
          </cell>
          <cell r="AT789" t="str">
            <v>-</v>
          </cell>
          <cell r="AU789" t="str">
            <v>-</v>
          </cell>
          <cell r="AV789" t="str">
            <v/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 t="str">
            <v/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 t="str">
            <v/>
          </cell>
          <cell r="BN789">
            <v>0</v>
          </cell>
          <cell r="BO789" t="str">
            <v/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 t="str">
            <v/>
          </cell>
          <cell r="BV789">
            <v>0</v>
          </cell>
          <cell r="BW789">
            <v>7</v>
          </cell>
          <cell r="BX789" t="str">
            <v>DOWNGRADE</v>
          </cell>
          <cell r="BY789" t="str">
            <v>RESET</v>
          </cell>
        </row>
        <row r="790">
          <cell r="A790" t="str">
            <v>A0355</v>
          </cell>
          <cell r="B790" t="str">
            <v>Catharina Widia</v>
          </cell>
          <cell r="C790" t="str">
            <v>TEMA C2</v>
          </cell>
          <cell r="D790">
            <v>45219</v>
          </cell>
          <cell r="E790" t="str">
            <v>Oct-23</v>
          </cell>
          <cell r="F790" t="str">
            <v>REGULER</v>
          </cell>
          <cell r="G790" t="str">
            <v>REGULER</v>
          </cell>
          <cell r="H790" t="str">
            <v>REGULER</v>
          </cell>
          <cell r="I790" t="str">
            <v>REGULER</v>
          </cell>
          <cell r="J790" t="str">
            <v>REGULER</v>
          </cell>
          <cell r="K790" t="str">
            <v>REGULER</v>
          </cell>
          <cell r="L790" t="str">
            <v>REGULER</v>
          </cell>
          <cell r="M790">
            <v>20</v>
          </cell>
          <cell r="N790">
            <v>34</v>
          </cell>
          <cell r="O790">
            <v>32</v>
          </cell>
          <cell r="P790">
            <v>32</v>
          </cell>
          <cell r="Q790">
            <v>32</v>
          </cell>
          <cell r="R790">
            <v>40</v>
          </cell>
          <cell r="S790">
            <v>20</v>
          </cell>
          <cell r="T790">
            <v>210</v>
          </cell>
          <cell r="U790">
            <v>20</v>
          </cell>
          <cell r="V790">
            <v>34</v>
          </cell>
          <cell r="W790">
            <v>32</v>
          </cell>
          <cell r="X790">
            <v>32</v>
          </cell>
          <cell r="Y790">
            <v>32</v>
          </cell>
          <cell r="Z790">
            <v>40</v>
          </cell>
          <cell r="AA790">
            <v>20</v>
          </cell>
          <cell r="AB790">
            <v>210</v>
          </cell>
          <cell r="AC790">
            <v>0</v>
          </cell>
          <cell r="AD790" t="str">
            <v>TIDAK</v>
          </cell>
          <cell r="AE790" t="str">
            <v>TIDAK</v>
          </cell>
          <cell r="AF790">
            <v>210</v>
          </cell>
          <cell r="AG790">
            <v>2</v>
          </cell>
          <cell r="AH790" t="str">
            <v>SAPHIRE</v>
          </cell>
          <cell r="AI790">
            <v>0</v>
          </cell>
          <cell r="AJ790" t="str">
            <v>Y</v>
          </cell>
          <cell r="AK790">
            <v>0</v>
          </cell>
          <cell r="AL790">
            <v>45261</v>
          </cell>
          <cell r="AM790">
            <v>45701</v>
          </cell>
          <cell r="AN790">
            <v>1</v>
          </cell>
          <cell r="AO790">
            <v>210</v>
          </cell>
          <cell r="AP790" t="str">
            <v>-</v>
          </cell>
          <cell r="AQ790" t="str">
            <v>-</v>
          </cell>
          <cell r="AR790" t="str">
            <v>REGULER</v>
          </cell>
          <cell r="AS790" t="str">
            <v>REGULER</v>
          </cell>
          <cell r="AT790" t="str">
            <v>REGULER</v>
          </cell>
          <cell r="AU790" t="str">
            <v>-</v>
          </cell>
          <cell r="AV790" t="str">
            <v/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41</v>
          </cell>
          <cell r="BC790">
            <v>36</v>
          </cell>
          <cell r="BD790">
            <v>38</v>
          </cell>
          <cell r="BE790">
            <v>18</v>
          </cell>
          <cell r="BF790">
            <v>0</v>
          </cell>
          <cell r="BG790">
            <v>15</v>
          </cell>
          <cell r="BH790">
            <v>41</v>
          </cell>
          <cell r="BI790">
            <v>36</v>
          </cell>
          <cell r="BJ790">
            <v>38</v>
          </cell>
          <cell r="BK790">
            <v>18</v>
          </cell>
          <cell r="BL790">
            <v>0</v>
          </cell>
          <cell r="BM790" t="str">
            <v/>
          </cell>
          <cell r="BN790">
            <v>148</v>
          </cell>
          <cell r="BO790">
            <v>15</v>
          </cell>
          <cell r="BP790">
            <v>41</v>
          </cell>
          <cell r="BQ790">
            <v>36</v>
          </cell>
          <cell r="BR790">
            <v>38</v>
          </cell>
          <cell r="BS790">
            <v>18</v>
          </cell>
          <cell r="BT790">
            <v>0</v>
          </cell>
          <cell r="BU790" t="str">
            <v/>
          </cell>
          <cell r="BV790">
            <v>148</v>
          </cell>
          <cell r="BW790">
            <v>2</v>
          </cell>
          <cell r="BX790" t="str">
            <v>TIDAK</v>
          </cell>
          <cell r="BY790" t="str">
            <v>TIDAK</v>
          </cell>
        </row>
        <row r="791">
          <cell r="A791" t="str">
            <v>A2319</v>
          </cell>
          <cell r="B791" t="str">
            <v xml:space="preserve">Chairunnisa Noorjanah </v>
          </cell>
          <cell r="C791" t="str">
            <v>TEMA C2</v>
          </cell>
          <cell r="D791">
            <v>45084</v>
          </cell>
          <cell r="E791" t="str">
            <v>Jun-23</v>
          </cell>
          <cell r="F791" t="str">
            <v>EKSKLUSIF</v>
          </cell>
          <cell r="G791" t="str">
            <v>EKSKLUSIF</v>
          </cell>
          <cell r="H791" t="str">
            <v>EKSKLUSIF</v>
          </cell>
          <cell r="I791" t="str">
            <v>EKSKLUSIF</v>
          </cell>
          <cell r="J791" t="str">
            <v>EKSKLUSIF</v>
          </cell>
          <cell r="K791" t="str">
            <v>EKSKLUSIF</v>
          </cell>
          <cell r="L791" t="str">
            <v>REGULER</v>
          </cell>
          <cell r="M791">
            <v>19</v>
          </cell>
          <cell r="N791">
            <v>46</v>
          </cell>
          <cell r="O791">
            <v>40</v>
          </cell>
          <cell r="P791">
            <v>41</v>
          </cell>
          <cell r="Q791">
            <v>34</v>
          </cell>
          <cell r="R791">
            <v>42</v>
          </cell>
          <cell r="S791">
            <v>17</v>
          </cell>
          <cell r="T791">
            <v>239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17</v>
          </cell>
          <cell r="AB791">
            <v>17</v>
          </cell>
          <cell r="AC791">
            <v>0</v>
          </cell>
          <cell r="AD791" t="str">
            <v>TIDAK</v>
          </cell>
          <cell r="AE791" t="str">
            <v>TIDAK</v>
          </cell>
          <cell r="AF791">
            <v>17</v>
          </cell>
          <cell r="AG791">
            <v>2</v>
          </cell>
          <cell r="AH791" t="str">
            <v>SAPHIRE</v>
          </cell>
          <cell r="AI791">
            <v>0</v>
          </cell>
          <cell r="AJ791" t="str">
            <v>FALSE</v>
          </cell>
          <cell r="AK791">
            <v>0</v>
          </cell>
          <cell r="AL791">
            <v>45261</v>
          </cell>
          <cell r="AM791">
            <v>45701</v>
          </cell>
          <cell r="AN791">
            <v>1</v>
          </cell>
          <cell r="AO791">
            <v>17</v>
          </cell>
          <cell r="AP791" t="str">
            <v>-</v>
          </cell>
          <cell r="AQ791" t="str">
            <v>-</v>
          </cell>
          <cell r="AR791" t="str">
            <v>EKSKLUSIF</v>
          </cell>
          <cell r="AS791" t="str">
            <v>-</v>
          </cell>
          <cell r="AT791" t="str">
            <v>REGULER</v>
          </cell>
          <cell r="AU791" t="str">
            <v>-</v>
          </cell>
          <cell r="AV791" t="str">
            <v/>
          </cell>
          <cell r="AW791">
            <v>30</v>
          </cell>
          <cell r="AX791">
            <v>46</v>
          </cell>
          <cell r="AY791">
            <v>0</v>
          </cell>
          <cell r="AZ791">
            <v>2</v>
          </cell>
          <cell r="BA791">
            <v>0</v>
          </cell>
          <cell r="BB791">
            <v>30</v>
          </cell>
          <cell r="BC791">
            <v>46</v>
          </cell>
          <cell r="BD791">
            <v>0</v>
          </cell>
          <cell r="BE791">
            <v>2</v>
          </cell>
          <cell r="BF791">
            <v>0</v>
          </cell>
          <cell r="BG791" t="str">
            <v/>
          </cell>
          <cell r="BH791">
            <v>30</v>
          </cell>
          <cell r="BI791">
            <v>46</v>
          </cell>
          <cell r="BJ791">
            <v>0</v>
          </cell>
          <cell r="BK791">
            <v>2</v>
          </cell>
          <cell r="BL791">
            <v>0</v>
          </cell>
          <cell r="BM791" t="str">
            <v/>
          </cell>
          <cell r="BN791">
            <v>78</v>
          </cell>
          <cell r="BO791" t="str">
            <v/>
          </cell>
          <cell r="BP791">
            <v>30</v>
          </cell>
          <cell r="BQ791">
            <v>0</v>
          </cell>
          <cell r="BR791">
            <v>0</v>
          </cell>
          <cell r="BS791">
            <v>2</v>
          </cell>
          <cell r="BT791">
            <v>0</v>
          </cell>
          <cell r="BU791" t="str">
            <v/>
          </cell>
          <cell r="BV791">
            <v>32</v>
          </cell>
          <cell r="BW791">
            <v>4</v>
          </cell>
          <cell r="BX791" t="str">
            <v>DOWNGRADE</v>
          </cell>
          <cell r="BY791" t="str">
            <v>TIDAK</v>
          </cell>
        </row>
        <row r="792">
          <cell r="A792" t="str">
            <v>A3879</v>
          </cell>
          <cell r="B792" t="str">
            <v>Charlotte Theresia Pattipeilohy</v>
          </cell>
          <cell r="C792" t="str">
            <v>TEMA C2</v>
          </cell>
          <cell r="D792">
            <v>45396</v>
          </cell>
          <cell r="E792" t="str">
            <v>Apr-24</v>
          </cell>
          <cell r="F792" t="str">
            <v>-</v>
          </cell>
          <cell r="G792" t="str">
            <v>-</v>
          </cell>
          <cell r="H792" t="str">
            <v>-</v>
          </cell>
          <cell r="I792" t="str">
            <v>-</v>
          </cell>
          <cell r="J792" t="str">
            <v>REGULER</v>
          </cell>
          <cell r="K792" t="str">
            <v>REGULER</v>
          </cell>
          <cell r="L792" t="str">
            <v>EKSKLUSIF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18</v>
          </cell>
          <cell r="R792">
            <v>35</v>
          </cell>
          <cell r="S792">
            <v>12</v>
          </cell>
          <cell r="T792">
            <v>65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18</v>
          </cell>
          <cell r="Z792">
            <v>35</v>
          </cell>
          <cell r="AA792">
            <v>0</v>
          </cell>
          <cell r="AB792">
            <v>53</v>
          </cell>
          <cell r="AC792">
            <v>0</v>
          </cell>
          <cell r="AD792" t="str">
            <v>TIDAK</v>
          </cell>
          <cell r="AE792" t="str">
            <v>TIDAK</v>
          </cell>
          <cell r="AF792">
            <v>53</v>
          </cell>
          <cell r="AG792">
            <v>1</v>
          </cell>
          <cell r="AH792" t="str">
            <v>SAPHIRE</v>
          </cell>
          <cell r="AI792">
            <v>0</v>
          </cell>
          <cell r="AJ792" t="str">
            <v>FALSE</v>
          </cell>
          <cell r="AK792">
            <v>0</v>
          </cell>
          <cell r="AL792">
            <v>45261</v>
          </cell>
          <cell r="AM792">
            <v>45701</v>
          </cell>
          <cell r="AN792">
            <v>1</v>
          </cell>
          <cell r="AO792">
            <v>53</v>
          </cell>
          <cell r="AP792" t="str">
            <v>EKSKLUSIF</v>
          </cell>
          <cell r="AQ792" t="str">
            <v>-</v>
          </cell>
          <cell r="AR792" t="str">
            <v>REGULER</v>
          </cell>
          <cell r="AS792" t="str">
            <v>-</v>
          </cell>
          <cell r="AT792" t="str">
            <v>-</v>
          </cell>
          <cell r="AU792" t="str">
            <v>-</v>
          </cell>
          <cell r="AV792" t="str">
            <v/>
          </cell>
          <cell r="AW792">
            <v>18</v>
          </cell>
          <cell r="AX792">
            <v>10</v>
          </cell>
          <cell r="AY792">
            <v>0</v>
          </cell>
          <cell r="AZ792">
            <v>0</v>
          </cell>
          <cell r="BA792">
            <v>0</v>
          </cell>
          <cell r="BB792">
            <v>18</v>
          </cell>
          <cell r="BC792">
            <v>10</v>
          </cell>
          <cell r="BD792">
            <v>0</v>
          </cell>
          <cell r="BE792">
            <v>0</v>
          </cell>
          <cell r="BF792">
            <v>0</v>
          </cell>
          <cell r="BG792">
            <v>15</v>
          </cell>
          <cell r="BH792">
            <v>18</v>
          </cell>
          <cell r="BI792">
            <v>10</v>
          </cell>
          <cell r="BJ792">
            <v>0</v>
          </cell>
          <cell r="BK792">
            <v>0</v>
          </cell>
          <cell r="BL792">
            <v>0</v>
          </cell>
          <cell r="BM792" t="str">
            <v/>
          </cell>
          <cell r="BN792">
            <v>43</v>
          </cell>
          <cell r="BO792">
            <v>0</v>
          </cell>
          <cell r="BP792">
            <v>18</v>
          </cell>
          <cell r="BQ792">
            <v>10</v>
          </cell>
          <cell r="BR792">
            <v>0</v>
          </cell>
          <cell r="BS792">
            <v>0</v>
          </cell>
          <cell r="BT792">
            <v>0</v>
          </cell>
          <cell r="BU792" t="str">
            <v/>
          </cell>
          <cell r="BV792">
            <v>28</v>
          </cell>
          <cell r="BW792">
            <v>4</v>
          </cell>
          <cell r="BX792" t="str">
            <v>DOWNGRADE</v>
          </cell>
          <cell r="BY792" t="str">
            <v>RESET</v>
          </cell>
        </row>
        <row r="793">
          <cell r="A793" t="str">
            <v>A3224</v>
          </cell>
          <cell r="B793" t="str">
            <v>Chinta Belafatika Suryanto</v>
          </cell>
          <cell r="C793" t="str">
            <v>TEMA C2</v>
          </cell>
          <cell r="D793">
            <v>45231</v>
          </cell>
          <cell r="E793" t="str">
            <v>Nov-23</v>
          </cell>
          <cell r="F793" t="str">
            <v>REGULER</v>
          </cell>
          <cell r="G793" t="str">
            <v>REGULER</v>
          </cell>
          <cell r="H793" t="str">
            <v>REGULER</v>
          </cell>
          <cell r="I793" t="str">
            <v>REGULER</v>
          </cell>
          <cell r="J793" t="str">
            <v>REGULER</v>
          </cell>
          <cell r="K793" t="str">
            <v>REGULER</v>
          </cell>
          <cell r="L793" t="str">
            <v>REGULER</v>
          </cell>
          <cell r="M793">
            <v>13</v>
          </cell>
          <cell r="N793">
            <v>27</v>
          </cell>
          <cell r="O793">
            <v>33</v>
          </cell>
          <cell r="P793">
            <v>27</v>
          </cell>
          <cell r="Q793">
            <v>36</v>
          </cell>
          <cell r="R793">
            <v>26</v>
          </cell>
          <cell r="S793">
            <v>14</v>
          </cell>
          <cell r="T793">
            <v>176</v>
          </cell>
          <cell r="U793">
            <v>13</v>
          </cell>
          <cell r="V793">
            <v>27</v>
          </cell>
          <cell r="W793">
            <v>33</v>
          </cell>
          <cell r="X793">
            <v>27</v>
          </cell>
          <cell r="Y793">
            <v>36</v>
          </cell>
          <cell r="Z793">
            <v>26</v>
          </cell>
          <cell r="AA793">
            <v>14</v>
          </cell>
          <cell r="AB793">
            <v>176</v>
          </cell>
          <cell r="AC793">
            <v>0</v>
          </cell>
          <cell r="AD793" t="str">
            <v>TIDAK</v>
          </cell>
          <cell r="AE793" t="str">
            <v>TIDAK</v>
          </cell>
          <cell r="AF793">
            <v>176</v>
          </cell>
          <cell r="AG793">
            <v>3</v>
          </cell>
          <cell r="AH793" t="str">
            <v>SAPHIRE</v>
          </cell>
          <cell r="AI793">
            <v>135</v>
          </cell>
          <cell r="AJ793" t="str">
            <v>Y</v>
          </cell>
          <cell r="AK793">
            <v>0</v>
          </cell>
          <cell r="AL793">
            <v>45261</v>
          </cell>
          <cell r="AM793">
            <v>45701</v>
          </cell>
          <cell r="AN793">
            <v>1</v>
          </cell>
          <cell r="AO793">
            <v>41</v>
          </cell>
          <cell r="AP793" t="str">
            <v>-</v>
          </cell>
          <cell r="AQ793" t="str">
            <v>-</v>
          </cell>
          <cell r="AR793" t="str">
            <v>-</v>
          </cell>
          <cell r="AS793" t="str">
            <v>-</v>
          </cell>
          <cell r="AT793" t="str">
            <v>-</v>
          </cell>
          <cell r="AU793" t="str">
            <v>-</v>
          </cell>
          <cell r="AV793" t="str">
            <v/>
          </cell>
          <cell r="AW793">
            <v>11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11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12</v>
          </cell>
          <cell r="BH793">
            <v>11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 t="str">
            <v/>
          </cell>
          <cell r="BN793">
            <v>23</v>
          </cell>
          <cell r="BO793">
            <v>12</v>
          </cell>
          <cell r="BP793">
            <v>11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 t="str">
            <v/>
          </cell>
          <cell r="BV793">
            <v>23</v>
          </cell>
          <cell r="BW793">
            <v>5</v>
          </cell>
          <cell r="BX793" t="str">
            <v>DOWNGRADE</v>
          </cell>
          <cell r="BY793" t="str">
            <v>RESET</v>
          </cell>
        </row>
        <row r="794">
          <cell r="A794" t="str">
            <v>A2723</v>
          </cell>
          <cell r="B794" t="str">
            <v>Christabella Girsang</v>
          </cell>
          <cell r="C794" t="str">
            <v>TEMA C2</v>
          </cell>
          <cell r="D794">
            <v>45156</v>
          </cell>
          <cell r="E794" t="str">
            <v>Aug-23</v>
          </cell>
          <cell r="F794" t="str">
            <v>REGULER</v>
          </cell>
          <cell r="G794" t="str">
            <v>REGULER</v>
          </cell>
          <cell r="H794" t="str">
            <v>-</v>
          </cell>
          <cell r="I794" t="str">
            <v>REGULER</v>
          </cell>
          <cell r="J794" t="str">
            <v>REGULER</v>
          </cell>
          <cell r="K794" t="str">
            <v>REGULER</v>
          </cell>
          <cell r="L794" t="str">
            <v>-</v>
          </cell>
          <cell r="M794">
            <v>3</v>
          </cell>
          <cell r="N794">
            <v>3</v>
          </cell>
          <cell r="O794">
            <v>0</v>
          </cell>
          <cell r="P794">
            <v>2</v>
          </cell>
          <cell r="Q794">
            <v>6</v>
          </cell>
          <cell r="R794">
            <v>3</v>
          </cell>
          <cell r="S794" t="str">
            <v/>
          </cell>
          <cell r="T794">
            <v>17</v>
          </cell>
          <cell r="U794">
            <v>3</v>
          </cell>
          <cell r="V794">
            <v>3</v>
          </cell>
          <cell r="W794">
            <v>0</v>
          </cell>
          <cell r="X794">
            <v>2</v>
          </cell>
          <cell r="Y794">
            <v>6</v>
          </cell>
          <cell r="Z794">
            <v>3</v>
          </cell>
          <cell r="AA794" t="str">
            <v/>
          </cell>
          <cell r="AB794">
            <v>17</v>
          </cell>
          <cell r="AC794">
            <v>2</v>
          </cell>
          <cell r="AD794" t="str">
            <v>TIDAK</v>
          </cell>
          <cell r="AE794" t="str">
            <v>TIDAK</v>
          </cell>
          <cell r="AF794">
            <v>17</v>
          </cell>
          <cell r="AG794">
            <v>1</v>
          </cell>
          <cell r="AH794" t="str">
            <v>SAPHIRE</v>
          </cell>
          <cell r="AI794">
            <v>0</v>
          </cell>
          <cell r="AJ794" t="str">
            <v>FALSE</v>
          </cell>
          <cell r="AK794">
            <v>0</v>
          </cell>
          <cell r="AL794">
            <v>45261</v>
          </cell>
          <cell r="AM794">
            <v>45701</v>
          </cell>
          <cell r="AN794">
            <v>1</v>
          </cell>
          <cell r="AO794">
            <v>17</v>
          </cell>
          <cell r="AP794" t="str">
            <v>-</v>
          </cell>
          <cell r="AQ794" t="str">
            <v>-</v>
          </cell>
          <cell r="AR794" t="str">
            <v>-</v>
          </cell>
          <cell r="AS794" t="str">
            <v>-</v>
          </cell>
          <cell r="AT794" t="str">
            <v>-</v>
          </cell>
          <cell r="AU794" t="str">
            <v>-</v>
          </cell>
          <cell r="AV794" t="str">
            <v/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 t="str">
            <v/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 t="str">
            <v/>
          </cell>
          <cell r="BN794">
            <v>0</v>
          </cell>
          <cell r="BO794" t="str">
            <v/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 t="str">
            <v/>
          </cell>
          <cell r="BV794">
            <v>0</v>
          </cell>
          <cell r="BW794">
            <v>7</v>
          </cell>
          <cell r="BX794" t="str">
            <v>DOWNGRADE</v>
          </cell>
          <cell r="BY794" t="str">
            <v>RESET</v>
          </cell>
        </row>
        <row r="795">
          <cell r="A795" t="str">
            <v>A4019</v>
          </cell>
          <cell r="B795" t="str">
            <v>CINDY LINGGA</v>
          </cell>
          <cell r="C795" t="str">
            <v>TEMA C2</v>
          </cell>
          <cell r="D795">
            <v>45418</v>
          </cell>
          <cell r="E795" t="str">
            <v>May-24</v>
          </cell>
          <cell r="F795" t="str">
            <v>-</v>
          </cell>
          <cell r="G795" t="str">
            <v>-</v>
          </cell>
          <cell r="H795" t="str">
            <v>-</v>
          </cell>
          <cell r="I795" t="str">
            <v>-</v>
          </cell>
          <cell r="J795" t="str">
            <v>-</v>
          </cell>
          <cell r="K795" t="str">
            <v>REGULER</v>
          </cell>
          <cell r="L795" t="str">
            <v>REGULER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23</v>
          </cell>
          <cell r="S795">
            <v>15</v>
          </cell>
          <cell r="T795">
            <v>38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23</v>
          </cell>
          <cell r="AA795">
            <v>15</v>
          </cell>
          <cell r="AB795">
            <v>38</v>
          </cell>
          <cell r="AC795">
            <v>0</v>
          </cell>
          <cell r="AD795" t="str">
            <v>TIDAK</v>
          </cell>
          <cell r="AE795" t="str">
            <v>TIDAK</v>
          </cell>
          <cell r="AF795">
            <v>38</v>
          </cell>
          <cell r="AG795">
            <v>1</v>
          </cell>
          <cell r="AH795" t="str">
            <v>SAPHIRE</v>
          </cell>
          <cell r="AI795">
            <v>0</v>
          </cell>
          <cell r="AJ795" t="str">
            <v>FALSE</v>
          </cell>
          <cell r="AK795">
            <v>0</v>
          </cell>
          <cell r="AL795">
            <v>45261</v>
          </cell>
          <cell r="AM795">
            <v>45701</v>
          </cell>
          <cell r="AN795">
            <v>1</v>
          </cell>
          <cell r="AO795">
            <v>38</v>
          </cell>
          <cell r="AP795" t="str">
            <v>-</v>
          </cell>
          <cell r="AQ795" t="str">
            <v>-</v>
          </cell>
          <cell r="AR795" t="str">
            <v>-</v>
          </cell>
          <cell r="AS795" t="str">
            <v>-</v>
          </cell>
          <cell r="AT795" t="str">
            <v>-</v>
          </cell>
          <cell r="AU795" t="str">
            <v>-</v>
          </cell>
          <cell r="AV795" t="str">
            <v/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 t="str">
            <v/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 t="str">
            <v/>
          </cell>
          <cell r="BN795">
            <v>0</v>
          </cell>
          <cell r="BO795" t="str">
            <v/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 t="str">
            <v/>
          </cell>
          <cell r="BV795">
            <v>0</v>
          </cell>
          <cell r="BW795">
            <v>7</v>
          </cell>
          <cell r="BX795" t="str">
            <v>DOWNGRADE</v>
          </cell>
          <cell r="BY795" t="str">
            <v>RESET</v>
          </cell>
        </row>
        <row r="796">
          <cell r="A796" t="str">
            <v>A1562</v>
          </cell>
          <cell r="B796" t="str">
            <v>Cintya Anindita</v>
          </cell>
          <cell r="C796" t="str">
            <v>TEMA C2</v>
          </cell>
          <cell r="D796">
            <v>45000</v>
          </cell>
          <cell r="E796" t="str">
            <v>Mar-23</v>
          </cell>
          <cell r="F796" t="str">
            <v>REGULER</v>
          </cell>
          <cell r="G796" t="str">
            <v>-</v>
          </cell>
          <cell r="H796" t="str">
            <v>-</v>
          </cell>
          <cell r="I796" t="str">
            <v>-</v>
          </cell>
          <cell r="J796" t="str">
            <v>-</v>
          </cell>
          <cell r="K796" t="str">
            <v>-</v>
          </cell>
          <cell r="L796" t="str">
            <v>-</v>
          </cell>
          <cell r="M796">
            <v>7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7</v>
          </cell>
          <cell r="U796">
            <v>7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7</v>
          </cell>
          <cell r="AC796">
            <v>6</v>
          </cell>
          <cell r="AD796" t="str">
            <v>DOWNGRADE</v>
          </cell>
          <cell r="AE796" t="str">
            <v>RESET</v>
          </cell>
          <cell r="AF796">
            <v>0</v>
          </cell>
          <cell r="AG796">
            <v>1</v>
          </cell>
          <cell r="AH796" t="str">
            <v>SAPHIRE</v>
          </cell>
          <cell r="AI796">
            <v>0</v>
          </cell>
          <cell r="AJ796" t="str">
            <v>FALSE</v>
          </cell>
          <cell r="AK796">
            <v>0</v>
          </cell>
          <cell r="AL796">
            <v>45261</v>
          </cell>
          <cell r="AM796">
            <v>45701</v>
          </cell>
          <cell r="AN796">
            <v>1</v>
          </cell>
          <cell r="AO796">
            <v>0</v>
          </cell>
          <cell r="AP796" t="str">
            <v>-</v>
          </cell>
          <cell r="AQ796" t="str">
            <v>-</v>
          </cell>
          <cell r="AR796" t="str">
            <v>-</v>
          </cell>
          <cell r="AS796" t="str">
            <v>-</v>
          </cell>
          <cell r="AT796" t="str">
            <v>-</v>
          </cell>
          <cell r="AU796" t="str">
            <v>-</v>
          </cell>
          <cell r="AV796" t="str">
            <v/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 t="str">
            <v/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 t="str">
            <v/>
          </cell>
          <cell r="BN796">
            <v>0</v>
          </cell>
          <cell r="BO796" t="str">
            <v/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 t="str">
            <v/>
          </cell>
          <cell r="BV796">
            <v>0</v>
          </cell>
          <cell r="BW796">
            <v>7</v>
          </cell>
          <cell r="BX796" t="str">
            <v>DOWNGRADE</v>
          </cell>
          <cell r="BY796" t="str">
            <v>RESET</v>
          </cell>
        </row>
        <row r="797">
          <cell r="A797" t="str">
            <v>A3519</v>
          </cell>
          <cell r="B797" t="str">
            <v>Daffa Dzaky Musthofa</v>
          </cell>
          <cell r="C797" t="str">
            <v>TEMA C2</v>
          </cell>
          <cell r="D797">
            <v>45262</v>
          </cell>
          <cell r="E797" t="str">
            <v>Dec-23</v>
          </cell>
          <cell r="F797" t="str">
            <v>REGULER</v>
          </cell>
          <cell r="G797" t="str">
            <v>REGULER</v>
          </cell>
          <cell r="H797" t="str">
            <v>REGULER</v>
          </cell>
          <cell r="I797" t="str">
            <v>REGULER</v>
          </cell>
          <cell r="J797" t="str">
            <v>-</v>
          </cell>
          <cell r="K797" t="str">
            <v>REGULER</v>
          </cell>
          <cell r="L797" t="str">
            <v>REGULER</v>
          </cell>
          <cell r="M797">
            <v>8</v>
          </cell>
          <cell r="N797">
            <v>33</v>
          </cell>
          <cell r="O797">
            <v>5</v>
          </cell>
          <cell r="P797">
            <v>1</v>
          </cell>
          <cell r="Q797">
            <v>0</v>
          </cell>
          <cell r="R797">
            <v>1</v>
          </cell>
          <cell r="S797">
            <v>1</v>
          </cell>
          <cell r="T797">
            <v>49</v>
          </cell>
          <cell r="U797">
            <v>8</v>
          </cell>
          <cell r="V797">
            <v>33</v>
          </cell>
          <cell r="W797">
            <v>5</v>
          </cell>
          <cell r="X797">
            <v>1</v>
          </cell>
          <cell r="Y797">
            <v>0</v>
          </cell>
          <cell r="Z797">
            <v>1</v>
          </cell>
          <cell r="AA797">
            <v>1</v>
          </cell>
          <cell r="AB797">
            <v>49</v>
          </cell>
          <cell r="AC797">
            <v>1</v>
          </cell>
          <cell r="AD797" t="str">
            <v>TIDAK</v>
          </cell>
          <cell r="AE797" t="str">
            <v>TIDAK</v>
          </cell>
          <cell r="AF797">
            <v>49</v>
          </cell>
          <cell r="AG797">
            <v>2</v>
          </cell>
          <cell r="AH797" t="str">
            <v>SAPHIRE</v>
          </cell>
          <cell r="AI797">
            <v>0</v>
          </cell>
          <cell r="AJ797" t="str">
            <v>FALSE</v>
          </cell>
          <cell r="AK797">
            <v>0</v>
          </cell>
          <cell r="AL797">
            <v>45261</v>
          </cell>
          <cell r="AM797">
            <v>45701</v>
          </cell>
          <cell r="AN797">
            <v>1</v>
          </cell>
          <cell r="AO797">
            <v>49</v>
          </cell>
          <cell r="AP797" t="str">
            <v>-</v>
          </cell>
          <cell r="AQ797" t="str">
            <v>-</v>
          </cell>
          <cell r="AR797" t="str">
            <v>REGULER</v>
          </cell>
          <cell r="AS797" t="str">
            <v>-</v>
          </cell>
          <cell r="AT797" t="str">
            <v>-</v>
          </cell>
          <cell r="AU797" t="str">
            <v>-</v>
          </cell>
          <cell r="AV797" t="str">
            <v/>
          </cell>
          <cell r="AW797">
            <v>0</v>
          </cell>
          <cell r="AX797">
            <v>2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2</v>
          </cell>
          <cell r="BD797">
            <v>0</v>
          </cell>
          <cell r="BE797">
            <v>0</v>
          </cell>
          <cell r="BF797">
            <v>0</v>
          </cell>
          <cell r="BG797" t="str">
            <v/>
          </cell>
          <cell r="BH797">
            <v>0</v>
          </cell>
          <cell r="BI797">
            <v>2</v>
          </cell>
          <cell r="BJ797">
            <v>0</v>
          </cell>
          <cell r="BK797">
            <v>0</v>
          </cell>
          <cell r="BL797">
            <v>0</v>
          </cell>
          <cell r="BM797" t="str">
            <v/>
          </cell>
          <cell r="BN797">
            <v>2</v>
          </cell>
          <cell r="BO797" t="str">
            <v/>
          </cell>
          <cell r="BP797">
            <v>0</v>
          </cell>
          <cell r="BQ797">
            <v>2</v>
          </cell>
          <cell r="BR797">
            <v>0</v>
          </cell>
          <cell r="BS797">
            <v>0</v>
          </cell>
          <cell r="BT797">
            <v>0</v>
          </cell>
          <cell r="BU797" t="str">
            <v/>
          </cell>
          <cell r="BV797">
            <v>2</v>
          </cell>
          <cell r="BW797">
            <v>6</v>
          </cell>
          <cell r="BX797" t="str">
            <v>DOWNGRADE</v>
          </cell>
          <cell r="BY797" t="str">
            <v>RESET</v>
          </cell>
        </row>
        <row r="798">
          <cell r="A798" t="str">
            <v>A3027</v>
          </cell>
          <cell r="B798" t="str">
            <v>Daffa Husni Mal Habsy</v>
          </cell>
          <cell r="C798" t="str">
            <v>TEMA C2</v>
          </cell>
          <cell r="D798">
            <v>45202</v>
          </cell>
          <cell r="E798" t="str">
            <v>Oct-23</v>
          </cell>
          <cell r="F798" t="str">
            <v>REGULER</v>
          </cell>
          <cell r="G798" t="str">
            <v>REGULER</v>
          </cell>
          <cell r="H798" t="str">
            <v>REGULER</v>
          </cell>
          <cell r="I798" t="str">
            <v>REGULER</v>
          </cell>
          <cell r="J798" t="str">
            <v>-</v>
          </cell>
          <cell r="K798" t="str">
            <v>REGULER</v>
          </cell>
          <cell r="L798" t="str">
            <v>-</v>
          </cell>
          <cell r="M798">
            <v>5</v>
          </cell>
          <cell r="N798">
            <v>21</v>
          </cell>
          <cell r="O798">
            <v>13</v>
          </cell>
          <cell r="P798">
            <v>6</v>
          </cell>
          <cell r="Q798">
            <v>0</v>
          </cell>
          <cell r="R798">
            <v>11</v>
          </cell>
          <cell r="S798" t="str">
            <v/>
          </cell>
          <cell r="T798">
            <v>56</v>
          </cell>
          <cell r="U798">
            <v>5</v>
          </cell>
          <cell r="V798">
            <v>21</v>
          </cell>
          <cell r="W798">
            <v>13</v>
          </cell>
          <cell r="X798">
            <v>6</v>
          </cell>
          <cell r="Y798">
            <v>0</v>
          </cell>
          <cell r="Z798">
            <v>11</v>
          </cell>
          <cell r="AA798" t="str">
            <v/>
          </cell>
          <cell r="AB798">
            <v>56</v>
          </cell>
          <cell r="AC798">
            <v>2</v>
          </cell>
          <cell r="AD798" t="str">
            <v>TIDAK</v>
          </cell>
          <cell r="AE798" t="str">
            <v>TIDAK</v>
          </cell>
          <cell r="AF798">
            <v>56</v>
          </cell>
          <cell r="AG798">
            <v>2</v>
          </cell>
          <cell r="AH798" t="str">
            <v>SAPHIRE</v>
          </cell>
          <cell r="AI798">
            <v>0</v>
          </cell>
          <cell r="AJ798" t="str">
            <v>FALSE</v>
          </cell>
          <cell r="AK798">
            <v>0</v>
          </cell>
          <cell r="AL798">
            <v>45261</v>
          </cell>
          <cell r="AM798">
            <v>45701</v>
          </cell>
          <cell r="AN798">
            <v>1</v>
          </cell>
          <cell r="AO798">
            <v>56</v>
          </cell>
          <cell r="AP798" t="str">
            <v>-</v>
          </cell>
          <cell r="AQ798" t="str">
            <v>-</v>
          </cell>
          <cell r="AR798" t="str">
            <v>-</v>
          </cell>
          <cell r="AS798" t="str">
            <v>-</v>
          </cell>
          <cell r="AT798" t="str">
            <v>-</v>
          </cell>
          <cell r="AU798" t="str">
            <v>-</v>
          </cell>
          <cell r="AV798" t="str">
            <v/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 t="str">
            <v/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 t="str">
            <v/>
          </cell>
          <cell r="BN798">
            <v>0</v>
          </cell>
          <cell r="BO798" t="str">
            <v/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 t="str">
            <v/>
          </cell>
          <cell r="BV798">
            <v>0</v>
          </cell>
          <cell r="BW798">
            <v>7</v>
          </cell>
          <cell r="BX798" t="str">
            <v>DOWNGRADE</v>
          </cell>
          <cell r="BY798" t="str">
            <v>RESET</v>
          </cell>
        </row>
        <row r="799">
          <cell r="A799" t="str">
            <v>A3793</v>
          </cell>
          <cell r="B799" t="str">
            <v>Damar Imroatul Az Zahro</v>
          </cell>
          <cell r="C799" t="str">
            <v>TEMA C2</v>
          </cell>
          <cell r="D799">
            <v>45367</v>
          </cell>
          <cell r="E799" t="str">
            <v>Mar-24</v>
          </cell>
          <cell r="F799" t="str">
            <v>-</v>
          </cell>
          <cell r="G799" t="str">
            <v>-</v>
          </cell>
          <cell r="H799" t="str">
            <v>REGULER</v>
          </cell>
          <cell r="I799" t="str">
            <v>REGULER</v>
          </cell>
          <cell r="J799" t="str">
            <v>REGULER</v>
          </cell>
          <cell r="K799" t="str">
            <v>-</v>
          </cell>
          <cell r="L799" t="str">
            <v>-</v>
          </cell>
          <cell r="M799">
            <v>0</v>
          </cell>
          <cell r="N799">
            <v>0</v>
          </cell>
          <cell r="O799">
            <v>2</v>
          </cell>
          <cell r="P799">
            <v>23</v>
          </cell>
          <cell r="Q799">
            <v>6</v>
          </cell>
          <cell r="R799">
            <v>0</v>
          </cell>
          <cell r="S799" t="str">
            <v/>
          </cell>
          <cell r="T799">
            <v>31</v>
          </cell>
          <cell r="U799">
            <v>0</v>
          </cell>
          <cell r="V799">
            <v>0</v>
          </cell>
          <cell r="W799">
            <v>2</v>
          </cell>
          <cell r="X799">
            <v>23</v>
          </cell>
          <cell r="Y799">
            <v>6</v>
          </cell>
          <cell r="Z799">
            <v>0</v>
          </cell>
          <cell r="AA799" t="str">
            <v/>
          </cell>
          <cell r="AB799">
            <v>31</v>
          </cell>
          <cell r="AC799">
            <v>2</v>
          </cell>
          <cell r="AD799" t="str">
            <v>TIDAK</v>
          </cell>
          <cell r="AE799" t="str">
            <v>TIDAK</v>
          </cell>
          <cell r="AF799">
            <v>31</v>
          </cell>
          <cell r="AG799">
            <v>1</v>
          </cell>
          <cell r="AH799" t="str">
            <v>SAPHIRE</v>
          </cell>
          <cell r="AI799">
            <v>0</v>
          </cell>
          <cell r="AJ799" t="str">
            <v>FALSE</v>
          </cell>
          <cell r="AK799">
            <v>0</v>
          </cell>
          <cell r="AL799">
            <v>45261</v>
          </cell>
          <cell r="AM799">
            <v>45701</v>
          </cell>
          <cell r="AN799">
            <v>1</v>
          </cell>
          <cell r="AO799">
            <v>31</v>
          </cell>
          <cell r="AP799" t="str">
            <v>-</v>
          </cell>
          <cell r="AQ799" t="str">
            <v>-</v>
          </cell>
          <cell r="AR799" t="str">
            <v>-</v>
          </cell>
          <cell r="AS799" t="str">
            <v>-</v>
          </cell>
          <cell r="AT799" t="str">
            <v>-</v>
          </cell>
          <cell r="AU799" t="str">
            <v>-</v>
          </cell>
          <cell r="AV799" t="str">
            <v/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 t="str">
            <v/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 t="str">
            <v/>
          </cell>
          <cell r="BN799">
            <v>0</v>
          </cell>
          <cell r="BO799" t="str">
            <v/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 t="str">
            <v/>
          </cell>
          <cell r="BV799">
            <v>0</v>
          </cell>
          <cell r="BW799">
            <v>7</v>
          </cell>
          <cell r="BX799" t="str">
            <v>DOWNGRADE</v>
          </cell>
          <cell r="BY799" t="str">
            <v>RESET</v>
          </cell>
        </row>
        <row r="800">
          <cell r="A800" t="str">
            <v>A3640</v>
          </cell>
          <cell r="B800" t="str">
            <v>Daniel Bangkit</v>
          </cell>
          <cell r="C800" t="str">
            <v>TEMA C2</v>
          </cell>
          <cell r="D800">
            <v>45325</v>
          </cell>
          <cell r="E800" t="str">
            <v>Feb-24</v>
          </cell>
          <cell r="F800" t="str">
            <v>-</v>
          </cell>
          <cell r="G800" t="str">
            <v>-</v>
          </cell>
          <cell r="H800" t="str">
            <v>REGULER</v>
          </cell>
          <cell r="I800" t="str">
            <v>REGULER</v>
          </cell>
          <cell r="J800" t="str">
            <v>REGULER</v>
          </cell>
          <cell r="K800" t="str">
            <v>-</v>
          </cell>
          <cell r="L800" t="str">
            <v>-</v>
          </cell>
          <cell r="M800">
            <v>0</v>
          </cell>
          <cell r="N800">
            <v>0</v>
          </cell>
          <cell r="O800">
            <v>3</v>
          </cell>
          <cell r="P800">
            <v>8</v>
          </cell>
          <cell r="Q800">
            <v>6</v>
          </cell>
          <cell r="R800">
            <v>0</v>
          </cell>
          <cell r="S800" t="str">
            <v/>
          </cell>
          <cell r="T800">
            <v>17</v>
          </cell>
          <cell r="U800">
            <v>0</v>
          </cell>
          <cell r="V800">
            <v>0</v>
          </cell>
          <cell r="W800">
            <v>3</v>
          </cell>
          <cell r="X800">
            <v>8</v>
          </cell>
          <cell r="Y800">
            <v>6</v>
          </cell>
          <cell r="Z800">
            <v>0</v>
          </cell>
          <cell r="AA800" t="str">
            <v/>
          </cell>
          <cell r="AB800">
            <v>17</v>
          </cell>
          <cell r="AC800">
            <v>2</v>
          </cell>
          <cell r="AD800" t="str">
            <v>TIDAK</v>
          </cell>
          <cell r="AE800" t="str">
            <v>TIDAK</v>
          </cell>
          <cell r="AF800">
            <v>17</v>
          </cell>
          <cell r="AG800">
            <v>1</v>
          </cell>
          <cell r="AH800" t="str">
            <v>SAPHIRE</v>
          </cell>
          <cell r="AI800">
            <v>0</v>
          </cell>
          <cell r="AJ800" t="str">
            <v>FALSE</v>
          </cell>
          <cell r="AK800">
            <v>0</v>
          </cell>
          <cell r="AL800">
            <v>45261</v>
          </cell>
          <cell r="AM800">
            <v>45701</v>
          </cell>
          <cell r="AN800">
            <v>1</v>
          </cell>
          <cell r="AO800">
            <v>17</v>
          </cell>
          <cell r="AP800" t="str">
            <v>-</v>
          </cell>
          <cell r="AQ800" t="str">
            <v>-</v>
          </cell>
          <cell r="AR800" t="str">
            <v>-</v>
          </cell>
          <cell r="AS800" t="str">
            <v>-</v>
          </cell>
          <cell r="AT800" t="str">
            <v>-</v>
          </cell>
          <cell r="AU800" t="str">
            <v>-</v>
          </cell>
          <cell r="AV800" t="str">
            <v/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 t="str">
            <v/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 t="str">
            <v/>
          </cell>
          <cell r="BN800">
            <v>0</v>
          </cell>
          <cell r="BO800" t="str">
            <v/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 t="str">
            <v/>
          </cell>
          <cell r="BV800">
            <v>0</v>
          </cell>
          <cell r="BW800">
            <v>7</v>
          </cell>
          <cell r="BX800" t="str">
            <v>DOWNGRADE</v>
          </cell>
          <cell r="BY800" t="str">
            <v>RESET</v>
          </cell>
        </row>
        <row r="801">
          <cell r="A801" t="str">
            <v>A3587</v>
          </cell>
          <cell r="B801" t="str">
            <v>Daniel Bayutama</v>
          </cell>
          <cell r="C801" t="str">
            <v>TEMA C2</v>
          </cell>
          <cell r="D801">
            <v>45303</v>
          </cell>
          <cell r="E801" t="str">
            <v>Jan-24</v>
          </cell>
          <cell r="F801" t="str">
            <v>-</v>
          </cell>
          <cell r="G801" t="str">
            <v>REGULER</v>
          </cell>
          <cell r="H801" t="str">
            <v>REGULER</v>
          </cell>
          <cell r="I801" t="str">
            <v>REGULER</v>
          </cell>
          <cell r="J801" t="str">
            <v>REGULER</v>
          </cell>
          <cell r="K801" t="str">
            <v>REGULER</v>
          </cell>
          <cell r="L801" t="str">
            <v>REGULER</v>
          </cell>
          <cell r="M801">
            <v>0</v>
          </cell>
          <cell r="N801">
            <v>22</v>
          </cell>
          <cell r="O801">
            <v>30</v>
          </cell>
          <cell r="P801">
            <v>30</v>
          </cell>
          <cell r="Q801">
            <v>27</v>
          </cell>
          <cell r="R801">
            <v>26</v>
          </cell>
          <cell r="S801">
            <v>13</v>
          </cell>
          <cell r="T801">
            <v>148</v>
          </cell>
          <cell r="U801">
            <v>0</v>
          </cell>
          <cell r="V801">
            <v>22</v>
          </cell>
          <cell r="W801">
            <v>30</v>
          </cell>
          <cell r="X801">
            <v>30</v>
          </cell>
          <cell r="Y801">
            <v>27</v>
          </cell>
          <cell r="Z801">
            <v>26</v>
          </cell>
          <cell r="AA801">
            <v>13</v>
          </cell>
          <cell r="AB801">
            <v>148</v>
          </cell>
          <cell r="AC801">
            <v>0</v>
          </cell>
          <cell r="AD801" t="str">
            <v>TIDAK</v>
          </cell>
          <cell r="AE801" t="str">
            <v>TIDAK</v>
          </cell>
          <cell r="AF801">
            <v>148</v>
          </cell>
          <cell r="AG801">
            <v>2</v>
          </cell>
          <cell r="AH801" t="str">
            <v>SAPHIRE</v>
          </cell>
          <cell r="AI801">
            <v>0</v>
          </cell>
          <cell r="AJ801" t="str">
            <v>Y</v>
          </cell>
          <cell r="AK801">
            <v>0</v>
          </cell>
          <cell r="AL801">
            <v>45261</v>
          </cell>
          <cell r="AM801">
            <v>45701</v>
          </cell>
          <cell r="AN801">
            <v>1</v>
          </cell>
          <cell r="AO801">
            <v>148</v>
          </cell>
          <cell r="AP801" t="str">
            <v>-</v>
          </cell>
          <cell r="AQ801" t="str">
            <v>-</v>
          </cell>
          <cell r="AR801" t="str">
            <v>REGULER</v>
          </cell>
          <cell r="AS801" t="str">
            <v>-</v>
          </cell>
          <cell r="AT801" t="str">
            <v>-</v>
          </cell>
          <cell r="AU801" t="str">
            <v>-</v>
          </cell>
          <cell r="AV801" t="str">
            <v/>
          </cell>
          <cell r="AW801">
            <v>24</v>
          </cell>
          <cell r="AX801">
            <v>2</v>
          </cell>
          <cell r="AY801">
            <v>0</v>
          </cell>
          <cell r="AZ801">
            <v>0</v>
          </cell>
          <cell r="BA801">
            <v>0</v>
          </cell>
          <cell r="BB801">
            <v>24</v>
          </cell>
          <cell r="BC801">
            <v>2</v>
          </cell>
          <cell r="BD801">
            <v>0</v>
          </cell>
          <cell r="BE801">
            <v>0</v>
          </cell>
          <cell r="BF801">
            <v>0</v>
          </cell>
          <cell r="BG801">
            <v>12</v>
          </cell>
          <cell r="BH801">
            <v>24</v>
          </cell>
          <cell r="BI801">
            <v>2</v>
          </cell>
          <cell r="BJ801">
            <v>0</v>
          </cell>
          <cell r="BK801">
            <v>0</v>
          </cell>
          <cell r="BL801">
            <v>0</v>
          </cell>
          <cell r="BM801" t="str">
            <v/>
          </cell>
          <cell r="BN801">
            <v>38</v>
          </cell>
          <cell r="BO801">
            <v>12</v>
          </cell>
          <cell r="BP801">
            <v>24</v>
          </cell>
          <cell r="BQ801">
            <v>2</v>
          </cell>
          <cell r="BR801">
            <v>0</v>
          </cell>
          <cell r="BS801">
            <v>0</v>
          </cell>
          <cell r="BT801">
            <v>0</v>
          </cell>
          <cell r="BU801" t="str">
            <v/>
          </cell>
          <cell r="BV801">
            <v>38</v>
          </cell>
          <cell r="BW801">
            <v>4</v>
          </cell>
          <cell r="BX801" t="str">
            <v>DOWNGRADE</v>
          </cell>
          <cell r="BY801" t="str">
            <v>RESET</v>
          </cell>
        </row>
        <row r="802">
          <cell r="A802" t="str">
            <v>A4046</v>
          </cell>
          <cell r="B802" t="str">
            <v>DANIEL RIO ANDIKA PUTRA</v>
          </cell>
          <cell r="C802" t="str">
            <v>TEMA C2</v>
          </cell>
          <cell r="D802">
            <v>45436</v>
          </cell>
          <cell r="E802" t="str">
            <v>May-24</v>
          </cell>
          <cell r="F802" t="str">
            <v>-</v>
          </cell>
          <cell r="G802" t="str">
            <v>-</v>
          </cell>
          <cell r="H802" t="str">
            <v>-</v>
          </cell>
          <cell r="I802" t="str">
            <v>-</v>
          </cell>
          <cell r="J802" t="str">
            <v>-</v>
          </cell>
          <cell r="K802" t="str">
            <v>REGULER</v>
          </cell>
          <cell r="L802" t="str">
            <v>REGULER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12</v>
          </cell>
          <cell r="S802">
            <v>21</v>
          </cell>
          <cell r="T802">
            <v>33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12</v>
          </cell>
          <cell r="AA802">
            <v>21</v>
          </cell>
          <cell r="AB802">
            <v>33</v>
          </cell>
          <cell r="AC802">
            <v>0</v>
          </cell>
          <cell r="AD802" t="str">
            <v>TIDAK</v>
          </cell>
          <cell r="AE802" t="str">
            <v>TIDAK</v>
          </cell>
          <cell r="AF802">
            <v>33</v>
          </cell>
          <cell r="AG802">
            <v>1</v>
          </cell>
          <cell r="AH802" t="str">
            <v>SAPHIRE</v>
          </cell>
          <cell r="AI802">
            <v>0</v>
          </cell>
          <cell r="AJ802" t="str">
            <v>FALSE</v>
          </cell>
          <cell r="AK802">
            <v>0</v>
          </cell>
          <cell r="AL802">
            <v>45261</v>
          </cell>
          <cell r="AM802">
            <v>45701</v>
          </cell>
          <cell r="AN802">
            <v>1</v>
          </cell>
          <cell r="AO802">
            <v>33</v>
          </cell>
          <cell r="AP802" t="str">
            <v>-</v>
          </cell>
          <cell r="AQ802" t="str">
            <v>-</v>
          </cell>
          <cell r="AR802" t="str">
            <v>EKSKLUSIF</v>
          </cell>
          <cell r="AS802" t="str">
            <v>EKSKLUSIF</v>
          </cell>
          <cell r="AT802" t="str">
            <v>EKSKLUSIF</v>
          </cell>
          <cell r="AU802" t="str">
            <v>EKSKLUSIF</v>
          </cell>
          <cell r="AV802" t="str">
            <v/>
          </cell>
          <cell r="AW802">
            <v>48</v>
          </cell>
          <cell r="AX802">
            <v>46</v>
          </cell>
          <cell r="AY802">
            <v>33</v>
          </cell>
          <cell r="AZ802">
            <v>49</v>
          </cell>
          <cell r="BA802">
            <v>42</v>
          </cell>
          <cell r="BB802">
            <v>48</v>
          </cell>
          <cell r="BC802">
            <v>46</v>
          </cell>
          <cell r="BD802">
            <v>33</v>
          </cell>
          <cell r="BE802">
            <v>49</v>
          </cell>
          <cell r="BF802">
            <v>42</v>
          </cell>
          <cell r="BG802">
            <v>19</v>
          </cell>
          <cell r="BH802">
            <v>48</v>
          </cell>
          <cell r="BI802">
            <v>46</v>
          </cell>
          <cell r="BJ802">
            <v>33</v>
          </cell>
          <cell r="BK802">
            <v>49</v>
          </cell>
          <cell r="BL802">
            <v>42</v>
          </cell>
          <cell r="BM802">
            <v>21</v>
          </cell>
          <cell r="BN802">
            <v>258</v>
          </cell>
          <cell r="BO802">
            <v>19</v>
          </cell>
          <cell r="BP802">
            <v>48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21</v>
          </cell>
          <cell r="BV802">
            <v>88</v>
          </cell>
          <cell r="BW802">
            <v>0</v>
          </cell>
          <cell r="BX802" t="str">
            <v>TIDAK</v>
          </cell>
          <cell r="BY802" t="str">
            <v>TIDAK</v>
          </cell>
        </row>
        <row r="803">
          <cell r="A803" t="str">
            <v>A2822</v>
          </cell>
          <cell r="B803" t="str">
            <v>Darin Tri Widyastuti</v>
          </cell>
          <cell r="C803" t="str">
            <v>TEMA C2</v>
          </cell>
          <cell r="D803">
            <v>45157</v>
          </cell>
          <cell r="E803" t="str">
            <v>Aug-23</v>
          </cell>
          <cell r="F803" t="str">
            <v>REGULER</v>
          </cell>
          <cell r="G803" t="str">
            <v>REGULER</v>
          </cell>
          <cell r="H803" t="str">
            <v>-</v>
          </cell>
          <cell r="I803" t="str">
            <v>-</v>
          </cell>
          <cell r="J803" t="str">
            <v>-</v>
          </cell>
          <cell r="K803" t="str">
            <v>-</v>
          </cell>
          <cell r="L803" t="str">
            <v>-</v>
          </cell>
          <cell r="M803">
            <v>14</v>
          </cell>
          <cell r="N803">
            <v>7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 t="str">
            <v/>
          </cell>
          <cell r="T803">
            <v>21</v>
          </cell>
          <cell r="U803">
            <v>14</v>
          </cell>
          <cell r="V803">
            <v>7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 t="str">
            <v/>
          </cell>
          <cell r="AB803">
            <v>21</v>
          </cell>
          <cell r="AC803">
            <v>5</v>
          </cell>
          <cell r="AD803" t="str">
            <v>DOWNGRADE</v>
          </cell>
          <cell r="AE803" t="str">
            <v>RESET</v>
          </cell>
          <cell r="AF803">
            <v>0</v>
          </cell>
          <cell r="AG803">
            <v>3</v>
          </cell>
          <cell r="AH803" t="str">
            <v>SAPHIRE</v>
          </cell>
          <cell r="AI803">
            <v>0</v>
          </cell>
          <cell r="AJ803" t="str">
            <v>FALSE</v>
          </cell>
          <cell r="AK803">
            <v>0</v>
          </cell>
          <cell r="AL803">
            <v>45261</v>
          </cell>
          <cell r="AM803">
            <v>45701</v>
          </cell>
          <cell r="AN803">
            <v>1</v>
          </cell>
          <cell r="AO803">
            <v>0</v>
          </cell>
          <cell r="AP803" t="str">
            <v>-</v>
          </cell>
          <cell r="AQ803" t="str">
            <v>-</v>
          </cell>
          <cell r="AR803" t="str">
            <v>-</v>
          </cell>
          <cell r="AS803" t="str">
            <v>-</v>
          </cell>
          <cell r="AT803" t="str">
            <v>-</v>
          </cell>
          <cell r="AU803" t="str">
            <v>-</v>
          </cell>
          <cell r="AV803" t="str">
            <v/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 t="str">
            <v/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 t="str">
            <v/>
          </cell>
          <cell r="BN803">
            <v>0</v>
          </cell>
          <cell r="BO803" t="str">
            <v/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 t="str">
            <v/>
          </cell>
          <cell r="BV803">
            <v>0</v>
          </cell>
          <cell r="BW803">
            <v>7</v>
          </cell>
          <cell r="BX803" t="str">
            <v>DOWNGRADE</v>
          </cell>
          <cell r="BY803" t="str">
            <v>RESET</v>
          </cell>
        </row>
        <row r="804">
          <cell r="A804" t="str">
            <v>A3797</v>
          </cell>
          <cell r="B804" t="str">
            <v>Dea Sherlita Maharani</v>
          </cell>
          <cell r="C804" t="str">
            <v>TEMA C2</v>
          </cell>
          <cell r="D804">
            <v>45348</v>
          </cell>
          <cell r="E804" t="str">
            <v>Feb-24</v>
          </cell>
          <cell r="F804" t="str">
            <v>-</v>
          </cell>
          <cell r="G804" t="str">
            <v>-</v>
          </cell>
          <cell r="H804" t="str">
            <v>REGULER</v>
          </cell>
          <cell r="I804" t="str">
            <v>REGULER</v>
          </cell>
          <cell r="J804" t="str">
            <v>-</v>
          </cell>
          <cell r="K804" t="str">
            <v>-</v>
          </cell>
          <cell r="L804" t="str">
            <v>-</v>
          </cell>
          <cell r="M804">
            <v>0</v>
          </cell>
          <cell r="N804">
            <v>0</v>
          </cell>
          <cell r="O804">
            <v>1</v>
          </cell>
          <cell r="P804">
            <v>2</v>
          </cell>
          <cell r="Q804">
            <v>0</v>
          </cell>
          <cell r="R804">
            <v>0</v>
          </cell>
          <cell r="S804" t="str">
            <v/>
          </cell>
          <cell r="T804">
            <v>3</v>
          </cell>
          <cell r="U804">
            <v>0</v>
          </cell>
          <cell r="V804">
            <v>0</v>
          </cell>
          <cell r="W804">
            <v>1</v>
          </cell>
          <cell r="X804">
            <v>2</v>
          </cell>
          <cell r="Y804">
            <v>0</v>
          </cell>
          <cell r="Z804">
            <v>0</v>
          </cell>
          <cell r="AA804" t="str">
            <v/>
          </cell>
          <cell r="AB804">
            <v>3</v>
          </cell>
          <cell r="AC804">
            <v>3</v>
          </cell>
          <cell r="AD804" t="str">
            <v>DOWNGRADE</v>
          </cell>
          <cell r="AE804" t="str">
            <v>RESET</v>
          </cell>
          <cell r="AF804">
            <v>0</v>
          </cell>
          <cell r="AG804">
            <v>1</v>
          </cell>
          <cell r="AH804" t="str">
            <v>SAPHIRE</v>
          </cell>
          <cell r="AI804">
            <v>0</v>
          </cell>
          <cell r="AJ804" t="str">
            <v>FALSE</v>
          </cell>
          <cell r="AK804">
            <v>0</v>
          </cell>
          <cell r="AL804">
            <v>45261</v>
          </cell>
          <cell r="AM804">
            <v>45701</v>
          </cell>
          <cell r="AN804">
            <v>1</v>
          </cell>
          <cell r="AO804">
            <v>0</v>
          </cell>
          <cell r="AP804" t="str">
            <v>-</v>
          </cell>
          <cell r="AQ804" t="str">
            <v>-</v>
          </cell>
          <cell r="AR804" t="str">
            <v>-</v>
          </cell>
          <cell r="AS804" t="str">
            <v>-</v>
          </cell>
          <cell r="AT804" t="str">
            <v>-</v>
          </cell>
          <cell r="AU804" t="str">
            <v>-</v>
          </cell>
          <cell r="AV804" t="str">
            <v/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 t="str">
            <v/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 t="str">
            <v/>
          </cell>
          <cell r="BN804">
            <v>0</v>
          </cell>
          <cell r="BO804" t="str">
            <v/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 t="str">
            <v/>
          </cell>
          <cell r="BV804">
            <v>0</v>
          </cell>
          <cell r="BW804">
            <v>7</v>
          </cell>
          <cell r="BX804" t="str">
            <v>DOWNGRADE</v>
          </cell>
          <cell r="BY804" t="str">
            <v>RESET</v>
          </cell>
        </row>
        <row r="805">
          <cell r="A805" t="str">
            <v>A0947</v>
          </cell>
          <cell r="B805" t="str">
            <v>Deffina Febrian</v>
          </cell>
          <cell r="C805" t="str">
            <v>TEMA C2</v>
          </cell>
          <cell r="D805">
            <v>44921</v>
          </cell>
          <cell r="E805" t="str">
            <v>Dec-22</v>
          </cell>
          <cell r="F805" t="str">
            <v>REGULER</v>
          </cell>
          <cell r="G805" t="str">
            <v>REGULER</v>
          </cell>
          <cell r="H805" t="str">
            <v>REGULER</v>
          </cell>
          <cell r="I805" t="str">
            <v>REGULER</v>
          </cell>
          <cell r="J805" t="str">
            <v>REGULER</v>
          </cell>
          <cell r="K805" t="str">
            <v>REGULER</v>
          </cell>
          <cell r="L805" t="str">
            <v>REGULER</v>
          </cell>
          <cell r="M805">
            <v>11</v>
          </cell>
          <cell r="N805">
            <v>40</v>
          </cell>
          <cell r="O805">
            <v>30</v>
          </cell>
          <cell r="P805">
            <v>35</v>
          </cell>
          <cell r="Q805">
            <v>33</v>
          </cell>
          <cell r="R805">
            <v>30</v>
          </cell>
          <cell r="S805">
            <v>13</v>
          </cell>
          <cell r="T805">
            <v>192</v>
          </cell>
          <cell r="U805">
            <v>11</v>
          </cell>
          <cell r="V805">
            <v>40</v>
          </cell>
          <cell r="W805">
            <v>30</v>
          </cell>
          <cell r="X805">
            <v>35</v>
          </cell>
          <cell r="Y805">
            <v>33</v>
          </cell>
          <cell r="Z805">
            <v>30</v>
          </cell>
          <cell r="AA805">
            <v>13</v>
          </cell>
          <cell r="AB805">
            <v>192</v>
          </cell>
          <cell r="AC805">
            <v>0</v>
          </cell>
          <cell r="AD805" t="str">
            <v>TIDAK</v>
          </cell>
          <cell r="AE805" t="str">
            <v>TIDAK</v>
          </cell>
          <cell r="AF805">
            <v>192</v>
          </cell>
          <cell r="AG805">
            <v>1</v>
          </cell>
          <cell r="AH805" t="str">
            <v>SAPHIRE</v>
          </cell>
          <cell r="AI805">
            <v>135</v>
          </cell>
          <cell r="AJ805" t="str">
            <v>Y</v>
          </cell>
          <cell r="AK805">
            <v>0</v>
          </cell>
          <cell r="AL805">
            <v>45261</v>
          </cell>
          <cell r="AM805">
            <v>45701</v>
          </cell>
          <cell r="AN805">
            <v>1</v>
          </cell>
          <cell r="AO805">
            <v>57</v>
          </cell>
          <cell r="AP805" t="str">
            <v>-</v>
          </cell>
          <cell r="AQ805" t="str">
            <v>-</v>
          </cell>
          <cell r="AR805" t="str">
            <v>-</v>
          </cell>
          <cell r="AS805" t="str">
            <v>-</v>
          </cell>
          <cell r="AT805" t="str">
            <v>-</v>
          </cell>
          <cell r="AU805" t="str">
            <v>-</v>
          </cell>
          <cell r="AV805" t="str">
            <v/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7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 t="str">
            <v/>
          </cell>
          <cell r="BN805">
            <v>7</v>
          </cell>
          <cell r="BO805">
            <v>7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 t="str">
            <v/>
          </cell>
          <cell r="BV805">
            <v>7</v>
          </cell>
          <cell r="BW805">
            <v>6</v>
          </cell>
          <cell r="BX805" t="str">
            <v>DOWNGRADE</v>
          </cell>
          <cell r="BY805" t="str">
            <v>RESET</v>
          </cell>
        </row>
        <row r="806">
          <cell r="A806" t="str">
            <v>A3568</v>
          </cell>
          <cell r="B806" t="str">
            <v>Deny Alfian Novianto</v>
          </cell>
          <cell r="C806" t="str">
            <v>TEMA C2</v>
          </cell>
          <cell r="D806">
            <v>45307</v>
          </cell>
          <cell r="E806" t="str">
            <v>Jan-24</v>
          </cell>
          <cell r="F806" t="str">
            <v>-</v>
          </cell>
          <cell r="G806" t="str">
            <v>REGULER</v>
          </cell>
          <cell r="H806" t="str">
            <v>REGULER</v>
          </cell>
          <cell r="I806" t="str">
            <v>REGULER</v>
          </cell>
          <cell r="J806" t="str">
            <v>REGULER</v>
          </cell>
          <cell r="K806" t="str">
            <v>REGULER</v>
          </cell>
          <cell r="L806" t="str">
            <v>-</v>
          </cell>
          <cell r="M806">
            <v>0</v>
          </cell>
          <cell r="N806">
            <v>14</v>
          </cell>
          <cell r="O806">
            <v>22</v>
          </cell>
          <cell r="P806">
            <v>13</v>
          </cell>
          <cell r="Q806">
            <v>10</v>
          </cell>
          <cell r="R806">
            <v>9</v>
          </cell>
          <cell r="S806" t="str">
            <v/>
          </cell>
          <cell r="T806">
            <v>68</v>
          </cell>
          <cell r="U806">
            <v>0</v>
          </cell>
          <cell r="V806">
            <v>14</v>
          </cell>
          <cell r="W806">
            <v>22</v>
          </cell>
          <cell r="X806">
            <v>13</v>
          </cell>
          <cell r="Y806">
            <v>10</v>
          </cell>
          <cell r="Z806">
            <v>9</v>
          </cell>
          <cell r="AA806" t="str">
            <v/>
          </cell>
          <cell r="AB806">
            <v>68</v>
          </cell>
          <cell r="AC806">
            <v>1</v>
          </cell>
          <cell r="AD806" t="str">
            <v>TIDAK</v>
          </cell>
          <cell r="AE806" t="str">
            <v>TIDAK</v>
          </cell>
          <cell r="AF806">
            <v>68</v>
          </cell>
          <cell r="AG806">
            <v>1</v>
          </cell>
          <cell r="AH806" t="str">
            <v>SAPHIRE</v>
          </cell>
          <cell r="AI806">
            <v>0</v>
          </cell>
          <cell r="AJ806" t="str">
            <v>Y</v>
          </cell>
          <cell r="AK806">
            <v>0</v>
          </cell>
          <cell r="AL806">
            <v>45261</v>
          </cell>
          <cell r="AM806">
            <v>45701</v>
          </cell>
          <cell r="AN806">
            <v>1</v>
          </cell>
          <cell r="AO806">
            <v>68</v>
          </cell>
          <cell r="AP806" t="str">
            <v>-</v>
          </cell>
          <cell r="AQ806" t="str">
            <v>-</v>
          </cell>
          <cell r="AR806" t="str">
            <v>-</v>
          </cell>
          <cell r="AS806" t="str">
            <v>-</v>
          </cell>
          <cell r="AT806" t="str">
            <v>-</v>
          </cell>
          <cell r="AU806" t="str">
            <v>-</v>
          </cell>
          <cell r="AV806" t="str">
            <v/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 t="str">
            <v/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 t="str">
            <v/>
          </cell>
          <cell r="BN806">
            <v>0</v>
          </cell>
          <cell r="BO806" t="str">
            <v/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 t="str">
            <v/>
          </cell>
          <cell r="BV806">
            <v>0</v>
          </cell>
          <cell r="BW806">
            <v>7</v>
          </cell>
          <cell r="BX806" t="str">
            <v>DOWNGRADE</v>
          </cell>
          <cell r="BY806" t="str">
            <v>RESET</v>
          </cell>
        </row>
        <row r="807">
          <cell r="A807" t="str">
            <v>A2536</v>
          </cell>
          <cell r="B807" t="str">
            <v>Desy Megasari</v>
          </cell>
          <cell r="C807" t="str">
            <v>TEMA C2</v>
          </cell>
          <cell r="D807">
            <v>45093</v>
          </cell>
          <cell r="E807" t="str">
            <v>Jun-23</v>
          </cell>
          <cell r="F807" t="str">
            <v>REGULER</v>
          </cell>
          <cell r="G807" t="str">
            <v>REGULER</v>
          </cell>
          <cell r="H807" t="str">
            <v>REGULER</v>
          </cell>
          <cell r="I807" t="str">
            <v>REGULER</v>
          </cell>
          <cell r="J807" t="str">
            <v>REGULER</v>
          </cell>
          <cell r="K807" t="str">
            <v>-</v>
          </cell>
          <cell r="L807" t="str">
            <v>-</v>
          </cell>
          <cell r="M807">
            <v>11</v>
          </cell>
          <cell r="N807">
            <v>23</v>
          </cell>
          <cell r="O807">
            <v>14</v>
          </cell>
          <cell r="P807">
            <v>7</v>
          </cell>
          <cell r="Q807">
            <v>1</v>
          </cell>
          <cell r="R807">
            <v>0</v>
          </cell>
          <cell r="S807" t="str">
            <v/>
          </cell>
          <cell r="T807">
            <v>56</v>
          </cell>
          <cell r="U807">
            <v>11</v>
          </cell>
          <cell r="V807">
            <v>23</v>
          </cell>
          <cell r="W807">
            <v>14</v>
          </cell>
          <cell r="X807">
            <v>7</v>
          </cell>
          <cell r="Y807">
            <v>1</v>
          </cell>
          <cell r="Z807">
            <v>0</v>
          </cell>
          <cell r="AA807" t="str">
            <v/>
          </cell>
          <cell r="AB807">
            <v>56</v>
          </cell>
          <cell r="AC807">
            <v>2</v>
          </cell>
          <cell r="AD807" t="str">
            <v>TIDAK</v>
          </cell>
          <cell r="AE807" t="str">
            <v>TIDAK</v>
          </cell>
          <cell r="AF807">
            <v>56</v>
          </cell>
          <cell r="AG807">
            <v>1</v>
          </cell>
          <cell r="AH807" t="str">
            <v>SAPHIRE</v>
          </cell>
          <cell r="AI807">
            <v>0</v>
          </cell>
          <cell r="AJ807" t="str">
            <v>FALSE</v>
          </cell>
          <cell r="AK807">
            <v>0</v>
          </cell>
          <cell r="AL807">
            <v>45261</v>
          </cell>
          <cell r="AM807">
            <v>45701</v>
          </cell>
          <cell r="AN807">
            <v>1</v>
          </cell>
          <cell r="AO807">
            <v>56</v>
          </cell>
          <cell r="AP807" t="str">
            <v>-</v>
          </cell>
          <cell r="AQ807" t="str">
            <v>-</v>
          </cell>
          <cell r="AR807" t="str">
            <v>-</v>
          </cell>
          <cell r="AS807" t="str">
            <v>-</v>
          </cell>
          <cell r="AT807" t="str">
            <v>-</v>
          </cell>
          <cell r="AU807" t="str">
            <v>-</v>
          </cell>
          <cell r="AV807" t="str">
            <v/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 t="str">
            <v/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 t="str">
            <v/>
          </cell>
          <cell r="BN807">
            <v>0</v>
          </cell>
          <cell r="BO807" t="str">
            <v/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 t="str">
            <v/>
          </cell>
          <cell r="BV807">
            <v>0</v>
          </cell>
          <cell r="BW807">
            <v>7</v>
          </cell>
          <cell r="BX807" t="str">
            <v>DOWNGRADE</v>
          </cell>
          <cell r="BY807" t="str">
            <v>RESET</v>
          </cell>
        </row>
        <row r="808">
          <cell r="A808" t="str">
            <v>A2493</v>
          </cell>
          <cell r="B808" t="str">
            <v>Devi Fatmawati</v>
          </cell>
          <cell r="C808" t="str">
            <v>TEMA C2</v>
          </cell>
          <cell r="D808">
            <v>45110</v>
          </cell>
          <cell r="E808" t="str">
            <v>Jul-23</v>
          </cell>
          <cell r="F808" t="str">
            <v>REGULER</v>
          </cell>
          <cell r="G808" t="str">
            <v>REGULER</v>
          </cell>
          <cell r="H808" t="str">
            <v>REGULER</v>
          </cell>
          <cell r="I808" t="str">
            <v>REGULER</v>
          </cell>
          <cell r="J808" t="str">
            <v>REGULER</v>
          </cell>
          <cell r="K808" t="str">
            <v>REGULER</v>
          </cell>
          <cell r="L808" t="str">
            <v>REGULER</v>
          </cell>
          <cell r="M808">
            <v>17</v>
          </cell>
          <cell r="N808">
            <v>24</v>
          </cell>
          <cell r="O808">
            <v>5</v>
          </cell>
          <cell r="P808">
            <v>18</v>
          </cell>
          <cell r="Q808">
            <v>27</v>
          </cell>
          <cell r="R808">
            <v>34</v>
          </cell>
          <cell r="S808">
            <v>15</v>
          </cell>
          <cell r="T808">
            <v>140</v>
          </cell>
          <cell r="U808">
            <v>17</v>
          </cell>
          <cell r="V808">
            <v>24</v>
          </cell>
          <cell r="W808">
            <v>5</v>
          </cell>
          <cell r="X808">
            <v>18</v>
          </cell>
          <cell r="Y808">
            <v>27</v>
          </cell>
          <cell r="Z808">
            <v>34</v>
          </cell>
          <cell r="AA808">
            <v>15</v>
          </cell>
          <cell r="AB808">
            <v>140</v>
          </cell>
          <cell r="AC808">
            <v>0</v>
          </cell>
          <cell r="AD808" t="str">
            <v>TIDAK</v>
          </cell>
          <cell r="AE808" t="str">
            <v>TIDAK</v>
          </cell>
          <cell r="AF808">
            <v>140</v>
          </cell>
          <cell r="AG808">
            <v>1</v>
          </cell>
          <cell r="AH808" t="str">
            <v>SAPHIRE</v>
          </cell>
          <cell r="AI808">
            <v>65</v>
          </cell>
          <cell r="AJ808" t="str">
            <v>Y</v>
          </cell>
          <cell r="AK808">
            <v>0</v>
          </cell>
          <cell r="AL808">
            <v>45261</v>
          </cell>
          <cell r="AM808">
            <v>45701</v>
          </cell>
          <cell r="AN808">
            <v>1</v>
          </cell>
          <cell r="AO808">
            <v>75</v>
          </cell>
          <cell r="AP808" t="str">
            <v>-</v>
          </cell>
          <cell r="AQ808" t="str">
            <v>-</v>
          </cell>
          <cell r="AR808" t="str">
            <v>REGULER</v>
          </cell>
          <cell r="AS808" t="str">
            <v>REGULER</v>
          </cell>
          <cell r="AT808" t="str">
            <v>REGULER</v>
          </cell>
          <cell r="AU808" t="str">
            <v>REGULER</v>
          </cell>
          <cell r="AV808" t="str">
            <v/>
          </cell>
          <cell r="AW808">
            <v>22</v>
          </cell>
          <cell r="AX808">
            <v>34</v>
          </cell>
          <cell r="AY808">
            <v>28</v>
          </cell>
          <cell r="AZ808">
            <v>36</v>
          </cell>
          <cell r="BA808">
            <v>5</v>
          </cell>
          <cell r="BB808">
            <v>22</v>
          </cell>
          <cell r="BC808">
            <v>34</v>
          </cell>
          <cell r="BD808">
            <v>28</v>
          </cell>
          <cell r="BE808">
            <v>36</v>
          </cell>
          <cell r="BF808">
            <v>5</v>
          </cell>
          <cell r="BG808">
            <v>14</v>
          </cell>
          <cell r="BH808">
            <v>22</v>
          </cell>
          <cell r="BI808">
            <v>34</v>
          </cell>
          <cell r="BJ808">
            <v>28</v>
          </cell>
          <cell r="BK808">
            <v>36</v>
          </cell>
          <cell r="BL808">
            <v>5</v>
          </cell>
          <cell r="BM808" t="str">
            <v/>
          </cell>
          <cell r="BN808">
            <v>139</v>
          </cell>
          <cell r="BO808">
            <v>14</v>
          </cell>
          <cell r="BP808">
            <v>22</v>
          </cell>
          <cell r="BQ808">
            <v>34</v>
          </cell>
          <cell r="BR808">
            <v>28</v>
          </cell>
          <cell r="BS808">
            <v>36</v>
          </cell>
          <cell r="BT808">
            <v>5</v>
          </cell>
          <cell r="BU808" t="str">
            <v/>
          </cell>
          <cell r="BV808">
            <v>139</v>
          </cell>
          <cell r="BW808">
            <v>1</v>
          </cell>
          <cell r="BX808" t="str">
            <v>TIDAK</v>
          </cell>
          <cell r="BY808" t="str">
            <v>TIDAK</v>
          </cell>
        </row>
        <row r="809">
          <cell r="A809" t="str">
            <v>A0216</v>
          </cell>
          <cell r="B809" t="str">
            <v>Devi Prastika</v>
          </cell>
          <cell r="C809" t="str">
            <v>TEMA C2</v>
          </cell>
          <cell r="D809">
            <v>44854</v>
          </cell>
          <cell r="E809" t="str">
            <v>Oct-22</v>
          </cell>
          <cell r="F809" t="str">
            <v>REGULER</v>
          </cell>
          <cell r="G809" t="str">
            <v>REGULER</v>
          </cell>
          <cell r="H809" t="str">
            <v>REGULER</v>
          </cell>
          <cell r="I809" t="str">
            <v>REGULER</v>
          </cell>
          <cell r="J809" t="str">
            <v>REGULER</v>
          </cell>
          <cell r="K809" t="str">
            <v>REGULER</v>
          </cell>
          <cell r="L809" t="str">
            <v>REGULER</v>
          </cell>
          <cell r="M809">
            <v>15</v>
          </cell>
          <cell r="N809">
            <v>42</v>
          </cell>
          <cell r="O809">
            <v>30</v>
          </cell>
          <cell r="P809">
            <v>38</v>
          </cell>
          <cell r="Q809">
            <v>37</v>
          </cell>
          <cell r="R809">
            <v>39</v>
          </cell>
          <cell r="S809">
            <v>15</v>
          </cell>
          <cell r="T809">
            <v>216</v>
          </cell>
          <cell r="U809">
            <v>15</v>
          </cell>
          <cell r="V809">
            <v>42</v>
          </cell>
          <cell r="W809">
            <v>30</v>
          </cell>
          <cell r="X809">
            <v>38</v>
          </cell>
          <cell r="Y809">
            <v>37</v>
          </cell>
          <cell r="Z809">
            <v>39</v>
          </cell>
          <cell r="AA809">
            <v>15</v>
          </cell>
          <cell r="AB809">
            <v>216</v>
          </cell>
          <cell r="AC809">
            <v>0</v>
          </cell>
          <cell r="AD809" t="str">
            <v>TIDAK</v>
          </cell>
          <cell r="AE809" t="str">
            <v>TIDAK</v>
          </cell>
          <cell r="AF809">
            <v>216</v>
          </cell>
          <cell r="AG809">
            <v>2</v>
          </cell>
          <cell r="AH809" t="str">
            <v>SAPHIRE</v>
          </cell>
          <cell r="AI809">
            <v>0</v>
          </cell>
          <cell r="AJ809" t="str">
            <v>Y</v>
          </cell>
          <cell r="AK809">
            <v>0</v>
          </cell>
          <cell r="AL809">
            <v>45261</v>
          </cell>
          <cell r="AM809">
            <v>45701</v>
          </cell>
          <cell r="AN809">
            <v>1</v>
          </cell>
          <cell r="AO809">
            <v>216</v>
          </cell>
          <cell r="AP809" t="str">
            <v>-</v>
          </cell>
          <cell r="AQ809" t="str">
            <v>-</v>
          </cell>
          <cell r="AR809" t="str">
            <v>REGULER</v>
          </cell>
          <cell r="AS809" t="str">
            <v>REGULER</v>
          </cell>
          <cell r="AT809" t="str">
            <v>REGULER</v>
          </cell>
          <cell r="AU809" t="str">
            <v>REGULER</v>
          </cell>
          <cell r="AV809" t="str">
            <v/>
          </cell>
          <cell r="AW809">
            <v>39</v>
          </cell>
          <cell r="AX809">
            <v>32</v>
          </cell>
          <cell r="AY809">
            <v>35</v>
          </cell>
          <cell r="AZ809">
            <v>35</v>
          </cell>
          <cell r="BA809">
            <v>38</v>
          </cell>
          <cell r="BB809">
            <v>39</v>
          </cell>
          <cell r="BC809">
            <v>32</v>
          </cell>
          <cell r="BD809">
            <v>35</v>
          </cell>
          <cell r="BE809">
            <v>35</v>
          </cell>
          <cell r="BF809">
            <v>38</v>
          </cell>
          <cell r="BG809">
            <v>14</v>
          </cell>
          <cell r="BH809">
            <v>39</v>
          </cell>
          <cell r="BI809">
            <v>32</v>
          </cell>
          <cell r="BJ809">
            <v>35</v>
          </cell>
          <cell r="BK809">
            <v>35</v>
          </cell>
          <cell r="BL809">
            <v>38</v>
          </cell>
          <cell r="BM809">
            <v>20</v>
          </cell>
          <cell r="BN809">
            <v>213</v>
          </cell>
          <cell r="BO809">
            <v>14</v>
          </cell>
          <cell r="BP809">
            <v>39</v>
          </cell>
          <cell r="BQ809">
            <v>32</v>
          </cell>
          <cell r="BR809">
            <v>35</v>
          </cell>
          <cell r="BS809">
            <v>35</v>
          </cell>
          <cell r="BT809">
            <v>38</v>
          </cell>
          <cell r="BU809">
            <v>20</v>
          </cell>
          <cell r="BV809">
            <v>213</v>
          </cell>
          <cell r="BW809">
            <v>0</v>
          </cell>
          <cell r="BX809" t="str">
            <v>TIDAK</v>
          </cell>
          <cell r="BY809" t="str">
            <v>TIDAK</v>
          </cell>
        </row>
        <row r="810">
          <cell r="A810" t="str">
            <v>A3786</v>
          </cell>
          <cell r="B810" t="str">
            <v>Deviyana</v>
          </cell>
          <cell r="C810" t="str">
            <v>TEMA C2</v>
          </cell>
          <cell r="D810">
            <v>45367</v>
          </cell>
          <cell r="E810" t="str">
            <v>Mar-24</v>
          </cell>
          <cell r="F810" t="str">
            <v>-</v>
          </cell>
          <cell r="G810" t="str">
            <v>-</v>
          </cell>
          <cell r="H810" t="str">
            <v>REGULER</v>
          </cell>
          <cell r="I810" t="str">
            <v>REGULER</v>
          </cell>
          <cell r="J810" t="str">
            <v>-</v>
          </cell>
          <cell r="K810" t="str">
            <v>-</v>
          </cell>
          <cell r="L810" t="str">
            <v>-</v>
          </cell>
          <cell r="M810">
            <v>0</v>
          </cell>
          <cell r="N810">
            <v>0</v>
          </cell>
          <cell r="O810">
            <v>1</v>
          </cell>
          <cell r="P810">
            <v>6</v>
          </cell>
          <cell r="Q810">
            <v>0</v>
          </cell>
          <cell r="R810">
            <v>0</v>
          </cell>
          <cell r="S810" t="str">
            <v/>
          </cell>
          <cell r="T810">
            <v>7</v>
          </cell>
          <cell r="U810">
            <v>0</v>
          </cell>
          <cell r="V810">
            <v>0</v>
          </cell>
          <cell r="W810">
            <v>1</v>
          </cell>
          <cell r="X810">
            <v>6</v>
          </cell>
          <cell r="Y810">
            <v>0</v>
          </cell>
          <cell r="Z810">
            <v>0</v>
          </cell>
          <cell r="AA810" t="str">
            <v/>
          </cell>
          <cell r="AB810">
            <v>7</v>
          </cell>
          <cell r="AC810">
            <v>3</v>
          </cell>
          <cell r="AD810" t="str">
            <v>DOWNGRADE</v>
          </cell>
          <cell r="AE810" t="str">
            <v>RESET</v>
          </cell>
          <cell r="AF810">
            <v>0</v>
          </cell>
          <cell r="AG810">
            <v>1</v>
          </cell>
          <cell r="AH810" t="str">
            <v>SAPHIRE</v>
          </cell>
          <cell r="AI810">
            <v>0</v>
          </cell>
          <cell r="AJ810" t="str">
            <v>FALSE</v>
          </cell>
          <cell r="AK810">
            <v>0</v>
          </cell>
          <cell r="AL810">
            <v>45261</v>
          </cell>
          <cell r="AM810">
            <v>45701</v>
          </cell>
          <cell r="AN810">
            <v>1</v>
          </cell>
          <cell r="AO810">
            <v>0</v>
          </cell>
          <cell r="AP810" t="str">
            <v>-</v>
          </cell>
          <cell r="AQ810" t="str">
            <v>-</v>
          </cell>
          <cell r="AR810" t="str">
            <v>-</v>
          </cell>
          <cell r="AS810" t="str">
            <v>-</v>
          </cell>
          <cell r="AT810" t="str">
            <v>-</v>
          </cell>
          <cell r="AU810" t="str">
            <v>-</v>
          </cell>
          <cell r="AV810" t="str">
            <v/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 t="str">
            <v/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 t="str">
            <v/>
          </cell>
          <cell r="BN810">
            <v>0</v>
          </cell>
          <cell r="BO810" t="str">
            <v/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 t="str">
            <v/>
          </cell>
          <cell r="BV810">
            <v>0</v>
          </cell>
          <cell r="BW810">
            <v>7</v>
          </cell>
          <cell r="BX810" t="str">
            <v>DOWNGRADE</v>
          </cell>
          <cell r="BY810" t="str">
            <v>RESET</v>
          </cell>
        </row>
        <row r="811">
          <cell r="A811" t="str">
            <v>A3499</v>
          </cell>
          <cell r="B811" t="str">
            <v>Dhaiman Hadi Iriyanto</v>
          </cell>
          <cell r="C811" t="str">
            <v>TEMA C2</v>
          </cell>
          <cell r="D811">
            <v>45262</v>
          </cell>
          <cell r="E811" t="str">
            <v>Dec-23</v>
          </cell>
          <cell r="F811" t="str">
            <v>REGULER</v>
          </cell>
          <cell r="G811" t="str">
            <v>REGULER</v>
          </cell>
          <cell r="H811" t="str">
            <v>-</v>
          </cell>
          <cell r="I811" t="str">
            <v>-</v>
          </cell>
          <cell r="J811" t="str">
            <v>-</v>
          </cell>
          <cell r="K811" t="str">
            <v>-</v>
          </cell>
          <cell r="L811" t="str">
            <v>-</v>
          </cell>
          <cell r="M811">
            <v>10</v>
          </cell>
          <cell r="N811">
            <v>4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 t="str">
            <v/>
          </cell>
          <cell r="T811">
            <v>14</v>
          </cell>
          <cell r="U811">
            <v>10</v>
          </cell>
          <cell r="V811">
            <v>4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 t="str">
            <v/>
          </cell>
          <cell r="AB811">
            <v>14</v>
          </cell>
          <cell r="AC811">
            <v>5</v>
          </cell>
          <cell r="AD811" t="str">
            <v>DOWNGRADE</v>
          </cell>
          <cell r="AE811" t="str">
            <v>RESET</v>
          </cell>
          <cell r="AF811">
            <v>0</v>
          </cell>
          <cell r="AG811">
            <v>1</v>
          </cell>
          <cell r="AH811" t="str">
            <v>SAPHIRE</v>
          </cell>
          <cell r="AI811">
            <v>0</v>
          </cell>
          <cell r="AJ811" t="str">
            <v>FALSE</v>
          </cell>
          <cell r="AK811">
            <v>0</v>
          </cell>
          <cell r="AL811">
            <v>45261</v>
          </cell>
          <cell r="AM811">
            <v>45701</v>
          </cell>
          <cell r="AN811">
            <v>1</v>
          </cell>
          <cell r="AO811">
            <v>0</v>
          </cell>
          <cell r="AP811" t="str">
            <v>-</v>
          </cell>
          <cell r="AQ811" t="str">
            <v>-</v>
          </cell>
          <cell r="AR811" t="str">
            <v>-</v>
          </cell>
          <cell r="AS811" t="str">
            <v>-</v>
          </cell>
          <cell r="AT811" t="str">
            <v>-</v>
          </cell>
          <cell r="AU811" t="str">
            <v>-</v>
          </cell>
          <cell r="AV811" t="str">
            <v/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 t="str">
            <v/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 t="str">
            <v/>
          </cell>
          <cell r="BN811">
            <v>0</v>
          </cell>
          <cell r="BO811" t="str">
            <v/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 t="str">
            <v/>
          </cell>
          <cell r="BV811">
            <v>0</v>
          </cell>
          <cell r="BW811">
            <v>7</v>
          </cell>
          <cell r="BX811" t="str">
            <v>DOWNGRADE</v>
          </cell>
          <cell r="BY811" t="str">
            <v>RESET</v>
          </cell>
        </row>
        <row r="812">
          <cell r="A812" t="str">
            <v>A2093</v>
          </cell>
          <cell r="B812" t="str">
            <v>Dhea Pramesti Wardani</v>
          </cell>
          <cell r="C812" t="str">
            <v>TEMA C2</v>
          </cell>
          <cell r="D812">
            <v>45033</v>
          </cell>
          <cell r="E812" t="str">
            <v>Apr-23</v>
          </cell>
          <cell r="F812" t="str">
            <v>REGULER</v>
          </cell>
          <cell r="G812" t="str">
            <v>REGULER</v>
          </cell>
          <cell r="H812" t="str">
            <v>REGULER</v>
          </cell>
          <cell r="I812" t="str">
            <v>REGULER</v>
          </cell>
          <cell r="J812" t="str">
            <v>REGULER</v>
          </cell>
          <cell r="K812" t="str">
            <v>EKSKLUSIF</v>
          </cell>
          <cell r="L812" t="str">
            <v>EKSKLUSIF</v>
          </cell>
          <cell r="M812">
            <v>15</v>
          </cell>
          <cell r="N812">
            <v>28</v>
          </cell>
          <cell r="O812">
            <v>29</v>
          </cell>
          <cell r="P812">
            <v>23</v>
          </cell>
          <cell r="Q812">
            <v>2</v>
          </cell>
          <cell r="R812">
            <v>42</v>
          </cell>
          <cell r="S812">
            <v>20</v>
          </cell>
          <cell r="T812">
            <v>159</v>
          </cell>
          <cell r="U812">
            <v>15</v>
          </cell>
          <cell r="V812">
            <v>28</v>
          </cell>
          <cell r="W812">
            <v>29</v>
          </cell>
          <cell r="X812">
            <v>23</v>
          </cell>
          <cell r="Y812">
            <v>2</v>
          </cell>
          <cell r="Z812">
            <v>0</v>
          </cell>
          <cell r="AA812">
            <v>0</v>
          </cell>
          <cell r="AB812">
            <v>97</v>
          </cell>
          <cell r="AC812">
            <v>0</v>
          </cell>
          <cell r="AD812" t="str">
            <v>TIDAK</v>
          </cell>
          <cell r="AE812" t="str">
            <v>TIDAK</v>
          </cell>
          <cell r="AF812">
            <v>97</v>
          </cell>
          <cell r="AG812">
            <v>2</v>
          </cell>
          <cell r="AH812" t="str">
            <v>SAPHIRE</v>
          </cell>
          <cell r="AI812">
            <v>0</v>
          </cell>
          <cell r="AJ812" t="str">
            <v>Y</v>
          </cell>
          <cell r="AK812">
            <v>0</v>
          </cell>
          <cell r="AL812">
            <v>45261</v>
          </cell>
          <cell r="AM812">
            <v>45701</v>
          </cell>
          <cell r="AN812">
            <v>1</v>
          </cell>
          <cell r="AO812">
            <v>97</v>
          </cell>
          <cell r="AP812" t="str">
            <v>EKSKLUSIF</v>
          </cell>
          <cell r="AQ812" t="str">
            <v>-</v>
          </cell>
          <cell r="AR812" t="str">
            <v>-</v>
          </cell>
          <cell r="AS812" t="str">
            <v>-</v>
          </cell>
          <cell r="AT812" t="str">
            <v>-</v>
          </cell>
          <cell r="AU812" t="str">
            <v>-</v>
          </cell>
          <cell r="AV812" t="str">
            <v/>
          </cell>
          <cell r="AW812">
            <v>44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44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19</v>
          </cell>
          <cell r="BH812">
            <v>44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 t="str">
            <v/>
          </cell>
          <cell r="BN812">
            <v>63</v>
          </cell>
          <cell r="BO812">
            <v>0</v>
          </cell>
          <cell r="BP812">
            <v>44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 t="str">
            <v/>
          </cell>
          <cell r="BV812">
            <v>44</v>
          </cell>
          <cell r="BW812">
            <v>5</v>
          </cell>
          <cell r="BX812" t="str">
            <v>DOWNGRADE</v>
          </cell>
          <cell r="BY812" t="str">
            <v>RESET</v>
          </cell>
        </row>
        <row r="813">
          <cell r="A813" t="str">
            <v>A2256</v>
          </cell>
          <cell r="B813" t="str">
            <v>Diana May Safera</v>
          </cell>
          <cell r="C813" t="str">
            <v>TEMA C2</v>
          </cell>
          <cell r="D813">
            <v>45063</v>
          </cell>
          <cell r="E813" t="str">
            <v>May-23</v>
          </cell>
          <cell r="F813" t="str">
            <v>REGULER</v>
          </cell>
          <cell r="G813" t="str">
            <v>REGULER</v>
          </cell>
          <cell r="H813" t="str">
            <v>REGULER</v>
          </cell>
          <cell r="I813" t="str">
            <v>REGULER</v>
          </cell>
          <cell r="J813" t="str">
            <v>REGULER</v>
          </cell>
          <cell r="K813" t="str">
            <v>REGULER</v>
          </cell>
          <cell r="L813" t="str">
            <v>REGULER</v>
          </cell>
          <cell r="M813">
            <v>21</v>
          </cell>
          <cell r="N813">
            <v>44</v>
          </cell>
          <cell r="O813">
            <v>41</v>
          </cell>
          <cell r="P813">
            <v>40</v>
          </cell>
          <cell r="Q813">
            <v>37</v>
          </cell>
          <cell r="R813">
            <v>36</v>
          </cell>
          <cell r="S813">
            <v>15</v>
          </cell>
          <cell r="T813">
            <v>234</v>
          </cell>
          <cell r="U813">
            <v>21</v>
          </cell>
          <cell r="V813">
            <v>44</v>
          </cell>
          <cell r="W813">
            <v>41</v>
          </cell>
          <cell r="X813">
            <v>40</v>
          </cell>
          <cell r="Y813">
            <v>37</v>
          </cell>
          <cell r="Z813">
            <v>36</v>
          </cell>
          <cell r="AA813">
            <v>15</v>
          </cell>
          <cell r="AB813">
            <v>234</v>
          </cell>
          <cell r="AC813">
            <v>0</v>
          </cell>
          <cell r="AD813" t="str">
            <v>TIDAK</v>
          </cell>
          <cell r="AE813" t="str">
            <v>TIDAK</v>
          </cell>
          <cell r="AF813">
            <v>234</v>
          </cell>
          <cell r="AG813">
            <v>1</v>
          </cell>
          <cell r="AH813" t="str">
            <v>SAPHIRE</v>
          </cell>
          <cell r="AI813">
            <v>200</v>
          </cell>
          <cell r="AJ813" t="str">
            <v>Y</v>
          </cell>
          <cell r="AK813">
            <v>0</v>
          </cell>
          <cell r="AL813">
            <v>45261</v>
          </cell>
          <cell r="AM813">
            <v>45701</v>
          </cell>
          <cell r="AN813">
            <v>1</v>
          </cell>
          <cell r="AO813">
            <v>34</v>
          </cell>
          <cell r="AP813" t="str">
            <v>-</v>
          </cell>
          <cell r="AQ813" t="str">
            <v>-</v>
          </cell>
          <cell r="AR813" t="str">
            <v>-</v>
          </cell>
          <cell r="AS813" t="str">
            <v>-</v>
          </cell>
          <cell r="AT813" t="str">
            <v>-</v>
          </cell>
          <cell r="AU813" t="str">
            <v>-</v>
          </cell>
          <cell r="AV813" t="str">
            <v/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14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 t="str">
            <v/>
          </cell>
          <cell r="BN813">
            <v>14</v>
          </cell>
          <cell r="BO813">
            <v>14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 t="str">
            <v/>
          </cell>
          <cell r="BV813">
            <v>14</v>
          </cell>
          <cell r="BW813">
            <v>6</v>
          </cell>
          <cell r="BX813" t="str">
            <v>DOWNGRADE</v>
          </cell>
          <cell r="BY813" t="str">
            <v>RESET</v>
          </cell>
        </row>
        <row r="814">
          <cell r="A814" t="str">
            <v>A2072</v>
          </cell>
          <cell r="B814" t="str">
            <v>Diana Puteri Maharani</v>
          </cell>
          <cell r="C814" t="str">
            <v>TEMA C2</v>
          </cell>
          <cell r="D814">
            <v>45042</v>
          </cell>
          <cell r="E814" t="str">
            <v>Apr-23</v>
          </cell>
          <cell r="F814" t="str">
            <v>EKSKLUSIF</v>
          </cell>
          <cell r="G814" t="str">
            <v>EKSKLUSIF</v>
          </cell>
          <cell r="H814" t="str">
            <v>EKSKLUSIF</v>
          </cell>
          <cell r="I814" t="str">
            <v>EKSKLUSIF</v>
          </cell>
          <cell r="J814" t="str">
            <v>EKSKLUSIF</v>
          </cell>
          <cell r="K814" t="str">
            <v>EKSKLUSIF</v>
          </cell>
          <cell r="L814" t="str">
            <v>EKSKLUSIF</v>
          </cell>
          <cell r="M814">
            <v>21</v>
          </cell>
          <cell r="N814">
            <v>48</v>
          </cell>
          <cell r="O814">
            <v>41</v>
          </cell>
          <cell r="P814">
            <v>42</v>
          </cell>
          <cell r="Q814">
            <v>37</v>
          </cell>
          <cell r="R814">
            <v>44</v>
          </cell>
          <cell r="S814">
            <v>21</v>
          </cell>
          <cell r="T814">
            <v>254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 t="str">
            <v>TIDAK</v>
          </cell>
          <cell r="AE814" t="str">
            <v>TIDAK</v>
          </cell>
          <cell r="AF814">
            <v>0</v>
          </cell>
          <cell r="AG814">
            <v>3</v>
          </cell>
          <cell r="AH814" t="str">
            <v>SAPHIRE</v>
          </cell>
          <cell r="AI814">
            <v>0</v>
          </cell>
          <cell r="AJ814" t="str">
            <v>FALSE</v>
          </cell>
          <cell r="AK814">
            <v>0</v>
          </cell>
          <cell r="AL814">
            <v>45261</v>
          </cell>
          <cell r="AM814">
            <v>45701</v>
          </cell>
          <cell r="AN814">
            <v>1</v>
          </cell>
          <cell r="AO814">
            <v>0</v>
          </cell>
          <cell r="AP814" t="str">
            <v>EKSKLUSIF</v>
          </cell>
          <cell r="AQ814" t="str">
            <v>-</v>
          </cell>
          <cell r="AR814" t="str">
            <v>EKSKLUSIF</v>
          </cell>
          <cell r="AS814" t="str">
            <v>EKSKLUSIF</v>
          </cell>
          <cell r="AT814" t="str">
            <v>EKSKLUSIF</v>
          </cell>
          <cell r="AU814" t="str">
            <v>EKSKLUSIF</v>
          </cell>
          <cell r="AV814" t="str">
            <v/>
          </cell>
          <cell r="AW814">
            <v>50</v>
          </cell>
          <cell r="AX814">
            <v>48</v>
          </cell>
          <cell r="AY814">
            <v>44</v>
          </cell>
          <cell r="AZ814">
            <v>48</v>
          </cell>
          <cell r="BA814">
            <v>45</v>
          </cell>
          <cell r="BB814">
            <v>50</v>
          </cell>
          <cell r="BC814">
            <v>48</v>
          </cell>
          <cell r="BD814">
            <v>44</v>
          </cell>
          <cell r="BE814">
            <v>48</v>
          </cell>
          <cell r="BF814">
            <v>45</v>
          </cell>
          <cell r="BG814">
            <v>20</v>
          </cell>
          <cell r="BH814">
            <v>50</v>
          </cell>
          <cell r="BI814">
            <v>48</v>
          </cell>
          <cell r="BJ814">
            <v>44</v>
          </cell>
          <cell r="BK814">
            <v>48</v>
          </cell>
          <cell r="BL814">
            <v>45</v>
          </cell>
          <cell r="BM814">
            <v>22</v>
          </cell>
          <cell r="BN814">
            <v>277</v>
          </cell>
          <cell r="BO814">
            <v>0</v>
          </cell>
          <cell r="BP814">
            <v>50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22</v>
          </cell>
          <cell r="BV814">
            <v>72</v>
          </cell>
          <cell r="BW814">
            <v>0</v>
          </cell>
          <cell r="BX814" t="str">
            <v>TIDAK</v>
          </cell>
          <cell r="BY814" t="str">
            <v>TIDAK</v>
          </cell>
        </row>
        <row r="815">
          <cell r="A815" t="str">
            <v>A4031</v>
          </cell>
          <cell r="B815" t="str">
            <v>DIKA ARDIYANTO</v>
          </cell>
          <cell r="C815" t="str">
            <v>TEMA C2</v>
          </cell>
          <cell r="D815">
            <v>45425</v>
          </cell>
          <cell r="E815" t="str">
            <v>May-24</v>
          </cell>
          <cell r="F815" t="str">
            <v>-</v>
          </cell>
          <cell r="G815" t="str">
            <v>-</v>
          </cell>
          <cell r="H815" t="str">
            <v>-</v>
          </cell>
          <cell r="I815" t="str">
            <v>-</v>
          </cell>
          <cell r="J815" t="str">
            <v>-</v>
          </cell>
          <cell r="K815" t="str">
            <v>REGULER</v>
          </cell>
          <cell r="L815" t="str">
            <v>REGULER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23</v>
          </cell>
          <cell r="S815">
            <v>15</v>
          </cell>
          <cell r="T815">
            <v>38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23</v>
          </cell>
          <cell r="AA815">
            <v>15</v>
          </cell>
          <cell r="AB815">
            <v>38</v>
          </cell>
          <cell r="AC815">
            <v>0</v>
          </cell>
          <cell r="AD815" t="str">
            <v>TIDAK</v>
          </cell>
          <cell r="AE815" t="str">
            <v>TIDAK</v>
          </cell>
          <cell r="AF815">
            <v>38</v>
          </cell>
          <cell r="AG815">
            <v>1</v>
          </cell>
          <cell r="AH815" t="str">
            <v>SAPHIRE</v>
          </cell>
          <cell r="AI815">
            <v>0</v>
          </cell>
          <cell r="AJ815" t="str">
            <v>FALSE</v>
          </cell>
          <cell r="AK815">
            <v>0</v>
          </cell>
          <cell r="AL815">
            <v>45261</v>
          </cell>
          <cell r="AM815">
            <v>45701</v>
          </cell>
          <cell r="AN815">
            <v>1</v>
          </cell>
          <cell r="AO815">
            <v>38</v>
          </cell>
          <cell r="AP815" t="str">
            <v>-</v>
          </cell>
          <cell r="AQ815" t="str">
            <v>-</v>
          </cell>
          <cell r="AR815" t="str">
            <v>-</v>
          </cell>
          <cell r="AS815" t="str">
            <v>-</v>
          </cell>
          <cell r="AT815" t="str">
            <v>-</v>
          </cell>
          <cell r="AU815" t="str">
            <v>-</v>
          </cell>
          <cell r="AV815" t="str">
            <v/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11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 t="str">
            <v/>
          </cell>
          <cell r="BN815">
            <v>11</v>
          </cell>
          <cell r="BO815">
            <v>11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 t="str">
            <v/>
          </cell>
          <cell r="BV815">
            <v>11</v>
          </cell>
          <cell r="BW815">
            <v>6</v>
          </cell>
          <cell r="BX815" t="str">
            <v>DOWNGRADE</v>
          </cell>
          <cell r="BY815" t="str">
            <v>RESET</v>
          </cell>
        </row>
        <row r="816">
          <cell r="A816" t="str">
            <v>A2702</v>
          </cell>
          <cell r="B816" t="str">
            <v>Dila Fitriani</v>
          </cell>
          <cell r="C816" t="str">
            <v>TEMA C2</v>
          </cell>
          <cell r="D816">
            <v>45131</v>
          </cell>
          <cell r="E816" t="str">
            <v>Jul-23</v>
          </cell>
          <cell r="F816" t="str">
            <v>EKSKLUSIF</v>
          </cell>
          <cell r="G816" t="str">
            <v>EKSKLUSIF</v>
          </cell>
          <cell r="H816" t="str">
            <v>EKSKLUSIF</v>
          </cell>
          <cell r="I816" t="str">
            <v>EKSKLUSIF</v>
          </cell>
          <cell r="J816" t="str">
            <v>EKSKLUSIF</v>
          </cell>
          <cell r="K816" t="str">
            <v>EKSKLUSIF</v>
          </cell>
          <cell r="L816" t="str">
            <v>EKSKLUSIF</v>
          </cell>
          <cell r="M816">
            <v>19</v>
          </cell>
          <cell r="N816">
            <v>46</v>
          </cell>
          <cell r="O816">
            <v>39</v>
          </cell>
          <cell r="P816">
            <v>37</v>
          </cell>
          <cell r="Q816">
            <v>35</v>
          </cell>
          <cell r="R816">
            <v>41</v>
          </cell>
          <cell r="S816">
            <v>19</v>
          </cell>
          <cell r="T816">
            <v>236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 t="str">
            <v>TIDAK</v>
          </cell>
          <cell r="AE816" t="str">
            <v>TIDAK</v>
          </cell>
          <cell r="AF816">
            <v>0</v>
          </cell>
          <cell r="AG816">
            <v>3</v>
          </cell>
          <cell r="AH816" t="str">
            <v>SAPHIRE</v>
          </cell>
          <cell r="AI816">
            <v>0</v>
          </cell>
          <cell r="AJ816" t="str">
            <v>FALSE</v>
          </cell>
          <cell r="AK816">
            <v>0</v>
          </cell>
          <cell r="AL816">
            <v>45261</v>
          </cell>
          <cell r="AM816">
            <v>45701</v>
          </cell>
          <cell r="AN816">
            <v>1</v>
          </cell>
          <cell r="AO816">
            <v>0</v>
          </cell>
          <cell r="AP816" t="str">
            <v>EKSKLUSIF</v>
          </cell>
          <cell r="AQ816" t="str">
            <v>-</v>
          </cell>
          <cell r="AR816" t="str">
            <v>EKSKLUSIF</v>
          </cell>
          <cell r="AS816" t="str">
            <v>EKSKLUSIF</v>
          </cell>
          <cell r="AT816" t="str">
            <v>EKSKLUSIF</v>
          </cell>
          <cell r="AU816" t="str">
            <v>EKSKLUSIF</v>
          </cell>
          <cell r="AV816" t="str">
            <v/>
          </cell>
          <cell r="AW816">
            <v>45</v>
          </cell>
          <cell r="AX816">
            <v>43</v>
          </cell>
          <cell r="AY816">
            <v>39</v>
          </cell>
          <cell r="AZ816">
            <v>46</v>
          </cell>
          <cell r="BA816">
            <v>40</v>
          </cell>
          <cell r="BB816">
            <v>45</v>
          </cell>
          <cell r="BC816">
            <v>43</v>
          </cell>
          <cell r="BD816">
            <v>39</v>
          </cell>
          <cell r="BE816">
            <v>46</v>
          </cell>
          <cell r="BF816">
            <v>40</v>
          </cell>
          <cell r="BG816">
            <v>18</v>
          </cell>
          <cell r="BH816">
            <v>45</v>
          </cell>
          <cell r="BI816">
            <v>43</v>
          </cell>
          <cell r="BJ816">
            <v>39</v>
          </cell>
          <cell r="BK816">
            <v>46</v>
          </cell>
          <cell r="BL816">
            <v>40</v>
          </cell>
          <cell r="BM816">
            <v>19</v>
          </cell>
          <cell r="BN816">
            <v>250</v>
          </cell>
          <cell r="BO816">
            <v>0</v>
          </cell>
          <cell r="BP816">
            <v>45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19</v>
          </cell>
          <cell r="BV816">
            <v>64</v>
          </cell>
          <cell r="BW816">
            <v>0</v>
          </cell>
          <cell r="BX816" t="str">
            <v>TIDAK</v>
          </cell>
          <cell r="BY816" t="str">
            <v>TIDAK</v>
          </cell>
        </row>
        <row r="817">
          <cell r="A817" t="str">
            <v>A2684</v>
          </cell>
          <cell r="B817" t="str">
            <v>Dimas Vergiawan Afiat</v>
          </cell>
          <cell r="C817" t="str">
            <v>TEMA C2</v>
          </cell>
          <cell r="D817">
            <v>45124</v>
          </cell>
          <cell r="E817" t="str">
            <v>Jul-23</v>
          </cell>
          <cell r="F817" t="str">
            <v>EKSKLUSIF</v>
          </cell>
          <cell r="G817" t="str">
            <v>EKSKLUSIF</v>
          </cell>
          <cell r="H817" t="str">
            <v>EKSKLUSIF</v>
          </cell>
          <cell r="I817" t="str">
            <v>EKSKLUSIF</v>
          </cell>
          <cell r="J817" t="str">
            <v>EKSKLUSIF</v>
          </cell>
          <cell r="K817" t="str">
            <v>EKSKLUSIF</v>
          </cell>
          <cell r="L817" t="str">
            <v>EKSKLUSIF</v>
          </cell>
          <cell r="M817">
            <v>21</v>
          </cell>
          <cell r="N817">
            <v>48</v>
          </cell>
          <cell r="O817">
            <v>39</v>
          </cell>
          <cell r="P817">
            <v>40</v>
          </cell>
          <cell r="Q817">
            <v>33</v>
          </cell>
          <cell r="R817">
            <v>43</v>
          </cell>
          <cell r="S817">
            <v>21</v>
          </cell>
          <cell r="T817">
            <v>245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 t="str">
            <v>TIDAK</v>
          </cell>
          <cell r="AE817" t="str">
            <v>TIDAK</v>
          </cell>
          <cell r="AF817">
            <v>0</v>
          </cell>
          <cell r="AG817">
            <v>2</v>
          </cell>
          <cell r="AH817" t="str">
            <v>SAPHIRE</v>
          </cell>
          <cell r="AI817">
            <v>0</v>
          </cell>
          <cell r="AJ817" t="str">
            <v>FALSE</v>
          </cell>
          <cell r="AK817">
            <v>0</v>
          </cell>
          <cell r="AL817">
            <v>45261</v>
          </cell>
          <cell r="AM817">
            <v>45701</v>
          </cell>
          <cell r="AN817">
            <v>1</v>
          </cell>
          <cell r="AO817">
            <v>0</v>
          </cell>
          <cell r="AP817" t="str">
            <v>EKSKLUSIF</v>
          </cell>
          <cell r="AQ817" t="str">
            <v>-</v>
          </cell>
          <cell r="AR817" t="str">
            <v>REGULER</v>
          </cell>
          <cell r="AS817" t="str">
            <v>REGULER</v>
          </cell>
          <cell r="AT817" t="str">
            <v>REGULER</v>
          </cell>
          <cell r="AU817" t="str">
            <v>REGULER</v>
          </cell>
          <cell r="AV817" t="str">
            <v/>
          </cell>
          <cell r="AW817">
            <v>47</v>
          </cell>
          <cell r="AX817">
            <v>36</v>
          </cell>
          <cell r="AY817">
            <v>26</v>
          </cell>
          <cell r="AZ817">
            <v>35</v>
          </cell>
          <cell r="BA817">
            <v>40</v>
          </cell>
          <cell r="BB817">
            <v>47</v>
          </cell>
          <cell r="BC817">
            <v>36</v>
          </cell>
          <cell r="BD817">
            <v>26</v>
          </cell>
          <cell r="BE817">
            <v>35</v>
          </cell>
          <cell r="BF817">
            <v>40</v>
          </cell>
          <cell r="BG817">
            <v>20</v>
          </cell>
          <cell r="BH817">
            <v>47</v>
          </cell>
          <cell r="BI817">
            <v>36</v>
          </cell>
          <cell r="BJ817">
            <v>26</v>
          </cell>
          <cell r="BK817">
            <v>35</v>
          </cell>
          <cell r="BL817">
            <v>40</v>
          </cell>
          <cell r="BM817">
            <v>20</v>
          </cell>
          <cell r="BN817">
            <v>224</v>
          </cell>
          <cell r="BO817">
            <v>0</v>
          </cell>
          <cell r="BP817">
            <v>47</v>
          </cell>
          <cell r="BQ817">
            <v>36</v>
          </cell>
          <cell r="BR817">
            <v>26</v>
          </cell>
          <cell r="BS817">
            <v>35</v>
          </cell>
          <cell r="BT817">
            <v>40</v>
          </cell>
          <cell r="BU817">
            <v>20</v>
          </cell>
          <cell r="BV817">
            <v>204</v>
          </cell>
          <cell r="BW817">
            <v>0</v>
          </cell>
          <cell r="BX817" t="str">
            <v>TIDAK</v>
          </cell>
          <cell r="BY817" t="str">
            <v>TIDAK</v>
          </cell>
        </row>
        <row r="818">
          <cell r="A818" t="str">
            <v>A3896</v>
          </cell>
          <cell r="B818" t="str">
            <v>Dina Musriyan Dwiarini</v>
          </cell>
          <cell r="C818" t="str">
            <v>TEMA C2</v>
          </cell>
          <cell r="D818">
            <v>45367</v>
          </cell>
          <cell r="E818" t="str">
            <v>Mar-24</v>
          </cell>
          <cell r="F818" t="str">
            <v>-</v>
          </cell>
          <cell r="G818" t="str">
            <v>-</v>
          </cell>
          <cell r="H818" t="str">
            <v>-</v>
          </cell>
          <cell r="I818" t="str">
            <v>REGULER</v>
          </cell>
          <cell r="J818" t="str">
            <v>REGULER</v>
          </cell>
          <cell r="K818" t="str">
            <v>REGULER</v>
          </cell>
          <cell r="L818" t="str">
            <v>REGULER</v>
          </cell>
          <cell r="M818">
            <v>0</v>
          </cell>
          <cell r="N818">
            <v>0</v>
          </cell>
          <cell r="O818">
            <v>0</v>
          </cell>
          <cell r="P818">
            <v>6</v>
          </cell>
          <cell r="Q818">
            <v>10</v>
          </cell>
          <cell r="R818">
            <v>19</v>
          </cell>
          <cell r="S818">
            <v>11</v>
          </cell>
          <cell r="T818">
            <v>46</v>
          </cell>
          <cell r="U818">
            <v>0</v>
          </cell>
          <cell r="V818">
            <v>0</v>
          </cell>
          <cell r="W818">
            <v>0</v>
          </cell>
          <cell r="X818">
            <v>6</v>
          </cell>
          <cell r="Y818">
            <v>10</v>
          </cell>
          <cell r="Z818">
            <v>19</v>
          </cell>
          <cell r="AA818">
            <v>11</v>
          </cell>
          <cell r="AB818">
            <v>46</v>
          </cell>
          <cell r="AC818">
            <v>0</v>
          </cell>
          <cell r="AD818" t="str">
            <v>TIDAK</v>
          </cell>
          <cell r="AE818" t="str">
            <v>TIDAK</v>
          </cell>
          <cell r="AF818">
            <v>46</v>
          </cell>
          <cell r="AG818">
            <v>1</v>
          </cell>
          <cell r="AH818" t="str">
            <v>SAPHIRE</v>
          </cell>
          <cell r="AI818">
            <v>0</v>
          </cell>
          <cell r="AJ818" t="str">
            <v>FALSE</v>
          </cell>
          <cell r="AK818">
            <v>0</v>
          </cell>
          <cell r="AL818">
            <v>45261</v>
          </cell>
          <cell r="AM818">
            <v>45701</v>
          </cell>
          <cell r="AN818">
            <v>1</v>
          </cell>
          <cell r="AO818">
            <v>46</v>
          </cell>
          <cell r="AP818" t="str">
            <v>-</v>
          </cell>
          <cell r="AQ818" t="str">
            <v>-</v>
          </cell>
          <cell r="AR818" t="str">
            <v>-</v>
          </cell>
          <cell r="AS818" t="str">
            <v>-</v>
          </cell>
          <cell r="AT818" t="str">
            <v>-</v>
          </cell>
          <cell r="AU818" t="str">
            <v>-</v>
          </cell>
          <cell r="AV818" t="str">
            <v/>
          </cell>
          <cell r="AW818">
            <v>1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1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6</v>
          </cell>
          <cell r="BH818">
            <v>1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 t="str">
            <v/>
          </cell>
          <cell r="BN818">
            <v>7</v>
          </cell>
          <cell r="BO818">
            <v>6</v>
          </cell>
          <cell r="BP818">
            <v>1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 t="str">
            <v/>
          </cell>
          <cell r="BV818">
            <v>7</v>
          </cell>
          <cell r="BW818">
            <v>5</v>
          </cell>
          <cell r="BX818" t="str">
            <v>DOWNGRADE</v>
          </cell>
          <cell r="BY818" t="str">
            <v>RESET</v>
          </cell>
        </row>
        <row r="819">
          <cell r="A819" t="str">
            <v>A1089</v>
          </cell>
          <cell r="B819" t="str">
            <v>Dina Rohmatika</v>
          </cell>
          <cell r="C819" t="str">
            <v>TEMA C2</v>
          </cell>
          <cell r="D819">
            <v>44960</v>
          </cell>
          <cell r="E819" t="str">
            <v>Feb-23</v>
          </cell>
          <cell r="F819" t="str">
            <v>REGULER</v>
          </cell>
          <cell r="G819" t="str">
            <v>REGULER</v>
          </cell>
          <cell r="H819" t="str">
            <v>REGULER</v>
          </cell>
          <cell r="I819" t="str">
            <v>REGULER</v>
          </cell>
          <cell r="J819" t="str">
            <v>REGULER</v>
          </cell>
          <cell r="K819" t="str">
            <v>REGULER</v>
          </cell>
          <cell r="L819" t="str">
            <v>REGULER</v>
          </cell>
          <cell r="M819">
            <v>17</v>
          </cell>
          <cell r="N819">
            <v>36</v>
          </cell>
          <cell r="O819">
            <v>36</v>
          </cell>
          <cell r="P819">
            <v>33</v>
          </cell>
          <cell r="Q819">
            <v>25</v>
          </cell>
          <cell r="R819">
            <v>31</v>
          </cell>
          <cell r="S819">
            <v>16</v>
          </cell>
          <cell r="T819">
            <v>194</v>
          </cell>
          <cell r="U819">
            <v>17</v>
          </cell>
          <cell r="V819">
            <v>36</v>
          </cell>
          <cell r="W819">
            <v>36</v>
          </cell>
          <cell r="X819">
            <v>33</v>
          </cell>
          <cell r="Y819">
            <v>25</v>
          </cell>
          <cell r="Z819">
            <v>31</v>
          </cell>
          <cell r="AA819">
            <v>16</v>
          </cell>
          <cell r="AB819">
            <v>194</v>
          </cell>
          <cell r="AC819">
            <v>0</v>
          </cell>
          <cell r="AD819" t="str">
            <v>TIDAK</v>
          </cell>
          <cell r="AE819" t="str">
            <v>TIDAK</v>
          </cell>
          <cell r="AF819">
            <v>194</v>
          </cell>
          <cell r="AG819">
            <v>3</v>
          </cell>
          <cell r="AH819" t="str">
            <v>SAPHIRE</v>
          </cell>
          <cell r="AI819">
            <v>0</v>
          </cell>
          <cell r="AJ819" t="str">
            <v>Y</v>
          </cell>
          <cell r="AK819">
            <v>0</v>
          </cell>
          <cell r="AL819">
            <v>45261</v>
          </cell>
          <cell r="AM819">
            <v>45701</v>
          </cell>
          <cell r="AN819">
            <v>1</v>
          </cell>
          <cell r="AO819">
            <v>194</v>
          </cell>
          <cell r="AP819" t="str">
            <v>-</v>
          </cell>
          <cell r="AQ819" t="str">
            <v>-</v>
          </cell>
          <cell r="AR819" t="str">
            <v>REGULER</v>
          </cell>
          <cell r="AS819" t="str">
            <v>REGULER</v>
          </cell>
          <cell r="AT819" t="str">
            <v>REGULER</v>
          </cell>
          <cell r="AU819" t="str">
            <v>REGULER</v>
          </cell>
          <cell r="AV819" t="str">
            <v/>
          </cell>
          <cell r="AW819">
            <v>33</v>
          </cell>
          <cell r="AX819">
            <v>28</v>
          </cell>
          <cell r="AY819">
            <v>38</v>
          </cell>
          <cell r="AZ819">
            <v>31</v>
          </cell>
          <cell r="BA819">
            <v>21</v>
          </cell>
          <cell r="BB819">
            <v>33</v>
          </cell>
          <cell r="BC819">
            <v>28</v>
          </cell>
          <cell r="BD819">
            <v>38</v>
          </cell>
          <cell r="BE819">
            <v>31</v>
          </cell>
          <cell r="BF819">
            <v>21</v>
          </cell>
          <cell r="BG819">
            <v>11</v>
          </cell>
          <cell r="BH819">
            <v>33</v>
          </cell>
          <cell r="BI819">
            <v>28</v>
          </cell>
          <cell r="BJ819">
            <v>38</v>
          </cell>
          <cell r="BK819">
            <v>31</v>
          </cell>
          <cell r="BL819">
            <v>21</v>
          </cell>
          <cell r="BM819">
            <v>17</v>
          </cell>
          <cell r="BN819">
            <v>179</v>
          </cell>
          <cell r="BO819">
            <v>11</v>
          </cell>
          <cell r="BP819">
            <v>33</v>
          </cell>
          <cell r="BQ819">
            <v>28</v>
          </cell>
          <cell r="BR819">
            <v>38</v>
          </cell>
          <cell r="BS819">
            <v>31</v>
          </cell>
          <cell r="BT819">
            <v>21</v>
          </cell>
          <cell r="BU819">
            <v>17</v>
          </cell>
          <cell r="BV819">
            <v>179</v>
          </cell>
          <cell r="BW819">
            <v>0</v>
          </cell>
          <cell r="BX819" t="str">
            <v>TIDAK</v>
          </cell>
          <cell r="BY819" t="str">
            <v>TIDAK</v>
          </cell>
        </row>
        <row r="820">
          <cell r="A820" t="str">
            <v>A3135</v>
          </cell>
          <cell r="B820" t="str">
            <v>Dinar Aulya Agustin</v>
          </cell>
          <cell r="C820" t="str">
            <v>TEMA C2</v>
          </cell>
          <cell r="D820">
            <v>45223</v>
          </cell>
          <cell r="E820" t="str">
            <v>Oct-23</v>
          </cell>
          <cell r="F820" t="str">
            <v>REGULER</v>
          </cell>
          <cell r="G820" t="str">
            <v>REGULER</v>
          </cell>
          <cell r="H820" t="str">
            <v>REGULER</v>
          </cell>
          <cell r="I820" t="str">
            <v>REGULER</v>
          </cell>
          <cell r="J820" t="str">
            <v>-</v>
          </cell>
          <cell r="K820" t="str">
            <v>-</v>
          </cell>
          <cell r="L820" t="str">
            <v>-</v>
          </cell>
          <cell r="M820">
            <v>2</v>
          </cell>
          <cell r="N820">
            <v>8</v>
          </cell>
          <cell r="O820">
            <v>3</v>
          </cell>
          <cell r="P820">
            <v>2</v>
          </cell>
          <cell r="Q820">
            <v>0</v>
          </cell>
          <cell r="R820">
            <v>0</v>
          </cell>
          <cell r="S820" t="str">
            <v/>
          </cell>
          <cell r="T820">
            <v>15</v>
          </cell>
          <cell r="U820">
            <v>2</v>
          </cell>
          <cell r="V820">
            <v>8</v>
          </cell>
          <cell r="W820">
            <v>3</v>
          </cell>
          <cell r="X820">
            <v>2</v>
          </cell>
          <cell r="Y820">
            <v>0</v>
          </cell>
          <cell r="Z820">
            <v>0</v>
          </cell>
          <cell r="AA820" t="str">
            <v/>
          </cell>
          <cell r="AB820">
            <v>15</v>
          </cell>
          <cell r="AC820">
            <v>3</v>
          </cell>
          <cell r="AD820" t="str">
            <v>DOWNGRADE</v>
          </cell>
          <cell r="AE820" t="str">
            <v>RESET</v>
          </cell>
          <cell r="AF820">
            <v>0</v>
          </cell>
          <cell r="AG820">
            <v>1</v>
          </cell>
          <cell r="AH820" t="str">
            <v>SAPHIRE</v>
          </cell>
          <cell r="AI820">
            <v>0</v>
          </cell>
          <cell r="AJ820" t="str">
            <v>FALSE</v>
          </cell>
          <cell r="AK820">
            <v>0</v>
          </cell>
          <cell r="AL820">
            <v>45261</v>
          </cell>
          <cell r="AM820">
            <v>45701</v>
          </cell>
          <cell r="AN820">
            <v>1</v>
          </cell>
          <cell r="AO820">
            <v>0</v>
          </cell>
          <cell r="AP820" t="str">
            <v>-</v>
          </cell>
          <cell r="AQ820" t="str">
            <v>-</v>
          </cell>
          <cell r="AR820" t="str">
            <v>-</v>
          </cell>
          <cell r="AS820" t="str">
            <v>-</v>
          </cell>
          <cell r="AT820" t="str">
            <v>-</v>
          </cell>
          <cell r="AU820" t="str">
            <v>-</v>
          </cell>
          <cell r="AV820" t="str">
            <v/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 t="str">
            <v/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 t="str">
            <v/>
          </cell>
          <cell r="BN820">
            <v>0</v>
          </cell>
          <cell r="BO820" t="str">
            <v/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 t="str">
            <v/>
          </cell>
          <cell r="BV820">
            <v>0</v>
          </cell>
          <cell r="BW820">
            <v>7</v>
          </cell>
          <cell r="BX820" t="str">
            <v>DOWNGRADE</v>
          </cell>
          <cell r="BY820" t="str">
            <v>RESET</v>
          </cell>
        </row>
        <row r="821">
          <cell r="A821" t="str">
            <v>A4034</v>
          </cell>
          <cell r="B821" t="str">
            <v>DINI LESTARI</v>
          </cell>
          <cell r="C821" t="str">
            <v>TEMA C2</v>
          </cell>
          <cell r="D821">
            <v>45428</v>
          </cell>
          <cell r="E821" t="str">
            <v>May-24</v>
          </cell>
          <cell r="F821" t="str">
            <v>-</v>
          </cell>
          <cell r="G821" t="str">
            <v>-</v>
          </cell>
          <cell r="H821" t="str">
            <v>-</v>
          </cell>
          <cell r="I821" t="str">
            <v>-</v>
          </cell>
          <cell r="J821" t="str">
            <v>-</v>
          </cell>
          <cell r="K821" t="str">
            <v>REGULER</v>
          </cell>
          <cell r="L821" t="str">
            <v>REGULER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12</v>
          </cell>
          <cell r="S821">
            <v>11</v>
          </cell>
          <cell r="T821">
            <v>23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12</v>
          </cell>
          <cell r="AA821">
            <v>11</v>
          </cell>
          <cell r="AB821">
            <v>23</v>
          </cell>
          <cell r="AC821">
            <v>0</v>
          </cell>
          <cell r="AD821" t="str">
            <v>TIDAK</v>
          </cell>
          <cell r="AE821" t="str">
            <v>TIDAK</v>
          </cell>
          <cell r="AF821">
            <v>23</v>
          </cell>
          <cell r="AG821">
            <v>1</v>
          </cell>
          <cell r="AH821" t="str">
            <v>SAPHIRE</v>
          </cell>
          <cell r="AI821">
            <v>0</v>
          </cell>
          <cell r="AJ821" t="str">
            <v>FALSE</v>
          </cell>
          <cell r="AK821">
            <v>0</v>
          </cell>
          <cell r="AL821">
            <v>45261</v>
          </cell>
          <cell r="AM821">
            <v>45701</v>
          </cell>
          <cell r="AN821">
            <v>1</v>
          </cell>
          <cell r="AO821">
            <v>23</v>
          </cell>
          <cell r="AP821" t="str">
            <v>-</v>
          </cell>
          <cell r="AQ821" t="str">
            <v>-</v>
          </cell>
          <cell r="AR821" t="str">
            <v>REGULER</v>
          </cell>
          <cell r="AS821" t="str">
            <v>REGULER</v>
          </cell>
          <cell r="AT821" t="str">
            <v>REGULER</v>
          </cell>
          <cell r="AU821" t="str">
            <v>REGULER</v>
          </cell>
          <cell r="AV821" t="str">
            <v/>
          </cell>
          <cell r="AW821">
            <v>16</v>
          </cell>
          <cell r="AX821">
            <v>8</v>
          </cell>
          <cell r="AY821">
            <v>2</v>
          </cell>
          <cell r="AZ821">
            <v>12</v>
          </cell>
          <cell r="BA821">
            <v>7</v>
          </cell>
          <cell r="BB821">
            <v>16</v>
          </cell>
          <cell r="BC821">
            <v>8</v>
          </cell>
          <cell r="BD821">
            <v>2</v>
          </cell>
          <cell r="BE821">
            <v>12</v>
          </cell>
          <cell r="BF821">
            <v>7</v>
          </cell>
          <cell r="BG821">
            <v>10</v>
          </cell>
          <cell r="BH821">
            <v>16</v>
          </cell>
          <cell r="BI821">
            <v>8</v>
          </cell>
          <cell r="BJ821">
            <v>2</v>
          </cell>
          <cell r="BK821">
            <v>12</v>
          </cell>
          <cell r="BL821">
            <v>7</v>
          </cell>
          <cell r="BM821" t="str">
            <v/>
          </cell>
          <cell r="BN821">
            <v>55</v>
          </cell>
          <cell r="BO821">
            <v>10</v>
          </cell>
          <cell r="BP821">
            <v>16</v>
          </cell>
          <cell r="BQ821">
            <v>8</v>
          </cell>
          <cell r="BR821">
            <v>2</v>
          </cell>
          <cell r="BS821">
            <v>12</v>
          </cell>
          <cell r="BT821">
            <v>7</v>
          </cell>
          <cell r="BU821" t="str">
            <v/>
          </cell>
          <cell r="BV821">
            <v>55</v>
          </cell>
          <cell r="BW821">
            <v>1</v>
          </cell>
          <cell r="BX821" t="str">
            <v>TIDAK</v>
          </cell>
          <cell r="BY821" t="str">
            <v>TIDAK</v>
          </cell>
        </row>
        <row r="822">
          <cell r="A822" t="str">
            <v>A4050</v>
          </cell>
          <cell r="B822" t="str">
            <v>DITA PUSPITA SARI</v>
          </cell>
          <cell r="C822" t="str">
            <v>TEMA C2</v>
          </cell>
          <cell r="D822">
            <v>45436</v>
          </cell>
          <cell r="E822" t="str">
            <v>May-24</v>
          </cell>
          <cell r="F822" t="str">
            <v>-</v>
          </cell>
          <cell r="G822" t="str">
            <v>-</v>
          </cell>
          <cell r="H822" t="str">
            <v>-</v>
          </cell>
          <cell r="I822" t="str">
            <v>-</v>
          </cell>
          <cell r="J822" t="str">
            <v>-</v>
          </cell>
          <cell r="K822" t="str">
            <v>REGULER</v>
          </cell>
          <cell r="L822" t="str">
            <v>REGULER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13</v>
          </cell>
          <cell r="S822">
            <v>18</v>
          </cell>
          <cell r="T822">
            <v>31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13</v>
          </cell>
          <cell r="AA822">
            <v>18</v>
          </cell>
          <cell r="AB822">
            <v>31</v>
          </cell>
          <cell r="AC822">
            <v>0</v>
          </cell>
          <cell r="AD822" t="str">
            <v>TIDAK</v>
          </cell>
          <cell r="AE822" t="str">
            <v>TIDAK</v>
          </cell>
          <cell r="AF822">
            <v>31</v>
          </cell>
          <cell r="AG822">
            <v>1</v>
          </cell>
          <cell r="AH822" t="str">
            <v>SAPHIRE</v>
          </cell>
          <cell r="AI822">
            <v>0</v>
          </cell>
          <cell r="AJ822" t="str">
            <v>FALSE</v>
          </cell>
          <cell r="AK822">
            <v>0</v>
          </cell>
          <cell r="AL822">
            <v>45261</v>
          </cell>
          <cell r="AM822">
            <v>45701</v>
          </cell>
          <cell r="AN822">
            <v>1</v>
          </cell>
          <cell r="AO822">
            <v>31</v>
          </cell>
          <cell r="AP822" t="str">
            <v>-</v>
          </cell>
          <cell r="AQ822" t="str">
            <v>-</v>
          </cell>
          <cell r="AR822" t="str">
            <v>EKSKLUSIF</v>
          </cell>
          <cell r="AS822" t="str">
            <v>EKSKLUSIF</v>
          </cell>
          <cell r="AT822" t="str">
            <v>REGULER</v>
          </cell>
          <cell r="AU822" t="str">
            <v>REGULER</v>
          </cell>
          <cell r="AV822" t="str">
            <v/>
          </cell>
          <cell r="AW822">
            <v>49</v>
          </cell>
          <cell r="AX822">
            <v>45</v>
          </cell>
          <cell r="AY822">
            <v>42</v>
          </cell>
          <cell r="AZ822">
            <v>34</v>
          </cell>
          <cell r="BA822">
            <v>36</v>
          </cell>
          <cell r="BB822">
            <v>49</v>
          </cell>
          <cell r="BC822">
            <v>45</v>
          </cell>
          <cell r="BD822">
            <v>42</v>
          </cell>
          <cell r="BE822">
            <v>34</v>
          </cell>
          <cell r="BF822">
            <v>36</v>
          </cell>
          <cell r="BG822">
            <v>13</v>
          </cell>
          <cell r="BH822">
            <v>49</v>
          </cell>
          <cell r="BI822">
            <v>45</v>
          </cell>
          <cell r="BJ822">
            <v>42</v>
          </cell>
          <cell r="BK822">
            <v>34</v>
          </cell>
          <cell r="BL822">
            <v>36</v>
          </cell>
          <cell r="BM822">
            <v>18</v>
          </cell>
          <cell r="BN822">
            <v>237</v>
          </cell>
          <cell r="BO822">
            <v>13</v>
          </cell>
          <cell r="BP822">
            <v>49</v>
          </cell>
          <cell r="BQ822">
            <v>0</v>
          </cell>
          <cell r="BR822">
            <v>0</v>
          </cell>
          <cell r="BS822">
            <v>34</v>
          </cell>
          <cell r="BT822">
            <v>36</v>
          </cell>
          <cell r="BU822">
            <v>18</v>
          </cell>
          <cell r="BV822">
            <v>150</v>
          </cell>
          <cell r="BW822">
            <v>0</v>
          </cell>
          <cell r="BX822" t="str">
            <v>TIDAK</v>
          </cell>
          <cell r="BY822" t="str">
            <v>TIDAK</v>
          </cell>
        </row>
        <row r="823">
          <cell r="A823" t="str">
            <v>A2540</v>
          </cell>
          <cell r="B823" t="str">
            <v>Dwi Novita</v>
          </cell>
          <cell r="C823" t="str">
            <v>TEMA C2</v>
          </cell>
          <cell r="D823">
            <v>45115</v>
          </cell>
          <cell r="E823" t="str">
            <v>Jul-23</v>
          </cell>
          <cell r="F823" t="str">
            <v>REGULER</v>
          </cell>
          <cell r="G823" t="str">
            <v>REGULER</v>
          </cell>
          <cell r="H823" t="str">
            <v>REGULER</v>
          </cell>
          <cell r="I823" t="str">
            <v>REGULER</v>
          </cell>
          <cell r="J823" t="str">
            <v>REGULER</v>
          </cell>
          <cell r="K823" t="str">
            <v>REGULER</v>
          </cell>
          <cell r="L823" t="str">
            <v>REGULER</v>
          </cell>
          <cell r="M823">
            <v>16</v>
          </cell>
          <cell r="N823">
            <v>41</v>
          </cell>
          <cell r="O823">
            <v>33</v>
          </cell>
          <cell r="P823">
            <v>26</v>
          </cell>
          <cell r="Q823">
            <v>11</v>
          </cell>
          <cell r="R823">
            <v>22</v>
          </cell>
          <cell r="S823">
            <v>14</v>
          </cell>
          <cell r="T823">
            <v>163</v>
          </cell>
          <cell r="U823">
            <v>16</v>
          </cell>
          <cell r="V823">
            <v>41</v>
          </cell>
          <cell r="W823">
            <v>33</v>
          </cell>
          <cell r="X823">
            <v>26</v>
          </cell>
          <cell r="Y823">
            <v>11</v>
          </cell>
          <cell r="Z823">
            <v>22</v>
          </cell>
          <cell r="AA823">
            <v>14</v>
          </cell>
          <cell r="AB823">
            <v>163</v>
          </cell>
          <cell r="AC823">
            <v>0</v>
          </cell>
          <cell r="AD823" t="str">
            <v>TIDAK</v>
          </cell>
          <cell r="AE823" t="str">
            <v>TIDAK</v>
          </cell>
          <cell r="AF823">
            <v>163</v>
          </cell>
          <cell r="AG823">
            <v>2</v>
          </cell>
          <cell r="AH823" t="str">
            <v>SAPHIRE</v>
          </cell>
          <cell r="AI823">
            <v>135</v>
          </cell>
          <cell r="AJ823" t="str">
            <v>Y</v>
          </cell>
          <cell r="AK823">
            <v>0</v>
          </cell>
          <cell r="AL823">
            <v>45261</v>
          </cell>
          <cell r="AM823">
            <v>45701</v>
          </cell>
          <cell r="AN823">
            <v>1</v>
          </cell>
          <cell r="AO823">
            <v>28</v>
          </cell>
          <cell r="AP823" t="str">
            <v>-</v>
          </cell>
          <cell r="AQ823" t="str">
            <v>-</v>
          </cell>
          <cell r="AR823" t="str">
            <v>REGULER</v>
          </cell>
          <cell r="AS823" t="str">
            <v>REGULER</v>
          </cell>
          <cell r="AT823" t="str">
            <v>REGULER</v>
          </cell>
          <cell r="AU823" t="str">
            <v>REGULER</v>
          </cell>
          <cell r="AV823" t="str">
            <v/>
          </cell>
          <cell r="AW823">
            <v>30</v>
          </cell>
          <cell r="AX823">
            <v>15</v>
          </cell>
          <cell r="AY823">
            <v>13</v>
          </cell>
          <cell r="AZ823">
            <v>11</v>
          </cell>
          <cell r="BA823">
            <v>3</v>
          </cell>
          <cell r="BB823">
            <v>30</v>
          </cell>
          <cell r="BC823">
            <v>15</v>
          </cell>
          <cell r="BD823">
            <v>13</v>
          </cell>
          <cell r="BE823">
            <v>11</v>
          </cell>
          <cell r="BF823">
            <v>3</v>
          </cell>
          <cell r="BG823">
            <v>12</v>
          </cell>
          <cell r="BH823">
            <v>30</v>
          </cell>
          <cell r="BI823">
            <v>15</v>
          </cell>
          <cell r="BJ823">
            <v>13</v>
          </cell>
          <cell r="BK823">
            <v>11</v>
          </cell>
          <cell r="BL823">
            <v>3</v>
          </cell>
          <cell r="BM823" t="str">
            <v/>
          </cell>
          <cell r="BN823">
            <v>84</v>
          </cell>
          <cell r="BO823">
            <v>12</v>
          </cell>
          <cell r="BP823">
            <v>30</v>
          </cell>
          <cell r="BQ823">
            <v>15</v>
          </cell>
          <cell r="BR823">
            <v>13</v>
          </cell>
          <cell r="BS823">
            <v>11</v>
          </cell>
          <cell r="BT823">
            <v>3</v>
          </cell>
          <cell r="BU823" t="str">
            <v/>
          </cell>
          <cell r="BV823">
            <v>84</v>
          </cell>
          <cell r="BW823">
            <v>1</v>
          </cell>
          <cell r="BX823" t="str">
            <v>TIDAK</v>
          </cell>
          <cell r="BY823" t="str">
            <v>TIDAK</v>
          </cell>
        </row>
        <row r="824">
          <cell r="A824" t="str">
            <v>A2583</v>
          </cell>
          <cell r="B824" t="str">
            <v>Dwi Ratna Yaditara</v>
          </cell>
          <cell r="C824" t="str">
            <v>TEMA C2</v>
          </cell>
          <cell r="D824">
            <v>45112</v>
          </cell>
          <cell r="E824" t="str">
            <v>Jul-23</v>
          </cell>
          <cell r="F824" t="str">
            <v>REGULER</v>
          </cell>
          <cell r="G824" t="str">
            <v>REGULER</v>
          </cell>
          <cell r="H824" t="str">
            <v>REGULER</v>
          </cell>
          <cell r="I824" t="str">
            <v>REGULER</v>
          </cell>
          <cell r="J824" t="str">
            <v>REGULER</v>
          </cell>
          <cell r="K824" t="str">
            <v>REGULER</v>
          </cell>
          <cell r="L824" t="str">
            <v>REGULER</v>
          </cell>
          <cell r="M824">
            <v>17</v>
          </cell>
          <cell r="N824">
            <v>43</v>
          </cell>
          <cell r="O824">
            <v>34</v>
          </cell>
          <cell r="P824">
            <v>32</v>
          </cell>
          <cell r="Q824">
            <v>31</v>
          </cell>
          <cell r="R824">
            <v>31</v>
          </cell>
          <cell r="S824">
            <v>15</v>
          </cell>
          <cell r="T824">
            <v>203</v>
          </cell>
          <cell r="U824">
            <v>17</v>
          </cell>
          <cell r="V824">
            <v>43</v>
          </cell>
          <cell r="W824">
            <v>34</v>
          </cell>
          <cell r="X824">
            <v>32</v>
          </cell>
          <cell r="Y824">
            <v>31</v>
          </cell>
          <cell r="Z824">
            <v>31</v>
          </cell>
          <cell r="AA824">
            <v>15</v>
          </cell>
          <cell r="AB824">
            <v>203</v>
          </cell>
          <cell r="AC824">
            <v>0</v>
          </cell>
          <cell r="AD824" t="str">
            <v>TIDAK</v>
          </cell>
          <cell r="AE824" t="str">
            <v>TIDAK</v>
          </cell>
          <cell r="AF824">
            <v>203</v>
          </cell>
          <cell r="AG824">
            <v>4</v>
          </cell>
          <cell r="AH824" t="str">
            <v>SAPHIRE</v>
          </cell>
          <cell r="AI824">
            <v>0</v>
          </cell>
          <cell r="AJ824" t="str">
            <v>Y</v>
          </cell>
          <cell r="AK824">
            <v>0</v>
          </cell>
          <cell r="AL824">
            <v>45261</v>
          </cell>
          <cell r="AM824">
            <v>45701</v>
          </cell>
          <cell r="AN824">
            <v>1</v>
          </cell>
          <cell r="AO824">
            <v>203</v>
          </cell>
          <cell r="AP824" t="str">
            <v>-</v>
          </cell>
          <cell r="AQ824" t="str">
            <v>-</v>
          </cell>
          <cell r="AR824" t="str">
            <v>REGULER</v>
          </cell>
          <cell r="AS824" t="str">
            <v>-</v>
          </cell>
          <cell r="AT824" t="str">
            <v>-</v>
          </cell>
          <cell r="AU824" t="str">
            <v>-</v>
          </cell>
          <cell r="AV824" t="str">
            <v/>
          </cell>
          <cell r="AW824">
            <v>26</v>
          </cell>
          <cell r="AX824">
            <v>13</v>
          </cell>
          <cell r="AY824">
            <v>0</v>
          </cell>
          <cell r="AZ824">
            <v>0</v>
          </cell>
          <cell r="BA824">
            <v>0</v>
          </cell>
          <cell r="BB824">
            <v>26</v>
          </cell>
          <cell r="BC824">
            <v>13</v>
          </cell>
          <cell r="BD824">
            <v>0</v>
          </cell>
          <cell r="BE824">
            <v>0</v>
          </cell>
          <cell r="BF824">
            <v>0</v>
          </cell>
          <cell r="BG824">
            <v>12</v>
          </cell>
          <cell r="BH824">
            <v>26</v>
          </cell>
          <cell r="BI824">
            <v>13</v>
          </cell>
          <cell r="BJ824">
            <v>0</v>
          </cell>
          <cell r="BK824">
            <v>0</v>
          </cell>
          <cell r="BL824">
            <v>0</v>
          </cell>
          <cell r="BM824" t="str">
            <v/>
          </cell>
          <cell r="BN824">
            <v>51</v>
          </cell>
          <cell r="BO824">
            <v>12</v>
          </cell>
          <cell r="BP824">
            <v>26</v>
          </cell>
          <cell r="BQ824">
            <v>13</v>
          </cell>
          <cell r="BR824">
            <v>0</v>
          </cell>
          <cell r="BS824">
            <v>0</v>
          </cell>
          <cell r="BT824">
            <v>0</v>
          </cell>
          <cell r="BU824" t="str">
            <v/>
          </cell>
          <cell r="BV824">
            <v>51</v>
          </cell>
          <cell r="BW824">
            <v>4</v>
          </cell>
          <cell r="BX824" t="str">
            <v>DOWNGRADE</v>
          </cell>
          <cell r="BY824" t="str">
            <v>RESET</v>
          </cell>
        </row>
        <row r="825">
          <cell r="A825" t="str">
            <v>A0855</v>
          </cell>
          <cell r="B825" t="str">
            <v>Dwike Mutiara Rahmadani</v>
          </cell>
          <cell r="C825" t="str">
            <v>TEMA C2</v>
          </cell>
          <cell r="D825">
            <v>44896</v>
          </cell>
          <cell r="E825" t="str">
            <v>Dec-22</v>
          </cell>
          <cell r="F825" t="str">
            <v>EKSKLUSIF</v>
          </cell>
          <cell r="G825" t="str">
            <v>EKSKLUSIF</v>
          </cell>
          <cell r="H825" t="str">
            <v>EKSKLUSIF</v>
          </cell>
          <cell r="I825" t="str">
            <v>REGULER</v>
          </cell>
          <cell r="J825" t="str">
            <v>REGULER</v>
          </cell>
          <cell r="K825" t="str">
            <v>REGULER</v>
          </cell>
          <cell r="L825" t="str">
            <v>EKSKLUSIF</v>
          </cell>
          <cell r="M825">
            <v>20</v>
          </cell>
          <cell r="N825">
            <v>47</v>
          </cell>
          <cell r="O825">
            <v>39</v>
          </cell>
          <cell r="P825">
            <v>35</v>
          </cell>
          <cell r="Q825">
            <v>18</v>
          </cell>
          <cell r="R825">
            <v>33</v>
          </cell>
          <cell r="S825">
            <v>20</v>
          </cell>
          <cell r="T825">
            <v>212</v>
          </cell>
          <cell r="U825">
            <v>0</v>
          </cell>
          <cell r="V825">
            <v>0</v>
          </cell>
          <cell r="W825">
            <v>0</v>
          </cell>
          <cell r="X825">
            <v>35</v>
          </cell>
          <cell r="Y825">
            <v>18</v>
          </cell>
          <cell r="Z825">
            <v>33</v>
          </cell>
          <cell r="AA825">
            <v>0</v>
          </cell>
          <cell r="AB825">
            <v>86</v>
          </cell>
          <cell r="AC825">
            <v>0</v>
          </cell>
          <cell r="AD825" t="str">
            <v>TIDAK</v>
          </cell>
          <cell r="AE825" t="str">
            <v>TIDAK</v>
          </cell>
          <cell r="AF825">
            <v>86</v>
          </cell>
          <cell r="AG825">
            <v>2</v>
          </cell>
          <cell r="AH825" t="str">
            <v>SAPHIRE</v>
          </cell>
          <cell r="AI825">
            <v>65</v>
          </cell>
          <cell r="AJ825" t="str">
            <v>Y</v>
          </cell>
          <cell r="AK825">
            <v>0</v>
          </cell>
          <cell r="AL825">
            <v>45261</v>
          </cell>
          <cell r="AM825">
            <v>45701</v>
          </cell>
          <cell r="AN825">
            <v>1</v>
          </cell>
          <cell r="AO825">
            <v>21</v>
          </cell>
          <cell r="AP825" t="str">
            <v>EKSKLUSIF</v>
          </cell>
          <cell r="AQ825" t="str">
            <v>-</v>
          </cell>
          <cell r="AR825" t="str">
            <v>EKSKLUSIF</v>
          </cell>
          <cell r="AS825" t="str">
            <v>REGULER</v>
          </cell>
          <cell r="AT825" t="str">
            <v>REGULER</v>
          </cell>
          <cell r="AU825" t="str">
            <v>REGULER</v>
          </cell>
          <cell r="AV825" t="str">
            <v/>
          </cell>
          <cell r="AW825">
            <v>48</v>
          </cell>
          <cell r="AX825">
            <v>45</v>
          </cell>
          <cell r="AY825">
            <v>35</v>
          </cell>
          <cell r="AZ825">
            <v>42</v>
          </cell>
          <cell r="BA825">
            <v>27</v>
          </cell>
          <cell r="BB825">
            <v>48</v>
          </cell>
          <cell r="BC825">
            <v>45</v>
          </cell>
          <cell r="BD825">
            <v>35</v>
          </cell>
          <cell r="BE825">
            <v>42</v>
          </cell>
          <cell r="BF825">
            <v>27</v>
          </cell>
          <cell r="BG825">
            <v>18</v>
          </cell>
          <cell r="BH825">
            <v>48</v>
          </cell>
          <cell r="BI825">
            <v>45</v>
          </cell>
          <cell r="BJ825">
            <v>35</v>
          </cell>
          <cell r="BK825">
            <v>42</v>
          </cell>
          <cell r="BL825">
            <v>27</v>
          </cell>
          <cell r="BM825">
            <v>16</v>
          </cell>
          <cell r="BN825">
            <v>231</v>
          </cell>
          <cell r="BO825">
            <v>0</v>
          </cell>
          <cell r="BP825">
            <v>48</v>
          </cell>
          <cell r="BQ825">
            <v>0</v>
          </cell>
          <cell r="BR825">
            <v>35</v>
          </cell>
          <cell r="BS825">
            <v>42</v>
          </cell>
          <cell r="BT825">
            <v>27</v>
          </cell>
          <cell r="BU825">
            <v>16</v>
          </cell>
          <cell r="BV825">
            <v>168</v>
          </cell>
          <cell r="BW825">
            <v>0</v>
          </cell>
          <cell r="BX825" t="str">
            <v>TIDAK</v>
          </cell>
          <cell r="BY825" t="str">
            <v>TIDAK</v>
          </cell>
        </row>
        <row r="826">
          <cell r="A826" t="str">
            <v>A3134</v>
          </cell>
          <cell r="B826" t="str">
            <v>Dyana Arum Nugraini</v>
          </cell>
          <cell r="C826" t="str">
            <v>TEMA C2</v>
          </cell>
          <cell r="D826">
            <v>45215</v>
          </cell>
          <cell r="E826" t="str">
            <v>Oct-23</v>
          </cell>
          <cell r="F826" t="str">
            <v>REGULER</v>
          </cell>
          <cell r="G826" t="str">
            <v>REGULER</v>
          </cell>
          <cell r="H826" t="str">
            <v>REGULER</v>
          </cell>
          <cell r="I826" t="str">
            <v>REGULER</v>
          </cell>
          <cell r="J826" t="str">
            <v>REGULER</v>
          </cell>
          <cell r="K826" t="str">
            <v>-</v>
          </cell>
          <cell r="L826" t="str">
            <v>-</v>
          </cell>
          <cell r="M826">
            <v>19</v>
          </cell>
          <cell r="N826">
            <v>39</v>
          </cell>
          <cell r="O826">
            <v>34</v>
          </cell>
          <cell r="P826">
            <v>35</v>
          </cell>
          <cell r="Q826">
            <v>5</v>
          </cell>
          <cell r="R826">
            <v>0</v>
          </cell>
          <cell r="S826" t="str">
            <v/>
          </cell>
          <cell r="T826">
            <v>132</v>
          </cell>
          <cell r="U826">
            <v>19</v>
          </cell>
          <cell r="V826">
            <v>39</v>
          </cell>
          <cell r="W826">
            <v>34</v>
          </cell>
          <cell r="X826">
            <v>35</v>
          </cell>
          <cell r="Y826">
            <v>5</v>
          </cell>
          <cell r="Z826">
            <v>0</v>
          </cell>
          <cell r="AA826" t="str">
            <v/>
          </cell>
          <cell r="AB826">
            <v>132</v>
          </cell>
          <cell r="AC826">
            <v>2</v>
          </cell>
          <cell r="AD826" t="str">
            <v>TIDAK</v>
          </cell>
          <cell r="AE826" t="str">
            <v>TIDAK</v>
          </cell>
          <cell r="AF826">
            <v>132</v>
          </cell>
          <cell r="AG826">
            <v>2</v>
          </cell>
          <cell r="AH826" t="str">
            <v>SAPHIRE</v>
          </cell>
          <cell r="AI826">
            <v>0</v>
          </cell>
          <cell r="AJ826" t="str">
            <v>Y</v>
          </cell>
          <cell r="AK826">
            <v>0</v>
          </cell>
          <cell r="AL826">
            <v>45261</v>
          </cell>
          <cell r="AM826">
            <v>45701</v>
          </cell>
          <cell r="AN826">
            <v>1</v>
          </cell>
          <cell r="AO826">
            <v>132</v>
          </cell>
          <cell r="AP826" t="str">
            <v>-</v>
          </cell>
          <cell r="AQ826" t="str">
            <v>-</v>
          </cell>
          <cell r="AR826" t="str">
            <v>-</v>
          </cell>
          <cell r="AS826" t="str">
            <v>-</v>
          </cell>
          <cell r="AT826" t="str">
            <v>-</v>
          </cell>
          <cell r="AU826" t="str">
            <v>-</v>
          </cell>
          <cell r="AV826" t="str">
            <v/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 t="str">
            <v/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 t="str">
            <v/>
          </cell>
          <cell r="BN826">
            <v>0</v>
          </cell>
          <cell r="BO826" t="str">
            <v/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 t="str">
            <v/>
          </cell>
          <cell r="BV826">
            <v>0</v>
          </cell>
          <cell r="BW826">
            <v>7</v>
          </cell>
          <cell r="BX826" t="str">
            <v>DOWNGRADE</v>
          </cell>
          <cell r="BY826" t="str">
            <v>RESET</v>
          </cell>
        </row>
        <row r="827">
          <cell r="A827" t="str">
            <v>A4086</v>
          </cell>
          <cell r="B827" t="str">
            <v>EFA KURNIASARI</v>
          </cell>
          <cell r="C827" t="str">
            <v>TEMA C2</v>
          </cell>
          <cell r="D827">
            <v>45442</v>
          </cell>
          <cell r="E827" t="str">
            <v>May-24</v>
          </cell>
          <cell r="F827" t="str">
            <v>-</v>
          </cell>
          <cell r="G827" t="str">
            <v>-</v>
          </cell>
          <cell r="H827" t="str">
            <v>-</v>
          </cell>
          <cell r="I827" t="str">
            <v>-</v>
          </cell>
          <cell r="J827" t="str">
            <v>-</v>
          </cell>
          <cell r="K827" t="str">
            <v>REGULER</v>
          </cell>
          <cell r="L827" t="str">
            <v>REGULER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4</v>
          </cell>
          <cell r="S827">
            <v>19</v>
          </cell>
          <cell r="T827">
            <v>23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4</v>
          </cell>
          <cell r="AA827">
            <v>19</v>
          </cell>
          <cell r="AB827">
            <v>23</v>
          </cell>
          <cell r="AC827">
            <v>0</v>
          </cell>
          <cell r="AD827" t="str">
            <v>TIDAK</v>
          </cell>
          <cell r="AE827" t="str">
            <v>TIDAK</v>
          </cell>
          <cell r="AF827">
            <v>23</v>
          </cell>
          <cell r="AG827">
            <v>1</v>
          </cell>
          <cell r="AH827" t="str">
            <v>SAPHIRE</v>
          </cell>
          <cell r="AI827">
            <v>0</v>
          </cell>
          <cell r="AJ827" t="str">
            <v>FALSE</v>
          </cell>
          <cell r="AK827">
            <v>0</v>
          </cell>
          <cell r="AL827">
            <v>45261</v>
          </cell>
          <cell r="AM827">
            <v>45701</v>
          </cell>
          <cell r="AN827">
            <v>1</v>
          </cell>
          <cell r="AO827">
            <v>23</v>
          </cell>
          <cell r="AP827" t="str">
            <v>-</v>
          </cell>
          <cell r="AQ827" t="str">
            <v>-</v>
          </cell>
          <cell r="AR827" t="str">
            <v>-</v>
          </cell>
          <cell r="AS827" t="str">
            <v>-</v>
          </cell>
          <cell r="AT827" t="str">
            <v>-</v>
          </cell>
          <cell r="AU827" t="str">
            <v>-</v>
          </cell>
          <cell r="AV827" t="str">
            <v/>
          </cell>
          <cell r="AW827">
            <v>34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34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15</v>
          </cell>
          <cell r="BH827">
            <v>34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 t="str">
            <v/>
          </cell>
          <cell r="BN827">
            <v>49</v>
          </cell>
          <cell r="BO827">
            <v>15</v>
          </cell>
          <cell r="BP827">
            <v>34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 t="str">
            <v/>
          </cell>
          <cell r="BV827">
            <v>49</v>
          </cell>
          <cell r="BW827">
            <v>5</v>
          </cell>
          <cell r="BX827" t="str">
            <v>DOWNGRADE</v>
          </cell>
          <cell r="BY827" t="str">
            <v>RESET</v>
          </cell>
        </row>
        <row r="828">
          <cell r="A828" t="str">
            <v>A0900</v>
          </cell>
          <cell r="B828" t="str">
            <v>Egi Rahmawati</v>
          </cell>
          <cell r="C828" t="str">
            <v>TEMA C2</v>
          </cell>
          <cell r="D828">
            <v>44902</v>
          </cell>
          <cell r="E828" t="str">
            <v>Dec-22</v>
          </cell>
          <cell r="F828" t="str">
            <v>EKSKLUSIF</v>
          </cell>
          <cell r="G828" t="str">
            <v>EKSKLUSIF</v>
          </cell>
          <cell r="H828" t="str">
            <v>EKSKLUSIF</v>
          </cell>
          <cell r="I828" t="str">
            <v>REGULER</v>
          </cell>
          <cell r="J828" t="str">
            <v>REGULER</v>
          </cell>
          <cell r="K828" t="str">
            <v>REGULER</v>
          </cell>
          <cell r="L828" t="str">
            <v>-</v>
          </cell>
          <cell r="M828">
            <v>21</v>
          </cell>
          <cell r="N828">
            <v>45</v>
          </cell>
          <cell r="O828">
            <v>39</v>
          </cell>
          <cell r="P828">
            <v>35</v>
          </cell>
          <cell r="Q828">
            <v>26</v>
          </cell>
          <cell r="R828">
            <v>2</v>
          </cell>
          <cell r="S828" t="str">
            <v/>
          </cell>
          <cell r="T828">
            <v>168</v>
          </cell>
          <cell r="U828">
            <v>0</v>
          </cell>
          <cell r="V828">
            <v>0</v>
          </cell>
          <cell r="W828">
            <v>0</v>
          </cell>
          <cell r="X828">
            <v>35</v>
          </cell>
          <cell r="Y828">
            <v>26</v>
          </cell>
          <cell r="Z828">
            <v>2</v>
          </cell>
          <cell r="AA828" t="str">
            <v/>
          </cell>
          <cell r="AB828">
            <v>63</v>
          </cell>
          <cell r="AC828">
            <v>1</v>
          </cell>
          <cell r="AD828" t="str">
            <v>TIDAK</v>
          </cell>
          <cell r="AE828" t="str">
            <v>TIDAK</v>
          </cell>
          <cell r="AF828">
            <v>63</v>
          </cell>
          <cell r="AG828">
            <v>2</v>
          </cell>
          <cell r="AH828" t="str">
            <v>SAPHIRE</v>
          </cell>
          <cell r="AI828">
            <v>0</v>
          </cell>
          <cell r="AJ828" t="str">
            <v>FALSE</v>
          </cell>
          <cell r="AK828">
            <v>0</v>
          </cell>
          <cell r="AL828">
            <v>45261</v>
          </cell>
          <cell r="AM828">
            <v>45701</v>
          </cell>
          <cell r="AN828">
            <v>1</v>
          </cell>
          <cell r="AO828">
            <v>63</v>
          </cell>
          <cell r="AP828" t="str">
            <v>-</v>
          </cell>
          <cell r="AQ828" t="str">
            <v>-</v>
          </cell>
          <cell r="AR828" t="str">
            <v>-</v>
          </cell>
          <cell r="AS828" t="str">
            <v>-</v>
          </cell>
          <cell r="AT828" t="str">
            <v>-</v>
          </cell>
          <cell r="AU828" t="str">
            <v>-</v>
          </cell>
          <cell r="AV828" t="str">
            <v/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 t="str">
            <v/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 t="str">
            <v/>
          </cell>
          <cell r="BN828">
            <v>0</v>
          </cell>
          <cell r="BO828" t="str">
            <v/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 t="str">
            <v/>
          </cell>
          <cell r="BV828">
            <v>0</v>
          </cell>
          <cell r="BW828">
            <v>7</v>
          </cell>
          <cell r="BX828" t="str">
            <v>DOWNGRADE</v>
          </cell>
          <cell r="BY828" t="str">
            <v>RESET</v>
          </cell>
        </row>
        <row r="829">
          <cell r="A829" t="str">
            <v>A3764</v>
          </cell>
          <cell r="B829" t="str">
            <v>Egidius Salino</v>
          </cell>
          <cell r="C829" t="str">
            <v>TEMA C2</v>
          </cell>
          <cell r="D829">
            <v>45344</v>
          </cell>
          <cell r="E829" t="str">
            <v>Feb-24</v>
          </cell>
          <cell r="F829" t="str">
            <v>-</v>
          </cell>
          <cell r="G829" t="str">
            <v>-</v>
          </cell>
          <cell r="H829" t="str">
            <v>REGULER</v>
          </cell>
          <cell r="I829" t="str">
            <v>REGULER</v>
          </cell>
          <cell r="J829" t="str">
            <v>REGULER</v>
          </cell>
          <cell r="K829" t="str">
            <v>REGULER</v>
          </cell>
          <cell r="L829" t="str">
            <v>REGULER</v>
          </cell>
          <cell r="M829">
            <v>0</v>
          </cell>
          <cell r="N829">
            <v>0</v>
          </cell>
          <cell r="O829">
            <v>4</v>
          </cell>
          <cell r="P829">
            <v>19</v>
          </cell>
          <cell r="Q829">
            <v>24</v>
          </cell>
          <cell r="R829">
            <v>24</v>
          </cell>
          <cell r="S829">
            <v>10</v>
          </cell>
          <cell r="T829">
            <v>81</v>
          </cell>
          <cell r="U829">
            <v>0</v>
          </cell>
          <cell r="V829">
            <v>0</v>
          </cell>
          <cell r="W829">
            <v>4</v>
          </cell>
          <cell r="X829">
            <v>19</v>
          </cell>
          <cell r="Y829">
            <v>24</v>
          </cell>
          <cell r="Z829">
            <v>24</v>
          </cell>
          <cell r="AA829">
            <v>10</v>
          </cell>
          <cell r="AB829">
            <v>81</v>
          </cell>
          <cell r="AC829">
            <v>0</v>
          </cell>
          <cell r="AD829" t="str">
            <v>TIDAK</v>
          </cell>
          <cell r="AE829" t="str">
            <v>TIDAK</v>
          </cell>
          <cell r="AF829">
            <v>81</v>
          </cell>
          <cell r="AG829">
            <v>2</v>
          </cell>
          <cell r="AH829" t="str">
            <v>SAPHIRE</v>
          </cell>
          <cell r="AI829">
            <v>0</v>
          </cell>
          <cell r="AJ829" t="str">
            <v>Y</v>
          </cell>
          <cell r="AK829">
            <v>0</v>
          </cell>
          <cell r="AL829">
            <v>45261</v>
          </cell>
          <cell r="AM829">
            <v>45701</v>
          </cell>
          <cell r="AN829">
            <v>1</v>
          </cell>
          <cell r="AO829">
            <v>81</v>
          </cell>
          <cell r="AP829" t="str">
            <v>-</v>
          </cell>
          <cell r="AQ829" t="str">
            <v>-</v>
          </cell>
          <cell r="AR829" t="str">
            <v>-</v>
          </cell>
          <cell r="AS829" t="str">
            <v>-</v>
          </cell>
          <cell r="AT829" t="str">
            <v>-</v>
          </cell>
          <cell r="AU829" t="str">
            <v>-</v>
          </cell>
          <cell r="AV829" t="str">
            <v/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 t="str">
            <v/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 t="str">
            <v/>
          </cell>
          <cell r="BN829">
            <v>0</v>
          </cell>
          <cell r="BO829" t="str">
            <v/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 t="str">
            <v/>
          </cell>
          <cell r="BV829">
            <v>0</v>
          </cell>
          <cell r="BW829">
            <v>7</v>
          </cell>
          <cell r="BX829" t="str">
            <v>DOWNGRADE</v>
          </cell>
          <cell r="BY829" t="str">
            <v>RESET</v>
          </cell>
        </row>
        <row r="830">
          <cell r="A830" t="str">
            <v>A3738</v>
          </cell>
          <cell r="B830" t="str">
            <v>Eilin Dayatri</v>
          </cell>
          <cell r="C830" t="str">
            <v>TEMA C2</v>
          </cell>
          <cell r="D830">
            <v>45367</v>
          </cell>
          <cell r="E830" t="str">
            <v>Mar-24</v>
          </cell>
          <cell r="F830" t="str">
            <v>-</v>
          </cell>
          <cell r="G830" t="str">
            <v>-</v>
          </cell>
          <cell r="H830" t="str">
            <v>REGULER</v>
          </cell>
          <cell r="I830" t="str">
            <v>REGULER</v>
          </cell>
          <cell r="J830" t="str">
            <v>REGULER</v>
          </cell>
          <cell r="K830" t="str">
            <v>REGULER</v>
          </cell>
          <cell r="L830" t="str">
            <v>REGULER</v>
          </cell>
          <cell r="M830">
            <v>0</v>
          </cell>
          <cell r="N830">
            <v>0</v>
          </cell>
          <cell r="O830">
            <v>3</v>
          </cell>
          <cell r="P830">
            <v>29</v>
          </cell>
          <cell r="Q830">
            <v>38</v>
          </cell>
          <cell r="R830">
            <v>24</v>
          </cell>
          <cell r="S830">
            <v>11</v>
          </cell>
          <cell r="T830">
            <v>105</v>
          </cell>
          <cell r="U830">
            <v>0</v>
          </cell>
          <cell r="V830">
            <v>0</v>
          </cell>
          <cell r="W830">
            <v>3</v>
          </cell>
          <cell r="X830">
            <v>29</v>
          </cell>
          <cell r="Y830">
            <v>38</v>
          </cell>
          <cell r="Z830">
            <v>24</v>
          </cell>
          <cell r="AA830">
            <v>11</v>
          </cell>
          <cell r="AB830">
            <v>105</v>
          </cell>
          <cell r="AC830">
            <v>0</v>
          </cell>
          <cell r="AD830" t="str">
            <v>TIDAK</v>
          </cell>
          <cell r="AE830" t="str">
            <v>TIDAK</v>
          </cell>
          <cell r="AF830">
            <v>105</v>
          </cell>
          <cell r="AG830">
            <v>1</v>
          </cell>
          <cell r="AH830" t="str">
            <v>SAPHIRE</v>
          </cell>
          <cell r="AI830">
            <v>0</v>
          </cell>
          <cell r="AJ830" t="str">
            <v>Y</v>
          </cell>
          <cell r="AK830">
            <v>0</v>
          </cell>
          <cell r="AL830">
            <v>45261</v>
          </cell>
          <cell r="AM830">
            <v>45701</v>
          </cell>
          <cell r="AN830">
            <v>1</v>
          </cell>
          <cell r="AO830">
            <v>105</v>
          </cell>
          <cell r="AP830" t="str">
            <v>-</v>
          </cell>
          <cell r="AQ830" t="str">
            <v>-</v>
          </cell>
          <cell r="AR830" t="str">
            <v>-</v>
          </cell>
          <cell r="AS830" t="str">
            <v>-</v>
          </cell>
          <cell r="AT830" t="str">
            <v>-</v>
          </cell>
          <cell r="AU830" t="str">
            <v>-</v>
          </cell>
          <cell r="AV830" t="str">
            <v/>
          </cell>
          <cell r="AW830">
            <v>2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2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7</v>
          </cell>
          <cell r="BH830">
            <v>2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 t="str">
            <v/>
          </cell>
          <cell r="BN830">
            <v>9</v>
          </cell>
          <cell r="BO830">
            <v>7</v>
          </cell>
          <cell r="BP830">
            <v>2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 t="str">
            <v/>
          </cell>
          <cell r="BV830">
            <v>9</v>
          </cell>
          <cell r="BW830">
            <v>5</v>
          </cell>
          <cell r="BX830" t="str">
            <v>DOWNGRADE</v>
          </cell>
          <cell r="BY830" t="str">
            <v>RESET</v>
          </cell>
        </row>
        <row r="831">
          <cell r="A831" t="str">
            <v>A3734</v>
          </cell>
          <cell r="B831" t="str">
            <v>Elisabet Gramediwila Seruni</v>
          </cell>
          <cell r="C831" t="str">
            <v>TEMA C2</v>
          </cell>
          <cell r="D831">
            <v>45337</v>
          </cell>
          <cell r="E831" t="str">
            <v>Feb-24</v>
          </cell>
          <cell r="F831" t="str">
            <v>-</v>
          </cell>
          <cell r="G831" t="str">
            <v>-</v>
          </cell>
          <cell r="H831" t="str">
            <v>REGULER</v>
          </cell>
          <cell r="I831" t="str">
            <v>REGULER</v>
          </cell>
          <cell r="J831" t="str">
            <v>-</v>
          </cell>
          <cell r="K831" t="str">
            <v>-</v>
          </cell>
          <cell r="L831" t="str">
            <v>-</v>
          </cell>
          <cell r="M831">
            <v>0</v>
          </cell>
          <cell r="N831">
            <v>0</v>
          </cell>
          <cell r="O831">
            <v>2</v>
          </cell>
          <cell r="P831">
            <v>13</v>
          </cell>
          <cell r="Q831">
            <v>0</v>
          </cell>
          <cell r="R831">
            <v>0</v>
          </cell>
          <cell r="S831" t="str">
            <v/>
          </cell>
          <cell r="T831">
            <v>15</v>
          </cell>
          <cell r="U831">
            <v>0</v>
          </cell>
          <cell r="V831">
            <v>0</v>
          </cell>
          <cell r="W831">
            <v>2</v>
          </cell>
          <cell r="X831">
            <v>13</v>
          </cell>
          <cell r="Y831">
            <v>0</v>
          </cell>
          <cell r="Z831">
            <v>0</v>
          </cell>
          <cell r="AA831" t="str">
            <v/>
          </cell>
          <cell r="AB831">
            <v>15</v>
          </cell>
          <cell r="AC831">
            <v>3</v>
          </cell>
          <cell r="AD831" t="str">
            <v>DOWNGRADE</v>
          </cell>
          <cell r="AE831" t="str">
            <v>RESET</v>
          </cell>
          <cell r="AF831">
            <v>0</v>
          </cell>
          <cell r="AG831">
            <v>1</v>
          </cell>
          <cell r="AH831" t="str">
            <v>SAPHIRE</v>
          </cell>
          <cell r="AI831">
            <v>0</v>
          </cell>
          <cell r="AJ831" t="str">
            <v>FALSE</v>
          </cell>
          <cell r="AK831">
            <v>0</v>
          </cell>
          <cell r="AL831">
            <v>45261</v>
          </cell>
          <cell r="AM831">
            <v>45701</v>
          </cell>
          <cell r="AN831">
            <v>1</v>
          </cell>
          <cell r="AO831">
            <v>0</v>
          </cell>
          <cell r="AP831" t="str">
            <v>-</v>
          </cell>
          <cell r="AQ831" t="str">
            <v>-</v>
          </cell>
          <cell r="AR831" t="str">
            <v>-</v>
          </cell>
          <cell r="AS831" t="str">
            <v>-</v>
          </cell>
          <cell r="AT831" t="str">
            <v>-</v>
          </cell>
          <cell r="AU831" t="str">
            <v>-</v>
          </cell>
          <cell r="AV831" t="str">
            <v/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 t="str">
            <v/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 t="str">
            <v/>
          </cell>
          <cell r="BN831">
            <v>0</v>
          </cell>
          <cell r="BO831" t="str">
            <v/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 t="str">
            <v/>
          </cell>
          <cell r="BV831">
            <v>0</v>
          </cell>
          <cell r="BW831">
            <v>7</v>
          </cell>
          <cell r="BX831" t="str">
            <v>DOWNGRADE</v>
          </cell>
          <cell r="BY831" t="str">
            <v>RESET</v>
          </cell>
        </row>
        <row r="832">
          <cell r="A832" t="str">
            <v>A1187</v>
          </cell>
          <cell r="B832" t="str">
            <v>Ella Fatmila</v>
          </cell>
          <cell r="C832" t="str">
            <v>TEMA C2</v>
          </cell>
          <cell r="D832">
            <v>44928</v>
          </cell>
          <cell r="E832" t="str">
            <v>Jan-23</v>
          </cell>
          <cell r="F832" t="str">
            <v>REGULER</v>
          </cell>
          <cell r="G832" t="str">
            <v>REGULER</v>
          </cell>
          <cell r="H832" t="str">
            <v>REGULER</v>
          </cell>
          <cell r="I832" t="str">
            <v>REGULER</v>
          </cell>
          <cell r="J832" t="str">
            <v>REGULER</v>
          </cell>
          <cell r="K832" t="str">
            <v>REGULER</v>
          </cell>
          <cell r="L832" t="str">
            <v>-</v>
          </cell>
          <cell r="M832">
            <v>17</v>
          </cell>
          <cell r="N832">
            <v>30</v>
          </cell>
          <cell r="O832">
            <v>31</v>
          </cell>
          <cell r="P832">
            <v>27</v>
          </cell>
          <cell r="Q832">
            <v>30</v>
          </cell>
          <cell r="R832">
            <v>4</v>
          </cell>
          <cell r="S832" t="str">
            <v/>
          </cell>
          <cell r="T832">
            <v>139</v>
          </cell>
          <cell r="U832">
            <v>17</v>
          </cell>
          <cell r="V832">
            <v>30</v>
          </cell>
          <cell r="W832">
            <v>31</v>
          </cell>
          <cell r="X832">
            <v>27</v>
          </cell>
          <cell r="Y832">
            <v>30</v>
          </cell>
          <cell r="Z832">
            <v>4</v>
          </cell>
          <cell r="AA832" t="str">
            <v/>
          </cell>
          <cell r="AB832">
            <v>139</v>
          </cell>
          <cell r="AC832">
            <v>1</v>
          </cell>
          <cell r="AD832" t="str">
            <v>TIDAK</v>
          </cell>
          <cell r="AE832" t="str">
            <v>TIDAK</v>
          </cell>
          <cell r="AF832">
            <v>139</v>
          </cell>
          <cell r="AG832">
            <v>2</v>
          </cell>
          <cell r="AH832" t="str">
            <v>SAPHIRE</v>
          </cell>
          <cell r="AI832">
            <v>0</v>
          </cell>
          <cell r="AJ832" t="str">
            <v>Y</v>
          </cell>
          <cell r="AK832">
            <v>0</v>
          </cell>
          <cell r="AL832">
            <v>45261</v>
          </cell>
          <cell r="AM832">
            <v>45701</v>
          </cell>
          <cell r="AN832">
            <v>1</v>
          </cell>
          <cell r="AO832">
            <v>139</v>
          </cell>
          <cell r="AP832" t="str">
            <v>-</v>
          </cell>
          <cell r="AQ832" t="str">
            <v>-</v>
          </cell>
          <cell r="AR832" t="str">
            <v>-</v>
          </cell>
          <cell r="AS832" t="str">
            <v>-</v>
          </cell>
          <cell r="AT832" t="str">
            <v>-</v>
          </cell>
          <cell r="AU832" t="str">
            <v>-</v>
          </cell>
          <cell r="AV832" t="str">
            <v/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 t="str">
            <v/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 t="str">
            <v/>
          </cell>
          <cell r="BN832">
            <v>0</v>
          </cell>
          <cell r="BO832" t="str">
            <v/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 t="str">
            <v/>
          </cell>
          <cell r="BV832">
            <v>0</v>
          </cell>
          <cell r="BW832">
            <v>7</v>
          </cell>
          <cell r="BX832" t="str">
            <v>DOWNGRADE</v>
          </cell>
          <cell r="BY832" t="str">
            <v>RESET</v>
          </cell>
        </row>
        <row r="833">
          <cell r="A833" t="str">
            <v>A0056</v>
          </cell>
          <cell r="B833" t="str">
            <v>Elsa Salsabila</v>
          </cell>
          <cell r="C833" t="str">
            <v>TEMA C2</v>
          </cell>
          <cell r="D833">
            <v>44791</v>
          </cell>
          <cell r="E833" t="str">
            <v>Aug-22</v>
          </cell>
          <cell r="F833" t="str">
            <v>REGULER</v>
          </cell>
          <cell r="G833" t="str">
            <v>REGULER</v>
          </cell>
          <cell r="H833" t="str">
            <v>REGULER</v>
          </cell>
          <cell r="I833" t="str">
            <v>REGULER</v>
          </cell>
          <cell r="J833" t="str">
            <v>REGULER</v>
          </cell>
          <cell r="K833" t="str">
            <v>REGULER</v>
          </cell>
          <cell r="L833" t="str">
            <v>REGULER</v>
          </cell>
          <cell r="M833">
            <v>18</v>
          </cell>
          <cell r="N833">
            <v>36</v>
          </cell>
          <cell r="O833">
            <v>36</v>
          </cell>
          <cell r="P833">
            <v>34</v>
          </cell>
          <cell r="Q833">
            <v>27</v>
          </cell>
          <cell r="R833">
            <v>34</v>
          </cell>
          <cell r="S833">
            <v>16</v>
          </cell>
          <cell r="T833">
            <v>201</v>
          </cell>
          <cell r="U833">
            <v>18</v>
          </cell>
          <cell r="V833">
            <v>36</v>
          </cell>
          <cell r="W833">
            <v>36</v>
          </cell>
          <cell r="X833">
            <v>34</v>
          </cell>
          <cell r="Y833">
            <v>27</v>
          </cell>
          <cell r="Z833">
            <v>34</v>
          </cell>
          <cell r="AA833">
            <v>16</v>
          </cell>
          <cell r="AB833">
            <v>201</v>
          </cell>
          <cell r="AC833">
            <v>0</v>
          </cell>
          <cell r="AD833" t="str">
            <v>TIDAK</v>
          </cell>
          <cell r="AE833" t="str">
            <v>TIDAK</v>
          </cell>
          <cell r="AF833">
            <v>201</v>
          </cell>
          <cell r="AG833">
            <v>1</v>
          </cell>
          <cell r="AH833" t="str">
            <v>SAPHIRE</v>
          </cell>
          <cell r="AI833">
            <v>65</v>
          </cell>
          <cell r="AJ833" t="str">
            <v>Y</v>
          </cell>
          <cell r="AK833">
            <v>0</v>
          </cell>
          <cell r="AL833">
            <v>45261</v>
          </cell>
          <cell r="AM833">
            <v>45701</v>
          </cell>
          <cell r="AN833">
            <v>1</v>
          </cell>
          <cell r="AO833">
            <v>136</v>
          </cell>
          <cell r="AP833" t="str">
            <v>-</v>
          </cell>
          <cell r="AQ833" t="str">
            <v>-</v>
          </cell>
          <cell r="AR833" t="str">
            <v>REGULER</v>
          </cell>
          <cell r="AS833" t="str">
            <v>REGULER</v>
          </cell>
          <cell r="AT833" t="str">
            <v>REGULER</v>
          </cell>
          <cell r="AU833" t="str">
            <v>REGULER</v>
          </cell>
          <cell r="AV833" t="str">
            <v/>
          </cell>
          <cell r="AW833">
            <v>34</v>
          </cell>
          <cell r="AX833">
            <v>30</v>
          </cell>
          <cell r="AY833">
            <v>25</v>
          </cell>
          <cell r="AZ833">
            <v>27</v>
          </cell>
          <cell r="BA833">
            <v>32</v>
          </cell>
          <cell r="BB833">
            <v>34</v>
          </cell>
          <cell r="BC833">
            <v>30</v>
          </cell>
          <cell r="BD833">
            <v>25</v>
          </cell>
          <cell r="BE833">
            <v>27</v>
          </cell>
          <cell r="BF833">
            <v>32</v>
          </cell>
          <cell r="BG833">
            <v>12</v>
          </cell>
          <cell r="BH833">
            <v>34</v>
          </cell>
          <cell r="BI833">
            <v>30</v>
          </cell>
          <cell r="BJ833">
            <v>25</v>
          </cell>
          <cell r="BK833">
            <v>27</v>
          </cell>
          <cell r="BL833">
            <v>32</v>
          </cell>
          <cell r="BM833">
            <v>16</v>
          </cell>
          <cell r="BN833">
            <v>176</v>
          </cell>
          <cell r="BO833">
            <v>12</v>
          </cell>
          <cell r="BP833">
            <v>34</v>
          </cell>
          <cell r="BQ833">
            <v>30</v>
          </cell>
          <cell r="BR833">
            <v>25</v>
          </cell>
          <cell r="BS833">
            <v>27</v>
          </cell>
          <cell r="BT833">
            <v>32</v>
          </cell>
          <cell r="BU833">
            <v>16</v>
          </cell>
          <cell r="BV833">
            <v>176</v>
          </cell>
          <cell r="BW833">
            <v>0</v>
          </cell>
          <cell r="BX833" t="str">
            <v>TIDAK</v>
          </cell>
          <cell r="BY833" t="str">
            <v>TIDAK</v>
          </cell>
        </row>
        <row r="834">
          <cell r="A834" t="str">
            <v>A0911</v>
          </cell>
          <cell r="B834" t="str">
            <v>Engelina Galuh Windiasari</v>
          </cell>
          <cell r="C834" t="str">
            <v>TEMA C2</v>
          </cell>
          <cell r="D834">
            <v>44916</v>
          </cell>
          <cell r="E834" t="str">
            <v>Dec-22</v>
          </cell>
          <cell r="F834" t="str">
            <v>EKSKLUSIF</v>
          </cell>
          <cell r="G834" t="str">
            <v>REGULER</v>
          </cell>
          <cell r="H834" t="str">
            <v>EKSKLUSIF</v>
          </cell>
          <cell r="I834" t="str">
            <v>EKSKLUSIF</v>
          </cell>
          <cell r="J834" t="str">
            <v>EKSKLUSIF</v>
          </cell>
          <cell r="K834" t="str">
            <v>EKSKLUSIF</v>
          </cell>
          <cell r="L834" t="str">
            <v>EKSKLUSIF</v>
          </cell>
          <cell r="M834">
            <v>20</v>
          </cell>
          <cell r="N834">
            <v>31</v>
          </cell>
          <cell r="O834">
            <v>36</v>
          </cell>
          <cell r="P834">
            <v>39</v>
          </cell>
          <cell r="Q834">
            <v>34</v>
          </cell>
          <cell r="R834">
            <v>38</v>
          </cell>
          <cell r="S834">
            <v>20</v>
          </cell>
          <cell r="T834">
            <v>218</v>
          </cell>
          <cell r="U834">
            <v>0</v>
          </cell>
          <cell r="V834">
            <v>31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31</v>
          </cell>
          <cell r="AC834">
            <v>0</v>
          </cell>
          <cell r="AD834" t="str">
            <v>TIDAK</v>
          </cell>
          <cell r="AE834" t="str">
            <v>TIDAK</v>
          </cell>
          <cell r="AF834">
            <v>31</v>
          </cell>
          <cell r="AG834">
            <v>2</v>
          </cell>
          <cell r="AH834" t="str">
            <v>SAPHIRE</v>
          </cell>
          <cell r="AI834">
            <v>0</v>
          </cell>
          <cell r="AJ834" t="str">
            <v>FALSE</v>
          </cell>
          <cell r="AK834">
            <v>0</v>
          </cell>
          <cell r="AL834">
            <v>45261</v>
          </cell>
          <cell r="AM834">
            <v>45701</v>
          </cell>
          <cell r="AN834">
            <v>1</v>
          </cell>
          <cell r="AO834">
            <v>31</v>
          </cell>
          <cell r="AP834" t="str">
            <v>EKSKLUSIF</v>
          </cell>
          <cell r="AQ834" t="str">
            <v>-</v>
          </cell>
          <cell r="AR834" t="str">
            <v>REGULER</v>
          </cell>
          <cell r="AS834" t="str">
            <v>EKSKLUSIF</v>
          </cell>
          <cell r="AT834" t="str">
            <v>EKSKLUSIF</v>
          </cell>
          <cell r="AU834" t="str">
            <v>EKSKLUSIF</v>
          </cell>
          <cell r="AV834" t="str">
            <v/>
          </cell>
          <cell r="AW834">
            <v>46</v>
          </cell>
          <cell r="AX834">
            <v>32</v>
          </cell>
          <cell r="AY834">
            <v>40</v>
          </cell>
          <cell r="AZ834">
            <v>45</v>
          </cell>
          <cell r="BA834">
            <v>35</v>
          </cell>
          <cell r="BB834">
            <v>46</v>
          </cell>
          <cell r="BC834">
            <v>32</v>
          </cell>
          <cell r="BD834">
            <v>40</v>
          </cell>
          <cell r="BE834">
            <v>45</v>
          </cell>
          <cell r="BF834">
            <v>35</v>
          </cell>
          <cell r="BG834">
            <v>18</v>
          </cell>
          <cell r="BH834">
            <v>46</v>
          </cell>
          <cell r="BI834">
            <v>32</v>
          </cell>
          <cell r="BJ834">
            <v>40</v>
          </cell>
          <cell r="BK834">
            <v>45</v>
          </cell>
          <cell r="BL834">
            <v>35</v>
          </cell>
          <cell r="BM834">
            <v>15</v>
          </cell>
          <cell r="BN834">
            <v>231</v>
          </cell>
          <cell r="BO834">
            <v>0</v>
          </cell>
          <cell r="BP834">
            <v>46</v>
          </cell>
          <cell r="BQ834">
            <v>32</v>
          </cell>
          <cell r="BR834">
            <v>0</v>
          </cell>
          <cell r="BS834">
            <v>0</v>
          </cell>
          <cell r="BT834">
            <v>0</v>
          </cell>
          <cell r="BU834">
            <v>15</v>
          </cell>
          <cell r="BV834">
            <v>93</v>
          </cell>
          <cell r="BW834">
            <v>0</v>
          </cell>
          <cell r="BX834" t="str">
            <v>TIDAK</v>
          </cell>
          <cell r="BY834" t="str">
            <v>TIDAK</v>
          </cell>
        </row>
        <row r="835">
          <cell r="A835" t="str">
            <v>A3589</v>
          </cell>
          <cell r="B835" t="str">
            <v>Enggal Mianita</v>
          </cell>
          <cell r="C835" t="str">
            <v>TEMA C2</v>
          </cell>
          <cell r="D835">
            <v>45303</v>
          </cell>
          <cell r="E835" t="str">
            <v>Jan-24</v>
          </cell>
          <cell r="F835" t="str">
            <v>-</v>
          </cell>
          <cell r="G835" t="str">
            <v>REGULER</v>
          </cell>
          <cell r="H835" t="str">
            <v>REGULER</v>
          </cell>
          <cell r="I835" t="str">
            <v>REGULER</v>
          </cell>
          <cell r="J835" t="str">
            <v>REGULER</v>
          </cell>
          <cell r="K835" t="str">
            <v>REGULER</v>
          </cell>
          <cell r="L835" t="str">
            <v>REGULER</v>
          </cell>
          <cell r="M835">
            <v>0</v>
          </cell>
          <cell r="N835">
            <v>9</v>
          </cell>
          <cell r="O835">
            <v>27</v>
          </cell>
          <cell r="P835">
            <v>20</v>
          </cell>
          <cell r="Q835">
            <v>26</v>
          </cell>
          <cell r="R835">
            <v>26</v>
          </cell>
          <cell r="S835">
            <v>15</v>
          </cell>
          <cell r="T835">
            <v>123</v>
          </cell>
          <cell r="U835">
            <v>0</v>
          </cell>
          <cell r="V835">
            <v>9</v>
          </cell>
          <cell r="W835">
            <v>27</v>
          </cell>
          <cell r="X835">
            <v>20</v>
          </cell>
          <cell r="Y835">
            <v>26</v>
          </cell>
          <cell r="Z835">
            <v>26</v>
          </cell>
          <cell r="AA835">
            <v>15</v>
          </cell>
          <cell r="AB835">
            <v>123</v>
          </cell>
          <cell r="AC835">
            <v>0</v>
          </cell>
          <cell r="AD835" t="str">
            <v>TIDAK</v>
          </cell>
          <cell r="AE835" t="str">
            <v>TIDAK</v>
          </cell>
          <cell r="AF835">
            <v>123</v>
          </cell>
          <cell r="AG835">
            <v>2</v>
          </cell>
          <cell r="AH835" t="str">
            <v>SAPHIRE</v>
          </cell>
          <cell r="AI835">
            <v>0</v>
          </cell>
          <cell r="AJ835" t="str">
            <v>Y</v>
          </cell>
          <cell r="AK835">
            <v>0</v>
          </cell>
          <cell r="AL835">
            <v>45261</v>
          </cell>
          <cell r="AM835">
            <v>45701</v>
          </cell>
          <cell r="AN835">
            <v>1</v>
          </cell>
          <cell r="AO835">
            <v>123</v>
          </cell>
          <cell r="AP835" t="str">
            <v>-</v>
          </cell>
          <cell r="AQ835" t="str">
            <v>-</v>
          </cell>
          <cell r="AR835" t="str">
            <v>-</v>
          </cell>
          <cell r="AS835" t="str">
            <v>-</v>
          </cell>
          <cell r="AT835" t="str">
            <v>-</v>
          </cell>
          <cell r="AU835" t="str">
            <v>-</v>
          </cell>
          <cell r="AV835" t="str">
            <v/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3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 t="str">
            <v/>
          </cell>
          <cell r="BN835">
            <v>3</v>
          </cell>
          <cell r="BO835">
            <v>3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 t="str">
            <v/>
          </cell>
          <cell r="BV835">
            <v>3</v>
          </cell>
          <cell r="BW835">
            <v>6</v>
          </cell>
          <cell r="BX835" t="str">
            <v>DOWNGRADE</v>
          </cell>
          <cell r="BY835" t="str">
            <v>RESET</v>
          </cell>
        </row>
        <row r="836">
          <cell r="A836" t="str">
            <v>A2681</v>
          </cell>
          <cell r="B836" t="str">
            <v>Eranio Dwi Arya</v>
          </cell>
          <cell r="C836" t="str">
            <v>TEMA C2</v>
          </cell>
          <cell r="D836">
            <v>45128</v>
          </cell>
          <cell r="E836" t="str">
            <v>Jul-23</v>
          </cell>
          <cell r="F836" t="str">
            <v>EKSKLUSIF</v>
          </cell>
          <cell r="G836" t="str">
            <v>EKSKLUSIF</v>
          </cell>
          <cell r="H836" t="str">
            <v>EKSKLUSIF</v>
          </cell>
          <cell r="I836" t="str">
            <v>REGULER</v>
          </cell>
          <cell r="J836" t="str">
            <v>-</v>
          </cell>
          <cell r="K836" t="str">
            <v>-</v>
          </cell>
          <cell r="L836" t="str">
            <v>-</v>
          </cell>
          <cell r="M836">
            <v>21</v>
          </cell>
          <cell r="N836">
            <v>47</v>
          </cell>
          <cell r="O836">
            <v>40</v>
          </cell>
          <cell r="P836">
            <v>20</v>
          </cell>
          <cell r="Q836">
            <v>0</v>
          </cell>
          <cell r="R836">
            <v>0</v>
          </cell>
          <cell r="S836" t="str">
            <v/>
          </cell>
          <cell r="T836">
            <v>128</v>
          </cell>
          <cell r="U836">
            <v>0</v>
          </cell>
          <cell r="V836">
            <v>0</v>
          </cell>
          <cell r="W836">
            <v>0</v>
          </cell>
          <cell r="X836">
            <v>20</v>
          </cell>
          <cell r="Y836">
            <v>0</v>
          </cell>
          <cell r="Z836">
            <v>0</v>
          </cell>
          <cell r="AA836" t="str">
            <v/>
          </cell>
          <cell r="AB836">
            <v>20</v>
          </cell>
          <cell r="AC836">
            <v>3</v>
          </cell>
          <cell r="AD836" t="str">
            <v>DOWNGRADE</v>
          </cell>
          <cell r="AE836" t="str">
            <v>RESET</v>
          </cell>
          <cell r="AF836">
            <v>0</v>
          </cell>
          <cell r="AG836">
            <v>2</v>
          </cell>
          <cell r="AH836" t="str">
            <v>SAPHIRE</v>
          </cell>
          <cell r="AI836">
            <v>0</v>
          </cell>
          <cell r="AJ836" t="str">
            <v>FALSE</v>
          </cell>
          <cell r="AK836">
            <v>0</v>
          </cell>
          <cell r="AL836">
            <v>45261</v>
          </cell>
          <cell r="AM836">
            <v>45701</v>
          </cell>
          <cell r="AN836">
            <v>1</v>
          </cell>
          <cell r="AO836">
            <v>0</v>
          </cell>
          <cell r="AP836" t="str">
            <v>-</v>
          </cell>
          <cell r="AQ836" t="str">
            <v>-</v>
          </cell>
          <cell r="AR836" t="str">
            <v>-</v>
          </cell>
          <cell r="AS836" t="str">
            <v>-</v>
          </cell>
          <cell r="AT836" t="str">
            <v>-</v>
          </cell>
          <cell r="AU836" t="str">
            <v>-</v>
          </cell>
          <cell r="AV836" t="str">
            <v/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 t="str">
            <v/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 t="str">
            <v/>
          </cell>
          <cell r="BN836">
            <v>0</v>
          </cell>
          <cell r="BO836" t="str">
            <v/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 t="str">
            <v/>
          </cell>
          <cell r="BV836">
            <v>0</v>
          </cell>
          <cell r="BW836">
            <v>7</v>
          </cell>
          <cell r="BX836" t="str">
            <v>DOWNGRADE</v>
          </cell>
          <cell r="BY836" t="str">
            <v>RESET</v>
          </cell>
        </row>
        <row r="837">
          <cell r="A837">
            <v>92663</v>
          </cell>
          <cell r="B837" t="str">
            <v>Erika Hutasoit</v>
          </cell>
          <cell r="C837" t="str">
            <v>TEMA C2</v>
          </cell>
          <cell r="D837">
            <v>44782</v>
          </cell>
          <cell r="E837" t="str">
            <v>Aug-22</v>
          </cell>
          <cell r="F837" t="str">
            <v>REGULER</v>
          </cell>
          <cell r="G837" t="str">
            <v>REGULER</v>
          </cell>
          <cell r="H837" t="str">
            <v>REGULER</v>
          </cell>
          <cell r="I837" t="str">
            <v>EKSKLUSIF</v>
          </cell>
          <cell r="J837" t="str">
            <v>EKSKLUSIF</v>
          </cell>
          <cell r="K837" t="str">
            <v>REGULER</v>
          </cell>
          <cell r="L837" t="str">
            <v>REGULER</v>
          </cell>
          <cell r="M837">
            <v>21</v>
          </cell>
          <cell r="N837">
            <v>46</v>
          </cell>
          <cell r="O837">
            <v>20</v>
          </cell>
          <cell r="P837">
            <v>43</v>
          </cell>
          <cell r="Q837">
            <v>22</v>
          </cell>
          <cell r="R837">
            <v>3</v>
          </cell>
          <cell r="S837">
            <v>20</v>
          </cell>
          <cell r="T837">
            <v>175</v>
          </cell>
          <cell r="U837">
            <v>21</v>
          </cell>
          <cell r="V837">
            <v>46</v>
          </cell>
          <cell r="W837">
            <v>20</v>
          </cell>
          <cell r="X837">
            <v>0</v>
          </cell>
          <cell r="Y837">
            <v>0</v>
          </cell>
          <cell r="Z837">
            <v>3</v>
          </cell>
          <cell r="AA837">
            <v>20</v>
          </cell>
          <cell r="AB837">
            <v>110</v>
          </cell>
          <cell r="AC837">
            <v>0</v>
          </cell>
          <cell r="AD837" t="str">
            <v>TIDAK</v>
          </cell>
          <cell r="AE837" t="str">
            <v>TIDAK</v>
          </cell>
          <cell r="AF837">
            <v>110</v>
          </cell>
          <cell r="AG837">
            <v>2</v>
          </cell>
          <cell r="AH837" t="str">
            <v>SAPHIRE</v>
          </cell>
          <cell r="AI837">
            <v>0</v>
          </cell>
          <cell r="AJ837" t="str">
            <v>Y</v>
          </cell>
          <cell r="AK837">
            <v>0</v>
          </cell>
          <cell r="AL837">
            <v>45261</v>
          </cell>
          <cell r="AM837">
            <v>45701</v>
          </cell>
          <cell r="AN837">
            <v>1</v>
          </cell>
          <cell r="AO837">
            <v>110</v>
          </cell>
          <cell r="AP837" t="str">
            <v>-</v>
          </cell>
          <cell r="AQ837" t="str">
            <v>-</v>
          </cell>
          <cell r="AR837" t="str">
            <v>-</v>
          </cell>
          <cell r="AS837" t="str">
            <v>-</v>
          </cell>
          <cell r="AT837" t="str">
            <v>-</v>
          </cell>
          <cell r="AU837" t="str">
            <v>-</v>
          </cell>
          <cell r="AV837" t="str">
            <v/>
          </cell>
          <cell r="AW837">
            <v>15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15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20</v>
          </cell>
          <cell r="BH837">
            <v>15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 t="str">
            <v/>
          </cell>
          <cell r="BN837">
            <v>35</v>
          </cell>
          <cell r="BO837">
            <v>20</v>
          </cell>
          <cell r="BP837">
            <v>15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 t="str">
            <v/>
          </cell>
          <cell r="BV837">
            <v>35</v>
          </cell>
          <cell r="BW837">
            <v>5</v>
          </cell>
          <cell r="BX837" t="str">
            <v>DOWNGRADE</v>
          </cell>
          <cell r="BY837" t="str">
            <v>RESET</v>
          </cell>
        </row>
        <row r="838">
          <cell r="A838" t="str">
            <v>A3252</v>
          </cell>
          <cell r="B838" t="str">
            <v>Erlina Shinta Wati</v>
          </cell>
          <cell r="C838" t="str">
            <v>TEMA C2</v>
          </cell>
          <cell r="D838">
            <v>45237</v>
          </cell>
          <cell r="E838" t="str">
            <v>Nov-23</v>
          </cell>
          <cell r="F838" t="str">
            <v>REGULER</v>
          </cell>
          <cell r="G838" t="str">
            <v>REGULER</v>
          </cell>
          <cell r="H838" t="str">
            <v>REGULER</v>
          </cell>
          <cell r="I838" t="str">
            <v>REGULER</v>
          </cell>
          <cell r="J838" t="str">
            <v>REGULER</v>
          </cell>
          <cell r="K838" t="str">
            <v>-</v>
          </cell>
          <cell r="L838" t="str">
            <v>-</v>
          </cell>
          <cell r="M838">
            <v>11</v>
          </cell>
          <cell r="N838">
            <v>12</v>
          </cell>
          <cell r="O838">
            <v>7</v>
          </cell>
          <cell r="P838">
            <v>5</v>
          </cell>
          <cell r="Q838">
            <v>1</v>
          </cell>
          <cell r="R838">
            <v>0</v>
          </cell>
          <cell r="S838" t="str">
            <v/>
          </cell>
          <cell r="T838">
            <v>36</v>
          </cell>
          <cell r="U838">
            <v>11</v>
          </cell>
          <cell r="V838">
            <v>12</v>
          </cell>
          <cell r="W838">
            <v>7</v>
          </cell>
          <cell r="X838">
            <v>5</v>
          </cell>
          <cell r="Y838">
            <v>1</v>
          </cell>
          <cell r="Z838">
            <v>0</v>
          </cell>
          <cell r="AA838" t="str">
            <v/>
          </cell>
          <cell r="AB838">
            <v>36</v>
          </cell>
          <cell r="AC838">
            <v>2</v>
          </cell>
          <cell r="AD838" t="str">
            <v>TIDAK</v>
          </cell>
          <cell r="AE838" t="str">
            <v>TIDAK</v>
          </cell>
          <cell r="AF838">
            <v>36</v>
          </cell>
          <cell r="AG838">
            <v>2</v>
          </cell>
          <cell r="AH838" t="str">
            <v>SAPHIRE</v>
          </cell>
          <cell r="AI838">
            <v>0</v>
          </cell>
          <cell r="AJ838" t="str">
            <v>FALSE</v>
          </cell>
          <cell r="AK838">
            <v>0</v>
          </cell>
          <cell r="AL838">
            <v>45261</v>
          </cell>
          <cell r="AM838">
            <v>45701</v>
          </cell>
          <cell r="AN838">
            <v>1</v>
          </cell>
          <cell r="AO838">
            <v>36</v>
          </cell>
          <cell r="AP838" t="str">
            <v>-</v>
          </cell>
          <cell r="AQ838" t="str">
            <v>-</v>
          </cell>
          <cell r="AR838" t="str">
            <v>-</v>
          </cell>
          <cell r="AS838" t="str">
            <v>-</v>
          </cell>
          <cell r="AT838" t="str">
            <v>-</v>
          </cell>
          <cell r="AU838" t="str">
            <v>-</v>
          </cell>
          <cell r="AV838" t="str">
            <v/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 t="str">
            <v/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 t="str">
            <v/>
          </cell>
          <cell r="BN838">
            <v>0</v>
          </cell>
          <cell r="BO838" t="str">
            <v/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 t="str">
            <v/>
          </cell>
          <cell r="BV838">
            <v>0</v>
          </cell>
          <cell r="BW838">
            <v>7</v>
          </cell>
          <cell r="BX838" t="str">
            <v>DOWNGRADE</v>
          </cell>
          <cell r="BY838" t="str">
            <v>RESET</v>
          </cell>
        </row>
        <row r="839">
          <cell r="A839">
            <v>92744</v>
          </cell>
          <cell r="B839" t="str">
            <v>Esti Musriana</v>
          </cell>
          <cell r="C839" t="str">
            <v>TEMA C2</v>
          </cell>
          <cell r="D839">
            <v>45294</v>
          </cell>
          <cell r="E839" t="str">
            <v>Jan-24</v>
          </cell>
          <cell r="F839" t="str">
            <v>-</v>
          </cell>
          <cell r="G839" t="str">
            <v>REGULER</v>
          </cell>
          <cell r="H839" t="str">
            <v>REGULER</v>
          </cell>
          <cell r="I839" t="str">
            <v>REGULER</v>
          </cell>
          <cell r="J839" t="str">
            <v>REGULER</v>
          </cell>
          <cell r="K839" t="str">
            <v>REGULER</v>
          </cell>
          <cell r="L839" t="str">
            <v>REGULER</v>
          </cell>
          <cell r="M839">
            <v>0</v>
          </cell>
          <cell r="N839">
            <v>29</v>
          </cell>
          <cell r="O839">
            <v>22</v>
          </cell>
          <cell r="P839">
            <v>24</v>
          </cell>
          <cell r="Q839">
            <v>12</v>
          </cell>
          <cell r="R839">
            <v>8</v>
          </cell>
          <cell r="S839">
            <v>5</v>
          </cell>
          <cell r="T839">
            <v>100</v>
          </cell>
          <cell r="U839">
            <v>0</v>
          </cell>
          <cell r="V839">
            <v>29</v>
          </cell>
          <cell r="W839">
            <v>22</v>
          </cell>
          <cell r="X839">
            <v>24</v>
          </cell>
          <cell r="Y839">
            <v>12</v>
          </cell>
          <cell r="Z839">
            <v>8</v>
          </cell>
          <cell r="AA839">
            <v>5</v>
          </cell>
          <cell r="AB839">
            <v>100</v>
          </cell>
          <cell r="AC839">
            <v>0</v>
          </cell>
          <cell r="AD839" t="str">
            <v>TIDAK</v>
          </cell>
          <cell r="AE839" t="str">
            <v>TIDAK</v>
          </cell>
          <cell r="AF839">
            <v>100</v>
          </cell>
          <cell r="AG839">
            <v>2</v>
          </cell>
          <cell r="AH839" t="str">
            <v>SAPHIRE</v>
          </cell>
          <cell r="AI839">
            <v>0</v>
          </cell>
          <cell r="AJ839" t="str">
            <v>Y</v>
          </cell>
          <cell r="AK839">
            <v>0</v>
          </cell>
          <cell r="AL839">
            <v>45261</v>
          </cell>
          <cell r="AM839">
            <v>45701</v>
          </cell>
          <cell r="AN839">
            <v>1</v>
          </cell>
          <cell r="AO839">
            <v>100</v>
          </cell>
          <cell r="AP839" t="str">
            <v>-</v>
          </cell>
          <cell r="AQ839" t="str">
            <v>-</v>
          </cell>
          <cell r="AR839" t="str">
            <v>REGULER</v>
          </cell>
          <cell r="AS839" t="str">
            <v>REGULER</v>
          </cell>
          <cell r="AT839" t="str">
            <v>REGULER</v>
          </cell>
          <cell r="AU839" t="str">
            <v>REGULER</v>
          </cell>
          <cell r="AV839" t="str">
            <v/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32</v>
          </cell>
          <cell r="BC839">
            <v>6</v>
          </cell>
          <cell r="BD839">
            <v>18</v>
          </cell>
          <cell r="BE839">
            <v>37</v>
          </cell>
          <cell r="BF839">
            <v>17</v>
          </cell>
          <cell r="BG839" t="str">
            <v/>
          </cell>
          <cell r="BH839">
            <v>32</v>
          </cell>
          <cell r="BI839">
            <v>6</v>
          </cell>
          <cell r="BJ839">
            <v>18</v>
          </cell>
          <cell r="BK839">
            <v>37</v>
          </cell>
          <cell r="BL839">
            <v>17</v>
          </cell>
          <cell r="BM839">
            <v>12</v>
          </cell>
          <cell r="BN839">
            <v>122</v>
          </cell>
          <cell r="BO839" t="str">
            <v/>
          </cell>
          <cell r="BP839">
            <v>32</v>
          </cell>
          <cell r="BQ839">
            <v>6</v>
          </cell>
          <cell r="BR839">
            <v>18</v>
          </cell>
          <cell r="BS839">
            <v>37</v>
          </cell>
          <cell r="BT839">
            <v>17</v>
          </cell>
          <cell r="BU839">
            <v>12</v>
          </cell>
          <cell r="BV839">
            <v>122</v>
          </cell>
          <cell r="BW839">
            <v>1</v>
          </cell>
          <cell r="BX839" t="str">
            <v>TIDAK</v>
          </cell>
          <cell r="BY839" t="str">
            <v>TIDAK</v>
          </cell>
        </row>
        <row r="840">
          <cell r="A840" t="str">
            <v>A4052</v>
          </cell>
          <cell r="B840" t="str">
            <v>FADHILA HUSNA ASRI</v>
          </cell>
          <cell r="C840" t="str">
            <v>TEMA C2</v>
          </cell>
          <cell r="D840">
            <v>45439</v>
          </cell>
          <cell r="E840" t="str">
            <v>May-24</v>
          </cell>
          <cell r="F840" t="str">
            <v>-</v>
          </cell>
          <cell r="G840" t="str">
            <v>-</v>
          </cell>
          <cell r="H840" t="str">
            <v>-</v>
          </cell>
          <cell r="I840" t="str">
            <v>-</v>
          </cell>
          <cell r="J840" t="str">
            <v>-</v>
          </cell>
          <cell r="K840" t="str">
            <v>REGULER</v>
          </cell>
          <cell r="L840" t="str">
            <v>REGULER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8</v>
          </cell>
          <cell r="S840">
            <v>20</v>
          </cell>
          <cell r="T840">
            <v>28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8</v>
          </cell>
          <cell r="AA840">
            <v>20</v>
          </cell>
          <cell r="AB840">
            <v>28</v>
          </cell>
          <cell r="AC840">
            <v>0</v>
          </cell>
          <cell r="AD840" t="str">
            <v>TIDAK</v>
          </cell>
          <cell r="AE840" t="str">
            <v>TIDAK</v>
          </cell>
          <cell r="AF840">
            <v>28</v>
          </cell>
          <cell r="AG840">
            <v>1</v>
          </cell>
          <cell r="AH840" t="str">
            <v>SAPHIRE</v>
          </cell>
          <cell r="AI840">
            <v>0</v>
          </cell>
          <cell r="AJ840" t="str">
            <v>FALSE</v>
          </cell>
          <cell r="AK840">
            <v>0</v>
          </cell>
          <cell r="AL840">
            <v>45261</v>
          </cell>
          <cell r="AM840">
            <v>45701</v>
          </cell>
          <cell r="AN840">
            <v>1</v>
          </cell>
          <cell r="AO840">
            <v>28</v>
          </cell>
          <cell r="AP840" t="str">
            <v>-</v>
          </cell>
          <cell r="AQ840" t="str">
            <v>-</v>
          </cell>
          <cell r="AR840" t="str">
            <v>-</v>
          </cell>
          <cell r="AS840" t="str">
            <v>-</v>
          </cell>
          <cell r="AT840" t="str">
            <v>-</v>
          </cell>
          <cell r="AU840" t="str">
            <v>-</v>
          </cell>
          <cell r="AV840" t="str">
            <v/>
          </cell>
          <cell r="AW840">
            <v>22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22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17</v>
          </cell>
          <cell r="BH840">
            <v>22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 t="str">
            <v/>
          </cell>
          <cell r="BN840">
            <v>39</v>
          </cell>
          <cell r="BO840">
            <v>17</v>
          </cell>
          <cell r="BP840">
            <v>22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 t="str">
            <v/>
          </cell>
          <cell r="BV840">
            <v>39</v>
          </cell>
          <cell r="BW840">
            <v>5</v>
          </cell>
          <cell r="BX840" t="str">
            <v>DOWNGRADE</v>
          </cell>
          <cell r="BY840" t="str">
            <v>RESET</v>
          </cell>
        </row>
        <row r="841">
          <cell r="A841" t="str">
            <v>A2495</v>
          </cell>
          <cell r="B841" t="str">
            <v>Fadlin Rohmawati</v>
          </cell>
          <cell r="C841" t="str">
            <v>TEMA C2</v>
          </cell>
          <cell r="D841">
            <v>45093</v>
          </cell>
          <cell r="E841" t="str">
            <v>Jun-23</v>
          </cell>
          <cell r="F841" t="str">
            <v>EKSKLUSIF</v>
          </cell>
          <cell r="G841" t="str">
            <v>EKSKLUSIF</v>
          </cell>
          <cell r="H841" t="str">
            <v>EKSKLUSIF</v>
          </cell>
          <cell r="I841" t="str">
            <v>REGULER</v>
          </cell>
          <cell r="J841" t="str">
            <v>REGULER</v>
          </cell>
          <cell r="K841" t="str">
            <v>REGULER</v>
          </cell>
          <cell r="L841" t="str">
            <v>REGULER</v>
          </cell>
          <cell r="M841">
            <v>20</v>
          </cell>
          <cell r="N841">
            <v>47</v>
          </cell>
          <cell r="O841">
            <v>41</v>
          </cell>
          <cell r="P841">
            <v>35</v>
          </cell>
          <cell r="Q841">
            <v>35</v>
          </cell>
          <cell r="R841">
            <v>40</v>
          </cell>
          <cell r="S841">
            <v>18</v>
          </cell>
          <cell r="T841">
            <v>236</v>
          </cell>
          <cell r="U841">
            <v>0</v>
          </cell>
          <cell r="V841">
            <v>0</v>
          </cell>
          <cell r="W841">
            <v>0</v>
          </cell>
          <cell r="X841">
            <v>35</v>
          </cell>
          <cell r="Y841">
            <v>35</v>
          </cell>
          <cell r="Z841">
            <v>40</v>
          </cell>
          <cell r="AA841">
            <v>18</v>
          </cell>
          <cell r="AB841">
            <v>128</v>
          </cell>
          <cell r="AC841">
            <v>0</v>
          </cell>
          <cell r="AD841" t="str">
            <v>TIDAK</v>
          </cell>
          <cell r="AE841" t="str">
            <v>TIDAK</v>
          </cell>
          <cell r="AF841">
            <v>128</v>
          </cell>
          <cell r="AG841">
            <v>1</v>
          </cell>
          <cell r="AH841" t="str">
            <v>SAPHIRE</v>
          </cell>
          <cell r="AI841">
            <v>0</v>
          </cell>
          <cell r="AJ841" t="str">
            <v>Y</v>
          </cell>
          <cell r="AK841">
            <v>0</v>
          </cell>
          <cell r="AL841">
            <v>45261</v>
          </cell>
          <cell r="AM841">
            <v>45701</v>
          </cell>
          <cell r="AN841">
            <v>1</v>
          </cell>
          <cell r="AO841">
            <v>128</v>
          </cell>
          <cell r="AP841" t="str">
            <v>-</v>
          </cell>
          <cell r="AQ841" t="str">
            <v>-</v>
          </cell>
          <cell r="AR841" t="str">
            <v>REGULER</v>
          </cell>
          <cell r="AS841" t="str">
            <v>REGULER</v>
          </cell>
          <cell r="AT841" t="str">
            <v>REGULER</v>
          </cell>
          <cell r="AU841" t="str">
            <v>REGULER</v>
          </cell>
          <cell r="AV841" t="str">
            <v/>
          </cell>
          <cell r="AW841">
            <v>46</v>
          </cell>
          <cell r="AX841">
            <v>44</v>
          </cell>
          <cell r="AY841">
            <v>39</v>
          </cell>
          <cell r="AZ841">
            <v>43</v>
          </cell>
          <cell r="BA841">
            <v>35</v>
          </cell>
          <cell r="BB841">
            <v>46</v>
          </cell>
          <cell r="BC841">
            <v>44</v>
          </cell>
          <cell r="BD841">
            <v>39</v>
          </cell>
          <cell r="BE841">
            <v>43</v>
          </cell>
          <cell r="BF841">
            <v>35</v>
          </cell>
          <cell r="BG841">
            <v>18</v>
          </cell>
          <cell r="BH841">
            <v>46</v>
          </cell>
          <cell r="BI841">
            <v>44</v>
          </cell>
          <cell r="BJ841">
            <v>39</v>
          </cell>
          <cell r="BK841">
            <v>43</v>
          </cell>
          <cell r="BL841">
            <v>35</v>
          </cell>
          <cell r="BM841">
            <v>15</v>
          </cell>
          <cell r="BN841">
            <v>240</v>
          </cell>
          <cell r="BO841">
            <v>18</v>
          </cell>
          <cell r="BP841">
            <v>46</v>
          </cell>
          <cell r="BQ841">
            <v>44</v>
          </cell>
          <cell r="BR841">
            <v>39</v>
          </cell>
          <cell r="BS841">
            <v>43</v>
          </cell>
          <cell r="BT841">
            <v>35</v>
          </cell>
          <cell r="BU841">
            <v>15</v>
          </cell>
          <cell r="BV841">
            <v>240</v>
          </cell>
          <cell r="BW841">
            <v>0</v>
          </cell>
          <cell r="BX841" t="str">
            <v>TIDAK</v>
          </cell>
          <cell r="BY841" t="str">
            <v>TIDAK</v>
          </cell>
        </row>
        <row r="842">
          <cell r="A842" t="str">
            <v>A0960</v>
          </cell>
          <cell r="B842" t="str">
            <v>Fala Tirta Nurcahyani</v>
          </cell>
          <cell r="C842" t="str">
            <v>TEMA C2</v>
          </cell>
          <cell r="D842">
            <v>44924</v>
          </cell>
          <cell r="E842" t="str">
            <v>Dec-22</v>
          </cell>
          <cell r="F842" t="str">
            <v>REGULER</v>
          </cell>
          <cell r="G842" t="str">
            <v>REGULER</v>
          </cell>
          <cell r="H842" t="str">
            <v>REGULER</v>
          </cell>
          <cell r="I842" t="str">
            <v>REGULER</v>
          </cell>
          <cell r="J842" t="str">
            <v>REGULER</v>
          </cell>
          <cell r="K842" t="str">
            <v>REGULER</v>
          </cell>
          <cell r="L842" t="str">
            <v>REGULER</v>
          </cell>
          <cell r="M842">
            <v>20</v>
          </cell>
          <cell r="N842">
            <v>39</v>
          </cell>
          <cell r="O842">
            <v>32</v>
          </cell>
          <cell r="P842">
            <v>18</v>
          </cell>
          <cell r="Q842">
            <v>28</v>
          </cell>
          <cell r="R842">
            <v>31</v>
          </cell>
          <cell r="S842">
            <v>12</v>
          </cell>
          <cell r="T842">
            <v>180</v>
          </cell>
          <cell r="U842">
            <v>20</v>
          </cell>
          <cell r="V842">
            <v>39</v>
          </cell>
          <cell r="W842">
            <v>32</v>
          </cell>
          <cell r="X842">
            <v>18</v>
          </cell>
          <cell r="Y842">
            <v>28</v>
          </cell>
          <cell r="Z842">
            <v>31</v>
          </cell>
          <cell r="AA842">
            <v>12</v>
          </cell>
          <cell r="AB842">
            <v>180</v>
          </cell>
          <cell r="AC842">
            <v>0</v>
          </cell>
          <cell r="AD842" t="str">
            <v>TIDAK</v>
          </cell>
          <cell r="AE842" t="str">
            <v>TIDAK</v>
          </cell>
          <cell r="AF842">
            <v>180</v>
          </cell>
          <cell r="AG842">
            <v>1</v>
          </cell>
          <cell r="AH842" t="str">
            <v>SAPHIRE</v>
          </cell>
          <cell r="AI842">
            <v>0</v>
          </cell>
          <cell r="AJ842" t="str">
            <v>Y</v>
          </cell>
          <cell r="AK842">
            <v>0</v>
          </cell>
          <cell r="AL842">
            <v>45261</v>
          </cell>
          <cell r="AM842">
            <v>45701</v>
          </cell>
          <cell r="AN842">
            <v>1</v>
          </cell>
          <cell r="AO842">
            <v>180</v>
          </cell>
          <cell r="AP842" t="str">
            <v>-</v>
          </cell>
          <cell r="AQ842" t="str">
            <v>-</v>
          </cell>
          <cell r="AR842" t="str">
            <v>-</v>
          </cell>
          <cell r="AS842" t="str">
            <v>-</v>
          </cell>
          <cell r="AT842" t="str">
            <v>-</v>
          </cell>
          <cell r="AU842" t="str">
            <v>-</v>
          </cell>
          <cell r="AV842" t="str">
            <v/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7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 t="str">
            <v/>
          </cell>
          <cell r="BN842">
            <v>7</v>
          </cell>
          <cell r="BO842">
            <v>7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 t="str">
            <v/>
          </cell>
          <cell r="BV842">
            <v>7</v>
          </cell>
          <cell r="BW842">
            <v>6</v>
          </cell>
          <cell r="BX842" t="str">
            <v>DOWNGRADE</v>
          </cell>
          <cell r="BY842" t="str">
            <v>RESET</v>
          </cell>
        </row>
        <row r="843">
          <cell r="A843" t="str">
            <v>A1135</v>
          </cell>
          <cell r="B843" t="str">
            <v>Fanni Melia Alvionaliza</v>
          </cell>
          <cell r="C843" t="str">
            <v>TEMA C2</v>
          </cell>
          <cell r="D843">
            <v>44924</v>
          </cell>
          <cell r="E843" t="str">
            <v>Dec-22</v>
          </cell>
          <cell r="F843" t="str">
            <v>REGULER</v>
          </cell>
          <cell r="G843" t="str">
            <v>REGULER</v>
          </cell>
          <cell r="H843" t="str">
            <v>REGULER</v>
          </cell>
          <cell r="I843" t="str">
            <v>REGULER</v>
          </cell>
          <cell r="J843" t="str">
            <v>REGULER</v>
          </cell>
          <cell r="K843" t="str">
            <v>REGULER</v>
          </cell>
          <cell r="L843" t="str">
            <v>REGULER</v>
          </cell>
          <cell r="M843">
            <v>19</v>
          </cell>
          <cell r="N843">
            <v>44</v>
          </cell>
          <cell r="O843">
            <v>37</v>
          </cell>
          <cell r="P843">
            <v>41</v>
          </cell>
          <cell r="Q843">
            <v>18</v>
          </cell>
          <cell r="R843">
            <v>42</v>
          </cell>
          <cell r="S843">
            <v>15</v>
          </cell>
          <cell r="T843">
            <v>216</v>
          </cell>
          <cell r="U843">
            <v>19</v>
          </cell>
          <cell r="V843">
            <v>44</v>
          </cell>
          <cell r="W843">
            <v>37</v>
          </cell>
          <cell r="X843">
            <v>41</v>
          </cell>
          <cell r="Y843">
            <v>18</v>
          </cell>
          <cell r="Z843">
            <v>42</v>
          </cell>
          <cell r="AA843">
            <v>15</v>
          </cell>
          <cell r="AB843">
            <v>216</v>
          </cell>
          <cell r="AC843">
            <v>0</v>
          </cell>
          <cell r="AD843" t="str">
            <v>TIDAK</v>
          </cell>
          <cell r="AE843" t="str">
            <v>TIDAK</v>
          </cell>
          <cell r="AF843">
            <v>216</v>
          </cell>
          <cell r="AG843">
            <v>3</v>
          </cell>
          <cell r="AH843" t="str">
            <v>SAPHIRE</v>
          </cell>
          <cell r="AI843">
            <v>200</v>
          </cell>
          <cell r="AJ843" t="str">
            <v>Y</v>
          </cell>
          <cell r="AK843">
            <v>0</v>
          </cell>
          <cell r="AL843">
            <v>45261</v>
          </cell>
          <cell r="AM843">
            <v>45701</v>
          </cell>
          <cell r="AN843">
            <v>1</v>
          </cell>
          <cell r="AO843">
            <v>16</v>
          </cell>
          <cell r="AP843" t="str">
            <v>-</v>
          </cell>
          <cell r="AQ843" t="str">
            <v>-</v>
          </cell>
          <cell r="AR843" t="str">
            <v>EKSKLUSIF</v>
          </cell>
          <cell r="AS843" t="str">
            <v>EKSKLUSIF</v>
          </cell>
          <cell r="AT843" t="str">
            <v>EKSKLUSIF</v>
          </cell>
          <cell r="AU843" t="str">
            <v>REGULER</v>
          </cell>
          <cell r="AV843" t="str">
            <v/>
          </cell>
          <cell r="AW843">
            <v>45</v>
          </cell>
          <cell r="AX843">
            <v>45</v>
          </cell>
          <cell r="AY843">
            <v>42</v>
          </cell>
          <cell r="AZ843">
            <v>48</v>
          </cell>
          <cell r="BA843">
            <v>31</v>
          </cell>
          <cell r="BB843">
            <v>45</v>
          </cell>
          <cell r="BC843">
            <v>45</v>
          </cell>
          <cell r="BD843">
            <v>42</v>
          </cell>
          <cell r="BE843">
            <v>48</v>
          </cell>
          <cell r="BF843">
            <v>31</v>
          </cell>
          <cell r="BG843">
            <v>17</v>
          </cell>
          <cell r="BH843">
            <v>45</v>
          </cell>
          <cell r="BI843">
            <v>45</v>
          </cell>
          <cell r="BJ843">
            <v>42</v>
          </cell>
          <cell r="BK843">
            <v>48</v>
          </cell>
          <cell r="BL843">
            <v>31</v>
          </cell>
          <cell r="BM843">
            <v>14</v>
          </cell>
          <cell r="BN843">
            <v>242</v>
          </cell>
          <cell r="BO843">
            <v>17</v>
          </cell>
          <cell r="BP843">
            <v>45</v>
          </cell>
          <cell r="BQ843">
            <v>0</v>
          </cell>
          <cell r="BR843">
            <v>0</v>
          </cell>
          <cell r="BS843">
            <v>0</v>
          </cell>
          <cell r="BT843">
            <v>31</v>
          </cell>
          <cell r="BU843">
            <v>14</v>
          </cell>
          <cell r="BV843">
            <v>107</v>
          </cell>
          <cell r="BW843">
            <v>0</v>
          </cell>
          <cell r="BX843" t="str">
            <v>TIDAK</v>
          </cell>
          <cell r="BY843" t="str">
            <v>TIDAK</v>
          </cell>
        </row>
        <row r="844">
          <cell r="A844" t="str">
            <v>A3680</v>
          </cell>
          <cell r="B844" t="str">
            <v>Farah Nadhifah</v>
          </cell>
          <cell r="C844" t="str">
            <v>TEMA C2</v>
          </cell>
          <cell r="D844">
            <v>45317</v>
          </cell>
          <cell r="E844" t="str">
            <v>Jan-24</v>
          </cell>
          <cell r="F844" t="str">
            <v>-</v>
          </cell>
          <cell r="G844" t="str">
            <v>REGULER</v>
          </cell>
          <cell r="H844" t="str">
            <v>REGULER</v>
          </cell>
          <cell r="I844" t="str">
            <v>REGULER</v>
          </cell>
          <cell r="J844" t="str">
            <v>REGULER</v>
          </cell>
          <cell r="K844" t="str">
            <v>REGULER</v>
          </cell>
          <cell r="L844" t="str">
            <v>REGULER</v>
          </cell>
          <cell r="M844">
            <v>0</v>
          </cell>
          <cell r="N844">
            <v>3</v>
          </cell>
          <cell r="O844">
            <v>25</v>
          </cell>
          <cell r="P844">
            <v>33</v>
          </cell>
          <cell r="Q844">
            <v>33</v>
          </cell>
          <cell r="R844">
            <v>34</v>
          </cell>
          <cell r="S844">
            <v>19</v>
          </cell>
          <cell r="T844">
            <v>147</v>
          </cell>
          <cell r="U844">
            <v>0</v>
          </cell>
          <cell r="V844">
            <v>3</v>
          </cell>
          <cell r="W844">
            <v>25</v>
          </cell>
          <cell r="X844">
            <v>33</v>
          </cell>
          <cell r="Y844">
            <v>33</v>
          </cell>
          <cell r="Z844">
            <v>34</v>
          </cell>
          <cell r="AA844">
            <v>19</v>
          </cell>
          <cell r="AB844">
            <v>147</v>
          </cell>
          <cell r="AC844">
            <v>0</v>
          </cell>
          <cell r="AD844" t="str">
            <v>TIDAK</v>
          </cell>
          <cell r="AE844" t="str">
            <v>TIDAK</v>
          </cell>
          <cell r="AF844">
            <v>147</v>
          </cell>
          <cell r="AG844">
            <v>2</v>
          </cell>
          <cell r="AH844" t="str">
            <v>SAPHIRE</v>
          </cell>
          <cell r="AI844">
            <v>135</v>
          </cell>
          <cell r="AJ844" t="str">
            <v>Y</v>
          </cell>
          <cell r="AK844">
            <v>0</v>
          </cell>
          <cell r="AL844">
            <v>45261</v>
          </cell>
          <cell r="AM844">
            <v>45701</v>
          </cell>
          <cell r="AN844">
            <v>1</v>
          </cell>
          <cell r="AO844">
            <v>12</v>
          </cell>
          <cell r="AP844" t="str">
            <v>-</v>
          </cell>
          <cell r="AQ844" t="str">
            <v>-</v>
          </cell>
          <cell r="AR844" t="str">
            <v>REGULER</v>
          </cell>
          <cell r="AS844" t="str">
            <v>REGULER</v>
          </cell>
          <cell r="AT844" t="str">
            <v>REGULER</v>
          </cell>
          <cell r="AU844" t="str">
            <v>REGULER</v>
          </cell>
          <cell r="AV844" t="str">
            <v/>
          </cell>
          <cell r="AW844">
            <v>38</v>
          </cell>
          <cell r="AX844">
            <v>19</v>
          </cell>
          <cell r="AY844">
            <v>23</v>
          </cell>
          <cell r="AZ844">
            <v>32</v>
          </cell>
          <cell r="BA844">
            <v>32</v>
          </cell>
          <cell r="BB844">
            <v>38</v>
          </cell>
          <cell r="BC844">
            <v>19</v>
          </cell>
          <cell r="BD844">
            <v>23</v>
          </cell>
          <cell r="BE844">
            <v>32</v>
          </cell>
          <cell r="BF844">
            <v>32</v>
          </cell>
          <cell r="BG844">
            <v>17</v>
          </cell>
          <cell r="BH844">
            <v>38</v>
          </cell>
          <cell r="BI844">
            <v>19</v>
          </cell>
          <cell r="BJ844">
            <v>23</v>
          </cell>
          <cell r="BK844">
            <v>32</v>
          </cell>
          <cell r="BL844">
            <v>32</v>
          </cell>
          <cell r="BM844">
            <v>19</v>
          </cell>
          <cell r="BN844">
            <v>180</v>
          </cell>
          <cell r="BO844">
            <v>17</v>
          </cell>
          <cell r="BP844">
            <v>38</v>
          </cell>
          <cell r="BQ844">
            <v>19</v>
          </cell>
          <cell r="BR844">
            <v>23</v>
          </cell>
          <cell r="BS844">
            <v>32</v>
          </cell>
          <cell r="BT844">
            <v>32</v>
          </cell>
          <cell r="BU844">
            <v>19</v>
          </cell>
          <cell r="BV844">
            <v>180</v>
          </cell>
          <cell r="BW844">
            <v>0</v>
          </cell>
          <cell r="BX844" t="str">
            <v>TIDAK</v>
          </cell>
          <cell r="BY844" t="str">
            <v>TIDAK</v>
          </cell>
        </row>
        <row r="845">
          <cell r="A845" t="str">
            <v>A3235</v>
          </cell>
          <cell r="B845" t="str">
            <v>Fathya Aufa Lidinillah</v>
          </cell>
          <cell r="C845" t="str">
            <v>TEMA C2</v>
          </cell>
          <cell r="D845">
            <v>45246</v>
          </cell>
          <cell r="E845" t="str">
            <v>Nov-23</v>
          </cell>
          <cell r="F845" t="str">
            <v>REGULER</v>
          </cell>
          <cell r="G845" t="str">
            <v>REGULER</v>
          </cell>
          <cell r="H845" t="str">
            <v>REGULER</v>
          </cell>
          <cell r="I845" t="str">
            <v>REGULER</v>
          </cell>
          <cell r="J845" t="str">
            <v>REGULER</v>
          </cell>
          <cell r="K845" t="str">
            <v>REGULER</v>
          </cell>
          <cell r="L845" t="str">
            <v>REGULER</v>
          </cell>
          <cell r="M845">
            <v>11</v>
          </cell>
          <cell r="N845">
            <v>35</v>
          </cell>
          <cell r="O845">
            <v>36</v>
          </cell>
          <cell r="P845">
            <v>21</v>
          </cell>
          <cell r="Q845">
            <v>5</v>
          </cell>
          <cell r="R845">
            <v>14</v>
          </cell>
          <cell r="S845">
            <v>2</v>
          </cell>
          <cell r="T845">
            <v>124</v>
          </cell>
          <cell r="U845">
            <v>11</v>
          </cell>
          <cell r="V845">
            <v>35</v>
          </cell>
          <cell r="W845">
            <v>36</v>
          </cell>
          <cell r="X845">
            <v>21</v>
          </cell>
          <cell r="Y845">
            <v>5</v>
          </cell>
          <cell r="Z845">
            <v>14</v>
          </cell>
          <cell r="AA845">
            <v>2</v>
          </cell>
          <cell r="AB845">
            <v>124</v>
          </cell>
          <cell r="AC845">
            <v>0</v>
          </cell>
          <cell r="AD845" t="str">
            <v>TIDAK</v>
          </cell>
          <cell r="AE845" t="str">
            <v>TIDAK</v>
          </cell>
          <cell r="AF845">
            <v>124</v>
          </cell>
          <cell r="AG845">
            <v>1</v>
          </cell>
          <cell r="AH845" t="str">
            <v>SAPHIRE</v>
          </cell>
          <cell r="AI845">
            <v>0</v>
          </cell>
          <cell r="AJ845" t="str">
            <v>Y</v>
          </cell>
          <cell r="AK845">
            <v>0</v>
          </cell>
          <cell r="AL845">
            <v>45261</v>
          </cell>
          <cell r="AM845">
            <v>45701</v>
          </cell>
          <cell r="AN845">
            <v>1</v>
          </cell>
          <cell r="AO845">
            <v>124</v>
          </cell>
          <cell r="AP845" t="str">
            <v>-</v>
          </cell>
          <cell r="AQ845" t="str">
            <v>-</v>
          </cell>
          <cell r="AR845" t="str">
            <v>-</v>
          </cell>
          <cell r="AS845" t="str">
            <v>-</v>
          </cell>
          <cell r="AT845" t="str">
            <v>-</v>
          </cell>
          <cell r="AU845" t="str">
            <v>-</v>
          </cell>
          <cell r="AV845" t="str">
            <v/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 t="str">
            <v/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 t="str">
            <v/>
          </cell>
          <cell r="BN845">
            <v>0</v>
          </cell>
          <cell r="BO845" t="str">
            <v/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 t="str">
            <v/>
          </cell>
          <cell r="BV845">
            <v>0</v>
          </cell>
          <cell r="BW845">
            <v>7</v>
          </cell>
          <cell r="BX845" t="str">
            <v>DOWNGRADE</v>
          </cell>
          <cell r="BY845" t="str">
            <v>RESET</v>
          </cell>
        </row>
        <row r="846">
          <cell r="A846" t="str">
            <v>A3188</v>
          </cell>
          <cell r="B846" t="str">
            <v>Fauziyati Khairul Latifah</v>
          </cell>
          <cell r="C846" t="str">
            <v>TEMA C2</v>
          </cell>
          <cell r="D846">
            <v>45245</v>
          </cell>
          <cell r="E846" t="str">
            <v>Nov-23</v>
          </cell>
          <cell r="F846" t="str">
            <v>REGULER</v>
          </cell>
          <cell r="G846" t="str">
            <v>REGULER</v>
          </cell>
          <cell r="H846" t="str">
            <v>REGULER</v>
          </cell>
          <cell r="I846" t="str">
            <v>REGULER</v>
          </cell>
          <cell r="J846" t="str">
            <v>REGULER</v>
          </cell>
          <cell r="K846" t="str">
            <v>REGULER</v>
          </cell>
          <cell r="L846" t="str">
            <v>REGULER</v>
          </cell>
          <cell r="M846">
            <v>14</v>
          </cell>
          <cell r="N846">
            <v>43</v>
          </cell>
          <cell r="O846">
            <v>34</v>
          </cell>
          <cell r="P846">
            <v>38</v>
          </cell>
          <cell r="Q846">
            <v>35</v>
          </cell>
          <cell r="R846">
            <v>40</v>
          </cell>
          <cell r="S846">
            <v>18</v>
          </cell>
          <cell r="T846">
            <v>222</v>
          </cell>
          <cell r="U846">
            <v>14</v>
          </cell>
          <cell r="V846">
            <v>43</v>
          </cell>
          <cell r="W846">
            <v>34</v>
          </cell>
          <cell r="X846">
            <v>38</v>
          </cell>
          <cell r="Y846">
            <v>35</v>
          </cell>
          <cell r="Z846">
            <v>40</v>
          </cell>
          <cell r="AA846">
            <v>18</v>
          </cell>
          <cell r="AB846">
            <v>222</v>
          </cell>
          <cell r="AC846">
            <v>0</v>
          </cell>
          <cell r="AD846" t="str">
            <v>TIDAK</v>
          </cell>
          <cell r="AE846" t="str">
            <v>TIDAK</v>
          </cell>
          <cell r="AF846">
            <v>222</v>
          </cell>
          <cell r="AG846">
            <v>3</v>
          </cell>
          <cell r="AH846" t="str">
            <v>SAPHIRE</v>
          </cell>
          <cell r="AI846">
            <v>0</v>
          </cell>
          <cell r="AJ846" t="str">
            <v>Y</v>
          </cell>
          <cell r="AK846">
            <v>0</v>
          </cell>
          <cell r="AL846">
            <v>45261</v>
          </cell>
          <cell r="AM846">
            <v>45701</v>
          </cell>
          <cell r="AN846">
            <v>1</v>
          </cell>
          <cell r="AO846">
            <v>222</v>
          </cell>
          <cell r="AP846" t="str">
            <v>-</v>
          </cell>
          <cell r="AQ846" t="str">
            <v>-</v>
          </cell>
          <cell r="AR846" t="str">
            <v>REGULER</v>
          </cell>
          <cell r="AS846" t="str">
            <v>REGULER</v>
          </cell>
          <cell r="AT846" t="str">
            <v>REGULER</v>
          </cell>
          <cell r="AU846" t="str">
            <v>REGULER</v>
          </cell>
          <cell r="AV846" t="str">
            <v/>
          </cell>
          <cell r="AW846">
            <v>46</v>
          </cell>
          <cell r="AX846">
            <v>39</v>
          </cell>
          <cell r="AY846">
            <v>27</v>
          </cell>
          <cell r="AZ846">
            <v>46</v>
          </cell>
          <cell r="BA846">
            <v>31</v>
          </cell>
          <cell r="BB846">
            <v>46</v>
          </cell>
          <cell r="BC846">
            <v>39</v>
          </cell>
          <cell r="BD846">
            <v>27</v>
          </cell>
          <cell r="BE846">
            <v>46</v>
          </cell>
          <cell r="BF846">
            <v>31</v>
          </cell>
          <cell r="BG846">
            <v>16</v>
          </cell>
          <cell r="BH846">
            <v>46</v>
          </cell>
          <cell r="BI846">
            <v>39</v>
          </cell>
          <cell r="BJ846">
            <v>27</v>
          </cell>
          <cell r="BK846">
            <v>46</v>
          </cell>
          <cell r="BL846">
            <v>31</v>
          </cell>
          <cell r="BM846">
            <v>20</v>
          </cell>
          <cell r="BN846">
            <v>225</v>
          </cell>
          <cell r="BO846">
            <v>16</v>
          </cell>
          <cell r="BP846">
            <v>46</v>
          </cell>
          <cell r="BQ846">
            <v>39</v>
          </cell>
          <cell r="BR846">
            <v>27</v>
          </cell>
          <cell r="BS846">
            <v>46</v>
          </cell>
          <cell r="BT846">
            <v>31</v>
          </cell>
          <cell r="BU846">
            <v>20</v>
          </cell>
          <cell r="BV846">
            <v>225</v>
          </cell>
          <cell r="BW846">
            <v>0</v>
          </cell>
          <cell r="BX846" t="str">
            <v>TIDAK</v>
          </cell>
          <cell r="BY846" t="str">
            <v>TIDAK</v>
          </cell>
        </row>
        <row r="847">
          <cell r="A847" t="str">
            <v>A1237</v>
          </cell>
          <cell r="B847" t="str">
            <v>Febrianti Sianturi</v>
          </cell>
          <cell r="C847" t="str">
            <v>TEMA C2</v>
          </cell>
          <cell r="D847">
            <v>44942</v>
          </cell>
          <cell r="E847" t="str">
            <v>Jan-23</v>
          </cell>
          <cell r="F847" t="str">
            <v>REGULER</v>
          </cell>
          <cell r="G847" t="str">
            <v>-</v>
          </cell>
          <cell r="H847" t="str">
            <v>REGULER</v>
          </cell>
          <cell r="I847" t="str">
            <v>EKSKLUSIF</v>
          </cell>
          <cell r="J847" t="str">
            <v>EKSKLUSIF</v>
          </cell>
          <cell r="K847" t="str">
            <v>EKSKLUSIF</v>
          </cell>
          <cell r="L847" t="str">
            <v>EKSKLUSIF</v>
          </cell>
          <cell r="M847">
            <v>9</v>
          </cell>
          <cell r="N847">
            <v>0</v>
          </cell>
          <cell r="O847">
            <v>15</v>
          </cell>
          <cell r="P847">
            <v>41</v>
          </cell>
          <cell r="Q847">
            <v>37</v>
          </cell>
          <cell r="R847">
            <v>44</v>
          </cell>
          <cell r="S847">
            <v>22</v>
          </cell>
          <cell r="T847">
            <v>168</v>
          </cell>
          <cell r="U847">
            <v>9</v>
          </cell>
          <cell r="V847">
            <v>0</v>
          </cell>
          <cell r="W847">
            <v>15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24</v>
          </cell>
          <cell r="AC847">
            <v>1</v>
          </cell>
          <cell r="AD847" t="str">
            <v>TIDAK</v>
          </cell>
          <cell r="AE847" t="str">
            <v>TIDAK</v>
          </cell>
          <cell r="AF847">
            <v>24</v>
          </cell>
          <cell r="AG847">
            <v>2</v>
          </cell>
          <cell r="AH847" t="str">
            <v>SAPHIRE</v>
          </cell>
          <cell r="AI847">
            <v>0</v>
          </cell>
          <cell r="AJ847" t="str">
            <v>FALSE</v>
          </cell>
          <cell r="AK847">
            <v>0</v>
          </cell>
          <cell r="AL847">
            <v>45261</v>
          </cell>
          <cell r="AM847">
            <v>45701</v>
          </cell>
          <cell r="AN847">
            <v>1</v>
          </cell>
          <cell r="AO847">
            <v>24</v>
          </cell>
          <cell r="AP847" t="str">
            <v>EKSKLUSIF</v>
          </cell>
          <cell r="AQ847" t="str">
            <v>-</v>
          </cell>
          <cell r="AR847" t="str">
            <v>EKSKLUSIF</v>
          </cell>
          <cell r="AS847" t="str">
            <v>EKSKLUSIF</v>
          </cell>
          <cell r="AT847" t="str">
            <v>EKSKLUSIF</v>
          </cell>
          <cell r="AU847" t="str">
            <v>EKSKLUSIF</v>
          </cell>
          <cell r="AV847" t="str">
            <v/>
          </cell>
          <cell r="AW847">
            <v>48</v>
          </cell>
          <cell r="AX847">
            <v>46</v>
          </cell>
          <cell r="AY847">
            <v>42</v>
          </cell>
          <cell r="AZ847">
            <v>50</v>
          </cell>
          <cell r="BA847">
            <v>44</v>
          </cell>
          <cell r="BB847">
            <v>48</v>
          </cell>
          <cell r="BC847">
            <v>46</v>
          </cell>
          <cell r="BD847">
            <v>42</v>
          </cell>
          <cell r="BE847">
            <v>50</v>
          </cell>
          <cell r="BF847">
            <v>44</v>
          </cell>
          <cell r="BG847">
            <v>20</v>
          </cell>
          <cell r="BH847">
            <v>48</v>
          </cell>
          <cell r="BI847">
            <v>46</v>
          </cell>
          <cell r="BJ847">
            <v>42</v>
          </cell>
          <cell r="BK847">
            <v>50</v>
          </cell>
          <cell r="BL847">
            <v>44</v>
          </cell>
          <cell r="BM847">
            <v>21</v>
          </cell>
          <cell r="BN847">
            <v>271</v>
          </cell>
          <cell r="BO847">
            <v>0</v>
          </cell>
          <cell r="BP847">
            <v>48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21</v>
          </cell>
          <cell r="BV847">
            <v>69</v>
          </cell>
          <cell r="BW847">
            <v>0</v>
          </cell>
          <cell r="BX847" t="str">
            <v>TIDAK</v>
          </cell>
          <cell r="BY847" t="str">
            <v>TIDAK</v>
          </cell>
        </row>
        <row r="848">
          <cell r="A848" t="str">
            <v>A3881</v>
          </cell>
          <cell r="B848" t="str">
            <v>Feby Bate</v>
          </cell>
          <cell r="C848" t="str">
            <v>TEMA C2</v>
          </cell>
          <cell r="D848">
            <v>45350</v>
          </cell>
          <cell r="E848" t="str">
            <v>Feb-24</v>
          </cell>
          <cell r="F848" t="str">
            <v>-</v>
          </cell>
          <cell r="G848" t="str">
            <v>-</v>
          </cell>
          <cell r="H848" t="str">
            <v>REGULER</v>
          </cell>
          <cell r="I848" t="str">
            <v>REGULER</v>
          </cell>
          <cell r="J848" t="str">
            <v>-</v>
          </cell>
          <cell r="K848" t="str">
            <v>-</v>
          </cell>
          <cell r="L848" t="str">
            <v>-</v>
          </cell>
          <cell r="M848">
            <v>0</v>
          </cell>
          <cell r="N848">
            <v>0</v>
          </cell>
          <cell r="O848">
            <v>2</v>
          </cell>
          <cell r="P848">
            <v>8</v>
          </cell>
          <cell r="Q848">
            <v>0</v>
          </cell>
          <cell r="R848">
            <v>0</v>
          </cell>
          <cell r="S848" t="str">
            <v/>
          </cell>
          <cell r="T848">
            <v>10</v>
          </cell>
          <cell r="U848">
            <v>0</v>
          </cell>
          <cell r="V848">
            <v>0</v>
          </cell>
          <cell r="W848">
            <v>2</v>
          </cell>
          <cell r="X848">
            <v>8</v>
          </cell>
          <cell r="Y848">
            <v>0</v>
          </cell>
          <cell r="Z848">
            <v>0</v>
          </cell>
          <cell r="AA848" t="str">
            <v/>
          </cell>
          <cell r="AB848">
            <v>10</v>
          </cell>
          <cell r="AC848">
            <v>3</v>
          </cell>
          <cell r="AD848" t="str">
            <v>DOWNGRADE</v>
          </cell>
          <cell r="AE848" t="str">
            <v>RESET</v>
          </cell>
          <cell r="AF848">
            <v>0</v>
          </cell>
          <cell r="AG848">
            <v>1</v>
          </cell>
          <cell r="AH848" t="str">
            <v>SAPHIRE</v>
          </cell>
          <cell r="AI848">
            <v>0</v>
          </cell>
          <cell r="AJ848" t="str">
            <v>FALSE</v>
          </cell>
          <cell r="AK848">
            <v>0</v>
          </cell>
          <cell r="AL848">
            <v>45261</v>
          </cell>
          <cell r="AM848">
            <v>45701</v>
          </cell>
          <cell r="AN848">
            <v>1</v>
          </cell>
          <cell r="AO848">
            <v>0</v>
          </cell>
          <cell r="AP848" t="str">
            <v>-</v>
          </cell>
          <cell r="AQ848" t="str">
            <v>-</v>
          </cell>
          <cell r="AR848" t="str">
            <v>-</v>
          </cell>
          <cell r="AS848" t="str">
            <v>-</v>
          </cell>
          <cell r="AT848" t="str">
            <v>-</v>
          </cell>
          <cell r="AU848" t="str">
            <v>-</v>
          </cell>
          <cell r="AV848" t="str">
            <v/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 t="str">
            <v/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 t="str">
            <v/>
          </cell>
          <cell r="BN848">
            <v>0</v>
          </cell>
          <cell r="BO848" t="str">
            <v/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 t="str">
            <v/>
          </cell>
          <cell r="BV848">
            <v>0</v>
          </cell>
          <cell r="BW848">
            <v>7</v>
          </cell>
          <cell r="BX848" t="str">
            <v>DOWNGRADE</v>
          </cell>
          <cell r="BY848" t="str">
            <v>RESET</v>
          </cell>
        </row>
        <row r="849">
          <cell r="A849" t="str">
            <v>A0186</v>
          </cell>
          <cell r="B849" t="str">
            <v>Fernandia Juwita Sari</v>
          </cell>
          <cell r="C849" t="str">
            <v>TEMA C2</v>
          </cell>
          <cell r="D849">
            <v>44811</v>
          </cell>
          <cell r="E849" t="str">
            <v>Sep-22</v>
          </cell>
          <cell r="F849" t="str">
            <v>REGULER</v>
          </cell>
          <cell r="G849" t="str">
            <v>REGULER</v>
          </cell>
          <cell r="H849" t="str">
            <v>REGULER</v>
          </cell>
          <cell r="I849" t="str">
            <v>REGULER</v>
          </cell>
          <cell r="J849" t="str">
            <v>REGULER</v>
          </cell>
          <cell r="K849" t="str">
            <v>-</v>
          </cell>
          <cell r="L849" t="str">
            <v>-</v>
          </cell>
          <cell r="M849">
            <v>14</v>
          </cell>
          <cell r="N849">
            <v>24</v>
          </cell>
          <cell r="O849">
            <v>21</v>
          </cell>
          <cell r="P849">
            <v>24</v>
          </cell>
          <cell r="Q849">
            <v>36</v>
          </cell>
          <cell r="R849">
            <v>0</v>
          </cell>
          <cell r="S849" t="str">
            <v/>
          </cell>
          <cell r="T849">
            <v>119</v>
          </cell>
          <cell r="U849">
            <v>14</v>
          </cell>
          <cell r="V849">
            <v>24</v>
          </cell>
          <cell r="W849">
            <v>21</v>
          </cell>
          <cell r="X849">
            <v>24</v>
          </cell>
          <cell r="Y849">
            <v>36</v>
          </cell>
          <cell r="Z849">
            <v>0</v>
          </cell>
          <cell r="AA849" t="str">
            <v/>
          </cell>
          <cell r="AB849">
            <v>119</v>
          </cell>
          <cell r="AC849">
            <v>2</v>
          </cell>
          <cell r="AD849" t="str">
            <v>TIDAK</v>
          </cell>
          <cell r="AE849" t="str">
            <v>TIDAK</v>
          </cell>
          <cell r="AF849">
            <v>119</v>
          </cell>
          <cell r="AG849">
            <v>2</v>
          </cell>
          <cell r="AH849" t="str">
            <v>SAPHIRE</v>
          </cell>
          <cell r="AI849">
            <v>0</v>
          </cell>
          <cell r="AJ849" t="str">
            <v>Y</v>
          </cell>
          <cell r="AK849">
            <v>0</v>
          </cell>
          <cell r="AL849">
            <v>45261</v>
          </cell>
          <cell r="AM849">
            <v>45701</v>
          </cell>
          <cell r="AN849">
            <v>1</v>
          </cell>
          <cell r="AO849">
            <v>119</v>
          </cell>
          <cell r="AP849" t="str">
            <v>-</v>
          </cell>
          <cell r="AQ849" t="str">
            <v>-</v>
          </cell>
          <cell r="AR849" t="str">
            <v>-</v>
          </cell>
          <cell r="AS849" t="str">
            <v>-</v>
          </cell>
          <cell r="AT849" t="str">
            <v>-</v>
          </cell>
          <cell r="AU849" t="str">
            <v>-</v>
          </cell>
          <cell r="AV849" t="str">
            <v/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 t="str">
            <v/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 t="str">
            <v/>
          </cell>
          <cell r="BN849">
            <v>0</v>
          </cell>
          <cell r="BO849" t="str">
            <v/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 t="str">
            <v/>
          </cell>
          <cell r="BV849">
            <v>0</v>
          </cell>
          <cell r="BW849">
            <v>7</v>
          </cell>
          <cell r="BX849" t="str">
            <v>DOWNGRADE</v>
          </cell>
          <cell r="BY849" t="str">
            <v>RESET</v>
          </cell>
        </row>
        <row r="850">
          <cell r="A850" t="str">
            <v>A0898</v>
          </cell>
          <cell r="B850" t="str">
            <v>Fienda Kurniawati</v>
          </cell>
          <cell r="C850" t="str">
            <v>TEMA C2</v>
          </cell>
          <cell r="D850">
            <v>44907</v>
          </cell>
          <cell r="E850" t="str">
            <v>Dec-22</v>
          </cell>
          <cell r="F850" t="str">
            <v>REGULER</v>
          </cell>
          <cell r="G850" t="str">
            <v>REGULER</v>
          </cell>
          <cell r="H850" t="str">
            <v>REGULER</v>
          </cell>
          <cell r="I850" t="str">
            <v>REGULER</v>
          </cell>
          <cell r="J850" t="str">
            <v>-</v>
          </cell>
          <cell r="K850" t="str">
            <v>REGULER</v>
          </cell>
          <cell r="L850" t="str">
            <v>-</v>
          </cell>
          <cell r="M850">
            <v>21</v>
          </cell>
          <cell r="N850">
            <v>43</v>
          </cell>
          <cell r="O850">
            <v>30</v>
          </cell>
          <cell r="P850">
            <v>35</v>
          </cell>
          <cell r="Q850">
            <v>0</v>
          </cell>
          <cell r="R850">
            <v>2</v>
          </cell>
          <cell r="S850" t="str">
            <v/>
          </cell>
          <cell r="T850">
            <v>131</v>
          </cell>
          <cell r="U850">
            <v>21</v>
          </cell>
          <cell r="V850">
            <v>43</v>
          </cell>
          <cell r="W850">
            <v>30</v>
          </cell>
          <cell r="X850">
            <v>35</v>
          </cell>
          <cell r="Y850">
            <v>0</v>
          </cell>
          <cell r="Z850">
            <v>2</v>
          </cell>
          <cell r="AA850" t="str">
            <v/>
          </cell>
          <cell r="AB850">
            <v>131</v>
          </cell>
          <cell r="AC850">
            <v>2</v>
          </cell>
          <cell r="AD850" t="str">
            <v>TIDAK</v>
          </cell>
          <cell r="AE850" t="str">
            <v>TIDAK</v>
          </cell>
          <cell r="AF850">
            <v>131</v>
          </cell>
          <cell r="AG850">
            <v>3</v>
          </cell>
          <cell r="AH850" t="str">
            <v>SAPHIRE</v>
          </cell>
          <cell r="AI850">
            <v>0</v>
          </cell>
          <cell r="AJ850" t="str">
            <v>Y</v>
          </cell>
          <cell r="AK850">
            <v>0</v>
          </cell>
          <cell r="AL850">
            <v>45261</v>
          </cell>
          <cell r="AM850">
            <v>45701</v>
          </cell>
          <cell r="AN850">
            <v>1</v>
          </cell>
          <cell r="AO850">
            <v>131</v>
          </cell>
          <cell r="AP850" t="str">
            <v>-</v>
          </cell>
          <cell r="AQ850" t="str">
            <v>-</v>
          </cell>
          <cell r="AR850" t="str">
            <v>-</v>
          </cell>
          <cell r="AS850" t="str">
            <v>-</v>
          </cell>
          <cell r="AT850" t="str">
            <v>-</v>
          </cell>
          <cell r="AU850" t="str">
            <v>REGULER</v>
          </cell>
          <cell r="AV850" t="str">
            <v/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32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32</v>
          </cell>
          <cell r="BG850" t="str">
            <v/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32</v>
          </cell>
          <cell r="BM850">
            <v>17</v>
          </cell>
          <cell r="BN850">
            <v>49</v>
          </cell>
          <cell r="BO850" t="str">
            <v/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32</v>
          </cell>
          <cell r="BU850">
            <v>17</v>
          </cell>
          <cell r="BV850">
            <v>49</v>
          </cell>
          <cell r="BW850">
            <v>5</v>
          </cell>
          <cell r="BX850" t="str">
            <v>DOWNGRADE</v>
          </cell>
          <cell r="BY850" t="str">
            <v>RESET</v>
          </cell>
        </row>
        <row r="851">
          <cell r="A851" t="str">
            <v>A4032</v>
          </cell>
          <cell r="B851" t="str">
            <v>FIKY AZHARI BACHRUDDIN</v>
          </cell>
          <cell r="C851" t="str">
            <v>TEMA C2</v>
          </cell>
          <cell r="D851">
            <v>45428</v>
          </cell>
          <cell r="E851" t="str">
            <v>May-24</v>
          </cell>
          <cell r="F851" t="str">
            <v>-</v>
          </cell>
          <cell r="G851" t="str">
            <v>-</v>
          </cell>
          <cell r="H851" t="str">
            <v>-</v>
          </cell>
          <cell r="I851" t="str">
            <v>-</v>
          </cell>
          <cell r="J851" t="str">
            <v>-</v>
          </cell>
          <cell r="K851" t="str">
            <v>REGULER</v>
          </cell>
          <cell r="L851" t="str">
            <v>-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6</v>
          </cell>
          <cell r="S851" t="str">
            <v/>
          </cell>
          <cell r="T851">
            <v>6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6</v>
          </cell>
          <cell r="AA851" t="str">
            <v/>
          </cell>
          <cell r="AB851">
            <v>6</v>
          </cell>
          <cell r="AC851">
            <v>1</v>
          </cell>
          <cell r="AD851" t="str">
            <v>TIDAK</v>
          </cell>
          <cell r="AE851" t="str">
            <v>TIDAK</v>
          </cell>
          <cell r="AF851">
            <v>6</v>
          </cell>
          <cell r="AG851">
            <v>1</v>
          </cell>
          <cell r="AH851" t="str">
            <v>SAPHIRE</v>
          </cell>
          <cell r="AI851">
            <v>0</v>
          </cell>
          <cell r="AJ851" t="str">
            <v>FALSE</v>
          </cell>
          <cell r="AK851">
            <v>0</v>
          </cell>
          <cell r="AL851">
            <v>45261</v>
          </cell>
          <cell r="AM851">
            <v>45701</v>
          </cell>
          <cell r="AN851">
            <v>1</v>
          </cell>
          <cell r="AO851">
            <v>6</v>
          </cell>
          <cell r="AP851" t="str">
            <v>-</v>
          </cell>
          <cell r="AQ851" t="str">
            <v>-</v>
          </cell>
          <cell r="AR851" t="str">
            <v>-</v>
          </cell>
          <cell r="AS851" t="str">
            <v>-</v>
          </cell>
          <cell r="AT851" t="str">
            <v>-</v>
          </cell>
          <cell r="AU851" t="str">
            <v>-</v>
          </cell>
          <cell r="AV851" t="str">
            <v/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 t="str">
            <v/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 t="str">
            <v/>
          </cell>
          <cell r="BN851">
            <v>0</v>
          </cell>
          <cell r="BO851" t="str">
            <v/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 t="str">
            <v/>
          </cell>
          <cell r="BV851">
            <v>0</v>
          </cell>
          <cell r="BW851">
            <v>7</v>
          </cell>
          <cell r="BX851" t="str">
            <v>DOWNGRADE</v>
          </cell>
          <cell r="BY851" t="str">
            <v>RESET</v>
          </cell>
        </row>
        <row r="852">
          <cell r="A852" t="str">
            <v>A3796</v>
          </cell>
          <cell r="B852" t="str">
            <v>Finggar Kurnia Murti</v>
          </cell>
          <cell r="C852" t="str">
            <v>TEMA C2</v>
          </cell>
          <cell r="D852">
            <v>45352</v>
          </cell>
          <cell r="E852" t="str">
            <v>Mar-24</v>
          </cell>
          <cell r="F852" t="str">
            <v>-</v>
          </cell>
          <cell r="G852" t="str">
            <v>-</v>
          </cell>
          <cell r="H852" t="str">
            <v>-</v>
          </cell>
          <cell r="I852" t="str">
            <v>REGULER</v>
          </cell>
          <cell r="J852" t="str">
            <v>-</v>
          </cell>
          <cell r="K852" t="str">
            <v>-</v>
          </cell>
          <cell r="L852" t="str">
            <v>-</v>
          </cell>
          <cell r="M852">
            <v>0</v>
          </cell>
          <cell r="N852">
            <v>0</v>
          </cell>
          <cell r="O852">
            <v>0</v>
          </cell>
          <cell r="P852">
            <v>1</v>
          </cell>
          <cell r="Q852">
            <v>0</v>
          </cell>
          <cell r="R852">
            <v>0</v>
          </cell>
          <cell r="S852" t="str">
            <v/>
          </cell>
          <cell r="T852">
            <v>1</v>
          </cell>
          <cell r="U852">
            <v>0</v>
          </cell>
          <cell r="V852">
            <v>0</v>
          </cell>
          <cell r="W852">
            <v>0</v>
          </cell>
          <cell r="X852">
            <v>1</v>
          </cell>
          <cell r="Y852">
            <v>0</v>
          </cell>
          <cell r="Z852">
            <v>0</v>
          </cell>
          <cell r="AA852" t="str">
            <v/>
          </cell>
          <cell r="AB852">
            <v>1</v>
          </cell>
          <cell r="AC852">
            <v>3</v>
          </cell>
          <cell r="AD852" t="str">
            <v>DOWNGRADE</v>
          </cell>
          <cell r="AE852" t="str">
            <v>RESET</v>
          </cell>
          <cell r="AF852">
            <v>0</v>
          </cell>
          <cell r="AG852">
            <v>1</v>
          </cell>
          <cell r="AH852" t="str">
            <v>SAPHIRE</v>
          </cell>
          <cell r="AI852">
            <v>0</v>
          </cell>
          <cell r="AJ852" t="str">
            <v>FALSE</v>
          </cell>
          <cell r="AK852">
            <v>0</v>
          </cell>
          <cell r="AL852">
            <v>45261</v>
          </cell>
          <cell r="AM852">
            <v>45701</v>
          </cell>
          <cell r="AN852">
            <v>1</v>
          </cell>
          <cell r="AO852">
            <v>0</v>
          </cell>
          <cell r="AP852" t="str">
            <v>-</v>
          </cell>
          <cell r="AQ852" t="str">
            <v>-</v>
          </cell>
          <cell r="AR852" t="str">
            <v>-</v>
          </cell>
          <cell r="AS852" t="str">
            <v>-</v>
          </cell>
          <cell r="AT852" t="str">
            <v>-</v>
          </cell>
          <cell r="AU852" t="str">
            <v>-</v>
          </cell>
          <cell r="AV852" t="str">
            <v/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 t="str">
            <v/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 t="str">
            <v/>
          </cell>
          <cell r="BN852">
            <v>0</v>
          </cell>
          <cell r="BO852" t="str">
            <v/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 t="str">
            <v/>
          </cell>
          <cell r="BV852">
            <v>0</v>
          </cell>
          <cell r="BW852">
            <v>7</v>
          </cell>
          <cell r="BX852" t="str">
            <v>DOWNGRADE</v>
          </cell>
          <cell r="BY852" t="str">
            <v>RESET</v>
          </cell>
        </row>
        <row r="853">
          <cell r="A853" t="str">
            <v>A1232</v>
          </cell>
          <cell r="B853" t="str">
            <v>Fiorentina Br Sebayang</v>
          </cell>
          <cell r="C853" t="str">
            <v>TEMA C2</v>
          </cell>
          <cell r="D853">
            <v>44956</v>
          </cell>
          <cell r="E853" t="str">
            <v>Jan-23</v>
          </cell>
          <cell r="F853" t="str">
            <v>EKSKLUSIF</v>
          </cell>
          <cell r="G853" t="str">
            <v>EKSKLUSIF</v>
          </cell>
          <cell r="H853" t="str">
            <v>EKSKLUSIF</v>
          </cell>
          <cell r="I853" t="str">
            <v>EKSKLUSIF</v>
          </cell>
          <cell r="J853" t="str">
            <v>REGULER</v>
          </cell>
          <cell r="K853" t="str">
            <v>REGULER</v>
          </cell>
          <cell r="L853" t="str">
            <v>REGULER</v>
          </cell>
          <cell r="M853">
            <v>18</v>
          </cell>
          <cell r="N853">
            <v>46</v>
          </cell>
          <cell r="O853">
            <v>38</v>
          </cell>
          <cell r="P853">
            <v>39</v>
          </cell>
          <cell r="Q853">
            <v>2</v>
          </cell>
          <cell r="R853">
            <v>37</v>
          </cell>
          <cell r="S853">
            <v>18</v>
          </cell>
          <cell r="T853">
            <v>198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2</v>
          </cell>
          <cell r="Z853">
            <v>37</v>
          </cell>
          <cell r="AA853">
            <v>18</v>
          </cell>
          <cell r="AB853">
            <v>57</v>
          </cell>
          <cell r="AC853">
            <v>0</v>
          </cell>
          <cell r="AD853" t="str">
            <v>TIDAK</v>
          </cell>
          <cell r="AE853" t="str">
            <v>TIDAK</v>
          </cell>
          <cell r="AF853">
            <v>57</v>
          </cell>
          <cell r="AG853">
            <v>2</v>
          </cell>
          <cell r="AH853" t="str">
            <v>SAPHIRE</v>
          </cell>
          <cell r="AI853">
            <v>0</v>
          </cell>
          <cell r="AJ853" t="str">
            <v>FALSE</v>
          </cell>
          <cell r="AK853">
            <v>0</v>
          </cell>
          <cell r="AL853">
            <v>45261</v>
          </cell>
          <cell r="AM853">
            <v>45701</v>
          </cell>
          <cell r="AN853">
            <v>1</v>
          </cell>
          <cell r="AO853">
            <v>57</v>
          </cell>
          <cell r="AP853" t="str">
            <v>-</v>
          </cell>
          <cell r="AQ853" t="str">
            <v>-</v>
          </cell>
          <cell r="AR853" t="str">
            <v>EKSKLUSIF</v>
          </cell>
          <cell r="AS853" t="str">
            <v>EKSKLUSIF</v>
          </cell>
          <cell r="AT853" t="str">
            <v>EKSKLUSIF</v>
          </cell>
          <cell r="AU853" t="str">
            <v>EKSKLUSIF</v>
          </cell>
          <cell r="AV853" t="str">
            <v/>
          </cell>
          <cell r="AW853">
            <v>46</v>
          </cell>
          <cell r="AX853">
            <v>46</v>
          </cell>
          <cell r="AY853">
            <v>42</v>
          </cell>
          <cell r="AZ853">
            <v>48</v>
          </cell>
          <cell r="BA853">
            <v>43</v>
          </cell>
          <cell r="BB853">
            <v>46</v>
          </cell>
          <cell r="BC853">
            <v>46</v>
          </cell>
          <cell r="BD853">
            <v>42</v>
          </cell>
          <cell r="BE853">
            <v>48</v>
          </cell>
          <cell r="BF853">
            <v>43</v>
          </cell>
          <cell r="BG853">
            <v>18</v>
          </cell>
          <cell r="BH853">
            <v>46</v>
          </cell>
          <cell r="BI853">
            <v>46</v>
          </cell>
          <cell r="BJ853">
            <v>42</v>
          </cell>
          <cell r="BK853">
            <v>48</v>
          </cell>
          <cell r="BL853">
            <v>43</v>
          </cell>
          <cell r="BM853">
            <v>21</v>
          </cell>
          <cell r="BN853">
            <v>264</v>
          </cell>
          <cell r="BO853">
            <v>18</v>
          </cell>
          <cell r="BP853">
            <v>46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21</v>
          </cell>
          <cell r="BV853">
            <v>85</v>
          </cell>
          <cell r="BW853">
            <v>0</v>
          </cell>
          <cell r="BX853" t="str">
            <v>TIDAK</v>
          </cell>
          <cell r="BY853" t="str">
            <v>TIDAK</v>
          </cell>
        </row>
        <row r="854">
          <cell r="A854" t="str">
            <v>A4024</v>
          </cell>
          <cell r="B854" t="str">
            <v>FITRIA NURUL</v>
          </cell>
          <cell r="C854" t="str">
            <v>TEMA C2</v>
          </cell>
          <cell r="D854">
            <v>45414</v>
          </cell>
          <cell r="E854" t="str">
            <v>May-24</v>
          </cell>
          <cell r="F854" t="str">
            <v>-</v>
          </cell>
          <cell r="G854" t="str">
            <v>-</v>
          </cell>
          <cell r="H854" t="str">
            <v>-</v>
          </cell>
          <cell r="I854" t="str">
            <v>-</v>
          </cell>
          <cell r="J854" t="str">
            <v>-</v>
          </cell>
          <cell r="K854" t="str">
            <v>REGULER</v>
          </cell>
          <cell r="L854" t="str">
            <v>REGULER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37</v>
          </cell>
          <cell r="S854">
            <v>20</v>
          </cell>
          <cell r="T854">
            <v>57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37</v>
          </cell>
          <cell r="AA854">
            <v>20</v>
          </cell>
          <cell r="AB854">
            <v>57</v>
          </cell>
          <cell r="AC854">
            <v>0</v>
          </cell>
          <cell r="AD854" t="str">
            <v>TIDAK</v>
          </cell>
          <cell r="AE854" t="str">
            <v>TIDAK</v>
          </cell>
          <cell r="AF854">
            <v>57</v>
          </cell>
          <cell r="AG854">
            <v>1</v>
          </cell>
          <cell r="AH854" t="str">
            <v>SAPHIRE</v>
          </cell>
          <cell r="AI854">
            <v>0</v>
          </cell>
          <cell r="AJ854" t="str">
            <v>FALSE</v>
          </cell>
          <cell r="AK854">
            <v>0</v>
          </cell>
          <cell r="AL854">
            <v>45261</v>
          </cell>
          <cell r="AM854">
            <v>45701</v>
          </cell>
          <cell r="AN854">
            <v>1</v>
          </cell>
          <cell r="AO854">
            <v>57</v>
          </cell>
          <cell r="AP854" t="str">
            <v>-</v>
          </cell>
          <cell r="AQ854" t="str">
            <v>-</v>
          </cell>
          <cell r="AR854" t="str">
            <v>EKSKLUSIF</v>
          </cell>
          <cell r="AS854" t="str">
            <v>EKSKLUSIF</v>
          </cell>
          <cell r="AT854" t="str">
            <v>EKSKLUSIF</v>
          </cell>
          <cell r="AU854" t="str">
            <v>EKSKLUSIF</v>
          </cell>
          <cell r="AV854" t="str">
            <v/>
          </cell>
          <cell r="AW854">
            <v>48</v>
          </cell>
          <cell r="AX854">
            <v>45</v>
          </cell>
          <cell r="AY854">
            <v>44</v>
          </cell>
          <cell r="AZ854">
            <v>50</v>
          </cell>
          <cell r="BA854">
            <v>42</v>
          </cell>
          <cell r="BB854">
            <v>48</v>
          </cell>
          <cell r="BC854">
            <v>45</v>
          </cell>
          <cell r="BD854">
            <v>44</v>
          </cell>
          <cell r="BE854">
            <v>50</v>
          </cell>
          <cell r="BF854">
            <v>42</v>
          </cell>
          <cell r="BG854">
            <v>12</v>
          </cell>
          <cell r="BH854">
            <v>48</v>
          </cell>
          <cell r="BI854">
            <v>45</v>
          </cell>
          <cell r="BJ854">
            <v>44</v>
          </cell>
          <cell r="BK854">
            <v>50</v>
          </cell>
          <cell r="BL854">
            <v>42</v>
          </cell>
          <cell r="BM854">
            <v>22</v>
          </cell>
          <cell r="BN854">
            <v>263</v>
          </cell>
          <cell r="BO854">
            <v>12</v>
          </cell>
          <cell r="BP854">
            <v>48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22</v>
          </cell>
          <cell r="BV854">
            <v>82</v>
          </cell>
          <cell r="BW854">
            <v>0</v>
          </cell>
          <cell r="BX854" t="str">
            <v>TIDAK</v>
          </cell>
          <cell r="BY854" t="str">
            <v>TIDAK</v>
          </cell>
        </row>
        <row r="855">
          <cell r="A855" t="str">
            <v>A2296</v>
          </cell>
          <cell r="B855" t="str">
            <v xml:space="preserve">Fransiskus Dimas </v>
          </cell>
          <cell r="C855" t="str">
            <v>TEMA C2</v>
          </cell>
          <cell r="D855">
            <v>45065</v>
          </cell>
          <cell r="E855" t="str">
            <v>May-23</v>
          </cell>
          <cell r="F855" t="str">
            <v>REGULER</v>
          </cell>
          <cell r="G855" t="str">
            <v>REGULER</v>
          </cell>
          <cell r="H855" t="str">
            <v>REGULER</v>
          </cell>
          <cell r="I855" t="str">
            <v>REGULER</v>
          </cell>
          <cell r="J855" t="str">
            <v>REGULER</v>
          </cell>
          <cell r="K855" t="str">
            <v>REGULER</v>
          </cell>
          <cell r="L855" t="str">
            <v>REGULER</v>
          </cell>
          <cell r="M855">
            <v>14</v>
          </cell>
          <cell r="N855">
            <v>34</v>
          </cell>
          <cell r="O855">
            <v>32</v>
          </cell>
          <cell r="P855">
            <v>34</v>
          </cell>
          <cell r="Q855">
            <v>36</v>
          </cell>
          <cell r="R855">
            <v>35</v>
          </cell>
          <cell r="S855">
            <v>14</v>
          </cell>
          <cell r="T855">
            <v>199</v>
          </cell>
          <cell r="U855">
            <v>14</v>
          </cell>
          <cell r="V855">
            <v>34</v>
          </cell>
          <cell r="W855">
            <v>32</v>
          </cell>
          <cell r="X855">
            <v>34</v>
          </cell>
          <cell r="Y855">
            <v>36</v>
          </cell>
          <cell r="Z855">
            <v>35</v>
          </cell>
          <cell r="AA855">
            <v>14</v>
          </cell>
          <cell r="AB855">
            <v>199</v>
          </cell>
          <cell r="AC855">
            <v>0</v>
          </cell>
          <cell r="AD855" t="str">
            <v>TIDAK</v>
          </cell>
          <cell r="AE855" t="str">
            <v>TIDAK</v>
          </cell>
          <cell r="AF855">
            <v>199</v>
          </cell>
          <cell r="AG855">
            <v>2</v>
          </cell>
          <cell r="AH855" t="str">
            <v>SAPHIRE</v>
          </cell>
          <cell r="AI855">
            <v>0</v>
          </cell>
          <cell r="AJ855" t="str">
            <v>Y</v>
          </cell>
          <cell r="AK855">
            <v>0</v>
          </cell>
          <cell r="AL855">
            <v>45261</v>
          </cell>
          <cell r="AM855">
            <v>45701</v>
          </cell>
          <cell r="AN855">
            <v>1</v>
          </cell>
          <cell r="AO855">
            <v>199</v>
          </cell>
          <cell r="AP855" t="str">
            <v>-</v>
          </cell>
          <cell r="AQ855" t="str">
            <v>-</v>
          </cell>
          <cell r="AR855" t="str">
            <v>REGULER</v>
          </cell>
          <cell r="AS855" t="str">
            <v>REGULER</v>
          </cell>
          <cell r="AT855" t="str">
            <v>-</v>
          </cell>
          <cell r="AU855" t="str">
            <v>-</v>
          </cell>
          <cell r="AV855" t="str">
            <v/>
          </cell>
          <cell r="AW855">
            <v>31</v>
          </cell>
          <cell r="AX855">
            <v>24</v>
          </cell>
          <cell r="AY855">
            <v>2</v>
          </cell>
          <cell r="AZ855">
            <v>0</v>
          </cell>
          <cell r="BA855">
            <v>0</v>
          </cell>
          <cell r="BB855">
            <v>31</v>
          </cell>
          <cell r="BC855">
            <v>24</v>
          </cell>
          <cell r="BD855">
            <v>2</v>
          </cell>
          <cell r="BE855">
            <v>0</v>
          </cell>
          <cell r="BF855">
            <v>0</v>
          </cell>
          <cell r="BG855">
            <v>12</v>
          </cell>
          <cell r="BH855">
            <v>31</v>
          </cell>
          <cell r="BI855">
            <v>24</v>
          </cell>
          <cell r="BJ855">
            <v>2</v>
          </cell>
          <cell r="BK855">
            <v>0</v>
          </cell>
          <cell r="BL855">
            <v>0</v>
          </cell>
          <cell r="BM855" t="str">
            <v/>
          </cell>
          <cell r="BN855">
            <v>69</v>
          </cell>
          <cell r="BO855">
            <v>12</v>
          </cell>
          <cell r="BP855">
            <v>31</v>
          </cell>
          <cell r="BQ855">
            <v>24</v>
          </cell>
          <cell r="BR855">
            <v>2</v>
          </cell>
          <cell r="BS855">
            <v>0</v>
          </cell>
          <cell r="BT855">
            <v>0</v>
          </cell>
          <cell r="BU855" t="str">
            <v/>
          </cell>
          <cell r="BV855">
            <v>69</v>
          </cell>
          <cell r="BW855">
            <v>3</v>
          </cell>
          <cell r="BX855" t="str">
            <v>DOWNGRADE</v>
          </cell>
          <cell r="BY855" t="str">
            <v>RESET</v>
          </cell>
        </row>
        <row r="856">
          <cell r="A856" t="str">
            <v>A3817</v>
          </cell>
          <cell r="B856" t="str">
            <v>Genoveva Edita Putri</v>
          </cell>
          <cell r="C856" t="str">
            <v>TEMA C2</v>
          </cell>
          <cell r="D856">
            <v>45350</v>
          </cell>
          <cell r="E856" t="str">
            <v>Feb-24</v>
          </cell>
          <cell r="F856" t="str">
            <v>-</v>
          </cell>
          <cell r="G856" t="str">
            <v>-</v>
          </cell>
          <cell r="H856" t="str">
            <v>REGULER</v>
          </cell>
          <cell r="I856" t="str">
            <v>REGULER</v>
          </cell>
          <cell r="J856" t="str">
            <v>REGULER</v>
          </cell>
          <cell r="K856" t="str">
            <v>-</v>
          </cell>
          <cell r="L856" t="str">
            <v>-</v>
          </cell>
          <cell r="M856">
            <v>0</v>
          </cell>
          <cell r="N856">
            <v>0</v>
          </cell>
          <cell r="O856">
            <v>2</v>
          </cell>
          <cell r="P856">
            <v>13</v>
          </cell>
          <cell r="Q856">
            <v>20</v>
          </cell>
          <cell r="R856">
            <v>0</v>
          </cell>
          <cell r="S856" t="str">
            <v/>
          </cell>
          <cell r="T856">
            <v>35</v>
          </cell>
          <cell r="U856">
            <v>0</v>
          </cell>
          <cell r="V856">
            <v>0</v>
          </cell>
          <cell r="W856">
            <v>2</v>
          </cell>
          <cell r="X856">
            <v>13</v>
          </cell>
          <cell r="Y856">
            <v>20</v>
          </cell>
          <cell r="Z856">
            <v>0</v>
          </cell>
          <cell r="AA856" t="str">
            <v/>
          </cell>
          <cell r="AB856">
            <v>35</v>
          </cell>
          <cell r="AC856">
            <v>2</v>
          </cell>
          <cell r="AD856" t="str">
            <v>TIDAK</v>
          </cell>
          <cell r="AE856" t="str">
            <v>TIDAK</v>
          </cell>
          <cell r="AF856">
            <v>35</v>
          </cell>
          <cell r="AG856">
            <v>1</v>
          </cell>
          <cell r="AH856" t="str">
            <v>SAPHIRE</v>
          </cell>
          <cell r="AI856">
            <v>0</v>
          </cell>
          <cell r="AJ856" t="str">
            <v>FALSE</v>
          </cell>
          <cell r="AK856">
            <v>0</v>
          </cell>
          <cell r="AL856">
            <v>45261</v>
          </cell>
          <cell r="AM856">
            <v>45701</v>
          </cell>
          <cell r="AN856">
            <v>1</v>
          </cell>
          <cell r="AO856">
            <v>35</v>
          </cell>
          <cell r="AP856" t="str">
            <v>-</v>
          </cell>
          <cell r="AQ856" t="str">
            <v>-</v>
          </cell>
          <cell r="AR856" t="str">
            <v>-</v>
          </cell>
          <cell r="AS856" t="str">
            <v>-</v>
          </cell>
          <cell r="AT856" t="str">
            <v>-</v>
          </cell>
          <cell r="AU856" t="str">
            <v>-</v>
          </cell>
          <cell r="AV856" t="str">
            <v/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 t="str">
            <v/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 t="str">
            <v/>
          </cell>
          <cell r="BN856">
            <v>0</v>
          </cell>
          <cell r="BO856" t="str">
            <v/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 t="str">
            <v/>
          </cell>
          <cell r="BV856">
            <v>0</v>
          </cell>
          <cell r="BW856">
            <v>7</v>
          </cell>
          <cell r="BX856" t="str">
            <v>DOWNGRADE</v>
          </cell>
          <cell r="BY856" t="str">
            <v>RESET</v>
          </cell>
        </row>
        <row r="857">
          <cell r="A857" t="str">
            <v>A3122</v>
          </cell>
          <cell r="B857" t="str">
            <v>Gilang Permitasari</v>
          </cell>
          <cell r="C857" t="str">
            <v>TEMA C2</v>
          </cell>
          <cell r="D857">
            <v>45217</v>
          </cell>
          <cell r="E857" t="str">
            <v>Oct-23</v>
          </cell>
          <cell r="F857" t="str">
            <v>REGULER</v>
          </cell>
          <cell r="G857" t="str">
            <v>REGULER</v>
          </cell>
          <cell r="H857" t="str">
            <v>REGULER</v>
          </cell>
          <cell r="I857" t="str">
            <v>REGULER</v>
          </cell>
          <cell r="J857" t="str">
            <v>REGULER</v>
          </cell>
          <cell r="K857" t="str">
            <v>-</v>
          </cell>
          <cell r="L857" t="str">
            <v>-</v>
          </cell>
          <cell r="M857">
            <v>0</v>
          </cell>
          <cell r="N857">
            <v>4</v>
          </cell>
          <cell r="O857">
            <v>6</v>
          </cell>
          <cell r="P857">
            <v>7</v>
          </cell>
          <cell r="Q857">
            <v>2</v>
          </cell>
          <cell r="R857">
            <v>0</v>
          </cell>
          <cell r="S857" t="str">
            <v/>
          </cell>
          <cell r="T857">
            <v>19</v>
          </cell>
          <cell r="U857">
            <v>0</v>
          </cell>
          <cell r="V857">
            <v>4</v>
          </cell>
          <cell r="W857">
            <v>6</v>
          </cell>
          <cell r="X857">
            <v>7</v>
          </cell>
          <cell r="Y857">
            <v>2</v>
          </cell>
          <cell r="Z857">
            <v>0</v>
          </cell>
          <cell r="AA857" t="str">
            <v/>
          </cell>
          <cell r="AB857">
            <v>19</v>
          </cell>
          <cell r="AC857">
            <v>3</v>
          </cell>
          <cell r="AD857" t="str">
            <v>DOWNGRADE</v>
          </cell>
          <cell r="AE857" t="str">
            <v>TIDAK</v>
          </cell>
          <cell r="AF857">
            <v>9.5</v>
          </cell>
          <cell r="AG857">
            <v>2</v>
          </cell>
          <cell r="AH857" t="str">
            <v>SAPHIRE</v>
          </cell>
          <cell r="AI857">
            <v>0</v>
          </cell>
          <cell r="AJ857" t="str">
            <v>FALSE</v>
          </cell>
          <cell r="AK857">
            <v>0</v>
          </cell>
          <cell r="AL857">
            <v>45261</v>
          </cell>
          <cell r="AM857">
            <v>45701</v>
          </cell>
          <cell r="AN857">
            <v>1</v>
          </cell>
          <cell r="AO857">
            <v>9.5</v>
          </cell>
          <cell r="AP857" t="str">
            <v>-</v>
          </cell>
          <cell r="AQ857" t="str">
            <v>-</v>
          </cell>
          <cell r="AR857" t="str">
            <v>-</v>
          </cell>
          <cell r="AS857" t="str">
            <v>-</v>
          </cell>
          <cell r="AT857" t="str">
            <v>-</v>
          </cell>
          <cell r="AU857" t="str">
            <v>-</v>
          </cell>
          <cell r="AV857" t="str">
            <v/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 t="str">
            <v/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 t="str">
            <v/>
          </cell>
          <cell r="BN857">
            <v>0</v>
          </cell>
          <cell r="BO857" t="str">
            <v/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 t="str">
            <v/>
          </cell>
          <cell r="BV857">
            <v>0</v>
          </cell>
          <cell r="BW857">
            <v>7</v>
          </cell>
          <cell r="BX857" t="str">
            <v>DOWNGRADE</v>
          </cell>
          <cell r="BY857" t="str">
            <v>RESET</v>
          </cell>
        </row>
        <row r="858">
          <cell r="A858" t="str">
            <v>A2300</v>
          </cell>
          <cell r="B858" t="str">
            <v xml:space="preserve">Grace Sifra </v>
          </cell>
          <cell r="C858" t="str">
            <v>TEMA C2</v>
          </cell>
          <cell r="D858">
            <v>45062</v>
          </cell>
          <cell r="E858" t="str">
            <v>May-23</v>
          </cell>
          <cell r="F858" t="str">
            <v>REGULER</v>
          </cell>
          <cell r="G858" t="str">
            <v>REGULER</v>
          </cell>
          <cell r="H858" t="str">
            <v>REGULER</v>
          </cell>
          <cell r="I858" t="str">
            <v>REGULER</v>
          </cell>
          <cell r="J858" t="str">
            <v>REGULER</v>
          </cell>
          <cell r="K858" t="str">
            <v>REGULER</v>
          </cell>
          <cell r="L858" t="str">
            <v>REGULER</v>
          </cell>
          <cell r="M858">
            <v>14</v>
          </cell>
          <cell r="N858">
            <v>41</v>
          </cell>
          <cell r="O858">
            <v>40</v>
          </cell>
          <cell r="P858">
            <v>38</v>
          </cell>
          <cell r="Q858">
            <v>38</v>
          </cell>
          <cell r="R858">
            <v>37</v>
          </cell>
          <cell r="S858">
            <v>22</v>
          </cell>
          <cell r="T858">
            <v>230</v>
          </cell>
          <cell r="U858">
            <v>14</v>
          </cell>
          <cell r="V858">
            <v>41</v>
          </cell>
          <cell r="W858">
            <v>40</v>
          </cell>
          <cell r="X858">
            <v>38</v>
          </cell>
          <cell r="Y858">
            <v>38</v>
          </cell>
          <cell r="Z858">
            <v>37</v>
          </cell>
          <cell r="AA858">
            <v>22</v>
          </cell>
          <cell r="AB858">
            <v>230</v>
          </cell>
          <cell r="AC858">
            <v>0</v>
          </cell>
          <cell r="AD858" t="str">
            <v>TIDAK</v>
          </cell>
          <cell r="AE858" t="str">
            <v>TIDAK</v>
          </cell>
          <cell r="AF858">
            <v>230</v>
          </cell>
          <cell r="AG858">
            <v>3</v>
          </cell>
          <cell r="AH858" t="str">
            <v>SAPHIRE</v>
          </cell>
          <cell r="AI858">
            <v>200</v>
          </cell>
          <cell r="AJ858" t="str">
            <v>Y</v>
          </cell>
          <cell r="AK858">
            <v>0</v>
          </cell>
          <cell r="AL858">
            <v>45261</v>
          </cell>
          <cell r="AM858">
            <v>45701</v>
          </cell>
          <cell r="AN858">
            <v>1</v>
          </cell>
          <cell r="AO858">
            <v>30</v>
          </cell>
          <cell r="AP858" t="str">
            <v>-</v>
          </cell>
          <cell r="AQ858" t="str">
            <v>-</v>
          </cell>
          <cell r="AR858" t="str">
            <v>EKSKLUSIF</v>
          </cell>
          <cell r="AS858" t="str">
            <v>EKSKLUSIF</v>
          </cell>
          <cell r="AT858" t="str">
            <v>EKSKLUSIF</v>
          </cell>
          <cell r="AU858" t="str">
            <v>REGULER</v>
          </cell>
          <cell r="AV858" t="str">
            <v/>
          </cell>
          <cell r="AW858">
            <v>47</v>
          </cell>
          <cell r="AX858">
            <v>46</v>
          </cell>
          <cell r="AY858">
            <v>43</v>
          </cell>
          <cell r="AZ858">
            <v>50</v>
          </cell>
          <cell r="BA858">
            <v>41</v>
          </cell>
          <cell r="BB858">
            <v>47</v>
          </cell>
          <cell r="BC858">
            <v>46</v>
          </cell>
          <cell r="BD858">
            <v>43</v>
          </cell>
          <cell r="BE858">
            <v>50</v>
          </cell>
          <cell r="BF858">
            <v>41</v>
          </cell>
          <cell r="BG858">
            <v>20</v>
          </cell>
          <cell r="BH858">
            <v>47</v>
          </cell>
          <cell r="BI858">
            <v>46</v>
          </cell>
          <cell r="BJ858">
            <v>43</v>
          </cell>
          <cell r="BK858">
            <v>50</v>
          </cell>
          <cell r="BL858">
            <v>41</v>
          </cell>
          <cell r="BM858">
            <v>18</v>
          </cell>
          <cell r="BN858">
            <v>265</v>
          </cell>
          <cell r="BO858">
            <v>20</v>
          </cell>
          <cell r="BP858">
            <v>47</v>
          </cell>
          <cell r="BQ858">
            <v>0</v>
          </cell>
          <cell r="BR858">
            <v>0</v>
          </cell>
          <cell r="BS858">
            <v>0</v>
          </cell>
          <cell r="BT858">
            <v>41</v>
          </cell>
          <cell r="BU858">
            <v>18</v>
          </cell>
          <cell r="BV858">
            <v>126</v>
          </cell>
          <cell r="BW858">
            <v>0</v>
          </cell>
          <cell r="BX858" t="str">
            <v>TIDAK</v>
          </cell>
          <cell r="BY858" t="str">
            <v>TIDAK</v>
          </cell>
        </row>
        <row r="859">
          <cell r="A859" t="str">
            <v>A2483</v>
          </cell>
          <cell r="B859" t="str">
            <v>Gracesella Hardiyanti</v>
          </cell>
          <cell r="C859" t="str">
            <v>TEMA C2</v>
          </cell>
          <cell r="D859">
            <v>45093</v>
          </cell>
          <cell r="E859" t="str">
            <v>Jun-23</v>
          </cell>
          <cell r="F859" t="str">
            <v>REGULER</v>
          </cell>
          <cell r="G859" t="str">
            <v>REGULER</v>
          </cell>
          <cell r="H859" t="str">
            <v>-</v>
          </cell>
          <cell r="I859" t="str">
            <v>-</v>
          </cell>
          <cell r="J859" t="str">
            <v>-</v>
          </cell>
          <cell r="K859" t="str">
            <v>-</v>
          </cell>
          <cell r="L859" t="str">
            <v>-</v>
          </cell>
          <cell r="M859">
            <v>17</v>
          </cell>
          <cell r="N859">
            <v>12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 t="str">
            <v/>
          </cell>
          <cell r="T859">
            <v>29</v>
          </cell>
          <cell r="U859">
            <v>17</v>
          </cell>
          <cell r="V859">
            <v>12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 t="str">
            <v/>
          </cell>
          <cell r="AB859">
            <v>29</v>
          </cell>
          <cell r="AC859">
            <v>5</v>
          </cell>
          <cell r="AD859" t="str">
            <v>DOWNGRADE</v>
          </cell>
          <cell r="AE859" t="str">
            <v>RESET</v>
          </cell>
          <cell r="AF859">
            <v>0</v>
          </cell>
          <cell r="AG859">
            <v>3</v>
          </cell>
          <cell r="AH859" t="str">
            <v>SAPHIRE</v>
          </cell>
          <cell r="AI859">
            <v>0</v>
          </cell>
          <cell r="AJ859" t="str">
            <v>FALSE</v>
          </cell>
          <cell r="AK859">
            <v>0</v>
          </cell>
          <cell r="AL859">
            <v>45261</v>
          </cell>
          <cell r="AM859">
            <v>45701</v>
          </cell>
          <cell r="AN859">
            <v>1</v>
          </cell>
          <cell r="AO859">
            <v>0</v>
          </cell>
          <cell r="AP859" t="str">
            <v>-</v>
          </cell>
          <cell r="AQ859" t="str">
            <v>-</v>
          </cell>
          <cell r="AR859" t="str">
            <v>-</v>
          </cell>
          <cell r="AS859" t="str">
            <v>-</v>
          </cell>
          <cell r="AT859" t="str">
            <v>-</v>
          </cell>
          <cell r="AU859" t="str">
            <v>-</v>
          </cell>
          <cell r="AV859" t="str">
            <v/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 t="str">
            <v/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 t="str">
            <v/>
          </cell>
          <cell r="BN859">
            <v>0</v>
          </cell>
          <cell r="BO859" t="str">
            <v/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 t="str">
            <v/>
          </cell>
          <cell r="BV859">
            <v>0</v>
          </cell>
          <cell r="BW859">
            <v>7</v>
          </cell>
          <cell r="BX859" t="str">
            <v>DOWNGRADE</v>
          </cell>
          <cell r="BY859" t="str">
            <v>RESET</v>
          </cell>
        </row>
        <row r="860">
          <cell r="A860" t="str">
            <v>A3980</v>
          </cell>
          <cell r="B860" t="str">
            <v>Grisela</v>
          </cell>
          <cell r="C860" t="str">
            <v>TEMA C2</v>
          </cell>
          <cell r="D860">
            <v>45395</v>
          </cell>
          <cell r="E860" t="str">
            <v>Apr-24</v>
          </cell>
          <cell r="F860" t="str">
            <v>-</v>
          </cell>
          <cell r="G860" t="str">
            <v>-</v>
          </cell>
          <cell r="H860" t="str">
            <v>-</v>
          </cell>
          <cell r="I860" t="str">
            <v>-</v>
          </cell>
          <cell r="J860" t="str">
            <v>REGULER</v>
          </cell>
          <cell r="K860" t="str">
            <v>REGULER</v>
          </cell>
          <cell r="L860" t="str">
            <v>-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20</v>
          </cell>
          <cell r="R860">
            <v>1</v>
          </cell>
          <cell r="S860" t="str">
            <v/>
          </cell>
          <cell r="T860">
            <v>21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20</v>
          </cell>
          <cell r="Z860">
            <v>1</v>
          </cell>
          <cell r="AA860" t="str">
            <v/>
          </cell>
          <cell r="AB860">
            <v>21</v>
          </cell>
          <cell r="AC860">
            <v>1</v>
          </cell>
          <cell r="AD860" t="str">
            <v>TIDAK</v>
          </cell>
          <cell r="AE860" t="str">
            <v>TIDAK</v>
          </cell>
          <cell r="AF860">
            <v>21</v>
          </cell>
          <cell r="AG860">
            <v>1</v>
          </cell>
          <cell r="AH860" t="str">
            <v>SAPHIRE</v>
          </cell>
          <cell r="AI860">
            <v>0</v>
          </cell>
          <cell r="AJ860" t="str">
            <v>FALSE</v>
          </cell>
          <cell r="AK860">
            <v>0</v>
          </cell>
          <cell r="AL860">
            <v>45261</v>
          </cell>
          <cell r="AM860">
            <v>45701</v>
          </cell>
          <cell r="AN860">
            <v>1</v>
          </cell>
          <cell r="AO860">
            <v>21</v>
          </cell>
          <cell r="AP860" t="str">
            <v>-</v>
          </cell>
          <cell r="AQ860" t="str">
            <v>-</v>
          </cell>
          <cell r="AR860" t="str">
            <v>-</v>
          </cell>
          <cell r="AS860" t="str">
            <v>-</v>
          </cell>
          <cell r="AT860" t="str">
            <v>-</v>
          </cell>
          <cell r="AU860" t="str">
            <v>-</v>
          </cell>
          <cell r="AV860" t="str">
            <v/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 t="str">
            <v/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 t="str">
            <v/>
          </cell>
          <cell r="BN860">
            <v>0</v>
          </cell>
          <cell r="BO860" t="str">
            <v/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 t="str">
            <v/>
          </cell>
          <cell r="BV860">
            <v>0</v>
          </cell>
          <cell r="BW860">
            <v>7</v>
          </cell>
          <cell r="BX860" t="str">
            <v>DOWNGRADE</v>
          </cell>
          <cell r="BY860" t="str">
            <v>RESET</v>
          </cell>
        </row>
        <row r="861">
          <cell r="A861" t="str">
            <v>A3065</v>
          </cell>
          <cell r="B861" t="str">
            <v>Gwyneth Mandala</v>
          </cell>
          <cell r="C861" t="str">
            <v>TEMA C2</v>
          </cell>
          <cell r="D861">
            <v>45210</v>
          </cell>
          <cell r="E861" t="str">
            <v>Oct-23</v>
          </cell>
          <cell r="F861" t="str">
            <v>REGULER</v>
          </cell>
          <cell r="G861" t="str">
            <v>REGULER</v>
          </cell>
          <cell r="H861" t="str">
            <v>EKSKLUSIF</v>
          </cell>
          <cell r="I861" t="str">
            <v>REGULER</v>
          </cell>
          <cell r="J861" t="str">
            <v>-</v>
          </cell>
          <cell r="K861" t="str">
            <v>-</v>
          </cell>
          <cell r="L861" t="str">
            <v>-</v>
          </cell>
          <cell r="M861">
            <v>5</v>
          </cell>
          <cell r="N861">
            <v>30</v>
          </cell>
          <cell r="O861">
            <v>37</v>
          </cell>
          <cell r="P861">
            <v>18</v>
          </cell>
          <cell r="Q861">
            <v>0</v>
          </cell>
          <cell r="R861">
            <v>0</v>
          </cell>
          <cell r="S861" t="str">
            <v/>
          </cell>
          <cell r="T861">
            <v>90</v>
          </cell>
          <cell r="U861">
            <v>5</v>
          </cell>
          <cell r="V861">
            <v>30</v>
          </cell>
          <cell r="W861">
            <v>0</v>
          </cell>
          <cell r="X861">
            <v>18</v>
          </cell>
          <cell r="Y861">
            <v>0</v>
          </cell>
          <cell r="Z861">
            <v>0</v>
          </cell>
          <cell r="AA861" t="str">
            <v/>
          </cell>
          <cell r="AB861">
            <v>53</v>
          </cell>
          <cell r="AC861">
            <v>3</v>
          </cell>
          <cell r="AD861" t="str">
            <v>DOWNGRADE</v>
          </cell>
          <cell r="AE861" t="str">
            <v>RESET</v>
          </cell>
          <cell r="AF861">
            <v>0</v>
          </cell>
          <cell r="AG861">
            <v>2</v>
          </cell>
          <cell r="AH861" t="str">
            <v>SAPHIRE</v>
          </cell>
          <cell r="AI861">
            <v>0</v>
          </cell>
          <cell r="AJ861" t="str">
            <v>FALSE</v>
          </cell>
          <cell r="AK861">
            <v>0</v>
          </cell>
          <cell r="AL861">
            <v>45261</v>
          </cell>
          <cell r="AM861">
            <v>45701</v>
          </cell>
          <cell r="AN861">
            <v>1</v>
          </cell>
          <cell r="AO861">
            <v>0</v>
          </cell>
          <cell r="AP861" t="str">
            <v>-</v>
          </cell>
          <cell r="AQ861" t="str">
            <v>-</v>
          </cell>
          <cell r="AR861" t="str">
            <v>-</v>
          </cell>
          <cell r="AS861" t="str">
            <v>-</v>
          </cell>
          <cell r="AT861" t="str">
            <v>-</v>
          </cell>
          <cell r="AU861" t="str">
            <v>-</v>
          </cell>
          <cell r="AV861" t="str">
            <v/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 t="str">
            <v/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 t="str">
            <v/>
          </cell>
          <cell r="BN861">
            <v>0</v>
          </cell>
          <cell r="BO861" t="str">
            <v/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 t="str">
            <v/>
          </cell>
          <cell r="BV861">
            <v>0</v>
          </cell>
          <cell r="BW861">
            <v>7</v>
          </cell>
          <cell r="BX861" t="str">
            <v>DOWNGRADE</v>
          </cell>
          <cell r="BY861" t="str">
            <v>RESET</v>
          </cell>
        </row>
        <row r="862">
          <cell r="A862" t="str">
            <v>A3210</v>
          </cell>
          <cell r="B862" t="str">
            <v>Hafidz Hilmy</v>
          </cell>
          <cell r="C862" t="str">
            <v>TEMA C2</v>
          </cell>
          <cell r="D862">
            <v>45232</v>
          </cell>
          <cell r="E862" t="str">
            <v>Nov-23</v>
          </cell>
          <cell r="F862" t="str">
            <v>REGULER</v>
          </cell>
          <cell r="G862" t="str">
            <v>REGULER</v>
          </cell>
          <cell r="H862" t="str">
            <v>REGULER</v>
          </cell>
          <cell r="I862" t="str">
            <v>REGULER</v>
          </cell>
          <cell r="J862" t="str">
            <v>REGULER</v>
          </cell>
          <cell r="K862" t="str">
            <v>EKSKLUSIF</v>
          </cell>
          <cell r="L862" t="str">
            <v>REGULER</v>
          </cell>
          <cell r="M862">
            <v>13</v>
          </cell>
          <cell r="N862">
            <v>36</v>
          </cell>
          <cell r="O862">
            <v>29</v>
          </cell>
          <cell r="P862">
            <v>13</v>
          </cell>
          <cell r="Q862">
            <v>17</v>
          </cell>
          <cell r="R862">
            <v>39</v>
          </cell>
          <cell r="S862">
            <v>19</v>
          </cell>
          <cell r="T862">
            <v>166</v>
          </cell>
          <cell r="U862">
            <v>13</v>
          </cell>
          <cell r="V862">
            <v>36</v>
          </cell>
          <cell r="W862">
            <v>29</v>
          </cell>
          <cell r="X862">
            <v>13</v>
          </cell>
          <cell r="Y862">
            <v>17</v>
          </cell>
          <cell r="Z862">
            <v>0</v>
          </cell>
          <cell r="AA862">
            <v>19</v>
          </cell>
          <cell r="AB862">
            <v>127</v>
          </cell>
          <cell r="AC862">
            <v>0</v>
          </cell>
          <cell r="AD862" t="str">
            <v>TIDAK</v>
          </cell>
          <cell r="AE862" t="str">
            <v>TIDAK</v>
          </cell>
          <cell r="AF862">
            <v>127</v>
          </cell>
          <cell r="AG862">
            <v>1</v>
          </cell>
          <cell r="AH862" t="str">
            <v>SAPHIRE</v>
          </cell>
          <cell r="AI862">
            <v>0</v>
          </cell>
          <cell r="AJ862" t="str">
            <v>Y</v>
          </cell>
          <cell r="AK862">
            <v>0</v>
          </cell>
          <cell r="AL862">
            <v>45261</v>
          </cell>
          <cell r="AM862">
            <v>45701</v>
          </cell>
          <cell r="AN862">
            <v>1</v>
          </cell>
          <cell r="AO862">
            <v>127</v>
          </cell>
          <cell r="AP862" t="str">
            <v>-</v>
          </cell>
          <cell r="AQ862" t="str">
            <v>-</v>
          </cell>
          <cell r="AR862" t="str">
            <v>REGULER</v>
          </cell>
          <cell r="AS862" t="str">
            <v>REGULER</v>
          </cell>
          <cell r="AT862" t="str">
            <v>REGULER</v>
          </cell>
          <cell r="AU862" t="str">
            <v>REGULER</v>
          </cell>
          <cell r="AV862" t="str">
            <v/>
          </cell>
          <cell r="AW862">
            <v>13</v>
          </cell>
          <cell r="AX862">
            <v>5</v>
          </cell>
          <cell r="AY862">
            <v>27</v>
          </cell>
          <cell r="AZ862">
            <v>9</v>
          </cell>
          <cell r="BA862">
            <v>17</v>
          </cell>
          <cell r="BB862">
            <v>13</v>
          </cell>
          <cell r="BC862">
            <v>5</v>
          </cell>
          <cell r="BD862">
            <v>27</v>
          </cell>
          <cell r="BE862">
            <v>9</v>
          </cell>
          <cell r="BF862">
            <v>17</v>
          </cell>
          <cell r="BG862">
            <v>15</v>
          </cell>
          <cell r="BH862">
            <v>13</v>
          </cell>
          <cell r="BI862">
            <v>5</v>
          </cell>
          <cell r="BJ862">
            <v>27</v>
          </cell>
          <cell r="BK862">
            <v>9</v>
          </cell>
          <cell r="BL862">
            <v>17</v>
          </cell>
          <cell r="BM862">
            <v>13</v>
          </cell>
          <cell r="BN862">
            <v>99</v>
          </cell>
          <cell r="BO862">
            <v>15</v>
          </cell>
          <cell r="BP862">
            <v>13</v>
          </cell>
          <cell r="BQ862">
            <v>5</v>
          </cell>
          <cell r="BR862">
            <v>27</v>
          </cell>
          <cell r="BS862">
            <v>9</v>
          </cell>
          <cell r="BT862">
            <v>17</v>
          </cell>
          <cell r="BU862">
            <v>13</v>
          </cell>
          <cell r="BV862">
            <v>99</v>
          </cell>
          <cell r="BW862">
            <v>0</v>
          </cell>
          <cell r="BX862" t="str">
            <v>TIDAK</v>
          </cell>
          <cell r="BY862" t="str">
            <v>TIDAK</v>
          </cell>
        </row>
        <row r="863">
          <cell r="A863" t="str">
            <v>A3418</v>
          </cell>
          <cell r="B863" t="str">
            <v>Handono Lakstianto</v>
          </cell>
          <cell r="C863" t="str">
            <v>TEMA C2</v>
          </cell>
          <cell r="D863">
            <v>45262</v>
          </cell>
          <cell r="E863" t="str">
            <v>Dec-23</v>
          </cell>
          <cell r="F863" t="str">
            <v>REGULER</v>
          </cell>
          <cell r="G863" t="str">
            <v>REGULER</v>
          </cell>
          <cell r="H863" t="str">
            <v>-</v>
          </cell>
          <cell r="I863" t="str">
            <v>-</v>
          </cell>
          <cell r="J863" t="str">
            <v>-</v>
          </cell>
          <cell r="K863" t="str">
            <v>-</v>
          </cell>
          <cell r="L863" t="str">
            <v>-</v>
          </cell>
          <cell r="M863">
            <v>8</v>
          </cell>
          <cell r="N863">
            <v>5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 t="str">
            <v/>
          </cell>
          <cell r="T863">
            <v>13</v>
          </cell>
          <cell r="U863">
            <v>8</v>
          </cell>
          <cell r="V863">
            <v>5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 t="str">
            <v/>
          </cell>
          <cell r="AB863">
            <v>13</v>
          </cell>
          <cell r="AC863">
            <v>5</v>
          </cell>
          <cell r="AD863" t="str">
            <v>DOWNGRADE</v>
          </cell>
          <cell r="AE863" t="str">
            <v>RESET</v>
          </cell>
          <cell r="AF863">
            <v>0</v>
          </cell>
          <cell r="AG863">
            <v>3</v>
          </cell>
          <cell r="AH863" t="str">
            <v>SAPHIRE</v>
          </cell>
          <cell r="AI863">
            <v>0</v>
          </cell>
          <cell r="AJ863" t="str">
            <v>FALSE</v>
          </cell>
          <cell r="AK863">
            <v>0</v>
          </cell>
          <cell r="AL863">
            <v>45261</v>
          </cell>
          <cell r="AM863">
            <v>45701</v>
          </cell>
          <cell r="AN863">
            <v>1</v>
          </cell>
          <cell r="AO863">
            <v>0</v>
          </cell>
          <cell r="AP863" t="str">
            <v>-</v>
          </cell>
          <cell r="AQ863" t="str">
            <v>-</v>
          </cell>
          <cell r="AR863" t="str">
            <v>-</v>
          </cell>
          <cell r="AS863" t="str">
            <v>-</v>
          </cell>
          <cell r="AT863" t="str">
            <v>-</v>
          </cell>
          <cell r="AU863" t="str">
            <v>-</v>
          </cell>
          <cell r="AV863" t="str">
            <v/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 t="str">
            <v/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 t="str">
            <v/>
          </cell>
          <cell r="BN863">
            <v>0</v>
          </cell>
          <cell r="BO863" t="str">
            <v/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T863">
            <v>0</v>
          </cell>
          <cell r="BU863" t="str">
            <v/>
          </cell>
          <cell r="BV863">
            <v>0</v>
          </cell>
          <cell r="BW863">
            <v>7</v>
          </cell>
          <cell r="BX863" t="str">
            <v>DOWNGRADE</v>
          </cell>
          <cell r="BY863" t="str">
            <v>RESET</v>
          </cell>
        </row>
        <row r="864">
          <cell r="A864" t="str">
            <v>A0920</v>
          </cell>
          <cell r="B864" t="str">
            <v>Hangesti Retno Utari Utari</v>
          </cell>
          <cell r="C864" t="str">
            <v>TEMA C2</v>
          </cell>
          <cell r="D864">
            <v>44903</v>
          </cell>
          <cell r="E864" t="str">
            <v>Dec-22</v>
          </cell>
          <cell r="F864" t="str">
            <v>EKSKLUSIF</v>
          </cell>
          <cell r="G864" t="str">
            <v>EKSKLUSIF</v>
          </cell>
          <cell r="H864" t="str">
            <v>EKSKLUSIF</v>
          </cell>
          <cell r="I864" t="str">
            <v>EKSKLUSIF</v>
          </cell>
          <cell r="J864" t="str">
            <v>EKSKLUSIF</v>
          </cell>
          <cell r="K864" t="str">
            <v>EKSKLUSIF</v>
          </cell>
          <cell r="L864" t="str">
            <v>EKSKLUSIF</v>
          </cell>
          <cell r="M864">
            <v>21</v>
          </cell>
          <cell r="N864">
            <v>48</v>
          </cell>
          <cell r="O864">
            <v>41</v>
          </cell>
          <cell r="P864">
            <v>43</v>
          </cell>
          <cell r="Q864">
            <v>37</v>
          </cell>
          <cell r="R864">
            <v>43</v>
          </cell>
          <cell r="S864">
            <v>22</v>
          </cell>
          <cell r="T864">
            <v>255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 t="str">
            <v>TIDAK</v>
          </cell>
          <cell r="AE864" t="str">
            <v>TIDAK</v>
          </cell>
          <cell r="AF864">
            <v>0</v>
          </cell>
          <cell r="AG864">
            <v>3</v>
          </cell>
          <cell r="AH864" t="str">
            <v>SAPHIRE</v>
          </cell>
          <cell r="AI864">
            <v>0</v>
          </cell>
          <cell r="AJ864" t="str">
            <v>FALSE</v>
          </cell>
          <cell r="AK864">
            <v>0</v>
          </cell>
          <cell r="AL864">
            <v>45261</v>
          </cell>
          <cell r="AM864">
            <v>45701</v>
          </cell>
          <cell r="AN864">
            <v>1</v>
          </cell>
          <cell r="AO864">
            <v>0</v>
          </cell>
          <cell r="AP864" t="str">
            <v>EKSKLUSIF</v>
          </cell>
          <cell r="AQ864" t="str">
            <v>-</v>
          </cell>
          <cell r="AR864" t="str">
            <v>EKSKLUSIF</v>
          </cell>
          <cell r="AS864" t="str">
            <v>EKSKLUSIF</v>
          </cell>
          <cell r="AT864" t="str">
            <v>EKSKLUSIF</v>
          </cell>
          <cell r="AU864" t="str">
            <v>EKSKLUSIF</v>
          </cell>
          <cell r="AV864" t="str">
            <v/>
          </cell>
          <cell r="AW864">
            <v>49</v>
          </cell>
          <cell r="AX864">
            <v>48</v>
          </cell>
          <cell r="AY864">
            <v>44</v>
          </cell>
          <cell r="AZ864">
            <v>50</v>
          </cell>
          <cell r="BA864">
            <v>45</v>
          </cell>
          <cell r="BB864">
            <v>49</v>
          </cell>
          <cell r="BC864">
            <v>48</v>
          </cell>
          <cell r="BD864">
            <v>44</v>
          </cell>
          <cell r="BE864">
            <v>50</v>
          </cell>
          <cell r="BF864">
            <v>45</v>
          </cell>
          <cell r="BG864">
            <v>20</v>
          </cell>
          <cell r="BH864">
            <v>49</v>
          </cell>
          <cell r="BI864">
            <v>48</v>
          </cell>
          <cell r="BJ864">
            <v>44</v>
          </cell>
          <cell r="BK864">
            <v>50</v>
          </cell>
          <cell r="BL864">
            <v>45</v>
          </cell>
          <cell r="BM864">
            <v>22</v>
          </cell>
          <cell r="BN864">
            <v>278</v>
          </cell>
          <cell r="BO864">
            <v>0</v>
          </cell>
          <cell r="BP864">
            <v>49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22</v>
          </cell>
          <cell r="BV864">
            <v>71</v>
          </cell>
          <cell r="BW864">
            <v>0</v>
          </cell>
          <cell r="BX864" t="str">
            <v>TIDAK</v>
          </cell>
          <cell r="BY864" t="str">
            <v>TIDAK</v>
          </cell>
        </row>
        <row r="865">
          <cell r="A865" t="str">
            <v>A1305</v>
          </cell>
          <cell r="B865" t="str">
            <v>Hanifah Duwi Amalia</v>
          </cell>
          <cell r="C865" t="str">
            <v>TEMA C2</v>
          </cell>
          <cell r="D865">
            <v>44972</v>
          </cell>
          <cell r="E865" t="str">
            <v>Feb-23</v>
          </cell>
          <cell r="F865" t="str">
            <v>EKSKLUSIF</v>
          </cell>
          <cell r="G865" t="str">
            <v>REGULER</v>
          </cell>
          <cell r="H865" t="str">
            <v>EKSKLUSIF</v>
          </cell>
          <cell r="I865" t="str">
            <v>EKSKLUSIF</v>
          </cell>
          <cell r="J865" t="str">
            <v>EKSKLUSIF</v>
          </cell>
          <cell r="K865" t="str">
            <v>EKSKLUSIF</v>
          </cell>
          <cell r="L865" t="str">
            <v>EKSKLUSIF</v>
          </cell>
          <cell r="M865">
            <v>19</v>
          </cell>
          <cell r="N865">
            <v>37</v>
          </cell>
          <cell r="O865">
            <v>39</v>
          </cell>
          <cell r="P865">
            <v>42</v>
          </cell>
          <cell r="Q865">
            <v>36</v>
          </cell>
          <cell r="R865">
            <v>42</v>
          </cell>
          <cell r="S865">
            <v>22</v>
          </cell>
          <cell r="T865">
            <v>237</v>
          </cell>
          <cell r="U865">
            <v>0</v>
          </cell>
          <cell r="V865">
            <v>37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37</v>
          </cell>
          <cell r="AC865">
            <v>0</v>
          </cell>
          <cell r="AD865" t="str">
            <v>TIDAK</v>
          </cell>
          <cell r="AE865" t="str">
            <v>TIDAK</v>
          </cell>
          <cell r="AF865">
            <v>37</v>
          </cell>
          <cell r="AG865">
            <v>3</v>
          </cell>
          <cell r="AH865" t="str">
            <v>SAPHIRE</v>
          </cell>
          <cell r="AI865">
            <v>0</v>
          </cell>
          <cell r="AJ865" t="str">
            <v>FALSE</v>
          </cell>
          <cell r="AK865">
            <v>0</v>
          </cell>
          <cell r="AL865">
            <v>45261</v>
          </cell>
          <cell r="AM865">
            <v>45701</v>
          </cell>
          <cell r="AN865">
            <v>1</v>
          </cell>
          <cell r="AO865">
            <v>37</v>
          </cell>
          <cell r="AP865" t="str">
            <v>EKSKLUSIF</v>
          </cell>
          <cell r="AQ865" t="str">
            <v>-</v>
          </cell>
          <cell r="AR865" t="str">
            <v>REGULER</v>
          </cell>
          <cell r="AS865" t="str">
            <v>REGULER</v>
          </cell>
          <cell r="AT865" t="str">
            <v>REGULER</v>
          </cell>
          <cell r="AU865" t="str">
            <v>REGULER</v>
          </cell>
          <cell r="AV865" t="str">
            <v/>
          </cell>
          <cell r="AW865">
            <v>45</v>
          </cell>
          <cell r="AX865">
            <v>39</v>
          </cell>
          <cell r="AY865">
            <v>35</v>
          </cell>
          <cell r="AZ865">
            <v>38</v>
          </cell>
          <cell r="BA865">
            <v>31</v>
          </cell>
          <cell r="BB865">
            <v>45</v>
          </cell>
          <cell r="BC865">
            <v>39</v>
          </cell>
          <cell r="BD865">
            <v>35</v>
          </cell>
          <cell r="BE865">
            <v>38</v>
          </cell>
          <cell r="BF865">
            <v>31</v>
          </cell>
          <cell r="BG865">
            <v>19</v>
          </cell>
          <cell r="BH865">
            <v>45</v>
          </cell>
          <cell r="BI865">
            <v>39</v>
          </cell>
          <cell r="BJ865">
            <v>35</v>
          </cell>
          <cell r="BK865">
            <v>38</v>
          </cell>
          <cell r="BL865">
            <v>31</v>
          </cell>
          <cell r="BM865">
            <v>14</v>
          </cell>
          <cell r="BN865">
            <v>221</v>
          </cell>
          <cell r="BO865">
            <v>0</v>
          </cell>
          <cell r="BP865">
            <v>45</v>
          </cell>
          <cell r="BQ865">
            <v>39</v>
          </cell>
          <cell r="BR865">
            <v>35</v>
          </cell>
          <cell r="BS865">
            <v>38</v>
          </cell>
          <cell r="BT865">
            <v>31</v>
          </cell>
          <cell r="BU865">
            <v>14</v>
          </cell>
          <cell r="BV865">
            <v>202</v>
          </cell>
          <cell r="BW865">
            <v>0</v>
          </cell>
          <cell r="BX865" t="str">
            <v>TIDAK</v>
          </cell>
          <cell r="BY865" t="str">
            <v>TIDAK</v>
          </cell>
        </row>
        <row r="866">
          <cell r="A866" t="str">
            <v>A2757</v>
          </cell>
          <cell r="B866" t="str">
            <v>Hanna Mutisari Sitorus</v>
          </cell>
          <cell r="C866" t="str">
            <v>TEMA C2</v>
          </cell>
          <cell r="D866">
            <v>45157</v>
          </cell>
          <cell r="E866" t="str">
            <v>Aug-23</v>
          </cell>
          <cell r="F866" t="str">
            <v>REGULER</v>
          </cell>
          <cell r="G866" t="str">
            <v>REGULER</v>
          </cell>
          <cell r="H866" t="str">
            <v>REGULER</v>
          </cell>
          <cell r="I866" t="str">
            <v>REGULER</v>
          </cell>
          <cell r="J866" t="str">
            <v>-</v>
          </cell>
          <cell r="K866" t="str">
            <v>-</v>
          </cell>
          <cell r="L866" t="str">
            <v>-</v>
          </cell>
          <cell r="M866">
            <v>0</v>
          </cell>
          <cell r="N866">
            <v>36</v>
          </cell>
          <cell r="O866">
            <v>21</v>
          </cell>
          <cell r="P866">
            <v>3</v>
          </cell>
          <cell r="Q866">
            <v>0</v>
          </cell>
          <cell r="R866">
            <v>0</v>
          </cell>
          <cell r="S866" t="str">
            <v/>
          </cell>
          <cell r="T866">
            <v>60</v>
          </cell>
          <cell r="U866">
            <v>0</v>
          </cell>
          <cell r="V866">
            <v>36</v>
          </cell>
          <cell r="W866">
            <v>21</v>
          </cell>
          <cell r="X866">
            <v>3</v>
          </cell>
          <cell r="Y866">
            <v>0</v>
          </cell>
          <cell r="Z866">
            <v>0</v>
          </cell>
          <cell r="AA866" t="str">
            <v/>
          </cell>
          <cell r="AB866">
            <v>60</v>
          </cell>
          <cell r="AC866">
            <v>4</v>
          </cell>
          <cell r="AD866" t="str">
            <v>DOWNGRADE</v>
          </cell>
          <cell r="AE866" t="str">
            <v>RESET</v>
          </cell>
          <cell r="AF866">
            <v>0</v>
          </cell>
          <cell r="AG866">
            <v>1</v>
          </cell>
          <cell r="AH866" t="str">
            <v>SAPHIRE</v>
          </cell>
          <cell r="AI866">
            <v>0</v>
          </cell>
          <cell r="AJ866" t="str">
            <v>FALSE</v>
          </cell>
          <cell r="AK866">
            <v>0</v>
          </cell>
          <cell r="AL866">
            <v>45261</v>
          </cell>
          <cell r="AM866">
            <v>45701</v>
          </cell>
          <cell r="AN866">
            <v>1</v>
          </cell>
          <cell r="AO866">
            <v>0</v>
          </cell>
          <cell r="AP866" t="str">
            <v>-</v>
          </cell>
          <cell r="AQ866" t="str">
            <v>-</v>
          </cell>
          <cell r="AR866" t="str">
            <v>-</v>
          </cell>
          <cell r="AS866" t="str">
            <v>-</v>
          </cell>
          <cell r="AT866" t="str">
            <v>-</v>
          </cell>
          <cell r="AU866" t="str">
            <v>-</v>
          </cell>
          <cell r="AV866" t="str">
            <v/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 t="str">
            <v/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 t="str">
            <v/>
          </cell>
          <cell r="BN866">
            <v>0</v>
          </cell>
          <cell r="BO866" t="str">
            <v/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 t="str">
            <v/>
          </cell>
          <cell r="BV866">
            <v>0</v>
          </cell>
          <cell r="BW866">
            <v>7</v>
          </cell>
          <cell r="BX866" t="str">
            <v>DOWNGRADE</v>
          </cell>
          <cell r="BY866" t="str">
            <v>RESET</v>
          </cell>
        </row>
        <row r="867">
          <cell r="A867" t="str">
            <v>A1407</v>
          </cell>
          <cell r="B867" t="str">
            <v>Hardini Komalasari</v>
          </cell>
          <cell r="C867" t="str">
            <v>TEMA C2</v>
          </cell>
          <cell r="D867">
            <v>44972</v>
          </cell>
          <cell r="E867" t="str">
            <v>Feb-23</v>
          </cell>
          <cell r="F867" t="str">
            <v>EKSKLUSIF</v>
          </cell>
          <cell r="G867" t="str">
            <v>EKSKLUSIF</v>
          </cell>
          <cell r="H867" t="str">
            <v>EKSKLUSIF</v>
          </cell>
          <cell r="I867" t="str">
            <v>EKSKLUSIF</v>
          </cell>
          <cell r="J867" t="str">
            <v>EKSKLUSIF</v>
          </cell>
          <cell r="K867" t="str">
            <v>EKSKLUSIF</v>
          </cell>
          <cell r="L867" t="str">
            <v>EKSKLUSIF</v>
          </cell>
          <cell r="M867">
            <v>19</v>
          </cell>
          <cell r="N867">
            <v>46</v>
          </cell>
          <cell r="O867">
            <v>39</v>
          </cell>
          <cell r="P867">
            <v>40</v>
          </cell>
          <cell r="Q867">
            <v>36</v>
          </cell>
          <cell r="R867">
            <v>41</v>
          </cell>
          <cell r="S867">
            <v>21</v>
          </cell>
          <cell r="T867">
            <v>242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 t="str">
            <v>TIDAK</v>
          </cell>
          <cell r="AE867" t="str">
            <v>TIDAK</v>
          </cell>
          <cell r="AF867">
            <v>0</v>
          </cell>
          <cell r="AG867">
            <v>2</v>
          </cell>
          <cell r="AH867" t="str">
            <v>SAPHIRE</v>
          </cell>
          <cell r="AI867">
            <v>0</v>
          </cell>
          <cell r="AJ867" t="str">
            <v>FALSE</v>
          </cell>
          <cell r="AK867">
            <v>0</v>
          </cell>
          <cell r="AL867">
            <v>45261</v>
          </cell>
          <cell r="AM867">
            <v>45701</v>
          </cell>
          <cell r="AN867">
            <v>1</v>
          </cell>
          <cell r="AO867">
            <v>0</v>
          </cell>
          <cell r="AP867" t="str">
            <v>EKSKLUSIF</v>
          </cell>
          <cell r="AQ867" t="str">
            <v>-</v>
          </cell>
          <cell r="AR867" t="str">
            <v>EKSKLUSIF</v>
          </cell>
          <cell r="AS867" t="str">
            <v>EKSKLUSIF</v>
          </cell>
          <cell r="AT867" t="str">
            <v>EKSKLUSIF</v>
          </cell>
          <cell r="AU867" t="str">
            <v>EKSKLUSIF</v>
          </cell>
          <cell r="AV867" t="str">
            <v/>
          </cell>
          <cell r="AW867">
            <v>48</v>
          </cell>
          <cell r="AX867">
            <v>47</v>
          </cell>
          <cell r="AY867">
            <v>44</v>
          </cell>
          <cell r="AZ867">
            <v>48</v>
          </cell>
          <cell r="BA867">
            <v>44</v>
          </cell>
          <cell r="BB867">
            <v>48</v>
          </cell>
          <cell r="BC867">
            <v>47</v>
          </cell>
          <cell r="BD867">
            <v>44</v>
          </cell>
          <cell r="BE867">
            <v>48</v>
          </cell>
          <cell r="BF867">
            <v>44</v>
          </cell>
          <cell r="BG867">
            <v>18</v>
          </cell>
          <cell r="BH867">
            <v>48</v>
          </cell>
          <cell r="BI867">
            <v>47</v>
          </cell>
          <cell r="BJ867">
            <v>44</v>
          </cell>
          <cell r="BK867">
            <v>48</v>
          </cell>
          <cell r="BL867">
            <v>44</v>
          </cell>
          <cell r="BM867">
            <v>22</v>
          </cell>
          <cell r="BN867">
            <v>271</v>
          </cell>
          <cell r="BO867">
            <v>0</v>
          </cell>
          <cell r="BP867">
            <v>48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22</v>
          </cell>
          <cell r="BV867">
            <v>70</v>
          </cell>
          <cell r="BW867">
            <v>0</v>
          </cell>
          <cell r="BX867" t="str">
            <v>TIDAK</v>
          </cell>
          <cell r="BY867" t="str">
            <v>TIDAK</v>
          </cell>
        </row>
        <row r="868">
          <cell r="A868" t="str">
            <v>A2206</v>
          </cell>
          <cell r="B868" t="str">
            <v xml:space="preserve">Hary Yan Sebastian </v>
          </cell>
          <cell r="C868" t="str">
            <v>TEMA C2</v>
          </cell>
          <cell r="D868">
            <v>45050</v>
          </cell>
          <cell r="E868" t="str">
            <v>May-23</v>
          </cell>
          <cell r="F868" t="str">
            <v>REGULER</v>
          </cell>
          <cell r="G868" t="str">
            <v>REGULER</v>
          </cell>
          <cell r="H868" t="str">
            <v>REGULER</v>
          </cell>
          <cell r="I868" t="str">
            <v>-</v>
          </cell>
          <cell r="J868" t="str">
            <v>-</v>
          </cell>
          <cell r="K868" t="str">
            <v>-</v>
          </cell>
          <cell r="L868" t="str">
            <v>-</v>
          </cell>
          <cell r="M868">
            <v>5</v>
          </cell>
          <cell r="N868">
            <v>14</v>
          </cell>
          <cell r="O868">
            <v>3</v>
          </cell>
          <cell r="P868">
            <v>0</v>
          </cell>
          <cell r="Q868">
            <v>0</v>
          </cell>
          <cell r="R868">
            <v>0</v>
          </cell>
          <cell r="S868" t="str">
            <v/>
          </cell>
          <cell r="T868">
            <v>22</v>
          </cell>
          <cell r="U868">
            <v>5</v>
          </cell>
          <cell r="V868">
            <v>14</v>
          </cell>
          <cell r="W868">
            <v>3</v>
          </cell>
          <cell r="X868">
            <v>0</v>
          </cell>
          <cell r="Y868">
            <v>0</v>
          </cell>
          <cell r="Z868">
            <v>0</v>
          </cell>
          <cell r="AA868" t="str">
            <v/>
          </cell>
          <cell r="AB868">
            <v>22</v>
          </cell>
          <cell r="AC868">
            <v>4</v>
          </cell>
          <cell r="AD868" t="str">
            <v>DOWNGRADE</v>
          </cell>
          <cell r="AE868" t="str">
            <v>RESET</v>
          </cell>
          <cell r="AF868">
            <v>0</v>
          </cell>
          <cell r="AG868">
            <v>2</v>
          </cell>
          <cell r="AH868" t="str">
            <v>SAPHIRE</v>
          </cell>
          <cell r="AI868">
            <v>0</v>
          </cell>
          <cell r="AJ868" t="str">
            <v>FALSE</v>
          </cell>
          <cell r="AK868">
            <v>0</v>
          </cell>
          <cell r="AL868">
            <v>45261</v>
          </cell>
          <cell r="AM868">
            <v>45701</v>
          </cell>
          <cell r="AN868">
            <v>1</v>
          </cell>
          <cell r="AO868">
            <v>0</v>
          </cell>
          <cell r="AP868" t="str">
            <v>-</v>
          </cell>
          <cell r="AQ868" t="str">
            <v>-</v>
          </cell>
          <cell r="AR868" t="str">
            <v>-</v>
          </cell>
          <cell r="AS868" t="str">
            <v>-</v>
          </cell>
          <cell r="AT868" t="str">
            <v>-</v>
          </cell>
          <cell r="AU868" t="str">
            <v>-</v>
          </cell>
          <cell r="AV868" t="str">
            <v/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 t="str">
            <v/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 t="str">
            <v/>
          </cell>
          <cell r="BN868">
            <v>0</v>
          </cell>
          <cell r="BO868" t="str">
            <v/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 t="str">
            <v/>
          </cell>
          <cell r="BV868">
            <v>0</v>
          </cell>
          <cell r="BW868">
            <v>7</v>
          </cell>
          <cell r="BX868" t="str">
            <v>DOWNGRADE</v>
          </cell>
          <cell r="BY868" t="str">
            <v>RESET</v>
          </cell>
        </row>
        <row r="869">
          <cell r="A869" t="str">
            <v>A3244</v>
          </cell>
          <cell r="B869" t="str">
            <v>Hasna Asmaraningthyas</v>
          </cell>
          <cell r="C869" t="str">
            <v>TEMA C2</v>
          </cell>
          <cell r="D869">
            <v>45241</v>
          </cell>
          <cell r="E869" t="str">
            <v>Nov-23</v>
          </cell>
          <cell r="F869" t="str">
            <v>REGULER</v>
          </cell>
          <cell r="G869" t="str">
            <v>REGULER</v>
          </cell>
          <cell r="H869" t="str">
            <v>-</v>
          </cell>
          <cell r="I869" t="str">
            <v>-</v>
          </cell>
          <cell r="J869" t="str">
            <v>-</v>
          </cell>
          <cell r="K869" t="str">
            <v>-</v>
          </cell>
          <cell r="L869" t="str">
            <v>-</v>
          </cell>
          <cell r="M869">
            <v>2</v>
          </cell>
          <cell r="N869">
            <v>6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 t="str">
            <v/>
          </cell>
          <cell r="T869">
            <v>8</v>
          </cell>
          <cell r="U869">
            <v>2</v>
          </cell>
          <cell r="V869">
            <v>6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 t="str">
            <v/>
          </cell>
          <cell r="AB869">
            <v>8</v>
          </cell>
          <cell r="AC869">
            <v>5</v>
          </cell>
          <cell r="AD869" t="str">
            <v>DOWNGRADE</v>
          </cell>
          <cell r="AE869" t="str">
            <v>RESET</v>
          </cell>
          <cell r="AF869">
            <v>0</v>
          </cell>
          <cell r="AG869">
            <v>1</v>
          </cell>
          <cell r="AH869" t="str">
            <v>SAPHIRE</v>
          </cell>
          <cell r="AI869">
            <v>0</v>
          </cell>
          <cell r="AJ869" t="str">
            <v>FALSE</v>
          </cell>
          <cell r="AK869">
            <v>0</v>
          </cell>
          <cell r="AL869">
            <v>45261</v>
          </cell>
          <cell r="AM869">
            <v>45701</v>
          </cell>
          <cell r="AN869">
            <v>1</v>
          </cell>
          <cell r="AO869">
            <v>0</v>
          </cell>
          <cell r="AP869" t="str">
            <v>-</v>
          </cell>
          <cell r="AQ869" t="str">
            <v>-</v>
          </cell>
          <cell r="AR869" t="str">
            <v>-</v>
          </cell>
          <cell r="AS869" t="str">
            <v>-</v>
          </cell>
          <cell r="AT869" t="str">
            <v>-</v>
          </cell>
          <cell r="AU869" t="str">
            <v>-</v>
          </cell>
          <cell r="AV869" t="str">
            <v/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 t="str">
            <v/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 t="str">
            <v/>
          </cell>
          <cell r="BN869">
            <v>0</v>
          </cell>
          <cell r="BO869" t="str">
            <v/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 t="str">
            <v/>
          </cell>
          <cell r="BV869">
            <v>0</v>
          </cell>
          <cell r="BW869">
            <v>7</v>
          </cell>
          <cell r="BX869" t="str">
            <v>DOWNGRADE</v>
          </cell>
          <cell r="BY869" t="str">
            <v>RESET</v>
          </cell>
        </row>
        <row r="870">
          <cell r="A870" t="str">
            <v>A3914</v>
          </cell>
          <cell r="B870" t="str">
            <v>HILARY RELITA VERTIKASARI SEKARNINGRUM</v>
          </cell>
          <cell r="C870" t="str">
            <v>TEMA C2</v>
          </cell>
          <cell r="D870">
            <v>45447</v>
          </cell>
          <cell r="E870" t="str">
            <v>Jun-24</v>
          </cell>
          <cell r="F870" t="str">
            <v>-</v>
          </cell>
          <cell r="G870" t="str">
            <v>-</v>
          </cell>
          <cell r="H870" t="str">
            <v>-</v>
          </cell>
          <cell r="I870" t="str">
            <v>-</v>
          </cell>
          <cell r="J870" t="str">
            <v>-</v>
          </cell>
          <cell r="K870" t="str">
            <v>-</v>
          </cell>
          <cell r="L870" t="str">
            <v>REGULER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6</v>
          </cell>
          <cell r="T870">
            <v>6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6</v>
          </cell>
          <cell r="AB870">
            <v>6</v>
          </cell>
          <cell r="AC870">
            <v>0</v>
          </cell>
          <cell r="AD870" t="str">
            <v>TIDAK</v>
          </cell>
          <cell r="AE870" t="str">
            <v>TIDAK</v>
          </cell>
          <cell r="AF870">
            <v>6</v>
          </cell>
          <cell r="AG870">
            <v>1</v>
          </cell>
          <cell r="AH870" t="str">
            <v>SAPHIRE</v>
          </cell>
          <cell r="AI870">
            <v>0</v>
          </cell>
          <cell r="AJ870" t="str">
            <v>FALSE</v>
          </cell>
          <cell r="AK870">
            <v>0</v>
          </cell>
          <cell r="AL870">
            <v>45261</v>
          </cell>
          <cell r="AM870">
            <v>45701</v>
          </cell>
          <cell r="AN870">
            <v>1</v>
          </cell>
          <cell r="AO870">
            <v>6</v>
          </cell>
          <cell r="AP870" t="str">
            <v>-</v>
          </cell>
          <cell r="AQ870" t="str">
            <v>-</v>
          </cell>
          <cell r="AR870" t="str">
            <v>REGULER</v>
          </cell>
          <cell r="AS870" t="str">
            <v>-</v>
          </cell>
          <cell r="AT870" t="str">
            <v>-</v>
          </cell>
          <cell r="AU870" t="str">
            <v>-</v>
          </cell>
          <cell r="AV870" t="str">
            <v/>
          </cell>
          <cell r="AW870">
            <v>12</v>
          </cell>
          <cell r="AX870">
            <v>7</v>
          </cell>
          <cell r="AY870">
            <v>0</v>
          </cell>
          <cell r="AZ870">
            <v>0</v>
          </cell>
          <cell r="BA870">
            <v>0</v>
          </cell>
          <cell r="BB870">
            <v>12</v>
          </cell>
          <cell r="BC870">
            <v>7</v>
          </cell>
          <cell r="BD870">
            <v>0</v>
          </cell>
          <cell r="BE870">
            <v>0</v>
          </cell>
          <cell r="BF870">
            <v>0</v>
          </cell>
          <cell r="BG870">
            <v>7</v>
          </cell>
          <cell r="BH870">
            <v>12</v>
          </cell>
          <cell r="BI870">
            <v>7</v>
          </cell>
          <cell r="BJ870">
            <v>0</v>
          </cell>
          <cell r="BK870">
            <v>0</v>
          </cell>
          <cell r="BL870">
            <v>0</v>
          </cell>
          <cell r="BM870" t="str">
            <v/>
          </cell>
          <cell r="BN870">
            <v>26</v>
          </cell>
          <cell r="BO870">
            <v>7</v>
          </cell>
          <cell r="BP870">
            <v>12</v>
          </cell>
          <cell r="BQ870">
            <v>7</v>
          </cell>
          <cell r="BR870">
            <v>0</v>
          </cell>
          <cell r="BS870">
            <v>0</v>
          </cell>
          <cell r="BT870">
            <v>0</v>
          </cell>
          <cell r="BU870" t="str">
            <v/>
          </cell>
          <cell r="BV870">
            <v>26</v>
          </cell>
          <cell r="BW870">
            <v>4</v>
          </cell>
          <cell r="BX870" t="str">
            <v>DOWNGRADE</v>
          </cell>
          <cell r="BY870" t="str">
            <v>RESET</v>
          </cell>
        </row>
        <row r="871">
          <cell r="A871" t="str">
            <v>A1251</v>
          </cell>
          <cell r="B871" t="str">
            <v>Hilda Musyayyadah</v>
          </cell>
          <cell r="C871" t="str">
            <v>TEMA C2</v>
          </cell>
          <cell r="D871">
            <v>44943</v>
          </cell>
          <cell r="E871" t="str">
            <v>Jan-23</v>
          </cell>
          <cell r="F871" t="str">
            <v>REGULER</v>
          </cell>
          <cell r="G871" t="str">
            <v>REGULER</v>
          </cell>
          <cell r="H871" t="str">
            <v>REGULER</v>
          </cell>
          <cell r="I871" t="str">
            <v>REGULER</v>
          </cell>
          <cell r="J871" t="str">
            <v>REGULER</v>
          </cell>
          <cell r="K871" t="str">
            <v>REGULER</v>
          </cell>
          <cell r="L871" t="str">
            <v>EKSKLUSIF</v>
          </cell>
          <cell r="M871">
            <v>19</v>
          </cell>
          <cell r="N871">
            <v>47</v>
          </cell>
          <cell r="O871">
            <v>33</v>
          </cell>
          <cell r="P871">
            <v>35</v>
          </cell>
          <cell r="Q871">
            <v>24</v>
          </cell>
          <cell r="R871">
            <v>38</v>
          </cell>
          <cell r="S871">
            <v>22</v>
          </cell>
          <cell r="T871">
            <v>218</v>
          </cell>
          <cell r="U871">
            <v>19</v>
          </cell>
          <cell r="V871">
            <v>47</v>
          </cell>
          <cell r="W871">
            <v>33</v>
          </cell>
          <cell r="X871">
            <v>35</v>
          </cell>
          <cell r="Y871">
            <v>24</v>
          </cell>
          <cell r="Z871">
            <v>38</v>
          </cell>
          <cell r="AA871">
            <v>0</v>
          </cell>
          <cell r="AB871">
            <v>196</v>
          </cell>
          <cell r="AC871">
            <v>0</v>
          </cell>
          <cell r="AD871" t="str">
            <v>TIDAK</v>
          </cell>
          <cell r="AE871" t="str">
            <v>TIDAK</v>
          </cell>
          <cell r="AF871">
            <v>196</v>
          </cell>
          <cell r="AG871">
            <v>2</v>
          </cell>
          <cell r="AH871" t="str">
            <v>SAPHIRE</v>
          </cell>
          <cell r="AI871">
            <v>135</v>
          </cell>
          <cell r="AJ871" t="str">
            <v>Y</v>
          </cell>
          <cell r="AK871">
            <v>0</v>
          </cell>
          <cell r="AL871">
            <v>45261</v>
          </cell>
          <cell r="AM871">
            <v>45701</v>
          </cell>
          <cell r="AN871">
            <v>1</v>
          </cell>
          <cell r="AO871">
            <v>61</v>
          </cell>
          <cell r="AP871" t="str">
            <v>EKSKLUSIF</v>
          </cell>
          <cell r="AQ871" t="str">
            <v>-</v>
          </cell>
          <cell r="AR871" t="str">
            <v>-</v>
          </cell>
          <cell r="AS871" t="str">
            <v>-</v>
          </cell>
          <cell r="AT871" t="str">
            <v>-</v>
          </cell>
          <cell r="AU871" t="str">
            <v>-</v>
          </cell>
          <cell r="AV871" t="str">
            <v/>
          </cell>
          <cell r="AW871">
            <v>4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4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16</v>
          </cell>
          <cell r="BH871">
            <v>4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 t="str">
            <v/>
          </cell>
          <cell r="BN871">
            <v>20</v>
          </cell>
          <cell r="BO871">
            <v>0</v>
          </cell>
          <cell r="BP871">
            <v>4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 t="str">
            <v/>
          </cell>
          <cell r="BV871">
            <v>4</v>
          </cell>
          <cell r="BW871">
            <v>5</v>
          </cell>
          <cell r="BX871" t="str">
            <v>DOWNGRADE</v>
          </cell>
          <cell r="BY871" t="str">
            <v>RESET</v>
          </cell>
        </row>
        <row r="872">
          <cell r="A872" t="str">
            <v>A0728</v>
          </cell>
          <cell r="B872" t="str">
            <v>Iftita Nahda Fadhila</v>
          </cell>
          <cell r="C872" t="str">
            <v>TEMA C2</v>
          </cell>
          <cell r="D872">
            <v>44986</v>
          </cell>
          <cell r="E872" t="str">
            <v>Mar-23</v>
          </cell>
          <cell r="F872" t="str">
            <v>REGULER</v>
          </cell>
          <cell r="G872" t="str">
            <v>REGULER</v>
          </cell>
          <cell r="H872" t="str">
            <v>REGULER</v>
          </cell>
          <cell r="I872" t="str">
            <v>REGULER</v>
          </cell>
          <cell r="J872" t="str">
            <v>REGULER</v>
          </cell>
          <cell r="K872" t="str">
            <v>REGULER</v>
          </cell>
          <cell r="L872" t="str">
            <v>REGULER</v>
          </cell>
          <cell r="M872">
            <v>17</v>
          </cell>
          <cell r="N872">
            <v>28</v>
          </cell>
          <cell r="O872">
            <v>13</v>
          </cell>
          <cell r="P872">
            <v>21</v>
          </cell>
          <cell r="Q872">
            <v>20</v>
          </cell>
          <cell r="R872">
            <v>20</v>
          </cell>
          <cell r="S872">
            <v>7</v>
          </cell>
          <cell r="T872">
            <v>126</v>
          </cell>
          <cell r="U872">
            <v>17</v>
          </cell>
          <cell r="V872">
            <v>28</v>
          </cell>
          <cell r="W872">
            <v>13</v>
          </cell>
          <cell r="X872">
            <v>21</v>
          </cell>
          <cell r="Y872">
            <v>20</v>
          </cell>
          <cell r="Z872">
            <v>20</v>
          </cell>
          <cell r="AA872">
            <v>7</v>
          </cell>
          <cell r="AB872">
            <v>126</v>
          </cell>
          <cell r="AC872">
            <v>0</v>
          </cell>
          <cell r="AD872" t="str">
            <v>TIDAK</v>
          </cell>
          <cell r="AE872" t="str">
            <v>TIDAK</v>
          </cell>
          <cell r="AF872">
            <v>126</v>
          </cell>
          <cell r="AG872">
            <v>2</v>
          </cell>
          <cell r="AH872" t="str">
            <v>SAPHIRE</v>
          </cell>
          <cell r="AI872">
            <v>0</v>
          </cell>
          <cell r="AJ872" t="str">
            <v>Y</v>
          </cell>
          <cell r="AK872">
            <v>0</v>
          </cell>
          <cell r="AL872">
            <v>45261</v>
          </cell>
          <cell r="AM872">
            <v>45701</v>
          </cell>
          <cell r="AN872">
            <v>1</v>
          </cell>
          <cell r="AO872">
            <v>126</v>
          </cell>
          <cell r="AP872" t="str">
            <v>-</v>
          </cell>
          <cell r="AQ872" t="str">
            <v>-</v>
          </cell>
          <cell r="AR872" t="str">
            <v>REGULER</v>
          </cell>
          <cell r="AS872" t="str">
            <v>-</v>
          </cell>
          <cell r="AT872" t="str">
            <v>-</v>
          </cell>
          <cell r="AU872" t="str">
            <v>-</v>
          </cell>
          <cell r="AV872" t="str">
            <v/>
          </cell>
          <cell r="AW872">
            <v>3</v>
          </cell>
          <cell r="AX872">
            <v>1</v>
          </cell>
          <cell r="AY872">
            <v>0</v>
          </cell>
          <cell r="AZ872">
            <v>0</v>
          </cell>
          <cell r="BA872">
            <v>0</v>
          </cell>
          <cell r="BB872">
            <v>3</v>
          </cell>
          <cell r="BC872">
            <v>1</v>
          </cell>
          <cell r="BD872">
            <v>0</v>
          </cell>
          <cell r="BE872">
            <v>0</v>
          </cell>
          <cell r="BF872">
            <v>0</v>
          </cell>
          <cell r="BG872">
            <v>6</v>
          </cell>
          <cell r="BH872">
            <v>3</v>
          </cell>
          <cell r="BI872">
            <v>1</v>
          </cell>
          <cell r="BJ872">
            <v>0</v>
          </cell>
          <cell r="BK872">
            <v>0</v>
          </cell>
          <cell r="BL872">
            <v>0</v>
          </cell>
          <cell r="BM872" t="str">
            <v/>
          </cell>
          <cell r="BN872">
            <v>10</v>
          </cell>
          <cell r="BO872">
            <v>6</v>
          </cell>
          <cell r="BP872">
            <v>3</v>
          </cell>
          <cell r="BQ872">
            <v>1</v>
          </cell>
          <cell r="BR872">
            <v>0</v>
          </cell>
          <cell r="BS872">
            <v>0</v>
          </cell>
          <cell r="BT872">
            <v>0</v>
          </cell>
          <cell r="BU872" t="str">
            <v/>
          </cell>
          <cell r="BV872">
            <v>10</v>
          </cell>
          <cell r="BW872">
            <v>4</v>
          </cell>
          <cell r="BX872" t="str">
            <v>DOWNGRADE</v>
          </cell>
          <cell r="BY872" t="str">
            <v>RESET</v>
          </cell>
        </row>
        <row r="873">
          <cell r="A873" t="str">
            <v>A3959</v>
          </cell>
          <cell r="B873" t="str">
            <v>Ignatius Surya Rahadi</v>
          </cell>
          <cell r="C873" t="str">
            <v>TEMA C2</v>
          </cell>
          <cell r="D873">
            <v>45381</v>
          </cell>
          <cell r="E873" t="str">
            <v>Mar-24</v>
          </cell>
          <cell r="F873" t="str">
            <v>-</v>
          </cell>
          <cell r="G873" t="str">
            <v>-</v>
          </cell>
          <cell r="H873" t="str">
            <v>-</v>
          </cell>
          <cell r="I873" t="str">
            <v>REGULER</v>
          </cell>
          <cell r="J873" t="str">
            <v>-</v>
          </cell>
          <cell r="K873" t="str">
            <v>-</v>
          </cell>
          <cell r="L873" t="str">
            <v>-</v>
          </cell>
          <cell r="M873">
            <v>0</v>
          </cell>
          <cell r="N873">
            <v>0</v>
          </cell>
          <cell r="O873">
            <v>0</v>
          </cell>
          <cell r="P873">
            <v>1</v>
          </cell>
          <cell r="Q873">
            <v>0</v>
          </cell>
          <cell r="R873">
            <v>0</v>
          </cell>
          <cell r="S873" t="str">
            <v/>
          </cell>
          <cell r="T873">
            <v>1</v>
          </cell>
          <cell r="U873">
            <v>0</v>
          </cell>
          <cell r="V873">
            <v>0</v>
          </cell>
          <cell r="W873">
            <v>0</v>
          </cell>
          <cell r="X873">
            <v>1</v>
          </cell>
          <cell r="Y873">
            <v>0</v>
          </cell>
          <cell r="Z873">
            <v>0</v>
          </cell>
          <cell r="AA873" t="str">
            <v/>
          </cell>
          <cell r="AB873">
            <v>1</v>
          </cell>
          <cell r="AC873">
            <v>3</v>
          </cell>
          <cell r="AD873" t="str">
            <v>DOWNGRADE</v>
          </cell>
          <cell r="AE873" t="str">
            <v>RESET</v>
          </cell>
          <cell r="AF873">
            <v>0</v>
          </cell>
          <cell r="AG873">
            <v>1</v>
          </cell>
          <cell r="AH873" t="str">
            <v>SAPHIRE</v>
          </cell>
          <cell r="AI873">
            <v>0</v>
          </cell>
          <cell r="AJ873" t="str">
            <v>FALSE</v>
          </cell>
          <cell r="AK873">
            <v>0</v>
          </cell>
          <cell r="AL873">
            <v>45261</v>
          </cell>
          <cell r="AM873">
            <v>45701</v>
          </cell>
          <cell r="AN873">
            <v>1</v>
          </cell>
          <cell r="AO873">
            <v>0</v>
          </cell>
          <cell r="AP873" t="str">
            <v>-</v>
          </cell>
          <cell r="AQ873" t="str">
            <v>-</v>
          </cell>
          <cell r="AR873" t="str">
            <v>-</v>
          </cell>
          <cell r="AS873" t="str">
            <v>-</v>
          </cell>
          <cell r="AT873" t="str">
            <v>-</v>
          </cell>
          <cell r="AU873" t="str">
            <v>-</v>
          </cell>
          <cell r="AV873" t="str">
            <v/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 t="str">
            <v/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 t="str">
            <v/>
          </cell>
          <cell r="BN873">
            <v>0</v>
          </cell>
          <cell r="BO873" t="str">
            <v/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 t="str">
            <v/>
          </cell>
          <cell r="BV873">
            <v>0</v>
          </cell>
          <cell r="BW873">
            <v>7</v>
          </cell>
          <cell r="BX873" t="str">
            <v>DOWNGRADE</v>
          </cell>
          <cell r="BY873" t="str">
            <v>RESET</v>
          </cell>
        </row>
        <row r="874">
          <cell r="A874" t="str">
            <v>A4106</v>
          </cell>
          <cell r="B874" t="str">
            <v>IIN LAILA ZAKIYATUNISA</v>
          </cell>
          <cell r="C874" t="str">
            <v>TEMA C2</v>
          </cell>
          <cell r="D874">
            <v>45456</v>
          </cell>
          <cell r="E874" t="str">
            <v>Jun-24</v>
          </cell>
          <cell r="F874" t="str">
            <v>-</v>
          </cell>
          <cell r="G874" t="str">
            <v>-</v>
          </cell>
          <cell r="H874" t="str">
            <v>-</v>
          </cell>
          <cell r="I874" t="str">
            <v>-</v>
          </cell>
          <cell r="J874" t="str">
            <v>-</v>
          </cell>
          <cell r="K874" t="str">
            <v>-</v>
          </cell>
          <cell r="L874" t="str">
            <v>REGULER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4</v>
          </cell>
          <cell r="T874">
            <v>4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4</v>
          </cell>
          <cell r="AB874">
            <v>4</v>
          </cell>
          <cell r="AC874">
            <v>0</v>
          </cell>
          <cell r="AD874" t="str">
            <v>TIDAK</v>
          </cell>
          <cell r="AE874" t="str">
            <v>TIDAK</v>
          </cell>
          <cell r="AF874">
            <v>4</v>
          </cell>
          <cell r="AG874">
            <v>1</v>
          </cell>
          <cell r="AH874" t="str">
            <v>SAPHIRE</v>
          </cell>
          <cell r="AI874">
            <v>0</v>
          </cell>
          <cell r="AJ874" t="str">
            <v>FALSE</v>
          </cell>
          <cell r="AK874">
            <v>0</v>
          </cell>
          <cell r="AL874">
            <v>45261</v>
          </cell>
          <cell r="AM874">
            <v>45701</v>
          </cell>
          <cell r="AN874">
            <v>1</v>
          </cell>
          <cell r="AO874">
            <v>4</v>
          </cell>
          <cell r="AP874" t="str">
            <v>-</v>
          </cell>
          <cell r="AQ874" t="str">
            <v>-</v>
          </cell>
          <cell r="AR874" t="str">
            <v>REGULER</v>
          </cell>
          <cell r="AS874" t="str">
            <v>-</v>
          </cell>
          <cell r="AT874" t="str">
            <v>-</v>
          </cell>
          <cell r="AU874" t="str">
            <v>-</v>
          </cell>
          <cell r="AV874" t="str">
            <v/>
          </cell>
          <cell r="AW874">
            <v>33</v>
          </cell>
          <cell r="AX874">
            <v>9</v>
          </cell>
          <cell r="AY874">
            <v>0</v>
          </cell>
          <cell r="AZ874">
            <v>0</v>
          </cell>
          <cell r="BA874">
            <v>0</v>
          </cell>
          <cell r="BB874">
            <v>33</v>
          </cell>
          <cell r="BC874">
            <v>9</v>
          </cell>
          <cell r="BD874">
            <v>0</v>
          </cell>
          <cell r="BE874">
            <v>0</v>
          </cell>
          <cell r="BF874">
            <v>0</v>
          </cell>
          <cell r="BG874">
            <v>20</v>
          </cell>
          <cell r="BH874">
            <v>33</v>
          </cell>
          <cell r="BI874">
            <v>9</v>
          </cell>
          <cell r="BJ874">
            <v>0</v>
          </cell>
          <cell r="BK874">
            <v>0</v>
          </cell>
          <cell r="BL874">
            <v>0</v>
          </cell>
          <cell r="BM874" t="str">
            <v/>
          </cell>
          <cell r="BN874">
            <v>62</v>
          </cell>
          <cell r="BO874">
            <v>20</v>
          </cell>
          <cell r="BP874">
            <v>33</v>
          </cell>
          <cell r="BQ874">
            <v>9</v>
          </cell>
          <cell r="BR874">
            <v>0</v>
          </cell>
          <cell r="BS874">
            <v>0</v>
          </cell>
          <cell r="BT874">
            <v>0</v>
          </cell>
          <cell r="BU874" t="str">
            <v/>
          </cell>
          <cell r="BV874">
            <v>62</v>
          </cell>
          <cell r="BW874">
            <v>4</v>
          </cell>
          <cell r="BX874" t="str">
            <v>DOWNGRADE</v>
          </cell>
          <cell r="BY874" t="str">
            <v>RESET</v>
          </cell>
        </row>
        <row r="875">
          <cell r="A875" t="str">
            <v>A0413</v>
          </cell>
          <cell r="B875" t="str">
            <v>Iin Nurinayah</v>
          </cell>
          <cell r="C875" t="str">
            <v>TEMA C2</v>
          </cell>
          <cell r="D875">
            <v>44921</v>
          </cell>
          <cell r="E875" t="str">
            <v>Dec-22</v>
          </cell>
          <cell r="F875" t="str">
            <v>REGULER</v>
          </cell>
          <cell r="G875" t="str">
            <v>REGULER</v>
          </cell>
          <cell r="H875" t="str">
            <v>REGULER</v>
          </cell>
          <cell r="I875" t="str">
            <v>REGULER</v>
          </cell>
          <cell r="J875" t="str">
            <v>REGULER</v>
          </cell>
          <cell r="K875" t="str">
            <v>REGULER</v>
          </cell>
          <cell r="L875" t="str">
            <v>REGULER</v>
          </cell>
          <cell r="M875">
            <v>17</v>
          </cell>
          <cell r="N875">
            <v>37</v>
          </cell>
          <cell r="O875">
            <v>35</v>
          </cell>
          <cell r="P875">
            <v>31</v>
          </cell>
          <cell r="Q875">
            <v>29</v>
          </cell>
          <cell r="R875">
            <v>24</v>
          </cell>
          <cell r="S875">
            <v>12</v>
          </cell>
          <cell r="T875">
            <v>185</v>
          </cell>
          <cell r="U875">
            <v>17</v>
          </cell>
          <cell r="V875">
            <v>37</v>
          </cell>
          <cell r="W875">
            <v>35</v>
          </cell>
          <cell r="X875">
            <v>31</v>
          </cell>
          <cell r="Y875">
            <v>29</v>
          </cell>
          <cell r="Z875">
            <v>24</v>
          </cell>
          <cell r="AA875">
            <v>12</v>
          </cell>
          <cell r="AB875">
            <v>185</v>
          </cell>
          <cell r="AC875">
            <v>0</v>
          </cell>
          <cell r="AD875" t="str">
            <v>TIDAK</v>
          </cell>
          <cell r="AE875" t="str">
            <v>TIDAK</v>
          </cell>
          <cell r="AF875">
            <v>185</v>
          </cell>
          <cell r="AG875">
            <v>3</v>
          </cell>
          <cell r="AH875" t="str">
            <v>SAPHIRE</v>
          </cell>
          <cell r="AI875">
            <v>0</v>
          </cell>
          <cell r="AJ875" t="str">
            <v>Y</v>
          </cell>
          <cell r="AK875">
            <v>0</v>
          </cell>
          <cell r="AL875">
            <v>45261</v>
          </cell>
          <cell r="AM875">
            <v>45701</v>
          </cell>
          <cell r="AN875">
            <v>1</v>
          </cell>
          <cell r="AO875">
            <v>185</v>
          </cell>
          <cell r="AP875" t="str">
            <v>-</v>
          </cell>
          <cell r="AQ875" t="str">
            <v>-</v>
          </cell>
          <cell r="AR875" t="str">
            <v>REGULER</v>
          </cell>
          <cell r="AS875" t="str">
            <v>-</v>
          </cell>
          <cell r="AT875" t="str">
            <v>-</v>
          </cell>
          <cell r="AU875" t="str">
            <v>-</v>
          </cell>
          <cell r="AV875" t="str">
            <v/>
          </cell>
          <cell r="AW875">
            <v>26</v>
          </cell>
          <cell r="AX875">
            <v>10</v>
          </cell>
          <cell r="AY875">
            <v>0</v>
          </cell>
          <cell r="AZ875">
            <v>0</v>
          </cell>
          <cell r="BA875">
            <v>0</v>
          </cell>
          <cell r="BB875">
            <v>26</v>
          </cell>
          <cell r="BC875">
            <v>10</v>
          </cell>
          <cell r="BD875">
            <v>0</v>
          </cell>
          <cell r="BE875">
            <v>0</v>
          </cell>
          <cell r="BF875">
            <v>0</v>
          </cell>
          <cell r="BG875">
            <v>12</v>
          </cell>
          <cell r="BH875">
            <v>26</v>
          </cell>
          <cell r="BI875">
            <v>10</v>
          </cell>
          <cell r="BJ875">
            <v>0</v>
          </cell>
          <cell r="BK875">
            <v>0</v>
          </cell>
          <cell r="BL875">
            <v>0</v>
          </cell>
          <cell r="BM875" t="str">
            <v/>
          </cell>
          <cell r="BN875">
            <v>48</v>
          </cell>
          <cell r="BO875">
            <v>12</v>
          </cell>
          <cell r="BP875">
            <v>26</v>
          </cell>
          <cell r="BQ875">
            <v>10</v>
          </cell>
          <cell r="BR875">
            <v>0</v>
          </cell>
          <cell r="BS875">
            <v>0</v>
          </cell>
          <cell r="BT875">
            <v>0</v>
          </cell>
          <cell r="BU875" t="str">
            <v/>
          </cell>
          <cell r="BV875">
            <v>48</v>
          </cell>
          <cell r="BW875">
            <v>4</v>
          </cell>
          <cell r="BX875" t="str">
            <v>DOWNGRADE</v>
          </cell>
          <cell r="BY875" t="str">
            <v>RESET</v>
          </cell>
        </row>
        <row r="876">
          <cell r="A876" t="str">
            <v>A4049</v>
          </cell>
          <cell r="B876" t="str">
            <v>IKA AYU PRATIWI</v>
          </cell>
          <cell r="C876" t="str">
            <v>TEMA C2</v>
          </cell>
          <cell r="D876">
            <v>45436</v>
          </cell>
          <cell r="E876" t="str">
            <v>May-24</v>
          </cell>
          <cell r="F876" t="str">
            <v>-</v>
          </cell>
          <cell r="G876" t="str">
            <v>-</v>
          </cell>
          <cell r="H876" t="str">
            <v>-</v>
          </cell>
          <cell r="I876" t="str">
            <v>-</v>
          </cell>
          <cell r="J876" t="str">
            <v>-</v>
          </cell>
          <cell r="K876" t="str">
            <v>REGULER</v>
          </cell>
          <cell r="L876" t="str">
            <v>REGULER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13</v>
          </cell>
          <cell r="S876">
            <v>21</v>
          </cell>
          <cell r="T876">
            <v>34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13</v>
          </cell>
          <cell r="AA876">
            <v>21</v>
          </cell>
          <cell r="AB876">
            <v>34</v>
          </cell>
          <cell r="AC876">
            <v>0</v>
          </cell>
          <cell r="AD876" t="str">
            <v>TIDAK</v>
          </cell>
          <cell r="AE876" t="str">
            <v>TIDAK</v>
          </cell>
          <cell r="AF876">
            <v>34</v>
          </cell>
          <cell r="AG876">
            <v>1</v>
          </cell>
          <cell r="AH876" t="str">
            <v>SAPHIRE</v>
          </cell>
          <cell r="AI876">
            <v>0</v>
          </cell>
          <cell r="AJ876" t="str">
            <v>FALSE</v>
          </cell>
          <cell r="AK876">
            <v>0</v>
          </cell>
          <cell r="AL876">
            <v>45261</v>
          </cell>
          <cell r="AM876">
            <v>45701</v>
          </cell>
          <cell r="AN876">
            <v>1</v>
          </cell>
          <cell r="AO876">
            <v>34</v>
          </cell>
          <cell r="AP876" t="str">
            <v>-</v>
          </cell>
          <cell r="AQ876" t="str">
            <v>-</v>
          </cell>
          <cell r="AR876" t="str">
            <v>EKSKLUSIF</v>
          </cell>
          <cell r="AS876" t="str">
            <v>EKSKLUSIF</v>
          </cell>
          <cell r="AT876" t="str">
            <v>REGULER</v>
          </cell>
          <cell r="AU876" t="str">
            <v>-</v>
          </cell>
          <cell r="AV876" t="str">
            <v/>
          </cell>
          <cell r="AW876">
            <v>49</v>
          </cell>
          <cell r="AX876">
            <v>47</v>
          </cell>
          <cell r="AY876">
            <v>39</v>
          </cell>
          <cell r="AZ876">
            <v>37</v>
          </cell>
          <cell r="BA876">
            <v>0</v>
          </cell>
          <cell r="BB876">
            <v>49</v>
          </cell>
          <cell r="BC876">
            <v>47</v>
          </cell>
          <cell r="BD876">
            <v>39</v>
          </cell>
          <cell r="BE876">
            <v>37</v>
          </cell>
          <cell r="BF876">
            <v>0</v>
          </cell>
          <cell r="BG876">
            <v>19</v>
          </cell>
          <cell r="BH876">
            <v>49</v>
          </cell>
          <cell r="BI876">
            <v>47</v>
          </cell>
          <cell r="BJ876">
            <v>39</v>
          </cell>
          <cell r="BK876">
            <v>37</v>
          </cell>
          <cell r="BL876">
            <v>0</v>
          </cell>
          <cell r="BM876" t="str">
            <v/>
          </cell>
          <cell r="BN876">
            <v>191</v>
          </cell>
          <cell r="BO876">
            <v>19</v>
          </cell>
          <cell r="BP876">
            <v>49</v>
          </cell>
          <cell r="BQ876">
            <v>0</v>
          </cell>
          <cell r="BR876">
            <v>0</v>
          </cell>
          <cell r="BS876">
            <v>37</v>
          </cell>
          <cell r="BT876">
            <v>0</v>
          </cell>
          <cell r="BU876" t="str">
            <v/>
          </cell>
          <cell r="BV876">
            <v>105</v>
          </cell>
          <cell r="BW876">
            <v>2</v>
          </cell>
          <cell r="BX876" t="str">
            <v>TIDAK</v>
          </cell>
          <cell r="BY876" t="str">
            <v>TIDAK</v>
          </cell>
        </row>
        <row r="877">
          <cell r="A877">
            <v>92265</v>
          </cell>
          <cell r="B877" t="str">
            <v>Ika Muzainatul Khasanah</v>
          </cell>
          <cell r="C877" t="str">
            <v>TEMA C2</v>
          </cell>
          <cell r="D877">
            <v>44663</v>
          </cell>
          <cell r="E877" t="str">
            <v>Apr-22</v>
          </cell>
          <cell r="F877" t="str">
            <v>REGULER</v>
          </cell>
          <cell r="G877" t="str">
            <v>REGULER</v>
          </cell>
          <cell r="H877" t="str">
            <v>REGULER</v>
          </cell>
          <cell r="I877" t="str">
            <v>REGULER</v>
          </cell>
          <cell r="J877" t="str">
            <v>REGULER</v>
          </cell>
          <cell r="K877" t="str">
            <v>REGULER</v>
          </cell>
          <cell r="L877" t="str">
            <v>REGULER</v>
          </cell>
          <cell r="M877">
            <v>16</v>
          </cell>
          <cell r="N877">
            <v>25</v>
          </cell>
          <cell r="O877">
            <v>25</v>
          </cell>
          <cell r="P877">
            <v>21</v>
          </cell>
          <cell r="Q877">
            <v>17</v>
          </cell>
          <cell r="R877">
            <v>16</v>
          </cell>
          <cell r="S877">
            <v>10</v>
          </cell>
          <cell r="T877">
            <v>130</v>
          </cell>
          <cell r="U877">
            <v>16</v>
          </cell>
          <cell r="V877">
            <v>25</v>
          </cell>
          <cell r="W877">
            <v>25</v>
          </cell>
          <cell r="X877">
            <v>21</v>
          </cell>
          <cell r="Y877">
            <v>17</v>
          </cell>
          <cell r="Z877">
            <v>16</v>
          </cell>
          <cell r="AA877">
            <v>10</v>
          </cell>
          <cell r="AB877">
            <v>130</v>
          </cell>
          <cell r="AC877">
            <v>0</v>
          </cell>
          <cell r="AD877" t="str">
            <v>TIDAK</v>
          </cell>
          <cell r="AE877" t="str">
            <v>TIDAK</v>
          </cell>
          <cell r="AF877">
            <v>130</v>
          </cell>
          <cell r="AG877">
            <v>1</v>
          </cell>
          <cell r="AH877" t="str">
            <v>SAPHIRE</v>
          </cell>
          <cell r="AI877">
            <v>0</v>
          </cell>
          <cell r="AJ877" t="str">
            <v>Y</v>
          </cell>
          <cell r="AK877">
            <v>0</v>
          </cell>
          <cell r="AL877">
            <v>45261</v>
          </cell>
          <cell r="AM877">
            <v>45701</v>
          </cell>
          <cell r="AN877">
            <v>1</v>
          </cell>
          <cell r="AO877">
            <v>130</v>
          </cell>
          <cell r="AP877" t="str">
            <v>-</v>
          </cell>
          <cell r="AQ877" t="str">
            <v>-</v>
          </cell>
          <cell r="AR877" t="str">
            <v>REGULER</v>
          </cell>
          <cell r="AS877" t="str">
            <v>REGULER</v>
          </cell>
          <cell r="AT877" t="str">
            <v>REGULER</v>
          </cell>
          <cell r="AU877" t="str">
            <v>REGULER</v>
          </cell>
          <cell r="AV877" t="str">
            <v/>
          </cell>
          <cell r="AW877">
            <v>21</v>
          </cell>
          <cell r="AX877">
            <v>23</v>
          </cell>
          <cell r="AY877">
            <v>18</v>
          </cell>
          <cell r="AZ877">
            <v>17</v>
          </cell>
          <cell r="BA877">
            <v>23</v>
          </cell>
          <cell r="BB877">
            <v>21</v>
          </cell>
          <cell r="BC877">
            <v>23</v>
          </cell>
          <cell r="BD877">
            <v>18</v>
          </cell>
          <cell r="BE877">
            <v>17</v>
          </cell>
          <cell r="BF877">
            <v>23</v>
          </cell>
          <cell r="BG877">
            <v>4</v>
          </cell>
          <cell r="BH877">
            <v>21</v>
          </cell>
          <cell r="BI877">
            <v>23</v>
          </cell>
          <cell r="BJ877">
            <v>18</v>
          </cell>
          <cell r="BK877">
            <v>17</v>
          </cell>
          <cell r="BL877">
            <v>23</v>
          </cell>
          <cell r="BM877">
            <v>6</v>
          </cell>
          <cell r="BN877">
            <v>112</v>
          </cell>
          <cell r="BO877">
            <v>4</v>
          </cell>
          <cell r="BP877">
            <v>21</v>
          </cell>
          <cell r="BQ877">
            <v>23</v>
          </cell>
          <cell r="BR877">
            <v>18</v>
          </cell>
          <cell r="BS877">
            <v>17</v>
          </cell>
          <cell r="BT877">
            <v>23</v>
          </cell>
          <cell r="BU877">
            <v>6</v>
          </cell>
          <cell r="BV877">
            <v>112</v>
          </cell>
          <cell r="BW877">
            <v>0</v>
          </cell>
          <cell r="BX877" t="str">
            <v>TIDAK</v>
          </cell>
          <cell r="BY877" t="str">
            <v>TIDAK</v>
          </cell>
        </row>
        <row r="878">
          <cell r="A878" t="str">
            <v>A3310</v>
          </cell>
          <cell r="B878" t="str">
            <v>Ika Safitri Wicaksono</v>
          </cell>
          <cell r="C878" t="str">
            <v>TEMA C2</v>
          </cell>
          <cell r="D878">
            <v>45245</v>
          </cell>
          <cell r="E878" t="str">
            <v>Nov-23</v>
          </cell>
          <cell r="F878" t="str">
            <v>REGULER</v>
          </cell>
          <cell r="G878" t="str">
            <v>REGULER</v>
          </cell>
          <cell r="H878" t="str">
            <v>REGULER</v>
          </cell>
          <cell r="I878" t="str">
            <v>REGULER</v>
          </cell>
          <cell r="J878" t="str">
            <v>REGULER</v>
          </cell>
          <cell r="K878" t="str">
            <v>-</v>
          </cell>
          <cell r="L878" t="str">
            <v>-</v>
          </cell>
          <cell r="M878">
            <v>3</v>
          </cell>
          <cell r="N878">
            <v>5</v>
          </cell>
          <cell r="O878">
            <v>26</v>
          </cell>
          <cell r="P878">
            <v>26</v>
          </cell>
          <cell r="Q878">
            <v>1</v>
          </cell>
          <cell r="R878">
            <v>0</v>
          </cell>
          <cell r="S878" t="str">
            <v/>
          </cell>
          <cell r="T878">
            <v>61</v>
          </cell>
          <cell r="U878">
            <v>3</v>
          </cell>
          <cell r="V878">
            <v>5</v>
          </cell>
          <cell r="W878">
            <v>26</v>
          </cell>
          <cell r="X878">
            <v>26</v>
          </cell>
          <cell r="Y878">
            <v>1</v>
          </cell>
          <cell r="Z878">
            <v>0</v>
          </cell>
          <cell r="AA878" t="str">
            <v/>
          </cell>
          <cell r="AB878">
            <v>61</v>
          </cell>
          <cell r="AC878">
            <v>2</v>
          </cell>
          <cell r="AD878" t="str">
            <v>TIDAK</v>
          </cell>
          <cell r="AE878" t="str">
            <v>TIDAK</v>
          </cell>
          <cell r="AF878">
            <v>61</v>
          </cell>
          <cell r="AG878">
            <v>1</v>
          </cell>
          <cell r="AH878" t="str">
            <v>SAPHIRE</v>
          </cell>
          <cell r="AI878">
            <v>0</v>
          </cell>
          <cell r="AJ878" t="str">
            <v>FALSE</v>
          </cell>
          <cell r="AK878">
            <v>0</v>
          </cell>
          <cell r="AL878">
            <v>45261</v>
          </cell>
          <cell r="AM878">
            <v>45701</v>
          </cell>
          <cell r="AN878">
            <v>1</v>
          </cell>
          <cell r="AO878">
            <v>61</v>
          </cell>
          <cell r="AP878" t="str">
            <v>-</v>
          </cell>
          <cell r="AQ878" t="str">
            <v>-</v>
          </cell>
          <cell r="AR878" t="str">
            <v>-</v>
          </cell>
          <cell r="AS878" t="str">
            <v>-</v>
          </cell>
          <cell r="AT878" t="str">
            <v>-</v>
          </cell>
          <cell r="AU878" t="str">
            <v>-</v>
          </cell>
          <cell r="AV878" t="str">
            <v/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 t="str">
            <v/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 t="str">
            <v/>
          </cell>
          <cell r="BN878">
            <v>0</v>
          </cell>
          <cell r="BO878" t="str">
            <v/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 t="str">
            <v/>
          </cell>
          <cell r="BV878">
            <v>0</v>
          </cell>
          <cell r="BW878">
            <v>7</v>
          </cell>
          <cell r="BX878" t="str">
            <v>DOWNGRADE</v>
          </cell>
          <cell r="BY878" t="str">
            <v>RESET</v>
          </cell>
        </row>
        <row r="879">
          <cell r="A879" t="str">
            <v>A3790</v>
          </cell>
          <cell r="B879" t="str">
            <v>Ilham Malik</v>
          </cell>
          <cell r="C879" t="str">
            <v>TEMA C2</v>
          </cell>
          <cell r="D879">
            <v>45351</v>
          </cell>
          <cell r="E879" t="str">
            <v>Feb-24</v>
          </cell>
          <cell r="F879" t="str">
            <v>-</v>
          </cell>
          <cell r="G879" t="str">
            <v>-</v>
          </cell>
          <cell r="H879" t="str">
            <v>REGULER</v>
          </cell>
          <cell r="I879" t="str">
            <v>REGULER</v>
          </cell>
          <cell r="J879" t="str">
            <v>REGULER</v>
          </cell>
          <cell r="K879" t="str">
            <v>-</v>
          </cell>
          <cell r="L879" t="str">
            <v>-</v>
          </cell>
          <cell r="M879">
            <v>0</v>
          </cell>
          <cell r="N879">
            <v>0</v>
          </cell>
          <cell r="O879">
            <v>1</v>
          </cell>
          <cell r="P879">
            <v>24</v>
          </cell>
          <cell r="Q879">
            <v>11</v>
          </cell>
          <cell r="R879">
            <v>0</v>
          </cell>
          <cell r="S879" t="str">
            <v/>
          </cell>
          <cell r="T879">
            <v>36</v>
          </cell>
          <cell r="U879">
            <v>0</v>
          </cell>
          <cell r="V879">
            <v>0</v>
          </cell>
          <cell r="W879">
            <v>1</v>
          </cell>
          <cell r="X879">
            <v>24</v>
          </cell>
          <cell r="Y879">
            <v>11</v>
          </cell>
          <cell r="Z879">
            <v>0</v>
          </cell>
          <cell r="AA879" t="str">
            <v/>
          </cell>
          <cell r="AB879">
            <v>36</v>
          </cell>
          <cell r="AC879">
            <v>2</v>
          </cell>
          <cell r="AD879" t="str">
            <v>TIDAK</v>
          </cell>
          <cell r="AE879" t="str">
            <v>TIDAK</v>
          </cell>
          <cell r="AF879">
            <v>36</v>
          </cell>
          <cell r="AG879">
            <v>1</v>
          </cell>
          <cell r="AH879" t="str">
            <v>SAPHIRE</v>
          </cell>
          <cell r="AI879">
            <v>0</v>
          </cell>
          <cell r="AJ879" t="str">
            <v>FALSE</v>
          </cell>
          <cell r="AK879">
            <v>0</v>
          </cell>
          <cell r="AL879">
            <v>45261</v>
          </cell>
          <cell r="AM879">
            <v>45701</v>
          </cell>
          <cell r="AN879">
            <v>1</v>
          </cell>
          <cell r="AO879">
            <v>36</v>
          </cell>
          <cell r="AP879" t="str">
            <v>-</v>
          </cell>
          <cell r="AQ879" t="str">
            <v>-</v>
          </cell>
          <cell r="AR879" t="str">
            <v>-</v>
          </cell>
          <cell r="AS879" t="str">
            <v>-</v>
          </cell>
          <cell r="AT879" t="str">
            <v>-</v>
          </cell>
          <cell r="AU879" t="str">
            <v>-</v>
          </cell>
          <cell r="AV879" t="str">
            <v/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 t="str">
            <v/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 t="str">
            <v/>
          </cell>
          <cell r="BN879">
            <v>0</v>
          </cell>
          <cell r="BO879" t="str">
            <v/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 t="str">
            <v/>
          </cell>
          <cell r="BV879">
            <v>0</v>
          </cell>
          <cell r="BW879">
            <v>7</v>
          </cell>
          <cell r="BX879" t="str">
            <v>DOWNGRADE</v>
          </cell>
          <cell r="BY879" t="str">
            <v>RESET</v>
          </cell>
        </row>
        <row r="880">
          <cell r="A880" t="str">
            <v>A3306</v>
          </cell>
          <cell r="B880" t="str">
            <v>Ilham Muhammad Dyan Fauzi</v>
          </cell>
          <cell r="C880" t="str">
            <v>TEMA C2</v>
          </cell>
          <cell r="D880">
            <v>45262</v>
          </cell>
          <cell r="E880" t="str">
            <v>Dec-23</v>
          </cell>
          <cell r="F880" t="str">
            <v>REGULER</v>
          </cell>
          <cell r="G880" t="str">
            <v>REGULER</v>
          </cell>
          <cell r="H880" t="str">
            <v>REGULER</v>
          </cell>
          <cell r="I880" t="str">
            <v>REGULER</v>
          </cell>
          <cell r="J880" t="str">
            <v>REGULER</v>
          </cell>
          <cell r="K880" t="str">
            <v>REGULER</v>
          </cell>
          <cell r="L880" t="str">
            <v>EKSKLUSIF</v>
          </cell>
          <cell r="M880">
            <v>18</v>
          </cell>
          <cell r="N880">
            <v>39</v>
          </cell>
          <cell r="O880">
            <v>30</v>
          </cell>
          <cell r="P880">
            <v>22</v>
          </cell>
          <cell r="Q880">
            <v>19</v>
          </cell>
          <cell r="R880">
            <v>36</v>
          </cell>
          <cell r="S880">
            <v>20</v>
          </cell>
          <cell r="T880">
            <v>184</v>
          </cell>
          <cell r="U880">
            <v>18</v>
          </cell>
          <cell r="V880">
            <v>39</v>
          </cell>
          <cell r="W880">
            <v>30</v>
          </cell>
          <cell r="X880">
            <v>22</v>
          </cell>
          <cell r="Y880">
            <v>19</v>
          </cell>
          <cell r="Z880">
            <v>36</v>
          </cell>
          <cell r="AA880">
            <v>0</v>
          </cell>
          <cell r="AB880">
            <v>164</v>
          </cell>
          <cell r="AC880">
            <v>0</v>
          </cell>
          <cell r="AD880" t="str">
            <v>TIDAK</v>
          </cell>
          <cell r="AE880" t="str">
            <v>TIDAK</v>
          </cell>
          <cell r="AF880">
            <v>164</v>
          </cell>
          <cell r="AG880">
            <v>4</v>
          </cell>
          <cell r="AH880" t="str">
            <v>SAPHIRE</v>
          </cell>
          <cell r="AI880">
            <v>135</v>
          </cell>
          <cell r="AJ880" t="str">
            <v>Y</v>
          </cell>
          <cell r="AK880">
            <v>0</v>
          </cell>
          <cell r="AL880">
            <v>45261</v>
          </cell>
          <cell r="AM880">
            <v>45701</v>
          </cell>
          <cell r="AN880">
            <v>1</v>
          </cell>
          <cell r="AO880">
            <v>29</v>
          </cell>
          <cell r="AP880" t="str">
            <v>EKSKLUSIF</v>
          </cell>
          <cell r="AQ880" t="str">
            <v>-</v>
          </cell>
          <cell r="AR880" t="str">
            <v>EKSKLUSIF</v>
          </cell>
          <cell r="AS880" t="str">
            <v>REGULER</v>
          </cell>
          <cell r="AT880" t="str">
            <v>EKSKLUSIF</v>
          </cell>
          <cell r="AU880" t="str">
            <v>EKSKLUSIF</v>
          </cell>
          <cell r="AV880" t="str">
            <v/>
          </cell>
          <cell r="AW880">
            <v>41</v>
          </cell>
          <cell r="AX880">
            <v>43</v>
          </cell>
          <cell r="AY880">
            <v>32</v>
          </cell>
          <cell r="AZ880">
            <v>42</v>
          </cell>
          <cell r="BA880">
            <v>31</v>
          </cell>
          <cell r="BB880">
            <v>41</v>
          </cell>
          <cell r="BC880">
            <v>43</v>
          </cell>
          <cell r="BD880">
            <v>32</v>
          </cell>
          <cell r="BE880">
            <v>42</v>
          </cell>
          <cell r="BF880">
            <v>31</v>
          </cell>
          <cell r="BG880">
            <v>18</v>
          </cell>
          <cell r="BH880">
            <v>41</v>
          </cell>
          <cell r="BI880">
            <v>43</v>
          </cell>
          <cell r="BJ880">
            <v>32</v>
          </cell>
          <cell r="BK880">
            <v>42</v>
          </cell>
          <cell r="BL880">
            <v>31</v>
          </cell>
          <cell r="BM880">
            <v>14</v>
          </cell>
          <cell r="BN880">
            <v>221</v>
          </cell>
          <cell r="BO880">
            <v>0</v>
          </cell>
          <cell r="BP880">
            <v>41</v>
          </cell>
          <cell r="BQ880">
            <v>0</v>
          </cell>
          <cell r="BR880">
            <v>32</v>
          </cell>
          <cell r="BS880">
            <v>0</v>
          </cell>
          <cell r="BT880">
            <v>0</v>
          </cell>
          <cell r="BU880">
            <v>14</v>
          </cell>
          <cell r="BV880">
            <v>87</v>
          </cell>
          <cell r="BW880">
            <v>0</v>
          </cell>
          <cell r="BX880" t="str">
            <v>TIDAK</v>
          </cell>
          <cell r="BY880" t="str">
            <v>TIDAK</v>
          </cell>
        </row>
        <row r="881">
          <cell r="A881" t="str">
            <v>A2455</v>
          </cell>
          <cell r="B881" t="str">
            <v>Imelda Nika Debora</v>
          </cell>
          <cell r="C881" t="str">
            <v>TEMA C2</v>
          </cell>
          <cell r="D881">
            <v>45091</v>
          </cell>
          <cell r="E881" t="str">
            <v>Jun-23</v>
          </cell>
          <cell r="F881" t="str">
            <v>EKSKLUSIF</v>
          </cell>
          <cell r="G881" t="str">
            <v>EKSKLUSIF</v>
          </cell>
          <cell r="H881" t="str">
            <v>EKSKLUSIF</v>
          </cell>
          <cell r="I881" t="str">
            <v>EKSKLUSIF</v>
          </cell>
          <cell r="J881" t="str">
            <v>EKSKLUSIF</v>
          </cell>
          <cell r="K881" t="str">
            <v>EKSKLUSIF</v>
          </cell>
          <cell r="L881" t="str">
            <v>EKSKLUSIF</v>
          </cell>
          <cell r="M881">
            <v>19</v>
          </cell>
          <cell r="N881">
            <v>46</v>
          </cell>
          <cell r="O881">
            <v>40</v>
          </cell>
          <cell r="P881">
            <v>40</v>
          </cell>
          <cell r="Q881">
            <v>36</v>
          </cell>
          <cell r="R881">
            <v>44</v>
          </cell>
          <cell r="S881">
            <v>20</v>
          </cell>
          <cell r="T881">
            <v>245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 t="str">
            <v>TIDAK</v>
          </cell>
          <cell r="AE881" t="str">
            <v>TIDAK</v>
          </cell>
          <cell r="AF881">
            <v>0</v>
          </cell>
          <cell r="AG881">
            <v>1</v>
          </cell>
          <cell r="AH881" t="str">
            <v>SAPHIRE</v>
          </cell>
          <cell r="AI881">
            <v>0</v>
          </cell>
          <cell r="AJ881" t="str">
            <v>FALSE</v>
          </cell>
          <cell r="AK881">
            <v>0</v>
          </cell>
          <cell r="AL881">
            <v>45261</v>
          </cell>
          <cell r="AM881">
            <v>45701</v>
          </cell>
          <cell r="AN881">
            <v>1</v>
          </cell>
          <cell r="AO881">
            <v>0</v>
          </cell>
          <cell r="AP881" t="str">
            <v>EKSKLUSIF</v>
          </cell>
          <cell r="AQ881" t="str">
            <v>-</v>
          </cell>
          <cell r="AR881" t="str">
            <v>-</v>
          </cell>
          <cell r="AS881" t="str">
            <v>-</v>
          </cell>
          <cell r="AT881" t="str">
            <v>-</v>
          </cell>
          <cell r="AU881" t="str">
            <v>-</v>
          </cell>
          <cell r="AV881" t="str">
            <v/>
          </cell>
          <cell r="AW881">
            <v>9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9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19</v>
          </cell>
          <cell r="BH881">
            <v>9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 t="str">
            <v/>
          </cell>
          <cell r="BN881">
            <v>28</v>
          </cell>
          <cell r="BO881">
            <v>0</v>
          </cell>
          <cell r="BP881">
            <v>9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 t="str">
            <v/>
          </cell>
          <cell r="BV881">
            <v>9</v>
          </cell>
          <cell r="BW881">
            <v>5</v>
          </cell>
          <cell r="BX881" t="str">
            <v>DOWNGRADE</v>
          </cell>
          <cell r="BY881" t="str">
            <v>RESET</v>
          </cell>
        </row>
        <row r="882">
          <cell r="A882" t="str">
            <v>A3512</v>
          </cell>
          <cell r="B882" t="str">
            <v>Imroatul Khasanah</v>
          </cell>
          <cell r="C882" t="str">
            <v>TEMA C2</v>
          </cell>
          <cell r="D882">
            <v>45262</v>
          </cell>
          <cell r="E882" t="str">
            <v>Dec-23</v>
          </cell>
          <cell r="F882" t="str">
            <v>REGULER</v>
          </cell>
          <cell r="G882" t="str">
            <v>REGULER</v>
          </cell>
          <cell r="H882" t="str">
            <v>-</v>
          </cell>
          <cell r="I882" t="str">
            <v>-</v>
          </cell>
          <cell r="J882" t="str">
            <v>-</v>
          </cell>
          <cell r="K882" t="str">
            <v>-</v>
          </cell>
          <cell r="L882" t="str">
            <v>-</v>
          </cell>
          <cell r="M882">
            <v>8</v>
          </cell>
          <cell r="N882">
            <v>13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 t="str">
            <v/>
          </cell>
          <cell r="T882">
            <v>21</v>
          </cell>
          <cell r="U882">
            <v>8</v>
          </cell>
          <cell r="V882">
            <v>13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 t="str">
            <v/>
          </cell>
          <cell r="AB882">
            <v>21</v>
          </cell>
          <cell r="AC882">
            <v>5</v>
          </cell>
          <cell r="AD882" t="str">
            <v>DOWNGRADE</v>
          </cell>
          <cell r="AE882" t="str">
            <v>RESET</v>
          </cell>
          <cell r="AF882">
            <v>0</v>
          </cell>
          <cell r="AG882">
            <v>2</v>
          </cell>
          <cell r="AH882" t="str">
            <v>SAPHIRE</v>
          </cell>
          <cell r="AI882">
            <v>0</v>
          </cell>
          <cell r="AJ882" t="str">
            <v>FALSE</v>
          </cell>
          <cell r="AK882">
            <v>0</v>
          </cell>
          <cell r="AL882">
            <v>45261</v>
          </cell>
          <cell r="AM882">
            <v>45701</v>
          </cell>
          <cell r="AN882">
            <v>1</v>
          </cell>
          <cell r="AO882">
            <v>0</v>
          </cell>
          <cell r="AP882" t="str">
            <v>-</v>
          </cell>
          <cell r="AQ882" t="str">
            <v>-</v>
          </cell>
          <cell r="AR882" t="str">
            <v>-</v>
          </cell>
          <cell r="AS882" t="str">
            <v>-</v>
          </cell>
          <cell r="AT882" t="str">
            <v>-</v>
          </cell>
          <cell r="AU882" t="str">
            <v>-</v>
          </cell>
          <cell r="AV882" t="str">
            <v/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 t="str">
            <v/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 t="str">
            <v/>
          </cell>
          <cell r="BN882">
            <v>0</v>
          </cell>
          <cell r="BO882" t="str">
            <v/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 t="str">
            <v/>
          </cell>
          <cell r="BV882">
            <v>0</v>
          </cell>
          <cell r="BW882">
            <v>7</v>
          </cell>
          <cell r="BX882" t="str">
            <v>DOWNGRADE</v>
          </cell>
          <cell r="BY882" t="str">
            <v>RESET</v>
          </cell>
        </row>
        <row r="883">
          <cell r="A883" t="str">
            <v>A1496</v>
          </cell>
          <cell r="B883" t="str">
            <v>Indah Puspita Dewi</v>
          </cell>
          <cell r="C883" t="str">
            <v>TEMA C2</v>
          </cell>
          <cell r="D883">
            <v>44978</v>
          </cell>
          <cell r="E883" t="str">
            <v>Feb-23</v>
          </cell>
          <cell r="F883" t="str">
            <v>EKSKLUSIF</v>
          </cell>
          <cell r="G883" t="str">
            <v>EKSKLUSIF</v>
          </cell>
          <cell r="H883" t="str">
            <v>EKSKLUSIF</v>
          </cell>
          <cell r="I883" t="str">
            <v>EKSKLUSIF</v>
          </cell>
          <cell r="J883" t="str">
            <v>REGULER</v>
          </cell>
          <cell r="K883" t="str">
            <v>REGULER</v>
          </cell>
          <cell r="L883" t="str">
            <v>REGULER</v>
          </cell>
          <cell r="M883">
            <v>20</v>
          </cell>
          <cell r="N883">
            <v>46</v>
          </cell>
          <cell r="O883">
            <v>37</v>
          </cell>
          <cell r="P883">
            <v>40</v>
          </cell>
          <cell r="Q883">
            <v>25</v>
          </cell>
          <cell r="R883">
            <v>23</v>
          </cell>
          <cell r="S883">
            <v>10</v>
          </cell>
          <cell r="T883">
            <v>201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25</v>
          </cell>
          <cell r="Z883">
            <v>23</v>
          </cell>
          <cell r="AA883">
            <v>10</v>
          </cell>
          <cell r="AB883">
            <v>58</v>
          </cell>
          <cell r="AC883">
            <v>0</v>
          </cell>
          <cell r="AD883" t="str">
            <v>TIDAK</v>
          </cell>
          <cell r="AE883" t="str">
            <v>TIDAK</v>
          </cell>
          <cell r="AF883">
            <v>58</v>
          </cell>
          <cell r="AG883">
            <v>2</v>
          </cell>
          <cell r="AH883" t="str">
            <v>SAPHIRE</v>
          </cell>
          <cell r="AI883">
            <v>0</v>
          </cell>
          <cell r="AJ883" t="str">
            <v>FALSE</v>
          </cell>
          <cell r="AK883">
            <v>0</v>
          </cell>
          <cell r="AL883">
            <v>45261</v>
          </cell>
          <cell r="AM883">
            <v>45701</v>
          </cell>
          <cell r="AN883">
            <v>1</v>
          </cell>
          <cell r="AO883">
            <v>58</v>
          </cell>
          <cell r="AP883" t="str">
            <v>-</v>
          </cell>
          <cell r="AQ883" t="str">
            <v>-</v>
          </cell>
          <cell r="AR883" t="str">
            <v>REGULER</v>
          </cell>
          <cell r="AS883" t="str">
            <v>REGULER</v>
          </cell>
          <cell r="AT883" t="str">
            <v>REGULER</v>
          </cell>
          <cell r="AU883" t="str">
            <v>REGULER</v>
          </cell>
          <cell r="AV883" t="str">
            <v/>
          </cell>
          <cell r="AW883">
            <v>0</v>
          </cell>
          <cell r="AX883">
            <v>4</v>
          </cell>
          <cell r="AY883">
            <v>3</v>
          </cell>
          <cell r="AZ883">
            <v>17</v>
          </cell>
          <cell r="BA883">
            <v>30</v>
          </cell>
          <cell r="BB883">
            <v>0</v>
          </cell>
          <cell r="BC883">
            <v>4</v>
          </cell>
          <cell r="BD883">
            <v>3</v>
          </cell>
          <cell r="BE883">
            <v>17</v>
          </cell>
          <cell r="BF883">
            <v>30</v>
          </cell>
          <cell r="BG883">
            <v>8</v>
          </cell>
          <cell r="BH883">
            <v>0</v>
          </cell>
          <cell r="BI883">
            <v>4</v>
          </cell>
          <cell r="BJ883">
            <v>3</v>
          </cell>
          <cell r="BK883">
            <v>17</v>
          </cell>
          <cell r="BL883">
            <v>30</v>
          </cell>
          <cell r="BM883">
            <v>18</v>
          </cell>
          <cell r="BN883">
            <v>80</v>
          </cell>
          <cell r="BO883">
            <v>8</v>
          </cell>
          <cell r="BP883">
            <v>0</v>
          </cell>
          <cell r="BQ883">
            <v>4</v>
          </cell>
          <cell r="BR883">
            <v>3</v>
          </cell>
          <cell r="BS883">
            <v>17</v>
          </cell>
          <cell r="BT883">
            <v>30</v>
          </cell>
          <cell r="BU883">
            <v>18</v>
          </cell>
          <cell r="BV883">
            <v>80</v>
          </cell>
          <cell r="BW883">
            <v>1</v>
          </cell>
          <cell r="BX883" t="str">
            <v>TIDAK</v>
          </cell>
          <cell r="BY883" t="str">
            <v>TIDAK</v>
          </cell>
        </row>
        <row r="884">
          <cell r="A884">
            <v>90660</v>
          </cell>
          <cell r="B884" t="str">
            <v>Indika Yulianti</v>
          </cell>
          <cell r="C884" t="str">
            <v>TEMA C2</v>
          </cell>
          <cell r="D884">
            <v>44410</v>
          </cell>
          <cell r="E884" t="str">
            <v>Aug-21</v>
          </cell>
          <cell r="F884" t="str">
            <v>REGULER</v>
          </cell>
          <cell r="G884" t="str">
            <v>REGULER</v>
          </cell>
          <cell r="H884" t="str">
            <v>REGULER</v>
          </cell>
          <cell r="I884" t="str">
            <v>-</v>
          </cell>
          <cell r="J884" t="str">
            <v>-</v>
          </cell>
          <cell r="K884" t="str">
            <v>-</v>
          </cell>
          <cell r="L884" t="str">
            <v>-</v>
          </cell>
          <cell r="M884">
            <v>6</v>
          </cell>
          <cell r="N884">
            <v>13</v>
          </cell>
          <cell r="O884">
            <v>3</v>
          </cell>
          <cell r="P884">
            <v>0</v>
          </cell>
          <cell r="Q884">
            <v>0</v>
          </cell>
          <cell r="R884">
            <v>0</v>
          </cell>
          <cell r="S884" t="str">
            <v/>
          </cell>
          <cell r="T884">
            <v>22</v>
          </cell>
          <cell r="U884">
            <v>6</v>
          </cell>
          <cell r="V884">
            <v>13</v>
          </cell>
          <cell r="W884">
            <v>3</v>
          </cell>
          <cell r="X884">
            <v>0</v>
          </cell>
          <cell r="Y884">
            <v>0</v>
          </cell>
          <cell r="Z884">
            <v>0</v>
          </cell>
          <cell r="AA884" t="str">
            <v/>
          </cell>
          <cell r="AB884">
            <v>22</v>
          </cell>
          <cell r="AC884">
            <v>4</v>
          </cell>
          <cell r="AD884" t="str">
            <v>DOWNGRADE</v>
          </cell>
          <cell r="AE884" t="str">
            <v>RESET</v>
          </cell>
          <cell r="AF884">
            <v>0</v>
          </cell>
          <cell r="AG884">
            <v>1</v>
          </cell>
          <cell r="AH884" t="str">
            <v>SAPHIRE</v>
          </cell>
          <cell r="AI884">
            <v>0</v>
          </cell>
          <cell r="AJ884" t="str">
            <v>FALSE</v>
          </cell>
          <cell r="AK884">
            <v>0</v>
          </cell>
          <cell r="AL884">
            <v>45261</v>
          </cell>
          <cell r="AM884">
            <v>45701</v>
          </cell>
          <cell r="AN884">
            <v>1</v>
          </cell>
          <cell r="AO884">
            <v>0</v>
          </cell>
          <cell r="AP884" t="str">
            <v>-</v>
          </cell>
          <cell r="AQ884" t="str">
            <v>-</v>
          </cell>
          <cell r="AR884" t="str">
            <v>-</v>
          </cell>
          <cell r="AS884" t="str">
            <v>-</v>
          </cell>
          <cell r="AT884" t="str">
            <v>-</v>
          </cell>
          <cell r="AU884" t="str">
            <v>-</v>
          </cell>
          <cell r="AV884" t="str">
            <v/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 t="str">
            <v/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 t="str">
            <v/>
          </cell>
          <cell r="BN884">
            <v>0</v>
          </cell>
          <cell r="BO884" t="str">
            <v/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T884">
            <v>0</v>
          </cell>
          <cell r="BU884" t="str">
            <v/>
          </cell>
          <cell r="BV884">
            <v>0</v>
          </cell>
          <cell r="BW884">
            <v>7</v>
          </cell>
          <cell r="BX884" t="str">
            <v>DOWNGRADE</v>
          </cell>
          <cell r="BY884" t="str">
            <v>RESET</v>
          </cell>
        </row>
        <row r="885">
          <cell r="A885" t="str">
            <v>A4105</v>
          </cell>
          <cell r="B885" t="str">
            <v>INDRA RAPSANJANI</v>
          </cell>
          <cell r="C885" t="str">
            <v>TEMA C2</v>
          </cell>
          <cell r="D885">
            <v>45457</v>
          </cell>
          <cell r="E885" t="str">
            <v>Jun-24</v>
          </cell>
          <cell r="F885" t="str">
            <v>-</v>
          </cell>
          <cell r="G885" t="str">
            <v>-</v>
          </cell>
          <cell r="H885" t="str">
            <v>-</v>
          </cell>
          <cell r="I885" t="str">
            <v>-</v>
          </cell>
          <cell r="J885" t="str">
            <v>-</v>
          </cell>
          <cell r="K885" t="str">
            <v>-</v>
          </cell>
          <cell r="L885" t="str">
            <v>REGULER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2</v>
          </cell>
          <cell r="T885">
            <v>2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2</v>
          </cell>
          <cell r="AB885">
            <v>2</v>
          </cell>
          <cell r="AC885">
            <v>0</v>
          </cell>
          <cell r="AD885" t="str">
            <v>TIDAK</v>
          </cell>
          <cell r="AE885" t="str">
            <v>TIDAK</v>
          </cell>
          <cell r="AF885">
            <v>2</v>
          </cell>
          <cell r="AG885">
            <v>1</v>
          </cell>
          <cell r="AH885" t="str">
            <v>SAPHIRE</v>
          </cell>
          <cell r="AI885">
            <v>0</v>
          </cell>
          <cell r="AJ885" t="str">
            <v>FALSE</v>
          </cell>
          <cell r="AK885">
            <v>0</v>
          </cell>
          <cell r="AL885">
            <v>45261</v>
          </cell>
          <cell r="AM885">
            <v>45701</v>
          </cell>
          <cell r="AN885">
            <v>1</v>
          </cell>
          <cell r="AO885">
            <v>2</v>
          </cell>
          <cell r="AP885" t="str">
            <v>-</v>
          </cell>
          <cell r="AQ885" t="str">
            <v>-</v>
          </cell>
          <cell r="AR885" t="str">
            <v>-</v>
          </cell>
          <cell r="AS885" t="str">
            <v>-</v>
          </cell>
          <cell r="AT885" t="str">
            <v>-</v>
          </cell>
          <cell r="AU885" t="str">
            <v>-</v>
          </cell>
          <cell r="AV885" t="str">
            <v/>
          </cell>
          <cell r="AW885">
            <v>41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41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17</v>
          </cell>
          <cell r="BH885">
            <v>41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 t="str">
            <v/>
          </cell>
          <cell r="BN885">
            <v>58</v>
          </cell>
          <cell r="BO885">
            <v>17</v>
          </cell>
          <cell r="BP885">
            <v>41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 t="str">
            <v/>
          </cell>
          <cell r="BV885">
            <v>58</v>
          </cell>
          <cell r="BW885">
            <v>5</v>
          </cell>
          <cell r="BX885" t="str">
            <v>DOWNGRADE</v>
          </cell>
          <cell r="BY885" t="str">
            <v>RESET</v>
          </cell>
        </row>
        <row r="886">
          <cell r="A886" t="str">
            <v>A3175</v>
          </cell>
          <cell r="B886" t="str">
            <v>Indri Sari</v>
          </cell>
          <cell r="C886" t="str">
            <v>TEMA C2</v>
          </cell>
          <cell r="D886">
            <v>45220</v>
          </cell>
          <cell r="E886" t="str">
            <v>Oct-23</v>
          </cell>
          <cell r="F886" t="str">
            <v>REGULER</v>
          </cell>
          <cell r="G886" t="str">
            <v>REGULER</v>
          </cell>
          <cell r="H886" t="str">
            <v>REGULER</v>
          </cell>
          <cell r="I886" t="str">
            <v>REGULER</v>
          </cell>
          <cell r="J886" t="str">
            <v>-</v>
          </cell>
          <cell r="K886" t="str">
            <v>-</v>
          </cell>
          <cell r="L886" t="str">
            <v>-</v>
          </cell>
          <cell r="M886">
            <v>19</v>
          </cell>
          <cell r="N886">
            <v>19</v>
          </cell>
          <cell r="O886">
            <v>9</v>
          </cell>
          <cell r="P886">
            <v>1</v>
          </cell>
          <cell r="Q886">
            <v>0</v>
          </cell>
          <cell r="R886">
            <v>0</v>
          </cell>
          <cell r="S886" t="str">
            <v/>
          </cell>
          <cell r="T886">
            <v>48</v>
          </cell>
          <cell r="U886">
            <v>19</v>
          </cell>
          <cell r="V886">
            <v>19</v>
          </cell>
          <cell r="W886">
            <v>9</v>
          </cell>
          <cell r="X886">
            <v>1</v>
          </cell>
          <cell r="Y886">
            <v>0</v>
          </cell>
          <cell r="Z886">
            <v>0</v>
          </cell>
          <cell r="AA886" t="str">
            <v/>
          </cell>
          <cell r="AB886">
            <v>48</v>
          </cell>
          <cell r="AC886">
            <v>3</v>
          </cell>
          <cell r="AD886" t="str">
            <v>DOWNGRADE</v>
          </cell>
          <cell r="AE886" t="str">
            <v>RESET</v>
          </cell>
          <cell r="AF886">
            <v>0</v>
          </cell>
          <cell r="AG886">
            <v>2</v>
          </cell>
          <cell r="AH886" t="str">
            <v>SAPHIRE</v>
          </cell>
          <cell r="AI886">
            <v>0</v>
          </cell>
          <cell r="AJ886" t="str">
            <v>FALSE</v>
          </cell>
          <cell r="AK886">
            <v>0</v>
          </cell>
          <cell r="AL886">
            <v>45261</v>
          </cell>
          <cell r="AM886">
            <v>45701</v>
          </cell>
          <cell r="AN886">
            <v>1</v>
          </cell>
          <cell r="AO886">
            <v>0</v>
          </cell>
          <cell r="AP886" t="str">
            <v>-</v>
          </cell>
          <cell r="AQ886" t="str">
            <v>-</v>
          </cell>
          <cell r="AR886" t="str">
            <v>-</v>
          </cell>
          <cell r="AS886" t="str">
            <v>REGULER</v>
          </cell>
          <cell r="AT886" t="str">
            <v>REGULER</v>
          </cell>
          <cell r="AU886" t="str">
            <v>-</v>
          </cell>
          <cell r="AV886" t="str">
            <v/>
          </cell>
          <cell r="AW886">
            <v>1</v>
          </cell>
          <cell r="AX886">
            <v>0</v>
          </cell>
          <cell r="AY886">
            <v>23</v>
          </cell>
          <cell r="AZ886">
            <v>11</v>
          </cell>
          <cell r="BA886">
            <v>0</v>
          </cell>
          <cell r="BB886">
            <v>1</v>
          </cell>
          <cell r="BC886">
            <v>0</v>
          </cell>
          <cell r="BD886">
            <v>23</v>
          </cell>
          <cell r="BE886">
            <v>11</v>
          </cell>
          <cell r="BF886">
            <v>0</v>
          </cell>
          <cell r="BG886" t="str">
            <v/>
          </cell>
          <cell r="BH886">
            <v>1</v>
          </cell>
          <cell r="BI886">
            <v>0</v>
          </cell>
          <cell r="BJ886">
            <v>23</v>
          </cell>
          <cell r="BK886">
            <v>11</v>
          </cell>
          <cell r="BL886">
            <v>0</v>
          </cell>
          <cell r="BM886">
            <v>11</v>
          </cell>
          <cell r="BN886">
            <v>46</v>
          </cell>
          <cell r="BO886" t="str">
            <v/>
          </cell>
          <cell r="BP886">
            <v>1</v>
          </cell>
          <cell r="BQ886">
            <v>0</v>
          </cell>
          <cell r="BR886">
            <v>23</v>
          </cell>
          <cell r="BS886">
            <v>11</v>
          </cell>
          <cell r="BT886">
            <v>0</v>
          </cell>
          <cell r="BU886">
            <v>11</v>
          </cell>
          <cell r="BV886">
            <v>46</v>
          </cell>
          <cell r="BW886">
            <v>3</v>
          </cell>
          <cell r="BX886" t="str">
            <v>DOWNGRADE</v>
          </cell>
          <cell r="BY886" t="str">
            <v>TIDAK</v>
          </cell>
        </row>
        <row r="887">
          <cell r="A887">
            <v>90593</v>
          </cell>
          <cell r="B887" t="str">
            <v>Ineke Bayo</v>
          </cell>
          <cell r="C887" t="str">
            <v>TEMA C2</v>
          </cell>
          <cell r="D887">
            <v>45337</v>
          </cell>
          <cell r="E887" t="str">
            <v>Feb-24</v>
          </cell>
          <cell r="F887" t="str">
            <v>-</v>
          </cell>
          <cell r="G887" t="str">
            <v>-</v>
          </cell>
          <cell r="H887" t="str">
            <v>REGULER</v>
          </cell>
          <cell r="I887" t="str">
            <v>-</v>
          </cell>
          <cell r="J887" t="str">
            <v>-</v>
          </cell>
          <cell r="K887" t="str">
            <v>-</v>
          </cell>
          <cell r="L887" t="str">
            <v>-</v>
          </cell>
          <cell r="M887">
            <v>0</v>
          </cell>
          <cell r="N887">
            <v>0</v>
          </cell>
          <cell r="O887">
            <v>2</v>
          </cell>
          <cell r="P887">
            <v>0</v>
          </cell>
          <cell r="Q887">
            <v>0</v>
          </cell>
          <cell r="R887">
            <v>0</v>
          </cell>
          <cell r="S887" t="str">
            <v/>
          </cell>
          <cell r="T887">
            <v>2</v>
          </cell>
          <cell r="U887">
            <v>0</v>
          </cell>
          <cell r="V887">
            <v>0</v>
          </cell>
          <cell r="W887">
            <v>2</v>
          </cell>
          <cell r="X887">
            <v>0</v>
          </cell>
          <cell r="Y887">
            <v>0</v>
          </cell>
          <cell r="Z887">
            <v>0</v>
          </cell>
          <cell r="AA887" t="str">
            <v/>
          </cell>
          <cell r="AB887">
            <v>2</v>
          </cell>
          <cell r="AC887">
            <v>4</v>
          </cell>
          <cell r="AD887" t="str">
            <v>DOWNGRADE</v>
          </cell>
          <cell r="AE887" t="str">
            <v>RESET</v>
          </cell>
          <cell r="AF887">
            <v>0</v>
          </cell>
          <cell r="AG887">
            <v>1</v>
          </cell>
          <cell r="AH887" t="str">
            <v>SAPHIRE</v>
          </cell>
          <cell r="AI887">
            <v>0</v>
          </cell>
          <cell r="AJ887" t="str">
            <v>FALSE</v>
          </cell>
          <cell r="AK887">
            <v>0</v>
          </cell>
          <cell r="AL887">
            <v>45261</v>
          </cell>
          <cell r="AM887">
            <v>45701</v>
          </cell>
          <cell r="AN887">
            <v>1</v>
          </cell>
          <cell r="AO887">
            <v>0</v>
          </cell>
          <cell r="AP887" t="str">
            <v>-</v>
          </cell>
          <cell r="AQ887" t="str">
            <v>-</v>
          </cell>
          <cell r="AR887" t="str">
            <v>-</v>
          </cell>
          <cell r="AS887" t="str">
            <v>-</v>
          </cell>
          <cell r="AT887" t="str">
            <v>-</v>
          </cell>
          <cell r="AU887" t="str">
            <v>-</v>
          </cell>
          <cell r="AV887" t="str">
            <v/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 t="str">
            <v/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 t="str">
            <v/>
          </cell>
          <cell r="BN887">
            <v>0</v>
          </cell>
          <cell r="BO887" t="str">
            <v/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 t="str">
            <v/>
          </cell>
          <cell r="BV887">
            <v>0</v>
          </cell>
          <cell r="BW887">
            <v>7</v>
          </cell>
          <cell r="BX887" t="str">
            <v>DOWNGRADE</v>
          </cell>
          <cell r="BY887" t="str">
            <v>RESET</v>
          </cell>
        </row>
        <row r="888">
          <cell r="A888" t="str">
            <v>A3616</v>
          </cell>
          <cell r="B888" t="str">
            <v>Inggrid Kristina</v>
          </cell>
          <cell r="C888" t="str">
            <v>TEMA C2</v>
          </cell>
          <cell r="D888">
            <v>45325</v>
          </cell>
          <cell r="E888" t="str">
            <v>Feb-24</v>
          </cell>
          <cell r="F888" t="str">
            <v>-</v>
          </cell>
          <cell r="G888" t="str">
            <v>-</v>
          </cell>
          <cell r="H888" t="str">
            <v>REGULER</v>
          </cell>
          <cell r="I888" t="str">
            <v>-</v>
          </cell>
          <cell r="J888" t="str">
            <v>-</v>
          </cell>
          <cell r="K888" t="str">
            <v>-</v>
          </cell>
          <cell r="L888" t="str">
            <v>-</v>
          </cell>
          <cell r="M888">
            <v>0</v>
          </cell>
          <cell r="N888">
            <v>0</v>
          </cell>
          <cell r="O888">
            <v>3</v>
          </cell>
          <cell r="P888">
            <v>0</v>
          </cell>
          <cell r="Q888">
            <v>0</v>
          </cell>
          <cell r="R888">
            <v>0</v>
          </cell>
          <cell r="S888" t="str">
            <v/>
          </cell>
          <cell r="T888">
            <v>3</v>
          </cell>
          <cell r="U888">
            <v>0</v>
          </cell>
          <cell r="V888">
            <v>0</v>
          </cell>
          <cell r="W888">
            <v>3</v>
          </cell>
          <cell r="X888">
            <v>0</v>
          </cell>
          <cell r="Y888">
            <v>0</v>
          </cell>
          <cell r="Z888">
            <v>0</v>
          </cell>
          <cell r="AA888" t="str">
            <v/>
          </cell>
          <cell r="AB888">
            <v>3</v>
          </cell>
          <cell r="AC888">
            <v>4</v>
          </cell>
          <cell r="AD888" t="str">
            <v>DOWNGRADE</v>
          </cell>
          <cell r="AE888" t="str">
            <v>RESET</v>
          </cell>
          <cell r="AF888">
            <v>0</v>
          </cell>
          <cell r="AG888">
            <v>1</v>
          </cell>
          <cell r="AH888" t="str">
            <v>SAPHIRE</v>
          </cell>
          <cell r="AI888">
            <v>0</v>
          </cell>
          <cell r="AJ888" t="str">
            <v>FALSE</v>
          </cell>
          <cell r="AK888">
            <v>0</v>
          </cell>
          <cell r="AL888">
            <v>45261</v>
          </cell>
          <cell r="AM888">
            <v>45701</v>
          </cell>
          <cell r="AN888">
            <v>1</v>
          </cell>
          <cell r="AO888">
            <v>0</v>
          </cell>
          <cell r="AP888" t="str">
            <v>-</v>
          </cell>
          <cell r="AQ888" t="str">
            <v>-</v>
          </cell>
          <cell r="AR888" t="str">
            <v>-</v>
          </cell>
          <cell r="AS888" t="str">
            <v>-</v>
          </cell>
          <cell r="AT888" t="str">
            <v>-</v>
          </cell>
          <cell r="AU888" t="str">
            <v>-</v>
          </cell>
          <cell r="AV888" t="str">
            <v/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 t="str">
            <v/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 t="str">
            <v/>
          </cell>
          <cell r="BN888">
            <v>0</v>
          </cell>
          <cell r="BO888" t="str">
            <v/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 t="str">
            <v/>
          </cell>
          <cell r="BV888">
            <v>0</v>
          </cell>
          <cell r="BW888">
            <v>7</v>
          </cell>
          <cell r="BX888" t="str">
            <v>DOWNGRADE</v>
          </cell>
          <cell r="BY888" t="str">
            <v>RESET</v>
          </cell>
        </row>
        <row r="889">
          <cell r="A889" t="str">
            <v>A3294</v>
          </cell>
          <cell r="B889" t="str">
            <v>Inneke Dewi Karunia Putri</v>
          </cell>
          <cell r="C889" t="str">
            <v>TEMA C2</v>
          </cell>
          <cell r="D889">
            <v>45257</v>
          </cell>
          <cell r="E889" t="str">
            <v>Nov-23</v>
          </cell>
          <cell r="F889" t="str">
            <v>REGULER</v>
          </cell>
          <cell r="G889" t="str">
            <v>REGULER</v>
          </cell>
          <cell r="H889" t="str">
            <v>REGULER</v>
          </cell>
          <cell r="I889" t="str">
            <v>REGULER</v>
          </cell>
          <cell r="J889" t="str">
            <v>REGULER</v>
          </cell>
          <cell r="K889" t="str">
            <v>REGULER</v>
          </cell>
          <cell r="L889" t="str">
            <v>REGULER</v>
          </cell>
          <cell r="M889">
            <v>12</v>
          </cell>
          <cell r="N889">
            <v>22</v>
          </cell>
          <cell r="O889">
            <v>29</v>
          </cell>
          <cell r="P889">
            <v>27</v>
          </cell>
          <cell r="Q889">
            <v>38</v>
          </cell>
          <cell r="R889">
            <v>38</v>
          </cell>
          <cell r="S889">
            <v>18</v>
          </cell>
          <cell r="T889">
            <v>184</v>
          </cell>
          <cell r="U889">
            <v>12</v>
          </cell>
          <cell r="V889">
            <v>22</v>
          </cell>
          <cell r="W889">
            <v>29</v>
          </cell>
          <cell r="X889">
            <v>27</v>
          </cell>
          <cell r="Y889">
            <v>38</v>
          </cell>
          <cell r="Z889">
            <v>38</v>
          </cell>
          <cell r="AA889">
            <v>18</v>
          </cell>
          <cell r="AB889">
            <v>184</v>
          </cell>
          <cell r="AC889">
            <v>0</v>
          </cell>
          <cell r="AD889" t="str">
            <v>TIDAK</v>
          </cell>
          <cell r="AE889" t="str">
            <v>TIDAK</v>
          </cell>
          <cell r="AF889">
            <v>184</v>
          </cell>
          <cell r="AG889">
            <v>2</v>
          </cell>
          <cell r="AH889" t="str">
            <v>SAPHIRE</v>
          </cell>
          <cell r="AI889">
            <v>0</v>
          </cell>
          <cell r="AJ889" t="str">
            <v>Y</v>
          </cell>
          <cell r="AK889">
            <v>0</v>
          </cell>
          <cell r="AL889">
            <v>45261</v>
          </cell>
          <cell r="AM889">
            <v>45701</v>
          </cell>
          <cell r="AN889">
            <v>1</v>
          </cell>
          <cell r="AO889">
            <v>184</v>
          </cell>
          <cell r="AP889" t="str">
            <v>-</v>
          </cell>
          <cell r="AQ889" t="str">
            <v>-</v>
          </cell>
          <cell r="AR889" t="str">
            <v>REGULER</v>
          </cell>
          <cell r="AS889" t="str">
            <v>-</v>
          </cell>
          <cell r="AT889" t="str">
            <v>-</v>
          </cell>
          <cell r="AU889" t="str">
            <v>-</v>
          </cell>
          <cell r="AV889" t="str">
            <v/>
          </cell>
          <cell r="AW889">
            <v>40</v>
          </cell>
          <cell r="AX889">
            <v>29</v>
          </cell>
          <cell r="AY889">
            <v>0</v>
          </cell>
          <cell r="AZ889">
            <v>0</v>
          </cell>
          <cell r="BA889">
            <v>0</v>
          </cell>
          <cell r="BB889">
            <v>40</v>
          </cell>
          <cell r="BC889">
            <v>29</v>
          </cell>
          <cell r="BD889">
            <v>0</v>
          </cell>
          <cell r="BE889">
            <v>0</v>
          </cell>
          <cell r="BF889">
            <v>0</v>
          </cell>
          <cell r="BG889">
            <v>16</v>
          </cell>
          <cell r="BH889">
            <v>40</v>
          </cell>
          <cell r="BI889">
            <v>29</v>
          </cell>
          <cell r="BJ889">
            <v>0</v>
          </cell>
          <cell r="BK889">
            <v>0</v>
          </cell>
          <cell r="BL889">
            <v>0</v>
          </cell>
          <cell r="BM889" t="str">
            <v/>
          </cell>
          <cell r="BN889">
            <v>85</v>
          </cell>
          <cell r="BO889">
            <v>16</v>
          </cell>
          <cell r="BP889">
            <v>40</v>
          </cell>
          <cell r="BQ889">
            <v>29</v>
          </cell>
          <cell r="BR889">
            <v>0</v>
          </cell>
          <cell r="BS889">
            <v>0</v>
          </cell>
          <cell r="BT889">
            <v>0</v>
          </cell>
          <cell r="BU889" t="str">
            <v/>
          </cell>
          <cell r="BV889">
            <v>85</v>
          </cell>
          <cell r="BW889">
            <v>4</v>
          </cell>
          <cell r="BX889" t="str">
            <v>DOWNGRADE</v>
          </cell>
          <cell r="BY889" t="str">
            <v>RESET</v>
          </cell>
        </row>
        <row r="890">
          <cell r="A890" t="str">
            <v>A0927</v>
          </cell>
          <cell r="B890" t="str">
            <v>Intan Ayu Wardani</v>
          </cell>
          <cell r="C890" t="str">
            <v>TEMA C2</v>
          </cell>
          <cell r="D890">
            <v>44921</v>
          </cell>
          <cell r="E890" t="str">
            <v>Dec-22</v>
          </cell>
          <cell r="F890" t="str">
            <v>REGULER</v>
          </cell>
          <cell r="G890" t="str">
            <v>REGULER</v>
          </cell>
          <cell r="H890" t="str">
            <v>REGULER</v>
          </cell>
          <cell r="I890" t="str">
            <v>REGULER</v>
          </cell>
          <cell r="J890" t="str">
            <v>REGULER</v>
          </cell>
          <cell r="K890" t="str">
            <v>EKSKLUSIF</v>
          </cell>
          <cell r="L890" t="str">
            <v>EKSKLUSIF</v>
          </cell>
          <cell r="M890">
            <v>19</v>
          </cell>
          <cell r="N890">
            <v>40</v>
          </cell>
          <cell r="O890">
            <v>38</v>
          </cell>
          <cell r="P890">
            <v>37</v>
          </cell>
          <cell r="Q890">
            <v>38</v>
          </cell>
          <cell r="R890">
            <v>43</v>
          </cell>
          <cell r="S890">
            <v>21</v>
          </cell>
          <cell r="T890">
            <v>236</v>
          </cell>
          <cell r="U890">
            <v>19</v>
          </cell>
          <cell r="V890">
            <v>40</v>
          </cell>
          <cell r="W890">
            <v>38</v>
          </cell>
          <cell r="X890">
            <v>37</v>
          </cell>
          <cell r="Y890">
            <v>38</v>
          </cell>
          <cell r="Z890">
            <v>0</v>
          </cell>
          <cell r="AA890">
            <v>0</v>
          </cell>
          <cell r="AB890">
            <v>172</v>
          </cell>
          <cell r="AC890">
            <v>0</v>
          </cell>
          <cell r="AD890" t="str">
            <v>TIDAK</v>
          </cell>
          <cell r="AE890" t="str">
            <v>TIDAK</v>
          </cell>
          <cell r="AF890">
            <v>172</v>
          </cell>
          <cell r="AG890">
            <v>3</v>
          </cell>
          <cell r="AH890" t="str">
            <v>SAPHIRE</v>
          </cell>
          <cell r="AI890">
            <v>135</v>
          </cell>
          <cell r="AJ890" t="str">
            <v>Y</v>
          </cell>
          <cell r="AK890">
            <v>0</v>
          </cell>
          <cell r="AL890">
            <v>45261</v>
          </cell>
          <cell r="AM890">
            <v>45701</v>
          </cell>
          <cell r="AN890">
            <v>1</v>
          </cell>
          <cell r="AO890">
            <v>37</v>
          </cell>
          <cell r="AP890" t="str">
            <v>EKSKLUSIF</v>
          </cell>
          <cell r="AQ890" t="str">
            <v>-</v>
          </cell>
          <cell r="AR890" t="str">
            <v>EKSKLUSIF</v>
          </cell>
          <cell r="AS890" t="str">
            <v>EKSKLUSIF</v>
          </cell>
          <cell r="AT890" t="str">
            <v>EKSKLUSIF</v>
          </cell>
          <cell r="AU890" t="str">
            <v>EKSKLUSIF</v>
          </cell>
          <cell r="AV890" t="str">
            <v/>
          </cell>
          <cell r="AW890">
            <v>47</v>
          </cell>
          <cell r="AX890">
            <v>42</v>
          </cell>
          <cell r="AY890">
            <v>41</v>
          </cell>
          <cell r="AZ890">
            <v>46</v>
          </cell>
          <cell r="BA890">
            <v>45</v>
          </cell>
          <cell r="BB890">
            <v>47</v>
          </cell>
          <cell r="BC890">
            <v>42</v>
          </cell>
          <cell r="BD890">
            <v>41</v>
          </cell>
          <cell r="BE890">
            <v>46</v>
          </cell>
          <cell r="BF890">
            <v>45</v>
          </cell>
          <cell r="BG890">
            <v>20</v>
          </cell>
          <cell r="BH890">
            <v>47</v>
          </cell>
          <cell r="BI890">
            <v>42</v>
          </cell>
          <cell r="BJ890">
            <v>41</v>
          </cell>
          <cell r="BK890">
            <v>46</v>
          </cell>
          <cell r="BL890">
            <v>45</v>
          </cell>
          <cell r="BM890">
            <v>21</v>
          </cell>
          <cell r="BN890">
            <v>262</v>
          </cell>
          <cell r="BO890">
            <v>0</v>
          </cell>
          <cell r="BP890">
            <v>47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21</v>
          </cell>
          <cell r="BV890">
            <v>68</v>
          </cell>
          <cell r="BW890">
            <v>0</v>
          </cell>
          <cell r="BX890" t="str">
            <v>TIDAK</v>
          </cell>
          <cell r="BY890" t="str">
            <v>TIDAK</v>
          </cell>
        </row>
        <row r="891">
          <cell r="A891" t="str">
            <v>A3216</v>
          </cell>
          <cell r="B891" t="str">
            <v>Intan Khoirunisa Febiliana</v>
          </cell>
          <cell r="C891" t="str">
            <v>TEMA C2</v>
          </cell>
          <cell r="D891">
            <v>45231</v>
          </cell>
          <cell r="E891" t="str">
            <v>Nov-23</v>
          </cell>
          <cell r="F891" t="str">
            <v>REGULER</v>
          </cell>
          <cell r="G891" t="str">
            <v>REGULER</v>
          </cell>
          <cell r="H891" t="str">
            <v>REGULER</v>
          </cell>
          <cell r="I891" t="str">
            <v>REGULER</v>
          </cell>
          <cell r="J891" t="str">
            <v>REGULER</v>
          </cell>
          <cell r="K891" t="str">
            <v>REGULER</v>
          </cell>
          <cell r="L891" t="str">
            <v>REGULER</v>
          </cell>
          <cell r="M891">
            <v>11</v>
          </cell>
          <cell r="N891">
            <v>29</v>
          </cell>
          <cell r="O891">
            <v>26</v>
          </cell>
          <cell r="P891">
            <v>30</v>
          </cell>
          <cell r="Q891">
            <v>35</v>
          </cell>
          <cell r="R891">
            <v>34</v>
          </cell>
          <cell r="S891">
            <v>22</v>
          </cell>
          <cell r="T891">
            <v>187</v>
          </cell>
          <cell r="U891">
            <v>11</v>
          </cell>
          <cell r="V891">
            <v>29</v>
          </cell>
          <cell r="W891">
            <v>26</v>
          </cell>
          <cell r="X891">
            <v>30</v>
          </cell>
          <cell r="Y891">
            <v>35</v>
          </cell>
          <cell r="Z891">
            <v>34</v>
          </cell>
          <cell r="AA891">
            <v>22</v>
          </cell>
          <cell r="AB891">
            <v>187</v>
          </cell>
          <cell r="AC891">
            <v>0</v>
          </cell>
          <cell r="AD891" t="str">
            <v>TIDAK</v>
          </cell>
          <cell r="AE891" t="str">
            <v>TIDAK</v>
          </cell>
          <cell r="AF891">
            <v>187</v>
          </cell>
          <cell r="AG891">
            <v>4</v>
          </cell>
          <cell r="AH891" t="str">
            <v>SAPHIRE</v>
          </cell>
          <cell r="AI891">
            <v>135</v>
          </cell>
          <cell r="AJ891" t="str">
            <v>Y</v>
          </cell>
          <cell r="AK891">
            <v>0</v>
          </cell>
          <cell r="AL891">
            <v>45261</v>
          </cell>
          <cell r="AM891">
            <v>45701</v>
          </cell>
          <cell r="AN891">
            <v>1</v>
          </cell>
          <cell r="AO891">
            <v>52</v>
          </cell>
          <cell r="AP891" t="str">
            <v>-</v>
          </cell>
          <cell r="AQ891" t="str">
            <v>-</v>
          </cell>
          <cell r="AR891" t="str">
            <v>EKSKLUSIF</v>
          </cell>
          <cell r="AS891" t="str">
            <v>EKSKLUSIF</v>
          </cell>
          <cell r="AT891" t="str">
            <v>EKSKLUSIF</v>
          </cell>
          <cell r="AU891" t="str">
            <v>REGULER</v>
          </cell>
          <cell r="AV891" t="str">
            <v/>
          </cell>
          <cell r="AW891">
            <v>38</v>
          </cell>
          <cell r="AX891">
            <v>44</v>
          </cell>
          <cell r="AY891">
            <v>34</v>
          </cell>
          <cell r="AZ891">
            <v>50</v>
          </cell>
          <cell r="BA891">
            <v>34</v>
          </cell>
          <cell r="BB891">
            <v>38</v>
          </cell>
          <cell r="BC891">
            <v>44</v>
          </cell>
          <cell r="BD891">
            <v>34</v>
          </cell>
          <cell r="BE891">
            <v>50</v>
          </cell>
          <cell r="BF891">
            <v>34</v>
          </cell>
          <cell r="BG891">
            <v>18</v>
          </cell>
          <cell r="BH891">
            <v>38</v>
          </cell>
          <cell r="BI891">
            <v>44</v>
          </cell>
          <cell r="BJ891">
            <v>34</v>
          </cell>
          <cell r="BK891">
            <v>50</v>
          </cell>
          <cell r="BL891">
            <v>34</v>
          </cell>
          <cell r="BM891">
            <v>15</v>
          </cell>
          <cell r="BN891">
            <v>233</v>
          </cell>
          <cell r="BO891">
            <v>18</v>
          </cell>
          <cell r="BP891">
            <v>38</v>
          </cell>
          <cell r="BQ891">
            <v>0</v>
          </cell>
          <cell r="BR891">
            <v>0</v>
          </cell>
          <cell r="BS891">
            <v>0</v>
          </cell>
          <cell r="BT891">
            <v>34</v>
          </cell>
          <cell r="BU891">
            <v>15</v>
          </cell>
          <cell r="BV891">
            <v>105</v>
          </cell>
          <cell r="BW891">
            <v>0</v>
          </cell>
          <cell r="BX891" t="str">
            <v>TIDAK</v>
          </cell>
          <cell r="BY891" t="str">
            <v>TIDAK</v>
          </cell>
        </row>
        <row r="892">
          <cell r="A892" t="str">
            <v>A0473</v>
          </cell>
          <cell r="B892" t="str">
            <v>Ira Pratica</v>
          </cell>
          <cell r="C892" t="str">
            <v>TEMA C2</v>
          </cell>
          <cell r="D892">
            <v>44866</v>
          </cell>
          <cell r="E892" t="str">
            <v>Nov-22</v>
          </cell>
          <cell r="F892" t="str">
            <v>REGULER</v>
          </cell>
          <cell r="G892" t="str">
            <v>REGULER</v>
          </cell>
          <cell r="H892" t="str">
            <v>-</v>
          </cell>
          <cell r="I892" t="str">
            <v>-</v>
          </cell>
          <cell r="J892" t="str">
            <v>-</v>
          </cell>
          <cell r="K892" t="str">
            <v>-</v>
          </cell>
          <cell r="L892" t="str">
            <v>-</v>
          </cell>
          <cell r="M892">
            <v>13</v>
          </cell>
          <cell r="N892">
            <v>20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 t="str">
            <v/>
          </cell>
          <cell r="T892">
            <v>33</v>
          </cell>
          <cell r="U892">
            <v>13</v>
          </cell>
          <cell r="V892">
            <v>20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 t="str">
            <v/>
          </cell>
          <cell r="AB892">
            <v>33</v>
          </cell>
          <cell r="AC892">
            <v>5</v>
          </cell>
          <cell r="AD892" t="str">
            <v>DOWNGRADE</v>
          </cell>
          <cell r="AE892" t="str">
            <v>RESET</v>
          </cell>
          <cell r="AF892">
            <v>0</v>
          </cell>
          <cell r="AG892">
            <v>4</v>
          </cell>
          <cell r="AH892" t="str">
            <v>SAPHIRE</v>
          </cell>
          <cell r="AI892">
            <v>0</v>
          </cell>
          <cell r="AJ892" t="str">
            <v>FALSE</v>
          </cell>
          <cell r="AK892">
            <v>0</v>
          </cell>
          <cell r="AL892">
            <v>45261</v>
          </cell>
          <cell r="AM892">
            <v>45701</v>
          </cell>
          <cell r="AN892">
            <v>1</v>
          </cell>
          <cell r="AO892">
            <v>0</v>
          </cell>
          <cell r="AP892" t="str">
            <v>-</v>
          </cell>
          <cell r="AQ892" t="str">
            <v>-</v>
          </cell>
          <cell r="AR892" t="str">
            <v>-</v>
          </cell>
          <cell r="AS892" t="str">
            <v>-</v>
          </cell>
          <cell r="AT892" t="str">
            <v>-</v>
          </cell>
          <cell r="AU892" t="str">
            <v>-</v>
          </cell>
          <cell r="AV892" t="str">
            <v/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 t="str">
            <v/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 t="str">
            <v/>
          </cell>
          <cell r="BN892">
            <v>0</v>
          </cell>
          <cell r="BO892" t="str">
            <v/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T892">
            <v>0</v>
          </cell>
          <cell r="BU892" t="str">
            <v/>
          </cell>
          <cell r="BV892">
            <v>0</v>
          </cell>
          <cell r="BW892">
            <v>7</v>
          </cell>
          <cell r="BX892" t="str">
            <v>DOWNGRADE</v>
          </cell>
          <cell r="BY892" t="str">
            <v>RESET</v>
          </cell>
        </row>
        <row r="893">
          <cell r="A893" t="str">
            <v>A4108</v>
          </cell>
          <cell r="B893" t="str">
            <v>IRA PUSPITA</v>
          </cell>
          <cell r="C893" t="str">
            <v>TEMA C2</v>
          </cell>
          <cell r="D893">
            <v>45456</v>
          </cell>
          <cell r="E893" t="str">
            <v>Jun-24</v>
          </cell>
          <cell r="F893" t="str">
            <v>-</v>
          </cell>
          <cell r="G893" t="str">
            <v>-</v>
          </cell>
          <cell r="H893" t="str">
            <v>-</v>
          </cell>
          <cell r="I893" t="str">
            <v>-</v>
          </cell>
          <cell r="J893" t="str">
            <v>-</v>
          </cell>
          <cell r="K893" t="str">
            <v>-</v>
          </cell>
          <cell r="L893" t="str">
            <v>REGULER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4</v>
          </cell>
          <cell r="T893">
            <v>4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4</v>
          </cell>
          <cell r="AB893">
            <v>4</v>
          </cell>
          <cell r="AC893">
            <v>0</v>
          </cell>
          <cell r="AD893" t="str">
            <v>TIDAK</v>
          </cell>
          <cell r="AE893" t="str">
            <v>TIDAK</v>
          </cell>
          <cell r="AF893">
            <v>4</v>
          </cell>
          <cell r="AG893">
            <v>1</v>
          </cell>
          <cell r="AH893" t="str">
            <v>SAPHIRE</v>
          </cell>
          <cell r="AI893">
            <v>0</v>
          </cell>
          <cell r="AJ893" t="str">
            <v>FALSE</v>
          </cell>
          <cell r="AK893">
            <v>0</v>
          </cell>
          <cell r="AL893">
            <v>45261</v>
          </cell>
          <cell r="AM893">
            <v>45701</v>
          </cell>
          <cell r="AN893">
            <v>1</v>
          </cell>
          <cell r="AO893">
            <v>4</v>
          </cell>
          <cell r="AP893" t="str">
            <v>-</v>
          </cell>
          <cell r="AQ893" t="str">
            <v>-</v>
          </cell>
          <cell r="AR893" t="str">
            <v>-</v>
          </cell>
          <cell r="AS893" t="str">
            <v>-</v>
          </cell>
          <cell r="AT893" t="str">
            <v>-</v>
          </cell>
          <cell r="AU893" t="str">
            <v>-</v>
          </cell>
          <cell r="AV893" t="str">
            <v/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 t="str">
            <v/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 t="str">
            <v/>
          </cell>
          <cell r="BN893">
            <v>0</v>
          </cell>
          <cell r="BO893" t="str">
            <v/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T893">
            <v>0</v>
          </cell>
          <cell r="BU893" t="str">
            <v/>
          </cell>
          <cell r="BV893">
            <v>0</v>
          </cell>
          <cell r="BW893">
            <v>7</v>
          </cell>
          <cell r="BX893" t="str">
            <v>DOWNGRADE</v>
          </cell>
          <cell r="BY893" t="str">
            <v>RESET</v>
          </cell>
        </row>
        <row r="894">
          <cell r="A894" t="str">
            <v>A3574</v>
          </cell>
          <cell r="B894" t="str">
            <v>Irfan Arfianto</v>
          </cell>
          <cell r="C894" t="str">
            <v>TEMA C2</v>
          </cell>
          <cell r="D894">
            <v>45307</v>
          </cell>
          <cell r="E894" t="str">
            <v>Jan-24</v>
          </cell>
          <cell r="F894" t="str">
            <v>-</v>
          </cell>
          <cell r="G894" t="str">
            <v>REGULER</v>
          </cell>
          <cell r="H894" t="str">
            <v>REGULER</v>
          </cell>
          <cell r="I894" t="str">
            <v>-</v>
          </cell>
          <cell r="J894" t="str">
            <v>-</v>
          </cell>
          <cell r="K894" t="str">
            <v>-</v>
          </cell>
          <cell r="L894" t="str">
            <v>-</v>
          </cell>
          <cell r="M894">
            <v>0</v>
          </cell>
          <cell r="N894">
            <v>19</v>
          </cell>
          <cell r="O894">
            <v>5</v>
          </cell>
          <cell r="P894">
            <v>0</v>
          </cell>
          <cell r="Q894">
            <v>0</v>
          </cell>
          <cell r="R894">
            <v>0</v>
          </cell>
          <cell r="S894" t="str">
            <v/>
          </cell>
          <cell r="T894">
            <v>24</v>
          </cell>
          <cell r="U894">
            <v>0</v>
          </cell>
          <cell r="V894">
            <v>19</v>
          </cell>
          <cell r="W894">
            <v>5</v>
          </cell>
          <cell r="X894">
            <v>0</v>
          </cell>
          <cell r="Y894">
            <v>0</v>
          </cell>
          <cell r="Z894">
            <v>0</v>
          </cell>
          <cell r="AA894" t="str">
            <v/>
          </cell>
          <cell r="AB894">
            <v>24</v>
          </cell>
          <cell r="AC894">
            <v>4</v>
          </cell>
          <cell r="AD894" t="str">
            <v>DOWNGRADE</v>
          </cell>
          <cell r="AE894" t="str">
            <v>RESET</v>
          </cell>
          <cell r="AF894">
            <v>0</v>
          </cell>
          <cell r="AG894">
            <v>2</v>
          </cell>
          <cell r="AH894" t="str">
            <v>SAPHIRE</v>
          </cell>
          <cell r="AI894">
            <v>0</v>
          </cell>
          <cell r="AJ894" t="str">
            <v>FALSE</v>
          </cell>
          <cell r="AK894">
            <v>0</v>
          </cell>
          <cell r="AL894">
            <v>45261</v>
          </cell>
          <cell r="AM894">
            <v>45701</v>
          </cell>
          <cell r="AN894">
            <v>1</v>
          </cell>
          <cell r="AO894">
            <v>0</v>
          </cell>
          <cell r="AP894" t="str">
            <v>-</v>
          </cell>
          <cell r="AQ894" t="str">
            <v>-</v>
          </cell>
          <cell r="AR894" t="str">
            <v>-</v>
          </cell>
          <cell r="AS894" t="str">
            <v>-</v>
          </cell>
          <cell r="AT894" t="str">
            <v>-</v>
          </cell>
          <cell r="AU894" t="str">
            <v>-</v>
          </cell>
          <cell r="AV894" t="str">
            <v/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 t="str">
            <v/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 t="str">
            <v/>
          </cell>
          <cell r="BN894">
            <v>0</v>
          </cell>
          <cell r="BO894" t="str">
            <v/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 t="str">
            <v/>
          </cell>
          <cell r="BV894">
            <v>0</v>
          </cell>
          <cell r="BW894">
            <v>7</v>
          </cell>
          <cell r="BX894" t="str">
            <v>DOWNGRADE</v>
          </cell>
          <cell r="BY894" t="str">
            <v>RESET</v>
          </cell>
        </row>
        <row r="895">
          <cell r="A895" t="str">
            <v>A0369</v>
          </cell>
          <cell r="B895" t="str">
            <v>Isna Nur Muharimah</v>
          </cell>
          <cell r="C895" t="str">
            <v>TEMA C2</v>
          </cell>
          <cell r="D895">
            <v>44851</v>
          </cell>
          <cell r="E895" t="str">
            <v>Oct-22</v>
          </cell>
          <cell r="F895" t="str">
            <v>REGULER</v>
          </cell>
          <cell r="G895" t="str">
            <v>REGULER</v>
          </cell>
          <cell r="H895" t="str">
            <v>REGULER</v>
          </cell>
          <cell r="I895" t="str">
            <v>REGULER</v>
          </cell>
          <cell r="J895" t="str">
            <v>REGULER</v>
          </cell>
          <cell r="K895" t="str">
            <v>REGULER</v>
          </cell>
          <cell r="L895" t="str">
            <v>REGULER</v>
          </cell>
          <cell r="M895">
            <v>14</v>
          </cell>
          <cell r="N895">
            <v>39</v>
          </cell>
          <cell r="O895">
            <v>28</v>
          </cell>
          <cell r="P895">
            <v>28</v>
          </cell>
          <cell r="Q895">
            <v>26</v>
          </cell>
          <cell r="R895">
            <v>33</v>
          </cell>
          <cell r="S895">
            <v>17</v>
          </cell>
          <cell r="T895">
            <v>185</v>
          </cell>
          <cell r="U895">
            <v>14</v>
          </cell>
          <cell r="V895">
            <v>39</v>
          </cell>
          <cell r="W895">
            <v>28</v>
          </cell>
          <cell r="X895">
            <v>28</v>
          </cell>
          <cell r="Y895">
            <v>26</v>
          </cell>
          <cell r="Z895">
            <v>33</v>
          </cell>
          <cell r="AA895">
            <v>17</v>
          </cell>
          <cell r="AB895">
            <v>185</v>
          </cell>
          <cell r="AC895">
            <v>0</v>
          </cell>
          <cell r="AD895" t="str">
            <v>TIDAK</v>
          </cell>
          <cell r="AE895" t="str">
            <v>TIDAK</v>
          </cell>
          <cell r="AF895">
            <v>185</v>
          </cell>
          <cell r="AG895">
            <v>2</v>
          </cell>
          <cell r="AH895" t="str">
            <v>SAPHIRE</v>
          </cell>
          <cell r="AI895">
            <v>0</v>
          </cell>
          <cell r="AJ895" t="str">
            <v>Y</v>
          </cell>
          <cell r="AK895">
            <v>0</v>
          </cell>
          <cell r="AL895">
            <v>45261</v>
          </cell>
          <cell r="AM895">
            <v>45701</v>
          </cell>
          <cell r="AN895">
            <v>1</v>
          </cell>
          <cell r="AO895">
            <v>185</v>
          </cell>
          <cell r="AP895" t="str">
            <v>-</v>
          </cell>
          <cell r="AQ895" t="str">
            <v>-</v>
          </cell>
          <cell r="AR895" t="str">
            <v>REGULER</v>
          </cell>
          <cell r="AS895" t="str">
            <v>REGULER</v>
          </cell>
          <cell r="AT895" t="str">
            <v>REGULER</v>
          </cell>
          <cell r="AU895" t="str">
            <v>REGULER</v>
          </cell>
          <cell r="AV895" t="str">
            <v/>
          </cell>
          <cell r="AW895">
            <v>33</v>
          </cell>
          <cell r="AX895">
            <v>24</v>
          </cell>
          <cell r="AY895">
            <v>19</v>
          </cell>
          <cell r="AZ895">
            <v>20</v>
          </cell>
          <cell r="BA895">
            <v>16</v>
          </cell>
          <cell r="BB895">
            <v>33</v>
          </cell>
          <cell r="BC895">
            <v>24</v>
          </cell>
          <cell r="BD895">
            <v>19</v>
          </cell>
          <cell r="BE895">
            <v>20</v>
          </cell>
          <cell r="BF895">
            <v>16</v>
          </cell>
          <cell r="BG895">
            <v>14</v>
          </cell>
          <cell r="BH895">
            <v>33</v>
          </cell>
          <cell r="BI895">
            <v>24</v>
          </cell>
          <cell r="BJ895">
            <v>19</v>
          </cell>
          <cell r="BK895">
            <v>20</v>
          </cell>
          <cell r="BL895">
            <v>16</v>
          </cell>
          <cell r="BM895">
            <v>7</v>
          </cell>
          <cell r="BN895">
            <v>133</v>
          </cell>
          <cell r="BO895">
            <v>14</v>
          </cell>
          <cell r="BP895">
            <v>33</v>
          </cell>
          <cell r="BQ895">
            <v>24</v>
          </cell>
          <cell r="BR895">
            <v>19</v>
          </cell>
          <cell r="BS895">
            <v>20</v>
          </cell>
          <cell r="BT895">
            <v>16</v>
          </cell>
          <cell r="BU895">
            <v>7</v>
          </cell>
          <cell r="BV895">
            <v>133</v>
          </cell>
          <cell r="BW895">
            <v>0</v>
          </cell>
          <cell r="BX895" t="str">
            <v>TIDAK</v>
          </cell>
          <cell r="BY895" t="str">
            <v>TIDAK</v>
          </cell>
        </row>
        <row r="896">
          <cell r="A896" t="str">
            <v>A2790</v>
          </cell>
          <cell r="B896" t="str">
            <v>Isnaini Nurul Khasanah</v>
          </cell>
          <cell r="C896" t="str">
            <v>TEMA C2</v>
          </cell>
          <cell r="D896">
            <v>45222</v>
          </cell>
          <cell r="E896" t="str">
            <v>Oct-23</v>
          </cell>
          <cell r="F896" t="str">
            <v>REGULER</v>
          </cell>
          <cell r="G896" t="str">
            <v>-</v>
          </cell>
          <cell r="H896" t="str">
            <v>-</v>
          </cell>
          <cell r="I896" t="str">
            <v>REGULER</v>
          </cell>
          <cell r="J896" t="str">
            <v>-</v>
          </cell>
          <cell r="K896" t="str">
            <v>-</v>
          </cell>
          <cell r="L896" t="str">
            <v>-</v>
          </cell>
          <cell r="M896">
            <v>11</v>
          </cell>
          <cell r="N896">
            <v>0</v>
          </cell>
          <cell r="O896">
            <v>0</v>
          </cell>
          <cell r="P896">
            <v>1</v>
          </cell>
          <cell r="Q896">
            <v>0</v>
          </cell>
          <cell r="R896">
            <v>0</v>
          </cell>
          <cell r="S896" t="str">
            <v/>
          </cell>
          <cell r="T896">
            <v>12</v>
          </cell>
          <cell r="U896">
            <v>11</v>
          </cell>
          <cell r="V896">
            <v>0</v>
          </cell>
          <cell r="W896">
            <v>0</v>
          </cell>
          <cell r="X896">
            <v>1</v>
          </cell>
          <cell r="Y896">
            <v>0</v>
          </cell>
          <cell r="Z896">
            <v>0</v>
          </cell>
          <cell r="AA896" t="str">
            <v/>
          </cell>
          <cell r="AB896">
            <v>12</v>
          </cell>
          <cell r="AC896">
            <v>5</v>
          </cell>
          <cell r="AD896" t="str">
            <v>DOWNGRADE</v>
          </cell>
          <cell r="AE896" t="str">
            <v>RESET</v>
          </cell>
          <cell r="AF896">
            <v>0</v>
          </cell>
          <cell r="AG896">
            <v>2</v>
          </cell>
          <cell r="AH896" t="str">
            <v>SAPHIRE</v>
          </cell>
          <cell r="AI896">
            <v>0</v>
          </cell>
          <cell r="AJ896" t="str">
            <v>FALSE</v>
          </cell>
          <cell r="AK896">
            <v>0</v>
          </cell>
          <cell r="AL896">
            <v>45261</v>
          </cell>
          <cell r="AM896">
            <v>45701</v>
          </cell>
          <cell r="AN896">
            <v>1</v>
          </cell>
          <cell r="AO896">
            <v>0</v>
          </cell>
          <cell r="AP896" t="str">
            <v>-</v>
          </cell>
          <cell r="AQ896" t="str">
            <v>-</v>
          </cell>
          <cell r="AR896" t="str">
            <v>-</v>
          </cell>
          <cell r="AS896" t="str">
            <v>-</v>
          </cell>
          <cell r="AT896" t="str">
            <v>-</v>
          </cell>
          <cell r="AU896" t="str">
            <v>-</v>
          </cell>
          <cell r="AV896" t="str">
            <v/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 t="str">
            <v/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 t="str">
            <v/>
          </cell>
          <cell r="BN896">
            <v>0</v>
          </cell>
          <cell r="BO896" t="str">
            <v/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  <cell r="BU896" t="str">
            <v/>
          </cell>
          <cell r="BV896">
            <v>0</v>
          </cell>
          <cell r="BW896">
            <v>7</v>
          </cell>
          <cell r="BX896" t="str">
            <v>DOWNGRADE</v>
          </cell>
          <cell r="BY896" t="str">
            <v>RESET</v>
          </cell>
        </row>
        <row r="897">
          <cell r="A897" t="str">
            <v>A3712</v>
          </cell>
          <cell r="B897" t="str">
            <v>Ivander Carl Pratama Manulang</v>
          </cell>
          <cell r="C897" t="str">
            <v>TEMA C2</v>
          </cell>
          <cell r="D897">
            <v>45323</v>
          </cell>
          <cell r="E897" t="str">
            <v>Feb-24</v>
          </cell>
          <cell r="F897" t="str">
            <v>-</v>
          </cell>
          <cell r="G897" t="str">
            <v>-</v>
          </cell>
          <cell r="H897" t="str">
            <v>REGULER</v>
          </cell>
          <cell r="I897" t="str">
            <v>-</v>
          </cell>
          <cell r="J897" t="str">
            <v>-</v>
          </cell>
          <cell r="K897" t="str">
            <v>-</v>
          </cell>
          <cell r="L897" t="str">
            <v>-</v>
          </cell>
          <cell r="M897">
            <v>0</v>
          </cell>
          <cell r="N897">
            <v>0</v>
          </cell>
          <cell r="O897">
            <v>15</v>
          </cell>
          <cell r="P897">
            <v>0</v>
          </cell>
          <cell r="Q897">
            <v>0</v>
          </cell>
          <cell r="R897">
            <v>0</v>
          </cell>
          <cell r="S897" t="str">
            <v/>
          </cell>
          <cell r="T897">
            <v>15</v>
          </cell>
          <cell r="U897">
            <v>0</v>
          </cell>
          <cell r="V897">
            <v>0</v>
          </cell>
          <cell r="W897">
            <v>15</v>
          </cell>
          <cell r="X897">
            <v>0</v>
          </cell>
          <cell r="Y897">
            <v>0</v>
          </cell>
          <cell r="Z897">
            <v>0</v>
          </cell>
          <cell r="AA897" t="str">
            <v/>
          </cell>
          <cell r="AB897">
            <v>15</v>
          </cell>
          <cell r="AC897">
            <v>4</v>
          </cell>
          <cell r="AD897" t="str">
            <v>DOWNGRADE</v>
          </cell>
          <cell r="AE897" t="str">
            <v>RESET</v>
          </cell>
          <cell r="AF897">
            <v>0</v>
          </cell>
          <cell r="AG897">
            <v>1</v>
          </cell>
          <cell r="AH897" t="str">
            <v>SAPHIRE</v>
          </cell>
          <cell r="AI897">
            <v>0</v>
          </cell>
          <cell r="AJ897" t="str">
            <v>FALSE</v>
          </cell>
          <cell r="AK897">
            <v>0</v>
          </cell>
          <cell r="AL897">
            <v>45261</v>
          </cell>
          <cell r="AM897">
            <v>45701</v>
          </cell>
          <cell r="AN897">
            <v>1</v>
          </cell>
          <cell r="AO897">
            <v>0</v>
          </cell>
          <cell r="AP897" t="str">
            <v>-</v>
          </cell>
          <cell r="AQ897" t="str">
            <v>-</v>
          </cell>
          <cell r="AR897" t="str">
            <v>-</v>
          </cell>
          <cell r="AS897" t="str">
            <v>-</v>
          </cell>
          <cell r="AT897" t="str">
            <v>-</v>
          </cell>
          <cell r="AU897" t="str">
            <v>-</v>
          </cell>
          <cell r="AV897" t="str">
            <v/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 t="str">
            <v/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 t="str">
            <v/>
          </cell>
          <cell r="BN897">
            <v>0</v>
          </cell>
          <cell r="BO897" t="str">
            <v/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 t="str">
            <v/>
          </cell>
          <cell r="BV897">
            <v>0</v>
          </cell>
          <cell r="BW897">
            <v>7</v>
          </cell>
          <cell r="BX897" t="str">
            <v>DOWNGRADE</v>
          </cell>
          <cell r="BY897" t="str">
            <v>RESET</v>
          </cell>
        </row>
        <row r="898">
          <cell r="A898" t="str">
            <v>A2855</v>
          </cell>
          <cell r="B898" t="str">
            <v>Jasmine Rizky</v>
          </cell>
          <cell r="C898" t="str">
            <v>TEMA C2</v>
          </cell>
          <cell r="D898">
            <v>45178</v>
          </cell>
          <cell r="E898" t="str">
            <v>Sep-23</v>
          </cell>
          <cell r="F898" t="str">
            <v>REGULER</v>
          </cell>
          <cell r="G898" t="str">
            <v>REGULER</v>
          </cell>
          <cell r="H898" t="str">
            <v>REGULER</v>
          </cell>
          <cell r="I898" t="str">
            <v>REGULER</v>
          </cell>
          <cell r="J898" t="str">
            <v>REGULER</v>
          </cell>
          <cell r="K898" t="str">
            <v>REGULER</v>
          </cell>
          <cell r="L898" t="str">
            <v>REGULER</v>
          </cell>
          <cell r="M898">
            <v>6</v>
          </cell>
          <cell r="N898">
            <v>30</v>
          </cell>
          <cell r="O898">
            <v>29</v>
          </cell>
          <cell r="P898">
            <v>3</v>
          </cell>
          <cell r="Q898">
            <v>18</v>
          </cell>
          <cell r="R898">
            <v>17</v>
          </cell>
          <cell r="S898">
            <v>4</v>
          </cell>
          <cell r="T898">
            <v>107</v>
          </cell>
          <cell r="U898">
            <v>6</v>
          </cell>
          <cell r="V898">
            <v>30</v>
          </cell>
          <cell r="W898">
            <v>29</v>
          </cell>
          <cell r="X898">
            <v>3</v>
          </cell>
          <cell r="Y898">
            <v>18</v>
          </cell>
          <cell r="Z898">
            <v>17</v>
          </cell>
          <cell r="AA898">
            <v>4</v>
          </cell>
          <cell r="AB898">
            <v>107</v>
          </cell>
          <cell r="AC898">
            <v>0</v>
          </cell>
          <cell r="AD898" t="str">
            <v>TIDAK</v>
          </cell>
          <cell r="AE898" t="str">
            <v>TIDAK</v>
          </cell>
          <cell r="AF898">
            <v>107</v>
          </cell>
          <cell r="AG898">
            <v>2</v>
          </cell>
          <cell r="AH898" t="str">
            <v>SAPHIRE</v>
          </cell>
          <cell r="AI898">
            <v>0</v>
          </cell>
          <cell r="AJ898" t="str">
            <v>Y</v>
          </cell>
          <cell r="AK898">
            <v>0</v>
          </cell>
          <cell r="AL898">
            <v>45261</v>
          </cell>
          <cell r="AM898">
            <v>45701</v>
          </cell>
          <cell r="AN898">
            <v>1</v>
          </cell>
          <cell r="AO898">
            <v>107</v>
          </cell>
          <cell r="AP898" t="str">
            <v>-</v>
          </cell>
          <cell r="AQ898" t="str">
            <v>-</v>
          </cell>
          <cell r="AR898" t="str">
            <v>-</v>
          </cell>
          <cell r="AS898" t="str">
            <v>-</v>
          </cell>
          <cell r="AT898" t="str">
            <v>-</v>
          </cell>
          <cell r="AU898" t="str">
            <v>-</v>
          </cell>
          <cell r="AV898" t="str">
            <v/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2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 t="str">
            <v/>
          </cell>
          <cell r="BN898">
            <v>2</v>
          </cell>
          <cell r="BO898">
            <v>2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T898">
            <v>0</v>
          </cell>
          <cell r="BU898" t="str">
            <v/>
          </cell>
          <cell r="BV898">
            <v>2</v>
          </cell>
          <cell r="BW898">
            <v>6</v>
          </cell>
          <cell r="BX898" t="str">
            <v>DOWNGRADE</v>
          </cell>
          <cell r="BY898" t="str">
            <v>RESET</v>
          </cell>
        </row>
        <row r="899">
          <cell r="A899" t="str">
            <v>A2574</v>
          </cell>
          <cell r="B899" t="str">
            <v>Jatu Astri Pradista</v>
          </cell>
          <cell r="C899" t="str">
            <v>TEMA C2</v>
          </cell>
          <cell r="D899">
            <v>45093</v>
          </cell>
          <cell r="E899" t="str">
            <v>Jun-23</v>
          </cell>
          <cell r="F899" t="str">
            <v>EKSKLUSIF</v>
          </cell>
          <cell r="G899" t="str">
            <v>EKSKLUSIF</v>
          </cell>
          <cell r="H899" t="str">
            <v>EKSKLUSIF</v>
          </cell>
          <cell r="I899" t="str">
            <v>EKSKLUSIF</v>
          </cell>
          <cell r="J899" t="str">
            <v>REGULER</v>
          </cell>
          <cell r="K899" t="str">
            <v>EKSKLUSIF</v>
          </cell>
          <cell r="L899" t="str">
            <v>EKSKLUSIF</v>
          </cell>
          <cell r="M899">
            <v>21</v>
          </cell>
          <cell r="N899">
            <v>44</v>
          </cell>
          <cell r="O899">
            <v>39</v>
          </cell>
          <cell r="P899">
            <v>38</v>
          </cell>
          <cell r="Q899">
            <v>37</v>
          </cell>
          <cell r="R899">
            <v>41</v>
          </cell>
          <cell r="S899">
            <v>22</v>
          </cell>
          <cell r="T899">
            <v>242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37</v>
          </cell>
          <cell r="Z899">
            <v>0</v>
          </cell>
          <cell r="AA899">
            <v>0</v>
          </cell>
          <cell r="AB899">
            <v>37</v>
          </cell>
          <cell r="AC899">
            <v>0</v>
          </cell>
          <cell r="AD899" t="str">
            <v>TIDAK</v>
          </cell>
          <cell r="AE899" t="str">
            <v>TIDAK</v>
          </cell>
          <cell r="AF899">
            <v>37</v>
          </cell>
          <cell r="AG899">
            <v>3</v>
          </cell>
          <cell r="AH899" t="str">
            <v>SAPHIRE</v>
          </cell>
          <cell r="AI899">
            <v>0</v>
          </cell>
          <cell r="AJ899" t="str">
            <v>FALSE</v>
          </cell>
          <cell r="AK899">
            <v>0</v>
          </cell>
          <cell r="AL899">
            <v>45261</v>
          </cell>
          <cell r="AM899">
            <v>45701</v>
          </cell>
          <cell r="AN899">
            <v>1</v>
          </cell>
          <cell r="AO899">
            <v>37</v>
          </cell>
          <cell r="AP899" t="str">
            <v>EKSKLUSIF</v>
          </cell>
          <cell r="AQ899" t="str">
            <v>-</v>
          </cell>
          <cell r="AR899" t="str">
            <v>EKSKLUSIF</v>
          </cell>
          <cell r="AS899" t="str">
            <v>EKSKLUSIF</v>
          </cell>
          <cell r="AT899" t="str">
            <v>EKSKLUSIF</v>
          </cell>
          <cell r="AU899" t="str">
            <v>REGULER</v>
          </cell>
          <cell r="AV899" t="str">
            <v/>
          </cell>
          <cell r="AW899">
            <v>41</v>
          </cell>
          <cell r="AX899">
            <v>42</v>
          </cell>
          <cell r="AY899">
            <v>42</v>
          </cell>
          <cell r="AZ899">
            <v>46</v>
          </cell>
          <cell r="BA899">
            <v>34</v>
          </cell>
          <cell r="BB899">
            <v>41</v>
          </cell>
          <cell r="BC899">
            <v>42</v>
          </cell>
          <cell r="BD899">
            <v>42</v>
          </cell>
          <cell r="BE899">
            <v>46</v>
          </cell>
          <cell r="BF899">
            <v>34</v>
          </cell>
          <cell r="BG899">
            <v>19</v>
          </cell>
          <cell r="BH899">
            <v>41</v>
          </cell>
          <cell r="BI899">
            <v>42</v>
          </cell>
          <cell r="BJ899">
            <v>42</v>
          </cell>
          <cell r="BK899">
            <v>46</v>
          </cell>
          <cell r="BL899">
            <v>34</v>
          </cell>
          <cell r="BM899">
            <v>16</v>
          </cell>
          <cell r="BN899">
            <v>240</v>
          </cell>
          <cell r="BO899">
            <v>0</v>
          </cell>
          <cell r="BP899">
            <v>41</v>
          </cell>
          <cell r="BQ899">
            <v>0</v>
          </cell>
          <cell r="BR899">
            <v>0</v>
          </cell>
          <cell r="BS899">
            <v>0</v>
          </cell>
          <cell r="BT899">
            <v>34</v>
          </cell>
          <cell r="BU899">
            <v>16</v>
          </cell>
          <cell r="BV899">
            <v>91</v>
          </cell>
          <cell r="BW899">
            <v>0</v>
          </cell>
          <cell r="BX899" t="str">
            <v>TIDAK</v>
          </cell>
          <cell r="BY899" t="str">
            <v>TIDAK</v>
          </cell>
        </row>
        <row r="900">
          <cell r="A900" t="str">
            <v>A2432</v>
          </cell>
          <cell r="B900" t="str">
            <v>Joffe Panjaitan</v>
          </cell>
          <cell r="C900" t="str">
            <v>TEMA C2</v>
          </cell>
          <cell r="D900">
            <v>45203</v>
          </cell>
          <cell r="E900" t="str">
            <v>Oct-23</v>
          </cell>
          <cell r="F900" t="str">
            <v>REGULER</v>
          </cell>
          <cell r="G900" t="str">
            <v>EKSKLUSIF</v>
          </cell>
          <cell r="H900" t="str">
            <v>EKSKLUSIF</v>
          </cell>
          <cell r="I900" t="str">
            <v>EKSKLUSIF</v>
          </cell>
          <cell r="J900" t="str">
            <v>EKSKLUSIF</v>
          </cell>
          <cell r="K900" t="str">
            <v>EKSKLUSIF</v>
          </cell>
          <cell r="L900" t="str">
            <v>EKSKLUSIF</v>
          </cell>
          <cell r="M900">
            <v>17</v>
          </cell>
          <cell r="N900">
            <v>46</v>
          </cell>
          <cell r="O900">
            <v>40</v>
          </cell>
          <cell r="P900">
            <v>42</v>
          </cell>
          <cell r="Q900">
            <v>34</v>
          </cell>
          <cell r="R900">
            <v>42</v>
          </cell>
          <cell r="S900">
            <v>20</v>
          </cell>
          <cell r="T900">
            <v>241</v>
          </cell>
          <cell r="U900">
            <v>17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17</v>
          </cell>
          <cell r="AC900">
            <v>0</v>
          </cell>
          <cell r="AD900" t="str">
            <v>TIDAK</v>
          </cell>
          <cell r="AE900" t="str">
            <v>TIDAK</v>
          </cell>
          <cell r="AF900">
            <v>17</v>
          </cell>
          <cell r="AG900">
            <v>2</v>
          </cell>
          <cell r="AH900" t="str">
            <v>SAPHIRE</v>
          </cell>
          <cell r="AI900">
            <v>0</v>
          </cell>
          <cell r="AJ900" t="str">
            <v>FALSE</v>
          </cell>
          <cell r="AK900">
            <v>0</v>
          </cell>
          <cell r="AL900">
            <v>45261</v>
          </cell>
          <cell r="AM900">
            <v>45701</v>
          </cell>
          <cell r="AN900">
            <v>1</v>
          </cell>
          <cell r="AO900">
            <v>17</v>
          </cell>
          <cell r="AP900" t="str">
            <v>EKSKLUSIF</v>
          </cell>
          <cell r="AQ900" t="str">
            <v>-</v>
          </cell>
          <cell r="AR900" t="str">
            <v>REGULER</v>
          </cell>
          <cell r="AS900" t="str">
            <v>-</v>
          </cell>
          <cell r="AT900" t="str">
            <v>-</v>
          </cell>
          <cell r="AU900" t="str">
            <v>-</v>
          </cell>
          <cell r="AV900" t="str">
            <v/>
          </cell>
          <cell r="AW900">
            <v>31</v>
          </cell>
          <cell r="AX900">
            <v>2</v>
          </cell>
          <cell r="AY900">
            <v>0</v>
          </cell>
          <cell r="AZ900">
            <v>0</v>
          </cell>
          <cell r="BA900">
            <v>0</v>
          </cell>
          <cell r="BB900">
            <v>31</v>
          </cell>
          <cell r="BC900">
            <v>2</v>
          </cell>
          <cell r="BD900">
            <v>0</v>
          </cell>
          <cell r="BE900">
            <v>0</v>
          </cell>
          <cell r="BF900">
            <v>0</v>
          </cell>
          <cell r="BG900">
            <v>18</v>
          </cell>
          <cell r="BH900">
            <v>31</v>
          </cell>
          <cell r="BI900">
            <v>2</v>
          </cell>
          <cell r="BJ900">
            <v>0</v>
          </cell>
          <cell r="BK900">
            <v>0</v>
          </cell>
          <cell r="BL900">
            <v>0</v>
          </cell>
          <cell r="BM900" t="str">
            <v/>
          </cell>
          <cell r="BN900">
            <v>51</v>
          </cell>
          <cell r="BO900">
            <v>0</v>
          </cell>
          <cell r="BP900">
            <v>31</v>
          </cell>
          <cell r="BQ900">
            <v>2</v>
          </cell>
          <cell r="BR900">
            <v>0</v>
          </cell>
          <cell r="BS900">
            <v>0</v>
          </cell>
          <cell r="BT900">
            <v>0</v>
          </cell>
          <cell r="BU900" t="str">
            <v/>
          </cell>
          <cell r="BV900">
            <v>33</v>
          </cell>
          <cell r="BW900">
            <v>4</v>
          </cell>
          <cell r="BX900" t="str">
            <v>DOWNGRADE</v>
          </cell>
          <cell r="BY900" t="str">
            <v>RESET</v>
          </cell>
        </row>
        <row r="901">
          <cell r="A901" t="str">
            <v>A3803</v>
          </cell>
          <cell r="B901" t="str">
            <v>Josefta Teddy Utamihati</v>
          </cell>
          <cell r="C901" t="str">
            <v>TEMA C2</v>
          </cell>
          <cell r="D901">
            <v>45337</v>
          </cell>
          <cell r="E901" t="str">
            <v>Feb-24</v>
          </cell>
          <cell r="F901" t="str">
            <v>-</v>
          </cell>
          <cell r="G901" t="str">
            <v>-</v>
          </cell>
          <cell r="H901" t="str">
            <v>REGULER</v>
          </cell>
          <cell r="I901" t="str">
            <v>REGULER</v>
          </cell>
          <cell r="J901" t="str">
            <v>REGULER</v>
          </cell>
          <cell r="K901" t="str">
            <v>-</v>
          </cell>
          <cell r="L901" t="str">
            <v>-</v>
          </cell>
          <cell r="M901">
            <v>0</v>
          </cell>
          <cell r="N901">
            <v>0</v>
          </cell>
          <cell r="O901">
            <v>3</v>
          </cell>
          <cell r="P901">
            <v>11</v>
          </cell>
          <cell r="Q901">
            <v>9</v>
          </cell>
          <cell r="R901">
            <v>0</v>
          </cell>
          <cell r="S901" t="str">
            <v/>
          </cell>
          <cell r="T901">
            <v>23</v>
          </cell>
          <cell r="U901">
            <v>0</v>
          </cell>
          <cell r="V901">
            <v>0</v>
          </cell>
          <cell r="W901">
            <v>3</v>
          </cell>
          <cell r="X901">
            <v>11</v>
          </cell>
          <cell r="Y901">
            <v>9</v>
          </cell>
          <cell r="Z901">
            <v>0</v>
          </cell>
          <cell r="AA901" t="str">
            <v/>
          </cell>
          <cell r="AB901">
            <v>23</v>
          </cell>
          <cell r="AC901">
            <v>2</v>
          </cell>
          <cell r="AD901" t="str">
            <v>TIDAK</v>
          </cell>
          <cell r="AE901" t="str">
            <v>TIDAK</v>
          </cell>
          <cell r="AF901">
            <v>23</v>
          </cell>
          <cell r="AG901">
            <v>1</v>
          </cell>
          <cell r="AH901" t="str">
            <v>SAPHIRE</v>
          </cell>
          <cell r="AI901">
            <v>0</v>
          </cell>
          <cell r="AJ901" t="str">
            <v>FALSE</v>
          </cell>
          <cell r="AK901">
            <v>0</v>
          </cell>
          <cell r="AL901">
            <v>45261</v>
          </cell>
          <cell r="AM901">
            <v>45701</v>
          </cell>
          <cell r="AN901">
            <v>1</v>
          </cell>
          <cell r="AO901">
            <v>23</v>
          </cell>
          <cell r="AP901" t="str">
            <v>-</v>
          </cell>
          <cell r="AQ901" t="str">
            <v>-</v>
          </cell>
          <cell r="AR901" t="str">
            <v>-</v>
          </cell>
          <cell r="AS901" t="str">
            <v>-</v>
          </cell>
          <cell r="AT901" t="str">
            <v>-</v>
          </cell>
          <cell r="AU901" t="str">
            <v>-</v>
          </cell>
          <cell r="AV901" t="str">
            <v/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 t="str">
            <v/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 t="str">
            <v/>
          </cell>
          <cell r="BN901">
            <v>0</v>
          </cell>
          <cell r="BO901" t="str">
            <v/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 t="str">
            <v/>
          </cell>
          <cell r="BV901">
            <v>0</v>
          </cell>
          <cell r="BW901">
            <v>7</v>
          </cell>
          <cell r="BX901" t="str">
            <v>DOWNGRADE</v>
          </cell>
          <cell r="BY901" t="str">
            <v>RESET</v>
          </cell>
        </row>
        <row r="902">
          <cell r="A902" t="str">
            <v>A3913</v>
          </cell>
          <cell r="B902" t="str">
            <v>Juita Herlinawati Br Sitinjak</v>
          </cell>
          <cell r="C902" t="str">
            <v>TEMA C2</v>
          </cell>
          <cell r="D902">
            <v>45395</v>
          </cell>
          <cell r="E902" t="str">
            <v>Apr-24</v>
          </cell>
          <cell r="F902" t="str">
            <v>-</v>
          </cell>
          <cell r="G902" t="str">
            <v>-</v>
          </cell>
          <cell r="H902" t="str">
            <v>-</v>
          </cell>
          <cell r="I902" t="str">
            <v>-</v>
          </cell>
          <cell r="J902" t="str">
            <v>REGULER</v>
          </cell>
          <cell r="K902" t="str">
            <v>-</v>
          </cell>
          <cell r="L902" t="str">
            <v>-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17</v>
          </cell>
          <cell r="R902">
            <v>0</v>
          </cell>
          <cell r="S902" t="str">
            <v/>
          </cell>
          <cell r="T902">
            <v>17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17</v>
          </cell>
          <cell r="Z902">
            <v>0</v>
          </cell>
          <cell r="AA902" t="str">
            <v/>
          </cell>
          <cell r="AB902">
            <v>17</v>
          </cell>
          <cell r="AC902">
            <v>2</v>
          </cell>
          <cell r="AD902" t="str">
            <v>TIDAK</v>
          </cell>
          <cell r="AE902" t="str">
            <v>TIDAK</v>
          </cell>
          <cell r="AF902">
            <v>17</v>
          </cell>
          <cell r="AG902">
            <v>1</v>
          </cell>
          <cell r="AH902" t="str">
            <v>SAPHIRE</v>
          </cell>
          <cell r="AI902">
            <v>0</v>
          </cell>
          <cell r="AJ902" t="str">
            <v>FALSE</v>
          </cell>
          <cell r="AK902">
            <v>0</v>
          </cell>
          <cell r="AL902">
            <v>45261</v>
          </cell>
          <cell r="AM902">
            <v>45701</v>
          </cell>
          <cell r="AN902">
            <v>1</v>
          </cell>
          <cell r="AO902">
            <v>17</v>
          </cell>
          <cell r="AP902" t="str">
            <v>-</v>
          </cell>
          <cell r="AQ902" t="str">
            <v>-</v>
          </cell>
          <cell r="AR902" t="str">
            <v>-</v>
          </cell>
          <cell r="AS902" t="str">
            <v>-</v>
          </cell>
          <cell r="AT902" t="str">
            <v>-</v>
          </cell>
          <cell r="AU902" t="str">
            <v>-</v>
          </cell>
          <cell r="AV902" t="str">
            <v/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 t="str">
            <v/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 t="str">
            <v/>
          </cell>
          <cell r="BN902">
            <v>0</v>
          </cell>
          <cell r="BO902" t="str">
            <v/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 t="str">
            <v/>
          </cell>
          <cell r="BV902">
            <v>0</v>
          </cell>
          <cell r="BW902">
            <v>7</v>
          </cell>
          <cell r="BX902" t="str">
            <v>DOWNGRADE</v>
          </cell>
          <cell r="BY902" t="str">
            <v>RESET</v>
          </cell>
        </row>
        <row r="903">
          <cell r="A903" t="str">
            <v>A3349</v>
          </cell>
          <cell r="B903" t="str">
            <v>Juniar Rantika</v>
          </cell>
          <cell r="C903" t="str">
            <v>TEMA C2</v>
          </cell>
          <cell r="D903">
            <v>45262</v>
          </cell>
          <cell r="E903" t="str">
            <v>Dec-23</v>
          </cell>
          <cell r="F903" t="str">
            <v>REGULER</v>
          </cell>
          <cell r="G903" t="str">
            <v>REGULER</v>
          </cell>
          <cell r="H903" t="str">
            <v>REGULER</v>
          </cell>
          <cell r="I903" t="str">
            <v>REGULER</v>
          </cell>
          <cell r="J903" t="str">
            <v>REGULER</v>
          </cell>
          <cell r="K903" t="str">
            <v>-</v>
          </cell>
          <cell r="L903" t="str">
            <v>-</v>
          </cell>
          <cell r="M903">
            <v>4</v>
          </cell>
          <cell r="N903">
            <v>20</v>
          </cell>
          <cell r="O903">
            <v>16</v>
          </cell>
          <cell r="P903">
            <v>13</v>
          </cell>
          <cell r="Q903">
            <v>1</v>
          </cell>
          <cell r="R903">
            <v>0</v>
          </cell>
          <cell r="S903" t="str">
            <v/>
          </cell>
          <cell r="T903">
            <v>54</v>
          </cell>
          <cell r="U903">
            <v>4</v>
          </cell>
          <cell r="V903">
            <v>20</v>
          </cell>
          <cell r="W903">
            <v>16</v>
          </cell>
          <cell r="X903">
            <v>13</v>
          </cell>
          <cell r="Y903">
            <v>1</v>
          </cell>
          <cell r="Z903">
            <v>0</v>
          </cell>
          <cell r="AA903" t="str">
            <v/>
          </cell>
          <cell r="AB903">
            <v>54</v>
          </cell>
          <cell r="AC903">
            <v>2</v>
          </cell>
          <cell r="AD903" t="str">
            <v>TIDAK</v>
          </cell>
          <cell r="AE903" t="str">
            <v>TIDAK</v>
          </cell>
          <cell r="AF903">
            <v>54</v>
          </cell>
          <cell r="AG903">
            <v>1</v>
          </cell>
          <cell r="AH903" t="str">
            <v>SAPHIRE</v>
          </cell>
          <cell r="AI903">
            <v>0</v>
          </cell>
          <cell r="AJ903" t="str">
            <v>FALSE</v>
          </cell>
          <cell r="AK903">
            <v>0</v>
          </cell>
          <cell r="AL903">
            <v>45261</v>
          </cell>
          <cell r="AM903">
            <v>45701</v>
          </cell>
          <cell r="AN903">
            <v>1</v>
          </cell>
          <cell r="AO903">
            <v>54</v>
          </cell>
          <cell r="AP903" t="str">
            <v>-</v>
          </cell>
          <cell r="AQ903" t="str">
            <v>-</v>
          </cell>
          <cell r="AR903" t="str">
            <v>-</v>
          </cell>
          <cell r="AS903" t="str">
            <v>-</v>
          </cell>
          <cell r="AT903" t="str">
            <v>-</v>
          </cell>
          <cell r="AU903" t="str">
            <v>-</v>
          </cell>
          <cell r="AV903" t="str">
            <v/>
          </cell>
          <cell r="AW903">
            <v>2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2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 t="str">
            <v/>
          </cell>
          <cell r="BH903">
            <v>2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 t="str">
            <v/>
          </cell>
          <cell r="BN903">
            <v>2</v>
          </cell>
          <cell r="BO903" t="str">
            <v/>
          </cell>
          <cell r="BP903">
            <v>2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 t="str">
            <v/>
          </cell>
          <cell r="BV903">
            <v>2</v>
          </cell>
          <cell r="BW903">
            <v>6</v>
          </cell>
          <cell r="BX903" t="str">
            <v>DOWNGRADE</v>
          </cell>
          <cell r="BY903" t="str">
            <v>RESET</v>
          </cell>
        </row>
        <row r="904">
          <cell r="A904" t="str">
            <v>A4033</v>
          </cell>
          <cell r="B904" t="str">
            <v>KAMAL CHOLID</v>
          </cell>
          <cell r="C904" t="str">
            <v>TEMA C2</v>
          </cell>
          <cell r="D904">
            <v>45428</v>
          </cell>
          <cell r="E904" t="str">
            <v>May-24</v>
          </cell>
          <cell r="F904" t="str">
            <v>-</v>
          </cell>
          <cell r="G904" t="str">
            <v>-</v>
          </cell>
          <cell r="H904" t="str">
            <v>-</v>
          </cell>
          <cell r="I904" t="str">
            <v>-</v>
          </cell>
          <cell r="J904" t="str">
            <v>-</v>
          </cell>
          <cell r="K904" t="str">
            <v>REGULER</v>
          </cell>
          <cell r="L904" t="str">
            <v>-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5</v>
          </cell>
          <cell r="S904" t="str">
            <v/>
          </cell>
          <cell r="T904">
            <v>5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5</v>
          </cell>
          <cell r="AA904" t="str">
            <v/>
          </cell>
          <cell r="AB904">
            <v>5</v>
          </cell>
          <cell r="AC904">
            <v>1</v>
          </cell>
          <cell r="AD904" t="str">
            <v>TIDAK</v>
          </cell>
          <cell r="AE904" t="str">
            <v>TIDAK</v>
          </cell>
          <cell r="AF904">
            <v>5</v>
          </cell>
          <cell r="AG904">
            <v>1</v>
          </cell>
          <cell r="AH904" t="str">
            <v>SAPHIRE</v>
          </cell>
          <cell r="AI904">
            <v>0</v>
          </cell>
          <cell r="AJ904" t="str">
            <v>FALSE</v>
          </cell>
          <cell r="AK904">
            <v>0</v>
          </cell>
          <cell r="AL904">
            <v>45261</v>
          </cell>
          <cell r="AM904">
            <v>45701</v>
          </cell>
          <cell r="AN904">
            <v>1</v>
          </cell>
          <cell r="AO904">
            <v>5</v>
          </cell>
          <cell r="AP904" t="str">
            <v>-</v>
          </cell>
          <cell r="AQ904" t="str">
            <v>-</v>
          </cell>
          <cell r="AR904" t="str">
            <v>-</v>
          </cell>
          <cell r="AS904" t="str">
            <v>-</v>
          </cell>
          <cell r="AT904" t="str">
            <v>-</v>
          </cell>
          <cell r="AU904" t="str">
            <v>-</v>
          </cell>
          <cell r="AV904" t="str">
            <v/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 t="str">
            <v/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 t="str">
            <v/>
          </cell>
          <cell r="BN904">
            <v>0</v>
          </cell>
          <cell r="BO904" t="str">
            <v/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0</v>
          </cell>
          <cell r="BU904" t="str">
            <v/>
          </cell>
          <cell r="BV904">
            <v>0</v>
          </cell>
          <cell r="BW904">
            <v>7</v>
          </cell>
          <cell r="BX904" t="str">
            <v>DOWNGRADE</v>
          </cell>
          <cell r="BY904" t="str">
            <v>RESET</v>
          </cell>
        </row>
        <row r="905">
          <cell r="A905" t="str">
            <v>A2982</v>
          </cell>
          <cell r="B905" t="str">
            <v>Katherine Ivana Hadi</v>
          </cell>
          <cell r="C905" t="str">
            <v>TEMA C2</v>
          </cell>
          <cell r="D905">
            <v>45206</v>
          </cell>
          <cell r="E905" t="str">
            <v>Oct-23</v>
          </cell>
          <cell r="F905" t="str">
            <v>REGULER</v>
          </cell>
          <cell r="G905" t="str">
            <v>REGULER</v>
          </cell>
          <cell r="H905" t="str">
            <v>REGULER</v>
          </cell>
          <cell r="I905" t="str">
            <v>-</v>
          </cell>
          <cell r="J905" t="str">
            <v>-</v>
          </cell>
          <cell r="K905" t="str">
            <v>-</v>
          </cell>
          <cell r="L905" t="str">
            <v>-</v>
          </cell>
          <cell r="M905">
            <v>9</v>
          </cell>
          <cell r="N905">
            <v>28</v>
          </cell>
          <cell r="O905">
            <v>4</v>
          </cell>
          <cell r="P905">
            <v>0</v>
          </cell>
          <cell r="Q905">
            <v>0</v>
          </cell>
          <cell r="R905">
            <v>0</v>
          </cell>
          <cell r="S905" t="str">
            <v/>
          </cell>
          <cell r="T905">
            <v>41</v>
          </cell>
          <cell r="U905">
            <v>9</v>
          </cell>
          <cell r="V905">
            <v>28</v>
          </cell>
          <cell r="W905">
            <v>4</v>
          </cell>
          <cell r="X905">
            <v>0</v>
          </cell>
          <cell r="Y905">
            <v>0</v>
          </cell>
          <cell r="Z905">
            <v>0</v>
          </cell>
          <cell r="AA905" t="str">
            <v/>
          </cell>
          <cell r="AB905">
            <v>41</v>
          </cell>
          <cell r="AC905">
            <v>4</v>
          </cell>
          <cell r="AD905" t="str">
            <v>DOWNGRADE</v>
          </cell>
          <cell r="AE905" t="str">
            <v>RESET</v>
          </cell>
          <cell r="AF905">
            <v>0</v>
          </cell>
          <cell r="AG905">
            <v>2</v>
          </cell>
          <cell r="AH905" t="str">
            <v>SAPHIRE</v>
          </cell>
          <cell r="AI905">
            <v>0</v>
          </cell>
          <cell r="AJ905" t="str">
            <v>FALSE</v>
          </cell>
          <cell r="AK905">
            <v>0</v>
          </cell>
          <cell r="AL905">
            <v>45261</v>
          </cell>
          <cell r="AM905">
            <v>45701</v>
          </cell>
          <cell r="AN905">
            <v>1</v>
          </cell>
          <cell r="AO905">
            <v>0</v>
          </cell>
          <cell r="AP905" t="str">
            <v>-</v>
          </cell>
          <cell r="AQ905" t="str">
            <v>-</v>
          </cell>
          <cell r="AR905" t="str">
            <v>-</v>
          </cell>
          <cell r="AS905" t="str">
            <v>-</v>
          </cell>
          <cell r="AT905" t="str">
            <v>-</v>
          </cell>
          <cell r="AU905" t="str">
            <v>-</v>
          </cell>
          <cell r="AV905" t="str">
            <v/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 t="str">
            <v/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 t="str">
            <v/>
          </cell>
          <cell r="BN905">
            <v>0</v>
          </cell>
          <cell r="BO905" t="str">
            <v/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T905">
            <v>0</v>
          </cell>
          <cell r="BU905" t="str">
            <v/>
          </cell>
          <cell r="BV905">
            <v>0</v>
          </cell>
          <cell r="BW905">
            <v>7</v>
          </cell>
          <cell r="BX905" t="str">
            <v>DOWNGRADE</v>
          </cell>
          <cell r="BY905" t="str">
            <v>RESET</v>
          </cell>
        </row>
        <row r="906">
          <cell r="A906">
            <v>92303</v>
          </cell>
          <cell r="B906" t="str">
            <v>Kelvin Revido Hafidh Syahputra</v>
          </cell>
          <cell r="C906" t="str">
            <v>TEMA C2</v>
          </cell>
          <cell r="D906">
            <v>44670</v>
          </cell>
          <cell r="E906" t="str">
            <v>Apr-22</v>
          </cell>
          <cell r="F906" t="str">
            <v>REGULER</v>
          </cell>
          <cell r="G906" t="str">
            <v>EKSKLUSIF</v>
          </cell>
          <cell r="H906" t="str">
            <v>EKSKLUSIF</v>
          </cell>
          <cell r="I906" t="str">
            <v>EKSKLUSIF</v>
          </cell>
          <cell r="J906" t="str">
            <v>REGULER</v>
          </cell>
          <cell r="K906" t="str">
            <v>REGULER</v>
          </cell>
          <cell r="L906" t="str">
            <v>REGULER</v>
          </cell>
          <cell r="M906">
            <v>16</v>
          </cell>
          <cell r="N906">
            <v>44</v>
          </cell>
          <cell r="O906">
            <v>39</v>
          </cell>
          <cell r="P906">
            <v>37</v>
          </cell>
          <cell r="Q906">
            <v>33</v>
          </cell>
          <cell r="R906">
            <v>32</v>
          </cell>
          <cell r="S906">
            <v>15</v>
          </cell>
          <cell r="T906">
            <v>216</v>
          </cell>
          <cell r="U906">
            <v>16</v>
          </cell>
          <cell r="V906">
            <v>0</v>
          </cell>
          <cell r="W906">
            <v>0</v>
          </cell>
          <cell r="X906">
            <v>0</v>
          </cell>
          <cell r="Y906">
            <v>33</v>
          </cell>
          <cell r="Z906">
            <v>32</v>
          </cell>
          <cell r="AA906">
            <v>15</v>
          </cell>
          <cell r="AB906">
            <v>96</v>
          </cell>
          <cell r="AC906">
            <v>0</v>
          </cell>
          <cell r="AD906" t="str">
            <v>TIDAK</v>
          </cell>
          <cell r="AE906" t="str">
            <v>TIDAK</v>
          </cell>
          <cell r="AF906">
            <v>96</v>
          </cell>
          <cell r="AG906">
            <v>4</v>
          </cell>
          <cell r="AH906" t="str">
            <v>SAPHIRE</v>
          </cell>
          <cell r="AI906">
            <v>0</v>
          </cell>
          <cell r="AJ906" t="str">
            <v>Y</v>
          </cell>
          <cell r="AK906">
            <v>0</v>
          </cell>
          <cell r="AL906">
            <v>45261</v>
          </cell>
          <cell r="AM906">
            <v>45701</v>
          </cell>
          <cell r="AN906">
            <v>1</v>
          </cell>
          <cell r="AO906">
            <v>96</v>
          </cell>
          <cell r="AP906" t="str">
            <v>-</v>
          </cell>
          <cell r="AQ906" t="str">
            <v>-</v>
          </cell>
          <cell r="AR906" t="str">
            <v>REGULER</v>
          </cell>
          <cell r="AS906" t="str">
            <v>REGULER</v>
          </cell>
          <cell r="AT906" t="str">
            <v>REGULER</v>
          </cell>
          <cell r="AU906" t="str">
            <v>REGULER</v>
          </cell>
          <cell r="AV906" t="str">
            <v/>
          </cell>
          <cell r="AW906">
            <v>25</v>
          </cell>
          <cell r="AX906">
            <v>32</v>
          </cell>
          <cell r="AY906">
            <v>25</v>
          </cell>
          <cell r="AZ906">
            <v>37</v>
          </cell>
          <cell r="BA906">
            <v>28</v>
          </cell>
          <cell r="BB906">
            <v>25</v>
          </cell>
          <cell r="BC906">
            <v>32</v>
          </cell>
          <cell r="BD906">
            <v>25</v>
          </cell>
          <cell r="BE906">
            <v>37</v>
          </cell>
          <cell r="BF906">
            <v>28</v>
          </cell>
          <cell r="BG906">
            <v>10</v>
          </cell>
          <cell r="BH906">
            <v>25</v>
          </cell>
          <cell r="BI906">
            <v>32</v>
          </cell>
          <cell r="BJ906">
            <v>25</v>
          </cell>
          <cell r="BK906">
            <v>37</v>
          </cell>
          <cell r="BL906">
            <v>28</v>
          </cell>
          <cell r="BM906">
            <v>16</v>
          </cell>
          <cell r="BN906">
            <v>173</v>
          </cell>
          <cell r="BO906">
            <v>10</v>
          </cell>
          <cell r="BP906">
            <v>25</v>
          </cell>
          <cell r="BQ906">
            <v>32</v>
          </cell>
          <cell r="BR906">
            <v>25</v>
          </cell>
          <cell r="BS906">
            <v>37</v>
          </cell>
          <cell r="BT906">
            <v>28</v>
          </cell>
          <cell r="BU906">
            <v>16</v>
          </cell>
          <cell r="BV906">
            <v>173</v>
          </cell>
          <cell r="BW906">
            <v>0</v>
          </cell>
          <cell r="BX906" t="str">
            <v>TIDAK</v>
          </cell>
          <cell r="BY906" t="str">
            <v>TIDAK</v>
          </cell>
        </row>
        <row r="907">
          <cell r="A907" t="str">
            <v>A3062</v>
          </cell>
          <cell r="B907" t="str">
            <v>Latifa Nur Mahmuda</v>
          </cell>
          <cell r="C907" t="str">
            <v>TEMA C2</v>
          </cell>
          <cell r="D907">
            <v>45209</v>
          </cell>
          <cell r="E907" t="str">
            <v>Oct-23</v>
          </cell>
          <cell r="F907" t="str">
            <v>REGULER</v>
          </cell>
          <cell r="G907" t="str">
            <v>REGULER</v>
          </cell>
          <cell r="H907" t="str">
            <v>REGULER</v>
          </cell>
          <cell r="I907" t="str">
            <v>REGULER</v>
          </cell>
          <cell r="J907" t="str">
            <v>REGULER</v>
          </cell>
          <cell r="K907" t="str">
            <v>REGULER</v>
          </cell>
          <cell r="L907" t="str">
            <v>-</v>
          </cell>
          <cell r="M907">
            <v>16</v>
          </cell>
          <cell r="N907">
            <v>32</v>
          </cell>
          <cell r="O907">
            <v>24</v>
          </cell>
          <cell r="P907">
            <v>11</v>
          </cell>
          <cell r="Q907">
            <v>22</v>
          </cell>
          <cell r="R907">
            <v>15</v>
          </cell>
          <cell r="S907" t="str">
            <v/>
          </cell>
          <cell r="T907">
            <v>120</v>
          </cell>
          <cell r="U907">
            <v>16</v>
          </cell>
          <cell r="V907">
            <v>32</v>
          </cell>
          <cell r="W907">
            <v>24</v>
          </cell>
          <cell r="X907">
            <v>11</v>
          </cell>
          <cell r="Y907">
            <v>22</v>
          </cell>
          <cell r="Z907">
            <v>15</v>
          </cell>
          <cell r="AA907" t="str">
            <v/>
          </cell>
          <cell r="AB907">
            <v>120</v>
          </cell>
          <cell r="AC907">
            <v>1</v>
          </cell>
          <cell r="AD907" t="str">
            <v>TIDAK</v>
          </cell>
          <cell r="AE907" t="str">
            <v>TIDAK</v>
          </cell>
          <cell r="AF907">
            <v>120</v>
          </cell>
          <cell r="AG907">
            <v>2</v>
          </cell>
          <cell r="AH907" t="str">
            <v>SAPHIRE</v>
          </cell>
          <cell r="AI907">
            <v>0</v>
          </cell>
          <cell r="AJ907" t="str">
            <v>Y</v>
          </cell>
          <cell r="AK907">
            <v>0</v>
          </cell>
          <cell r="AL907">
            <v>45261</v>
          </cell>
          <cell r="AM907">
            <v>45701</v>
          </cell>
          <cell r="AN907">
            <v>1</v>
          </cell>
          <cell r="AO907">
            <v>120</v>
          </cell>
          <cell r="AP907" t="str">
            <v>-</v>
          </cell>
          <cell r="AQ907" t="str">
            <v>-</v>
          </cell>
          <cell r="AR907" t="str">
            <v>-</v>
          </cell>
          <cell r="AS907" t="str">
            <v>-</v>
          </cell>
          <cell r="AT907" t="str">
            <v>-</v>
          </cell>
          <cell r="AU907" t="str">
            <v>-</v>
          </cell>
          <cell r="AV907" t="str">
            <v/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 t="str">
            <v/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 t="str">
            <v/>
          </cell>
          <cell r="BN907">
            <v>0</v>
          </cell>
          <cell r="BO907" t="str">
            <v/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 t="str">
            <v/>
          </cell>
          <cell r="BV907">
            <v>0</v>
          </cell>
          <cell r="BW907">
            <v>7</v>
          </cell>
          <cell r="BX907" t="str">
            <v>DOWNGRADE</v>
          </cell>
          <cell r="BY907" t="str">
            <v>RESET</v>
          </cell>
        </row>
        <row r="908">
          <cell r="A908" t="str">
            <v>A3693</v>
          </cell>
          <cell r="B908" t="str">
            <v>Lense Sitompul</v>
          </cell>
          <cell r="C908" t="str">
            <v>TEMA C2</v>
          </cell>
          <cell r="D908">
            <v>45338</v>
          </cell>
          <cell r="E908" t="str">
            <v>Feb-24</v>
          </cell>
          <cell r="F908" t="str">
            <v>-</v>
          </cell>
          <cell r="G908" t="str">
            <v>-</v>
          </cell>
          <cell r="H908" t="str">
            <v>REGULER</v>
          </cell>
          <cell r="I908" t="str">
            <v>REGULER</v>
          </cell>
          <cell r="J908" t="str">
            <v>REGULER</v>
          </cell>
          <cell r="K908" t="str">
            <v>REGULER</v>
          </cell>
          <cell r="L908" t="str">
            <v>REGULER</v>
          </cell>
          <cell r="M908">
            <v>0</v>
          </cell>
          <cell r="N908">
            <v>0</v>
          </cell>
          <cell r="O908">
            <v>20</v>
          </cell>
          <cell r="P908">
            <v>36</v>
          </cell>
          <cell r="Q908">
            <v>31</v>
          </cell>
          <cell r="R908">
            <v>36</v>
          </cell>
          <cell r="S908">
            <v>20</v>
          </cell>
          <cell r="T908">
            <v>143</v>
          </cell>
          <cell r="U908">
            <v>0</v>
          </cell>
          <cell r="V908">
            <v>0</v>
          </cell>
          <cell r="W908">
            <v>20</v>
          </cell>
          <cell r="X908">
            <v>36</v>
          </cell>
          <cell r="Y908">
            <v>31</v>
          </cell>
          <cell r="Z908">
            <v>36</v>
          </cell>
          <cell r="AA908">
            <v>20</v>
          </cell>
          <cell r="AB908">
            <v>143</v>
          </cell>
          <cell r="AC908">
            <v>0</v>
          </cell>
          <cell r="AD908" t="str">
            <v>TIDAK</v>
          </cell>
          <cell r="AE908" t="str">
            <v>TIDAK</v>
          </cell>
          <cell r="AF908">
            <v>143</v>
          </cell>
          <cell r="AG908">
            <v>1</v>
          </cell>
          <cell r="AH908" t="str">
            <v>SAPHIRE</v>
          </cell>
          <cell r="AI908">
            <v>65</v>
          </cell>
          <cell r="AJ908" t="str">
            <v>Y</v>
          </cell>
          <cell r="AK908">
            <v>0</v>
          </cell>
          <cell r="AL908">
            <v>45261</v>
          </cell>
          <cell r="AM908">
            <v>45701</v>
          </cell>
          <cell r="AN908">
            <v>1</v>
          </cell>
          <cell r="AO908">
            <v>78</v>
          </cell>
          <cell r="AP908" t="str">
            <v>-</v>
          </cell>
          <cell r="AQ908" t="str">
            <v>-</v>
          </cell>
          <cell r="AR908" t="str">
            <v>EKSKLUSIF</v>
          </cell>
          <cell r="AS908" t="str">
            <v>EKSKLUSIF</v>
          </cell>
          <cell r="AT908" t="str">
            <v>EKSKLUSIF</v>
          </cell>
          <cell r="AU908" t="str">
            <v>EKSKLUSIF</v>
          </cell>
          <cell r="AV908" t="str">
            <v/>
          </cell>
          <cell r="AW908">
            <v>49</v>
          </cell>
          <cell r="AX908">
            <v>48</v>
          </cell>
          <cell r="AY908">
            <v>24</v>
          </cell>
          <cell r="AZ908">
            <v>50</v>
          </cell>
          <cell r="BA908">
            <v>43</v>
          </cell>
          <cell r="BB908">
            <v>49</v>
          </cell>
          <cell r="BC908">
            <v>48</v>
          </cell>
          <cell r="BD908">
            <v>24</v>
          </cell>
          <cell r="BE908">
            <v>50</v>
          </cell>
          <cell r="BF908">
            <v>43</v>
          </cell>
          <cell r="BG908">
            <v>19</v>
          </cell>
          <cell r="BH908">
            <v>49</v>
          </cell>
          <cell r="BI908">
            <v>48</v>
          </cell>
          <cell r="BJ908">
            <v>24</v>
          </cell>
          <cell r="BK908">
            <v>50</v>
          </cell>
          <cell r="BL908">
            <v>43</v>
          </cell>
          <cell r="BM908">
            <v>22</v>
          </cell>
          <cell r="BN908">
            <v>255</v>
          </cell>
          <cell r="BO908">
            <v>19</v>
          </cell>
          <cell r="BP908">
            <v>49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  <cell r="BU908">
            <v>22</v>
          </cell>
          <cell r="BV908">
            <v>90</v>
          </cell>
          <cell r="BW908">
            <v>0</v>
          </cell>
          <cell r="BX908" t="str">
            <v>TIDAK</v>
          </cell>
          <cell r="BY908" t="str">
            <v>TIDAK</v>
          </cell>
        </row>
        <row r="909">
          <cell r="A909" t="str">
            <v>A3153</v>
          </cell>
          <cell r="B909" t="str">
            <v>Lucky Resta</v>
          </cell>
          <cell r="C909" t="str">
            <v>TEMA C2</v>
          </cell>
          <cell r="D909">
            <v>45231</v>
          </cell>
          <cell r="E909" t="str">
            <v>Nov-23</v>
          </cell>
          <cell r="F909" t="str">
            <v>REGULER</v>
          </cell>
          <cell r="G909" t="str">
            <v>REGULER</v>
          </cell>
          <cell r="H909" t="str">
            <v>REGULER</v>
          </cell>
          <cell r="I909" t="str">
            <v>REGULER</v>
          </cell>
          <cell r="J909" t="str">
            <v>REGULER</v>
          </cell>
          <cell r="K909" t="str">
            <v>REGULER</v>
          </cell>
          <cell r="L909" t="str">
            <v>REGULER</v>
          </cell>
          <cell r="M909">
            <v>12</v>
          </cell>
          <cell r="N909">
            <v>25</v>
          </cell>
          <cell r="O909">
            <v>30</v>
          </cell>
          <cell r="P909">
            <v>33</v>
          </cell>
          <cell r="Q909">
            <v>27</v>
          </cell>
          <cell r="R909">
            <v>29</v>
          </cell>
          <cell r="S909">
            <v>16</v>
          </cell>
          <cell r="T909">
            <v>172</v>
          </cell>
          <cell r="U909">
            <v>12</v>
          </cell>
          <cell r="V909">
            <v>25</v>
          </cell>
          <cell r="W909">
            <v>30</v>
          </cell>
          <cell r="X909">
            <v>33</v>
          </cell>
          <cell r="Y909">
            <v>27</v>
          </cell>
          <cell r="Z909">
            <v>29</v>
          </cell>
          <cell r="AA909">
            <v>16</v>
          </cell>
          <cell r="AB909">
            <v>172</v>
          </cell>
          <cell r="AC909">
            <v>0</v>
          </cell>
          <cell r="AD909" t="str">
            <v>TIDAK</v>
          </cell>
          <cell r="AE909" t="str">
            <v>TIDAK</v>
          </cell>
          <cell r="AF909">
            <v>172</v>
          </cell>
          <cell r="AG909">
            <v>3</v>
          </cell>
          <cell r="AH909" t="str">
            <v>SAPHIRE</v>
          </cell>
          <cell r="AI909">
            <v>135</v>
          </cell>
          <cell r="AJ909" t="str">
            <v>Y</v>
          </cell>
          <cell r="AK909">
            <v>0</v>
          </cell>
          <cell r="AL909">
            <v>45261</v>
          </cell>
          <cell r="AM909">
            <v>45701</v>
          </cell>
          <cell r="AN909">
            <v>1</v>
          </cell>
          <cell r="AO909">
            <v>37</v>
          </cell>
          <cell r="AP909" t="str">
            <v>-</v>
          </cell>
          <cell r="AQ909" t="str">
            <v>-</v>
          </cell>
          <cell r="AR909" t="str">
            <v>-</v>
          </cell>
          <cell r="AS909" t="str">
            <v>-</v>
          </cell>
          <cell r="AT909" t="str">
            <v>-</v>
          </cell>
          <cell r="AU909" t="str">
            <v>-</v>
          </cell>
          <cell r="AV909" t="str">
            <v/>
          </cell>
          <cell r="AW909">
            <v>12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12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16</v>
          </cell>
          <cell r="BH909">
            <v>12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 t="str">
            <v/>
          </cell>
          <cell r="BN909">
            <v>28</v>
          </cell>
          <cell r="BO909">
            <v>16</v>
          </cell>
          <cell r="BP909">
            <v>12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  <cell r="BU909" t="str">
            <v/>
          </cell>
          <cell r="BV909">
            <v>28</v>
          </cell>
          <cell r="BW909">
            <v>5</v>
          </cell>
          <cell r="BX909" t="str">
            <v>DOWNGRADE</v>
          </cell>
          <cell r="BY909" t="str">
            <v>RESET</v>
          </cell>
        </row>
        <row r="910">
          <cell r="A910" t="str">
            <v>A3714</v>
          </cell>
          <cell r="B910" t="str">
            <v>Luis Nicholas</v>
          </cell>
          <cell r="C910" t="str">
            <v>TEMA C2</v>
          </cell>
          <cell r="D910">
            <v>45323</v>
          </cell>
          <cell r="E910" t="str">
            <v>Feb-24</v>
          </cell>
          <cell r="F910" t="str">
            <v>-</v>
          </cell>
          <cell r="G910" t="str">
            <v>-</v>
          </cell>
          <cell r="H910" t="str">
            <v>REGULER</v>
          </cell>
          <cell r="I910" t="str">
            <v>-</v>
          </cell>
          <cell r="J910" t="str">
            <v>-</v>
          </cell>
          <cell r="K910" t="str">
            <v>-</v>
          </cell>
          <cell r="L910" t="str">
            <v>-</v>
          </cell>
          <cell r="M910">
            <v>0</v>
          </cell>
          <cell r="N910">
            <v>0</v>
          </cell>
          <cell r="O910">
            <v>14</v>
          </cell>
          <cell r="P910">
            <v>0</v>
          </cell>
          <cell r="Q910">
            <v>0</v>
          </cell>
          <cell r="R910">
            <v>0</v>
          </cell>
          <cell r="S910" t="str">
            <v/>
          </cell>
          <cell r="T910">
            <v>14</v>
          </cell>
          <cell r="U910">
            <v>0</v>
          </cell>
          <cell r="V910">
            <v>0</v>
          </cell>
          <cell r="W910">
            <v>14</v>
          </cell>
          <cell r="X910">
            <v>0</v>
          </cell>
          <cell r="Y910">
            <v>0</v>
          </cell>
          <cell r="Z910">
            <v>0</v>
          </cell>
          <cell r="AA910" t="str">
            <v/>
          </cell>
          <cell r="AB910">
            <v>14</v>
          </cell>
          <cell r="AC910">
            <v>4</v>
          </cell>
          <cell r="AD910" t="str">
            <v>DOWNGRADE</v>
          </cell>
          <cell r="AE910" t="str">
            <v>RESET</v>
          </cell>
          <cell r="AF910">
            <v>0</v>
          </cell>
          <cell r="AG910">
            <v>1</v>
          </cell>
          <cell r="AH910" t="str">
            <v>SAPHIRE</v>
          </cell>
          <cell r="AI910">
            <v>0</v>
          </cell>
          <cell r="AJ910" t="str">
            <v>FALSE</v>
          </cell>
          <cell r="AK910">
            <v>0</v>
          </cell>
          <cell r="AL910">
            <v>45261</v>
          </cell>
          <cell r="AM910">
            <v>45701</v>
          </cell>
          <cell r="AN910">
            <v>1</v>
          </cell>
          <cell r="AO910">
            <v>0</v>
          </cell>
          <cell r="AP910" t="str">
            <v>-</v>
          </cell>
          <cell r="AQ910" t="str">
            <v>-</v>
          </cell>
          <cell r="AR910" t="str">
            <v>-</v>
          </cell>
          <cell r="AS910" t="str">
            <v>-</v>
          </cell>
          <cell r="AT910" t="str">
            <v>-</v>
          </cell>
          <cell r="AU910" t="str">
            <v>-</v>
          </cell>
          <cell r="AV910" t="str">
            <v/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 t="str">
            <v/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 t="str">
            <v/>
          </cell>
          <cell r="BN910">
            <v>0</v>
          </cell>
          <cell r="BO910" t="str">
            <v/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 t="str">
            <v/>
          </cell>
          <cell r="BV910">
            <v>0</v>
          </cell>
          <cell r="BW910">
            <v>7</v>
          </cell>
          <cell r="BX910" t="str">
            <v>DOWNGRADE</v>
          </cell>
          <cell r="BY910" t="str">
            <v>RESET</v>
          </cell>
        </row>
        <row r="911">
          <cell r="A911" t="str">
            <v>A3165</v>
          </cell>
          <cell r="B911" t="str">
            <v>Lulu Setiawati</v>
          </cell>
          <cell r="C911" t="str">
            <v>TEMA C2</v>
          </cell>
          <cell r="D911">
            <v>45230</v>
          </cell>
          <cell r="E911" t="str">
            <v>Oct-23</v>
          </cell>
          <cell r="F911" t="str">
            <v>REGULER</v>
          </cell>
          <cell r="G911" t="str">
            <v>-</v>
          </cell>
          <cell r="H911" t="str">
            <v>-</v>
          </cell>
          <cell r="I911" t="str">
            <v>-</v>
          </cell>
          <cell r="J911" t="str">
            <v>-</v>
          </cell>
          <cell r="K911" t="str">
            <v>REGULER</v>
          </cell>
          <cell r="L911" t="str">
            <v>-</v>
          </cell>
          <cell r="M911">
            <v>3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12</v>
          </cell>
          <cell r="S911" t="str">
            <v/>
          </cell>
          <cell r="T911">
            <v>15</v>
          </cell>
          <cell r="U911">
            <v>3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12</v>
          </cell>
          <cell r="AA911" t="str">
            <v/>
          </cell>
          <cell r="AB911">
            <v>15</v>
          </cell>
          <cell r="AC911">
            <v>5</v>
          </cell>
          <cell r="AD911" t="str">
            <v>DOWNGRADE</v>
          </cell>
          <cell r="AE911" t="str">
            <v>RESET</v>
          </cell>
          <cell r="AF911">
            <v>0</v>
          </cell>
          <cell r="AG911">
            <v>1</v>
          </cell>
          <cell r="AH911" t="str">
            <v>SAPHIRE</v>
          </cell>
          <cell r="AI911">
            <v>0</v>
          </cell>
          <cell r="AJ911" t="str">
            <v>FALSE</v>
          </cell>
          <cell r="AK911">
            <v>0</v>
          </cell>
          <cell r="AL911">
            <v>45261</v>
          </cell>
          <cell r="AM911">
            <v>45701</v>
          </cell>
          <cell r="AN911">
            <v>1</v>
          </cell>
          <cell r="AO911">
            <v>0</v>
          </cell>
          <cell r="AP911" t="str">
            <v>-</v>
          </cell>
          <cell r="AQ911" t="str">
            <v>-</v>
          </cell>
          <cell r="AR911" t="str">
            <v>REGULER</v>
          </cell>
          <cell r="AS911" t="str">
            <v>-</v>
          </cell>
          <cell r="AT911" t="str">
            <v>-</v>
          </cell>
          <cell r="AU911" t="str">
            <v>-</v>
          </cell>
          <cell r="AV911" t="str">
            <v/>
          </cell>
          <cell r="AW911">
            <v>0</v>
          </cell>
          <cell r="AX911">
            <v>2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2</v>
          </cell>
          <cell r="BD911">
            <v>0</v>
          </cell>
          <cell r="BE911">
            <v>0</v>
          </cell>
          <cell r="BF911">
            <v>0</v>
          </cell>
          <cell r="BG911" t="str">
            <v/>
          </cell>
          <cell r="BH911">
            <v>0</v>
          </cell>
          <cell r="BI911">
            <v>2</v>
          </cell>
          <cell r="BJ911">
            <v>0</v>
          </cell>
          <cell r="BK911">
            <v>0</v>
          </cell>
          <cell r="BL911">
            <v>0</v>
          </cell>
          <cell r="BM911" t="str">
            <v/>
          </cell>
          <cell r="BN911">
            <v>2</v>
          </cell>
          <cell r="BO911" t="str">
            <v/>
          </cell>
          <cell r="BP911">
            <v>0</v>
          </cell>
          <cell r="BQ911">
            <v>2</v>
          </cell>
          <cell r="BR911">
            <v>0</v>
          </cell>
          <cell r="BS911">
            <v>0</v>
          </cell>
          <cell r="BT911">
            <v>0</v>
          </cell>
          <cell r="BU911" t="str">
            <v/>
          </cell>
          <cell r="BV911">
            <v>2</v>
          </cell>
          <cell r="BW911">
            <v>6</v>
          </cell>
          <cell r="BX911" t="str">
            <v>DOWNGRADE</v>
          </cell>
          <cell r="BY911" t="str">
            <v>RESET</v>
          </cell>
        </row>
        <row r="912">
          <cell r="A912" t="str">
            <v>A3236</v>
          </cell>
          <cell r="B912" t="str">
            <v>Luthfi Ali</v>
          </cell>
          <cell r="C912" t="str">
            <v>TEMA C2</v>
          </cell>
          <cell r="D912">
            <v>45246</v>
          </cell>
          <cell r="E912" t="str">
            <v>Nov-23</v>
          </cell>
          <cell r="F912" t="str">
            <v>REGULER</v>
          </cell>
          <cell r="G912" t="str">
            <v>REGULER</v>
          </cell>
          <cell r="H912" t="str">
            <v>REGULER</v>
          </cell>
          <cell r="I912" t="str">
            <v>REGULER</v>
          </cell>
          <cell r="J912" t="str">
            <v>REGULER</v>
          </cell>
          <cell r="K912" t="str">
            <v>REGULER</v>
          </cell>
          <cell r="L912" t="str">
            <v>-</v>
          </cell>
          <cell r="M912">
            <v>2</v>
          </cell>
          <cell r="N912">
            <v>30</v>
          </cell>
          <cell r="O912">
            <v>26</v>
          </cell>
          <cell r="P912">
            <v>15</v>
          </cell>
          <cell r="Q912">
            <v>3</v>
          </cell>
          <cell r="R912">
            <v>1</v>
          </cell>
          <cell r="S912" t="str">
            <v/>
          </cell>
          <cell r="T912">
            <v>77</v>
          </cell>
          <cell r="U912">
            <v>2</v>
          </cell>
          <cell r="V912">
            <v>30</v>
          </cell>
          <cell r="W912">
            <v>26</v>
          </cell>
          <cell r="X912">
            <v>15</v>
          </cell>
          <cell r="Y912">
            <v>3</v>
          </cell>
          <cell r="Z912">
            <v>1</v>
          </cell>
          <cell r="AA912" t="str">
            <v/>
          </cell>
          <cell r="AB912">
            <v>77</v>
          </cell>
          <cell r="AC912">
            <v>1</v>
          </cell>
          <cell r="AD912" t="str">
            <v>TIDAK</v>
          </cell>
          <cell r="AE912" t="str">
            <v>TIDAK</v>
          </cell>
          <cell r="AF912">
            <v>77</v>
          </cell>
          <cell r="AG912">
            <v>2</v>
          </cell>
          <cell r="AH912" t="str">
            <v>SAPHIRE</v>
          </cell>
          <cell r="AI912">
            <v>0</v>
          </cell>
          <cell r="AJ912" t="str">
            <v>Y</v>
          </cell>
          <cell r="AK912">
            <v>0</v>
          </cell>
          <cell r="AL912">
            <v>45261</v>
          </cell>
          <cell r="AM912">
            <v>45701</v>
          </cell>
          <cell r="AN912">
            <v>1</v>
          </cell>
          <cell r="AO912">
            <v>77</v>
          </cell>
          <cell r="AP912" t="str">
            <v>-</v>
          </cell>
          <cell r="AQ912" t="str">
            <v>-</v>
          </cell>
          <cell r="AR912" t="str">
            <v>-</v>
          </cell>
          <cell r="AS912" t="str">
            <v>-</v>
          </cell>
          <cell r="AT912" t="str">
            <v>-</v>
          </cell>
          <cell r="AU912" t="str">
            <v>-</v>
          </cell>
          <cell r="AV912" t="str">
            <v/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 t="str">
            <v/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 t="str">
            <v/>
          </cell>
          <cell r="BN912">
            <v>0</v>
          </cell>
          <cell r="BO912" t="str">
            <v/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 t="str">
            <v/>
          </cell>
          <cell r="BV912">
            <v>0</v>
          </cell>
          <cell r="BW912">
            <v>7</v>
          </cell>
          <cell r="BX912" t="str">
            <v>DOWNGRADE</v>
          </cell>
          <cell r="BY912" t="str">
            <v>RESET</v>
          </cell>
        </row>
        <row r="913">
          <cell r="A913" t="str">
            <v>A4088</v>
          </cell>
          <cell r="B913" t="str">
            <v>MARGARETHA KRISTIANA TRIADVENA</v>
          </cell>
          <cell r="C913" t="str">
            <v>TEMA C2</v>
          </cell>
          <cell r="D913">
            <v>45446</v>
          </cell>
          <cell r="E913" t="str">
            <v>Jun-24</v>
          </cell>
          <cell r="F913" t="str">
            <v>-</v>
          </cell>
          <cell r="G913" t="str">
            <v>-</v>
          </cell>
          <cell r="H913" t="str">
            <v>-</v>
          </cell>
          <cell r="I913" t="str">
            <v>-</v>
          </cell>
          <cell r="J913" t="str">
            <v>-</v>
          </cell>
          <cell r="K913" t="str">
            <v>-</v>
          </cell>
          <cell r="L913" t="str">
            <v>REGULER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18</v>
          </cell>
          <cell r="T913">
            <v>18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18</v>
          </cell>
          <cell r="AB913">
            <v>18</v>
          </cell>
          <cell r="AC913">
            <v>0</v>
          </cell>
          <cell r="AD913" t="str">
            <v>TIDAK</v>
          </cell>
          <cell r="AE913" t="str">
            <v>TIDAK</v>
          </cell>
          <cell r="AF913">
            <v>18</v>
          </cell>
          <cell r="AG913">
            <v>1</v>
          </cell>
          <cell r="AH913" t="str">
            <v>SAPHIRE</v>
          </cell>
          <cell r="AI913">
            <v>0</v>
          </cell>
          <cell r="AJ913" t="str">
            <v>FALSE</v>
          </cell>
          <cell r="AK913">
            <v>0</v>
          </cell>
          <cell r="AL913">
            <v>45261</v>
          </cell>
          <cell r="AM913">
            <v>45701</v>
          </cell>
          <cell r="AN913">
            <v>1</v>
          </cell>
          <cell r="AO913">
            <v>18</v>
          </cell>
          <cell r="AP913" t="str">
            <v>-</v>
          </cell>
          <cell r="AQ913" t="str">
            <v>-</v>
          </cell>
          <cell r="AR913" t="str">
            <v>REGULER</v>
          </cell>
          <cell r="AS913" t="str">
            <v>-</v>
          </cell>
          <cell r="AT913" t="str">
            <v>-</v>
          </cell>
          <cell r="AU913" t="str">
            <v>-</v>
          </cell>
          <cell r="AV913" t="str">
            <v/>
          </cell>
          <cell r="AW913">
            <v>27</v>
          </cell>
          <cell r="AX913">
            <v>3</v>
          </cell>
          <cell r="AY913">
            <v>0</v>
          </cell>
          <cell r="AZ913">
            <v>0</v>
          </cell>
          <cell r="BA913">
            <v>0</v>
          </cell>
          <cell r="BB913">
            <v>27</v>
          </cell>
          <cell r="BC913">
            <v>3</v>
          </cell>
          <cell r="BD913">
            <v>0</v>
          </cell>
          <cell r="BE913">
            <v>0</v>
          </cell>
          <cell r="BF913">
            <v>0</v>
          </cell>
          <cell r="BG913">
            <v>15</v>
          </cell>
          <cell r="BH913">
            <v>27</v>
          </cell>
          <cell r="BI913">
            <v>3</v>
          </cell>
          <cell r="BJ913">
            <v>0</v>
          </cell>
          <cell r="BK913">
            <v>0</v>
          </cell>
          <cell r="BL913">
            <v>0</v>
          </cell>
          <cell r="BM913" t="str">
            <v/>
          </cell>
          <cell r="BN913">
            <v>45</v>
          </cell>
          <cell r="BO913">
            <v>15</v>
          </cell>
          <cell r="BP913">
            <v>27</v>
          </cell>
          <cell r="BQ913">
            <v>3</v>
          </cell>
          <cell r="BR913">
            <v>0</v>
          </cell>
          <cell r="BS913">
            <v>0</v>
          </cell>
          <cell r="BT913">
            <v>0</v>
          </cell>
          <cell r="BU913" t="str">
            <v/>
          </cell>
          <cell r="BV913">
            <v>45</v>
          </cell>
          <cell r="BW913">
            <v>4</v>
          </cell>
          <cell r="BX913" t="str">
            <v>DOWNGRADE</v>
          </cell>
          <cell r="BY913" t="str">
            <v>RESET</v>
          </cell>
        </row>
        <row r="914">
          <cell r="A914" t="str">
            <v>A2734</v>
          </cell>
          <cell r="B914" t="str">
            <v>Maria Alvira Soy Djuma</v>
          </cell>
          <cell r="C914" t="str">
            <v>TEMA C2</v>
          </cell>
          <cell r="D914">
            <v>45157</v>
          </cell>
          <cell r="E914" t="str">
            <v>Aug-23</v>
          </cell>
          <cell r="F914" t="str">
            <v>REGULER</v>
          </cell>
          <cell r="G914" t="str">
            <v>REGULER</v>
          </cell>
          <cell r="H914" t="str">
            <v>REGULER</v>
          </cell>
          <cell r="I914" t="str">
            <v>REGULER</v>
          </cell>
          <cell r="J914" t="str">
            <v>-</v>
          </cell>
          <cell r="K914" t="str">
            <v>-</v>
          </cell>
          <cell r="L914" t="str">
            <v>-</v>
          </cell>
          <cell r="M914">
            <v>16</v>
          </cell>
          <cell r="N914">
            <v>36</v>
          </cell>
          <cell r="O914">
            <v>26</v>
          </cell>
          <cell r="P914">
            <v>15</v>
          </cell>
          <cell r="Q914">
            <v>0</v>
          </cell>
          <cell r="R914">
            <v>0</v>
          </cell>
          <cell r="S914" t="str">
            <v/>
          </cell>
          <cell r="T914">
            <v>93</v>
          </cell>
          <cell r="U914">
            <v>16</v>
          </cell>
          <cell r="V914">
            <v>36</v>
          </cell>
          <cell r="W914">
            <v>26</v>
          </cell>
          <cell r="X914">
            <v>15</v>
          </cell>
          <cell r="Y914">
            <v>0</v>
          </cell>
          <cell r="Z914">
            <v>0</v>
          </cell>
          <cell r="AA914" t="str">
            <v/>
          </cell>
          <cell r="AB914">
            <v>93</v>
          </cell>
          <cell r="AC914">
            <v>3</v>
          </cell>
          <cell r="AD914" t="str">
            <v>DOWNGRADE</v>
          </cell>
          <cell r="AE914" t="str">
            <v>RESET</v>
          </cell>
          <cell r="AF914">
            <v>0</v>
          </cell>
          <cell r="AG914">
            <v>3</v>
          </cell>
          <cell r="AH914" t="str">
            <v>SAPHIRE</v>
          </cell>
          <cell r="AI914">
            <v>0</v>
          </cell>
          <cell r="AJ914" t="str">
            <v>FALSE</v>
          </cell>
          <cell r="AK914">
            <v>0</v>
          </cell>
          <cell r="AL914">
            <v>45261</v>
          </cell>
          <cell r="AM914">
            <v>45701</v>
          </cell>
          <cell r="AN914">
            <v>1</v>
          </cell>
          <cell r="AO914">
            <v>0</v>
          </cell>
          <cell r="AP914" t="str">
            <v>-</v>
          </cell>
          <cell r="AQ914" t="str">
            <v>-</v>
          </cell>
          <cell r="AR914" t="str">
            <v>-</v>
          </cell>
          <cell r="AS914" t="str">
            <v>-</v>
          </cell>
          <cell r="AT914" t="str">
            <v>-</v>
          </cell>
          <cell r="AU914" t="str">
            <v>-</v>
          </cell>
          <cell r="AV914" t="str">
            <v/>
          </cell>
          <cell r="AW914">
            <v>22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22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15</v>
          </cell>
          <cell r="BH914">
            <v>22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 t="str">
            <v/>
          </cell>
          <cell r="BN914">
            <v>37</v>
          </cell>
          <cell r="BO914">
            <v>15</v>
          </cell>
          <cell r="BP914">
            <v>22</v>
          </cell>
          <cell r="BQ914">
            <v>0</v>
          </cell>
          <cell r="BR914">
            <v>0</v>
          </cell>
          <cell r="BS914">
            <v>0</v>
          </cell>
          <cell r="BT914">
            <v>0</v>
          </cell>
          <cell r="BU914" t="str">
            <v/>
          </cell>
          <cell r="BV914">
            <v>37</v>
          </cell>
          <cell r="BW914">
            <v>5</v>
          </cell>
          <cell r="BX914" t="str">
            <v>DOWNGRADE</v>
          </cell>
          <cell r="BY914" t="str">
            <v>RESET</v>
          </cell>
        </row>
        <row r="915">
          <cell r="A915" t="str">
            <v>A3713</v>
          </cell>
          <cell r="B915" t="str">
            <v>Maria Enrica Natasya Nandha Puteri</v>
          </cell>
          <cell r="C915" t="str">
            <v>TEMA C2</v>
          </cell>
          <cell r="D915">
            <v>45323</v>
          </cell>
          <cell r="E915" t="str">
            <v>Feb-24</v>
          </cell>
          <cell r="F915" t="str">
            <v>-</v>
          </cell>
          <cell r="G915" t="str">
            <v>-</v>
          </cell>
          <cell r="H915" t="str">
            <v>REGULER</v>
          </cell>
          <cell r="I915" t="str">
            <v>-</v>
          </cell>
          <cell r="J915" t="str">
            <v>-</v>
          </cell>
          <cell r="K915" t="str">
            <v>-</v>
          </cell>
          <cell r="L915" t="str">
            <v>-</v>
          </cell>
          <cell r="M915">
            <v>0</v>
          </cell>
          <cell r="N915">
            <v>0</v>
          </cell>
          <cell r="O915">
            <v>16</v>
          </cell>
          <cell r="P915">
            <v>0</v>
          </cell>
          <cell r="Q915">
            <v>0</v>
          </cell>
          <cell r="R915">
            <v>0</v>
          </cell>
          <cell r="S915" t="str">
            <v/>
          </cell>
          <cell r="T915">
            <v>16</v>
          </cell>
          <cell r="U915">
            <v>0</v>
          </cell>
          <cell r="V915">
            <v>0</v>
          </cell>
          <cell r="W915">
            <v>16</v>
          </cell>
          <cell r="X915">
            <v>0</v>
          </cell>
          <cell r="Y915">
            <v>0</v>
          </cell>
          <cell r="Z915">
            <v>0</v>
          </cell>
          <cell r="AA915" t="str">
            <v/>
          </cell>
          <cell r="AB915">
            <v>16</v>
          </cell>
          <cell r="AC915">
            <v>4</v>
          </cell>
          <cell r="AD915" t="str">
            <v>DOWNGRADE</v>
          </cell>
          <cell r="AE915" t="str">
            <v>RESET</v>
          </cell>
          <cell r="AF915">
            <v>0</v>
          </cell>
          <cell r="AG915">
            <v>1</v>
          </cell>
          <cell r="AH915" t="str">
            <v>SAPHIRE</v>
          </cell>
          <cell r="AI915">
            <v>0</v>
          </cell>
          <cell r="AJ915" t="str">
            <v>FALSE</v>
          </cell>
          <cell r="AK915">
            <v>0</v>
          </cell>
          <cell r="AL915">
            <v>45261</v>
          </cell>
          <cell r="AM915">
            <v>45701</v>
          </cell>
          <cell r="AN915">
            <v>1</v>
          </cell>
          <cell r="AO915">
            <v>0</v>
          </cell>
          <cell r="AP915" t="str">
            <v>-</v>
          </cell>
          <cell r="AQ915" t="str">
            <v>-</v>
          </cell>
          <cell r="AR915" t="str">
            <v>-</v>
          </cell>
          <cell r="AS915" t="str">
            <v>-</v>
          </cell>
          <cell r="AT915" t="str">
            <v>-</v>
          </cell>
          <cell r="AU915" t="str">
            <v>-</v>
          </cell>
          <cell r="AV915" t="str">
            <v/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 t="str">
            <v/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 t="str">
            <v/>
          </cell>
          <cell r="BN915">
            <v>0</v>
          </cell>
          <cell r="BO915" t="str">
            <v/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 t="str">
            <v/>
          </cell>
          <cell r="BV915">
            <v>0</v>
          </cell>
          <cell r="BW915">
            <v>7</v>
          </cell>
          <cell r="BX915" t="str">
            <v>DOWNGRADE</v>
          </cell>
          <cell r="BY915" t="str">
            <v>RESET</v>
          </cell>
        </row>
        <row r="916">
          <cell r="A916" t="str">
            <v>A3984</v>
          </cell>
          <cell r="B916" t="str">
            <v>Maria Vania Pramesti</v>
          </cell>
          <cell r="C916" t="str">
            <v>TEMA C2</v>
          </cell>
          <cell r="D916">
            <v>45408</v>
          </cell>
          <cell r="E916" t="str">
            <v>Apr-24</v>
          </cell>
          <cell r="F916" t="str">
            <v>-</v>
          </cell>
          <cell r="G916" t="str">
            <v>-</v>
          </cell>
          <cell r="H916" t="str">
            <v>-</v>
          </cell>
          <cell r="I916" t="str">
            <v>-</v>
          </cell>
          <cell r="J916" t="str">
            <v>REGULER</v>
          </cell>
          <cell r="K916" t="str">
            <v>REGULER</v>
          </cell>
          <cell r="L916" t="str">
            <v>REGULER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1</v>
          </cell>
          <cell r="R916">
            <v>5</v>
          </cell>
          <cell r="S916">
            <v>11</v>
          </cell>
          <cell r="T916">
            <v>17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1</v>
          </cell>
          <cell r="Z916">
            <v>5</v>
          </cell>
          <cell r="AA916">
            <v>11</v>
          </cell>
          <cell r="AB916">
            <v>17</v>
          </cell>
          <cell r="AC916">
            <v>0</v>
          </cell>
          <cell r="AD916" t="str">
            <v>TIDAK</v>
          </cell>
          <cell r="AE916" t="str">
            <v>TIDAK</v>
          </cell>
          <cell r="AF916">
            <v>17</v>
          </cell>
          <cell r="AG916">
            <v>1</v>
          </cell>
          <cell r="AH916" t="str">
            <v>SAPHIRE</v>
          </cell>
          <cell r="AI916">
            <v>0</v>
          </cell>
          <cell r="AJ916" t="str">
            <v>FALSE</v>
          </cell>
          <cell r="AK916">
            <v>0</v>
          </cell>
          <cell r="AL916">
            <v>45261</v>
          </cell>
          <cell r="AM916">
            <v>45701</v>
          </cell>
          <cell r="AN916">
            <v>1</v>
          </cell>
          <cell r="AO916">
            <v>17</v>
          </cell>
          <cell r="AP916" t="str">
            <v>-</v>
          </cell>
          <cell r="AQ916" t="str">
            <v>-</v>
          </cell>
          <cell r="AR916" t="str">
            <v>REGULER</v>
          </cell>
          <cell r="AS916" t="str">
            <v>-</v>
          </cell>
          <cell r="AT916" t="str">
            <v>-</v>
          </cell>
          <cell r="AU916" t="str">
            <v>-</v>
          </cell>
          <cell r="AV916" t="str">
            <v/>
          </cell>
          <cell r="AW916">
            <v>0</v>
          </cell>
          <cell r="AX916">
            <v>10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10</v>
          </cell>
          <cell r="BD916">
            <v>0</v>
          </cell>
          <cell r="BE916">
            <v>0</v>
          </cell>
          <cell r="BF916">
            <v>0</v>
          </cell>
          <cell r="BG916">
            <v>7</v>
          </cell>
          <cell r="BH916">
            <v>0</v>
          </cell>
          <cell r="BI916">
            <v>10</v>
          </cell>
          <cell r="BJ916">
            <v>0</v>
          </cell>
          <cell r="BK916">
            <v>0</v>
          </cell>
          <cell r="BL916">
            <v>0</v>
          </cell>
          <cell r="BM916" t="str">
            <v/>
          </cell>
          <cell r="BN916">
            <v>17</v>
          </cell>
          <cell r="BO916">
            <v>7</v>
          </cell>
          <cell r="BP916">
            <v>0</v>
          </cell>
          <cell r="BQ916">
            <v>10</v>
          </cell>
          <cell r="BR916">
            <v>0</v>
          </cell>
          <cell r="BS916">
            <v>0</v>
          </cell>
          <cell r="BT916">
            <v>0</v>
          </cell>
          <cell r="BU916" t="str">
            <v/>
          </cell>
          <cell r="BV916">
            <v>17</v>
          </cell>
          <cell r="BW916">
            <v>5</v>
          </cell>
          <cell r="BX916" t="str">
            <v>DOWNGRADE</v>
          </cell>
          <cell r="BY916" t="str">
            <v>RESET</v>
          </cell>
        </row>
        <row r="917">
          <cell r="A917" t="str">
            <v>A2769</v>
          </cell>
          <cell r="B917" t="str">
            <v>Maria Yosepha Galuh Pramesti</v>
          </cell>
          <cell r="C917" t="str">
            <v>TEMA C2</v>
          </cell>
          <cell r="D917">
            <v>45170</v>
          </cell>
          <cell r="E917" t="str">
            <v>Sep-23</v>
          </cell>
          <cell r="F917" t="str">
            <v>REGULER</v>
          </cell>
          <cell r="G917" t="str">
            <v>REGULER</v>
          </cell>
          <cell r="H917" t="str">
            <v>REGULER</v>
          </cell>
          <cell r="I917" t="str">
            <v>REGULER</v>
          </cell>
          <cell r="J917" t="str">
            <v>REGULER</v>
          </cell>
          <cell r="K917" t="str">
            <v>REGULER</v>
          </cell>
          <cell r="L917" t="str">
            <v>-</v>
          </cell>
          <cell r="M917">
            <v>4</v>
          </cell>
          <cell r="N917">
            <v>29</v>
          </cell>
          <cell r="O917">
            <v>29</v>
          </cell>
          <cell r="P917">
            <v>28</v>
          </cell>
          <cell r="Q917">
            <v>23</v>
          </cell>
          <cell r="R917">
            <v>7</v>
          </cell>
          <cell r="S917" t="str">
            <v/>
          </cell>
          <cell r="T917">
            <v>120</v>
          </cell>
          <cell r="U917">
            <v>4</v>
          </cell>
          <cell r="V917">
            <v>29</v>
          </cell>
          <cell r="W917">
            <v>29</v>
          </cell>
          <cell r="X917">
            <v>28</v>
          </cell>
          <cell r="Y917">
            <v>23</v>
          </cell>
          <cell r="Z917">
            <v>7</v>
          </cell>
          <cell r="AA917" t="str">
            <v/>
          </cell>
          <cell r="AB917">
            <v>120</v>
          </cell>
          <cell r="AC917">
            <v>1</v>
          </cell>
          <cell r="AD917" t="str">
            <v>TIDAK</v>
          </cell>
          <cell r="AE917" t="str">
            <v>TIDAK</v>
          </cell>
          <cell r="AF917">
            <v>120</v>
          </cell>
          <cell r="AG917">
            <v>3</v>
          </cell>
          <cell r="AH917" t="str">
            <v>SAPHIRE</v>
          </cell>
          <cell r="AI917">
            <v>0</v>
          </cell>
          <cell r="AJ917" t="str">
            <v>Y</v>
          </cell>
          <cell r="AK917">
            <v>0</v>
          </cell>
          <cell r="AL917">
            <v>45261</v>
          </cell>
          <cell r="AM917">
            <v>45701</v>
          </cell>
          <cell r="AN917">
            <v>1</v>
          </cell>
          <cell r="AO917">
            <v>120</v>
          </cell>
          <cell r="AP917" t="str">
            <v>-</v>
          </cell>
          <cell r="AQ917" t="str">
            <v>-</v>
          </cell>
          <cell r="AR917" t="str">
            <v>-</v>
          </cell>
          <cell r="AS917" t="str">
            <v>-</v>
          </cell>
          <cell r="AT917" t="str">
            <v>-</v>
          </cell>
          <cell r="AU917" t="str">
            <v>-</v>
          </cell>
          <cell r="AV917" t="str">
            <v/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 t="str">
            <v/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 t="str">
            <v/>
          </cell>
          <cell r="BN917">
            <v>0</v>
          </cell>
          <cell r="BO917" t="str">
            <v/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T917">
            <v>0</v>
          </cell>
          <cell r="BU917" t="str">
            <v/>
          </cell>
          <cell r="BV917">
            <v>0</v>
          </cell>
          <cell r="BW917">
            <v>7</v>
          </cell>
          <cell r="BX917" t="str">
            <v>DOWNGRADE</v>
          </cell>
          <cell r="BY917" t="str">
            <v>RESET</v>
          </cell>
        </row>
        <row r="918">
          <cell r="A918" t="str">
            <v>A3958</v>
          </cell>
          <cell r="B918" t="str">
            <v>Marwan Junedi Neolaka</v>
          </cell>
          <cell r="C918" t="str">
            <v>TEMA C2</v>
          </cell>
          <cell r="D918">
            <v>45374</v>
          </cell>
          <cell r="E918" t="str">
            <v>Mar-24</v>
          </cell>
          <cell r="F918" t="str">
            <v>-</v>
          </cell>
          <cell r="G918" t="str">
            <v>-</v>
          </cell>
          <cell r="H918" t="str">
            <v>-</v>
          </cell>
          <cell r="I918" t="str">
            <v>REGULER</v>
          </cell>
          <cell r="J918" t="str">
            <v>REGULER</v>
          </cell>
          <cell r="K918" t="str">
            <v>-</v>
          </cell>
          <cell r="L918" t="str">
            <v>-</v>
          </cell>
          <cell r="M918">
            <v>0</v>
          </cell>
          <cell r="N918">
            <v>0</v>
          </cell>
          <cell r="O918">
            <v>0</v>
          </cell>
          <cell r="P918">
            <v>2</v>
          </cell>
          <cell r="Q918">
            <v>7</v>
          </cell>
          <cell r="R918">
            <v>0</v>
          </cell>
          <cell r="S918" t="str">
            <v/>
          </cell>
          <cell r="T918">
            <v>9</v>
          </cell>
          <cell r="U918">
            <v>0</v>
          </cell>
          <cell r="V918">
            <v>0</v>
          </cell>
          <cell r="W918">
            <v>0</v>
          </cell>
          <cell r="X918">
            <v>2</v>
          </cell>
          <cell r="Y918">
            <v>7</v>
          </cell>
          <cell r="Z918">
            <v>0</v>
          </cell>
          <cell r="AA918" t="str">
            <v/>
          </cell>
          <cell r="AB918">
            <v>9</v>
          </cell>
          <cell r="AC918">
            <v>2</v>
          </cell>
          <cell r="AD918" t="str">
            <v>TIDAK</v>
          </cell>
          <cell r="AE918" t="str">
            <v>TIDAK</v>
          </cell>
          <cell r="AF918">
            <v>9</v>
          </cell>
          <cell r="AG918">
            <v>1</v>
          </cell>
          <cell r="AH918" t="str">
            <v>SAPHIRE</v>
          </cell>
          <cell r="AI918">
            <v>0</v>
          </cell>
          <cell r="AJ918" t="str">
            <v>FALSE</v>
          </cell>
          <cell r="AK918">
            <v>0</v>
          </cell>
          <cell r="AL918">
            <v>45261</v>
          </cell>
          <cell r="AM918">
            <v>45701</v>
          </cell>
          <cell r="AN918">
            <v>1</v>
          </cell>
          <cell r="AO918">
            <v>9</v>
          </cell>
          <cell r="AP918" t="str">
            <v>-</v>
          </cell>
          <cell r="AQ918" t="str">
            <v>-</v>
          </cell>
          <cell r="AR918" t="str">
            <v>-</v>
          </cell>
          <cell r="AS918" t="str">
            <v>-</v>
          </cell>
          <cell r="AT918" t="str">
            <v>-</v>
          </cell>
          <cell r="AU918" t="str">
            <v>-</v>
          </cell>
          <cell r="AV918" t="str">
            <v/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 t="str">
            <v/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 t="str">
            <v/>
          </cell>
          <cell r="BN918">
            <v>0</v>
          </cell>
          <cell r="BO918" t="str">
            <v/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 t="str">
            <v/>
          </cell>
          <cell r="BV918">
            <v>0</v>
          </cell>
          <cell r="BW918">
            <v>7</v>
          </cell>
          <cell r="BX918" t="str">
            <v>DOWNGRADE</v>
          </cell>
          <cell r="BY918" t="str">
            <v>RESET</v>
          </cell>
        </row>
        <row r="919">
          <cell r="A919" t="str">
            <v>A1250</v>
          </cell>
          <cell r="B919" t="str">
            <v>Mayang Putri Inanda Sari</v>
          </cell>
          <cell r="C919" t="str">
            <v>TEMA C2</v>
          </cell>
          <cell r="D919">
            <v>44942</v>
          </cell>
          <cell r="E919" t="str">
            <v>Jan-23</v>
          </cell>
          <cell r="F919" t="str">
            <v>REGULER</v>
          </cell>
          <cell r="G919" t="str">
            <v>REGULER</v>
          </cell>
          <cell r="H919" t="str">
            <v>REGULER</v>
          </cell>
          <cell r="I919" t="str">
            <v>REGULER</v>
          </cell>
          <cell r="J919" t="str">
            <v>REGULER</v>
          </cell>
          <cell r="K919" t="str">
            <v>REGULER</v>
          </cell>
          <cell r="L919" t="str">
            <v>REGULER</v>
          </cell>
          <cell r="M919">
            <v>20</v>
          </cell>
          <cell r="N919">
            <v>43</v>
          </cell>
          <cell r="O919">
            <v>39</v>
          </cell>
          <cell r="P919">
            <v>37</v>
          </cell>
          <cell r="Q919">
            <v>34</v>
          </cell>
          <cell r="R919">
            <v>41</v>
          </cell>
          <cell r="S919">
            <v>22</v>
          </cell>
          <cell r="T919">
            <v>236</v>
          </cell>
          <cell r="U919">
            <v>20</v>
          </cell>
          <cell r="V919">
            <v>43</v>
          </cell>
          <cell r="W919">
            <v>39</v>
          </cell>
          <cell r="X919">
            <v>37</v>
          </cell>
          <cell r="Y919">
            <v>34</v>
          </cell>
          <cell r="Z919">
            <v>41</v>
          </cell>
          <cell r="AA919">
            <v>22</v>
          </cell>
          <cell r="AB919">
            <v>236</v>
          </cell>
          <cell r="AC919">
            <v>0</v>
          </cell>
          <cell r="AD919" t="str">
            <v>TIDAK</v>
          </cell>
          <cell r="AE919" t="str">
            <v>TIDAK</v>
          </cell>
          <cell r="AF919">
            <v>236</v>
          </cell>
          <cell r="AG919">
            <v>2</v>
          </cell>
          <cell r="AH919" t="str">
            <v>SAPHIRE</v>
          </cell>
          <cell r="AI919">
            <v>0</v>
          </cell>
          <cell r="AJ919" t="str">
            <v>Y</v>
          </cell>
          <cell r="AK919">
            <v>0</v>
          </cell>
          <cell r="AL919">
            <v>45261</v>
          </cell>
          <cell r="AM919">
            <v>45701</v>
          </cell>
          <cell r="AN919">
            <v>1</v>
          </cell>
          <cell r="AO919">
            <v>236</v>
          </cell>
          <cell r="AP919" t="str">
            <v>-</v>
          </cell>
          <cell r="AQ919" t="str">
            <v>-</v>
          </cell>
          <cell r="AR919" t="str">
            <v>EKSKLUSIF</v>
          </cell>
          <cell r="AS919" t="str">
            <v>EKSKLUSIF</v>
          </cell>
          <cell r="AT919" t="str">
            <v>EKSKLUSIF</v>
          </cell>
          <cell r="AU919" t="str">
            <v>REGULER</v>
          </cell>
          <cell r="AV919" t="str">
            <v/>
          </cell>
          <cell r="AW919">
            <v>50</v>
          </cell>
          <cell r="AX919">
            <v>48</v>
          </cell>
          <cell r="AY919">
            <v>44</v>
          </cell>
          <cell r="AZ919">
            <v>49</v>
          </cell>
          <cell r="BA919">
            <v>39</v>
          </cell>
          <cell r="BB919">
            <v>50</v>
          </cell>
          <cell r="BC919">
            <v>48</v>
          </cell>
          <cell r="BD919">
            <v>44</v>
          </cell>
          <cell r="BE919">
            <v>49</v>
          </cell>
          <cell r="BF919">
            <v>39</v>
          </cell>
          <cell r="BG919">
            <v>11</v>
          </cell>
          <cell r="BH919">
            <v>50</v>
          </cell>
          <cell r="BI919">
            <v>48</v>
          </cell>
          <cell r="BJ919">
            <v>44</v>
          </cell>
          <cell r="BK919">
            <v>49</v>
          </cell>
          <cell r="BL919">
            <v>39</v>
          </cell>
          <cell r="BM919">
            <v>20</v>
          </cell>
          <cell r="BN919">
            <v>261</v>
          </cell>
          <cell r="BO919">
            <v>11</v>
          </cell>
          <cell r="BP919">
            <v>50</v>
          </cell>
          <cell r="BQ919">
            <v>0</v>
          </cell>
          <cell r="BR919">
            <v>0</v>
          </cell>
          <cell r="BS919">
            <v>0</v>
          </cell>
          <cell r="BT919">
            <v>39</v>
          </cell>
          <cell r="BU919">
            <v>20</v>
          </cell>
          <cell r="BV919">
            <v>120</v>
          </cell>
          <cell r="BW919">
            <v>0</v>
          </cell>
          <cell r="BX919" t="str">
            <v>TIDAK</v>
          </cell>
          <cell r="BY919" t="str">
            <v>TIDAK</v>
          </cell>
        </row>
        <row r="920">
          <cell r="A920" t="str">
            <v>A1801</v>
          </cell>
          <cell r="B920" t="str">
            <v xml:space="preserve">Mega Dasmawati </v>
          </cell>
          <cell r="C920" t="str">
            <v>TEMA C2</v>
          </cell>
          <cell r="D920">
            <v>45062</v>
          </cell>
          <cell r="E920" t="str">
            <v>May-23</v>
          </cell>
          <cell r="F920" t="str">
            <v>REGULER</v>
          </cell>
          <cell r="G920" t="str">
            <v>REGULER</v>
          </cell>
          <cell r="H920" t="str">
            <v>REGULER</v>
          </cell>
          <cell r="I920" t="str">
            <v>REGULER</v>
          </cell>
          <cell r="J920" t="str">
            <v>REGULER</v>
          </cell>
          <cell r="K920" t="str">
            <v>REGULER</v>
          </cell>
          <cell r="L920" t="str">
            <v>REGULER</v>
          </cell>
          <cell r="M920">
            <v>19</v>
          </cell>
          <cell r="N920">
            <v>38</v>
          </cell>
          <cell r="O920">
            <v>28</v>
          </cell>
          <cell r="P920">
            <v>32</v>
          </cell>
          <cell r="Q920">
            <v>36</v>
          </cell>
          <cell r="R920">
            <v>40</v>
          </cell>
          <cell r="S920">
            <v>22</v>
          </cell>
          <cell r="T920">
            <v>215</v>
          </cell>
          <cell r="U920">
            <v>19</v>
          </cell>
          <cell r="V920">
            <v>38</v>
          </cell>
          <cell r="W920">
            <v>28</v>
          </cell>
          <cell r="X920">
            <v>32</v>
          </cell>
          <cell r="Y920">
            <v>36</v>
          </cell>
          <cell r="Z920">
            <v>40</v>
          </cell>
          <cell r="AA920">
            <v>22</v>
          </cell>
          <cell r="AB920">
            <v>215</v>
          </cell>
          <cell r="AC920">
            <v>0</v>
          </cell>
          <cell r="AD920" t="str">
            <v>TIDAK</v>
          </cell>
          <cell r="AE920" t="str">
            <v>TIDAK</v>
          </cell>
          <cell r="AF920">
            <v>215</v>
          </cell>
          <cell r="AG920">
            <v>2</v>
          </cell>
          <cell r="AH920" t="str">
            <v>SAPHIRE</v>
          </cell>
          <cell r="AI920">
            <v>0</v>
          </cell>
          <cell r="AJ920" t="str">
            <v>Y</v>
          </cell>
          <cell r="AK920">
            <v>0</v>
          </cell>
          <cell r="AL920">
            <v>45261</v>
          </cell>
          <cell r="AM920">
            <v>45701</v>
          </cell>
          <cell r="AN920">
            <v>1</v>
          </cell>
          <cell r="AO920">
            <v>215</v>
          </cell>
          <cell r="AP920" t="str">
            <v>-</v>
          </cell>
          <cell r="AQ920" t="str">
            <v>-</v>
          </cell>
          <cell r="AR920" t="str">
            <v>REGULER</v>
          </cell>
          <cell r="AS920" t="str">
            <v>REGULER</v>
          </cell>
          <cell r="AT920" t="str">
            <v>REGULER</v>
          </cell>
          <cell r="AU920" t="str">
            <v>REGULER</v>
          </cell>
          <cell r="AV920" t="str">
            <v/>
          </cell>
          <cell r="AW920">
            <v>41</v>
          </cell>
          <cell r="AX920">
            <v>34</v>
          </cell>
          <cell r="AY920">
            <v>31</v>
          </cell>
          <cell r="AZ920">
            <v>39</v>
          </cell>
          <cell r="BA920">
            <v>7</v>
          </cell>
          <cell r="BB920">
            <v>41</v>
          </cell>
          <cell r="BC920">
            <v>34</v>
          </cell>
          <cell r="BD920">
            <v>31</v>
          </cell>
          <cell r="BE920">
            <v>39</v>
          </cell>
          <cell r="BF920">
            <v>7</v>
          </cell>
          <cell r="BG920">
            <v>16</v>
          </cell>
          <cell r="BH920">
            <v>41</v>
          </cell>
          <cell r="BI920">
            <v>34</v>
          </cell>
          <cell r="BJ920">
            <v>31</v>
          </cell>
          <cell r="BK920">
            <v>39</v>
          </cell>
          <cell r="BL920">
            <v>7</v>
          </cell>
          <cell r="BM920" t="str">
            <v/>
          </cell>
          <cell r="BN920">
            <v>168</v>
          </cell>
          <cell r="BO920">
            <v>16</v>
          </cell>
          <cell r="BP920">
            <v>41</v>
          </cell>
          <cell r="BQ920">
            <v>34</v>
          </cell>
          <cell r="BR920">
            <v>31</v>
          </cell>
          <cell r="BS920">
            <v>39</v>
          </cell>
          <cell r="BT920">
            <v>7</v>
          </cell>
          <cell r="BU920" t="str">
            <v/>
          </cell>
          <cell r="BV920">
            <v>168</v>
          </cell>
          <cell r="BW920">
            <v>1</v>
          </cell>
          <cell r="BX920" t="str">
            <v>TIDAK</v>
          </cell>
          <cell r="BY920" t="str">
            <v>TIDAK</v>
          </cell>
        </row>
        <row r="921">
          <cell r="A921" t="str">
            <v>A2600</v>
          </cell>
          <cell r="B921" t="str">
            <v>Melda Yanti Siregar</v>
          </cell>
          <cell r="C921" t="str">
            <v>TEMA C2</v>
          </cell>
          <cell r="D921">
            <v>45110</v>
          </cell>
          <cell r="E921" t="str">
            <v>Jul-23</v>
          </cell>
          <cell r="F921" t="str">
            <v>REGULER</v>
          </cell>
          <cell r="G921" t="str">
            <v>REGULER</v>
          </cell>
          <cell r="H921" t="str">
            <v>REGULER</v>
          </cell>
          <cell r="I921" t="str">
            <v>REGULER</v>
          </cell>
          <cell r="J921" t="str">
            <v>-</v>
          </cell>
          <cell r="K921" t="str">
            <v>-</v>
          </cell>
          <cell r="L921" t="str">
            <v>-</v>
          </cell>
          <cell r="M921">
            <v>18</v>
          </cell>
          <cell r="N921">
            <v>47</v>
          </cell>
          <cell r="O921">
            <v>41</v>
          </cell>
          <cell r="P921">
            <v>20</v>
          </cell>
          <cell r="Q921">
            <v>0</v>
          </cell>
          <cell r="R921">
            <v>0</v>
          </cell>
          <cell r="S921" t="str">
            <v/>
          </cell>
          <cell r="T921">
            <v>126</v>
          </cell>
          <cell r="U921">
            <v>18</v>
          </cell>
          <cell r="V921">
            <v>47</v>
          </cell>
          <cell r="W921">
            <v>41</v>
          </cell>
          <cell r="X921">
            <v>20</v>
          </cell>
          <cell r="Y921">
            <v>0</v>
          </cell>
          <cell r="Z921">
            <v>0</v>
          </cell>
          <cell r="AA921" t="str">
            <v/>
          </cell>
          <cell r="AB921">
            <v>126</v>
          </cell>
          <cell r="AC921">
            <v>3</v>
          </cell>
          <cell r="AD921" t="str">
            <v>DOWNGRADE</v>
          </cell>
          <cell r="AE921" t="str">
            <v>RESET</v>
          </cell>
          <cell r="AF921">
            <v>0</v>
          </cell>
          <cell r="AG921">
            <v>2</v>
          </cell>
          <cell r="AH921" t="str">
            <v>SAPHIRE</v>
          </cell>
          <cell r="AI921">
            <v>0</v>
          </cell>
          <cell r="AJ921" t="str">
            <v>FALSE</v>
          </cell>
          <cell r="AK921">
            <v>0</v>
          </cell>
          <cell r="AL921">
            <v>45261</v>
          </cell>
          <cell r="AM921">
            <v>45701</v>
          </cell>
          <cell r="AN921">
            <v>1</v>
          </cell>
          <cell r="AO921">
            <v>0</v>
          </cell>
          <cell r="AP921" t="str">
            <v>-</v>
          </cell>
          <cell r="AQ921" t="str">
            <v>-</v>
          </cell>
          <cell r="AR921" t="str">
            <v>-</v>
          </cell>
          <cell r="AS921" t="str">
            <v>-</v>
          </cell>
          <cell r="AT921" t="str">
            <v>-</v>
          </cell>
          <cell r="AU921" t="str">
            <v>-</v>
          </cell>
          <cell r="AV921" t="str">
            <v/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 t="str">
            <v/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 t="str">
            <v/>
          </cell>
          <cell r="BN921">
            <v>0</v>
          </cell>
          <cell r="BO921" t="str">
            <v/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 t="str">
            <v/>
          </cell>
          <cell r="BV921">
            <v>0</v>
          </cell>
          <cell r="BW921">
            <v>7</v>
          </cell>
          <cell r="BX921" t="str">
            <v>DOWNGRADE</v>
          </cell>
          <cell r="BY921" t="str">
            <v>RESET</v>
          </cell>
        </row>
        <row r="922">
          <cell r="A922" t="str">
            <v>A1756</v>
          </cell>
          <cell r="B922" t="str">
            <v>Melinda Intan Rahmawati</v>
          </cell>
          <cell r="C922" t="str">
            <v>TEMA C2</v>
          </cell>
          <cell r="D922">
            <v>45019</v>
          </cell>
          <cell r="E922" t="str">
            <v>Apr-23</v>
          </cell>
          <cell r="F922" t="str">
            <v>EKSKLUSIF</v>
          </cell>
          <cell r="G922" t="str">
            <v>EKSKLUSIF</v>
          </cell>
          <cell r="H922" t="str">
            <v>EKSKLUSIF</v>
          </cell>
          <cell r="I922" t="str">
            <v>REGULER</v>
          </cell>
          <cell r="J922" t="str">
            <v>REGULER</v>
          </cell>
          <cell r="K922" t="str">
            <v>EKSKLUSIF</v>
          </cell>
          <cell r="L922" t="str">
            <v>EKSKLUSIF</v>
          </cell>
          <cell r="M922">
            <v>21</v>
          </cell>
          <cell r="N922">
            <v>46</v>
          </cell>
          <cell r="O922">
            <v>38</v>
          </cell>
          <cell r="P922">
            <v>43</v>
          </cell>
          <cell r="Q922">
            <v>34</v>
          </cell>
          <cell r="R922">
            <v>43</v>
          </cell>
          <cell r="S922">
            <v>22</v>
          </cell>
          <cell r="T922">
            <v>247</v>
          </cell>
          <cell r="U922">
            <v>0</v>
          </cell>
          <cell r="V922">
            <v>0</v>
          </cell>
          <cell r="W922">
            <v>0</v>
          </cell>
          <cell r="X922">
            <v>43</v>
          </cell>
          <cell r="Y922">
            <v>34</v>
          </cell>
          <cell r="Z922">
            <v>0</v>
          </cell>
          <cell r="AA922">
            <v>0</v>
          </cell>
          <cell r="AB922">
            <v>77</v>
          </cell>
          <cell r="AC922">
            <v>0</v>
          </cell>
          <cell r="AD922" t="str">
            <v>TIDAK</v>
          </cell>
          <cell r="AE922" t="str">
            <v>TIDAK</v>
          </cell>
          <cell r="AF922">
            <v>77</v>
          </cell>
          <cell r="AG922">
            <v>2</v>
          </cell>
          <cell r="AH922" t="str">
            <v>SAPHIRE</v>
          </cell>
          <cell r="AI922">
            <v>0</v>
          </cell>
          <cell r="AJ922" t="str">
            <v>Y</v>
          </cell>
          <cell r="AK922">
            <v>0</v>
          </cell>
          <cell r="AL922">
            <v>45261</v>
          </cell>
          <cell r="AM922">
            <v>45701</v>
          </cell>
          <cell r="AN922">
            <v>1</v>
          </cell>
          <cell r="AO922">
            <v>77</v>
          </cell>
          <cell r="AP922" t="str">
            <v>EKSKLUSIF</v>
          </cell>
          <cell r="AQ922" t="str">
            <v>-</v>
          </cell>
          <cell r="AR922" t="str">
            <v>EKSKLUSIF</v>
          </cell>
          <cell r="AS922" t="str">
            <v>EKSKLUSIF</v>
          </cell>
          <cell r="AT922" t="str">
            <v>EKSKLUSIF</v>
          </cell>
          <cell r="AU922" t="str">
            <v>REGULER</v>
          </cell>
          <cell r="AV922" t="str">
            <v/>
          </cell>
          <cell r="AW922">
            <v>50</v>
          </cell>
          <cell r="AX922">
            <v>48</v>
          </cell>
          <cell r="AY922">
            <v>40</v>
          </cell>
          <cell r="AZ922">
            <v>48</v>
          </cell>
          <cell r="BA922">
            <v>35</v>
          </cell>
          <cell r="BB922">
            <v>50</v>
          </cell>
          <cell r="BC922">
            <v>48</v>
          </cell>
          <cell r="BD922">
            <v>40</v>
          </cell>
          <cell r="BE922">
            <v>48</v>
          </cell>
          <cell r="BF922">
            <v>35</v>
          </cell>
          <cell r="BG922">
            <v>19</v>
          </cell>
          <cell r="BH922">
            <v>50</v>
          </cell>
          <cell r="BI922">
            <v>48</v>
          </cell>
          <cell r="BJ922">
            <v>40</v>
          </cell>
          <cell r="BK922">
            <v>48</v>
          </cell>
          <cell r="BL922">
            <v>35</v>
          </cell>
          <cell r="BM922" t="str">
            <v/>
          </cell>
          <cell r="BN922">
            <v>240</v>
          </cell>
          <cell r="BO922">
            <v>0</v>
          </cell>
          <cell r="BP922">
            <v>50</v>
          </cell>
          <cell r="BQ922">
            <v>0</v>
          </cell>
          <cell r="BR922">
            <v>0</v>
          </cell>
          <cell r="BS922">
            <v>0</v>
          </cell>
          <cell r="BT922">
            <v>35</v>
          </cell>
          <cell r="BU922" t="str">
            <v/>
          </cell>
          <cell r="BV922">
            <v>85</v>
          </cell>
          <cell r="BW922">
            <v>1</v>
          </cell>
          <cell r="BX922" t="str">
            <v>TIDAK</v>
          </cell>
          <cell r="BY922" t="str">
            <v>TIDAK</v>
          </cell>
        </row>
        <row r="923">
          <cell r="A923" t="str">
            <v>A2980</v>
          </cell>
          <cell r="B923" t="str">
            <v>Melly Kusumawati</v>
          </cell>
          <cell r="C923" t="str">
            <v>TEMA C2</v>
          </cell>
          <cell r="D923">
            <v>45201</v>
          </cell>
          <cell r="E923" t="str">
            <v>Oct-23</v>
          </cell>
          <cell r="F923" t="str">
            <v>REGULER</v>
          </cell>
          <cell r="G923" t="str">
            <v>REGULER</v>
          </cell>
          <cell r="H923" t="str">
            <v>REGULER</v>
          </cell>
          <cell r="I923" t="str">
            <v>REGULER</v>
          </cell>
          <cell r="J923" t="str">
            <v>REGULER</v>
          </cell>
          <cell r="K923" t="str">
            <v>REGULER</v>
          </cell>
          <cell r="L923" t="str">
            <v>REGULER</v>
          </cell>
          <cell r="M923">
            <v>15</v>
          </cell>
          <cell r="N923">
            <v>25</v>
          </cell>
          <cell r="O923">
            <v>17</v>
          </cell>
          <cell r="P923">
            <v>22</v>
          </cell>
          <cell r="Q923">
            <v>3</v>
          </cell>
          <cell r="R923">
            <v>10</v>
          </cell>
          <cell r="S923">
            <v>3</v>
          </cell>
          <cell r="T923">
            <v>95</v>
          </cell>
          <cell r="U923">
            <v>15</v>
          </cell>
          <cell r="V923">
            <v>25</v>
          </cell>
          <cell r="W923">
            <v>17</v>
          </cell>
          <cell r="X923">
            <v>22</v>
          </cell>
          <cell r="Y923">
            <v>3</v>
          </cell>
          <cell r="Z923">
            <v>10</v>
          </cell>
          <cell r="AA923">
            <v>3</v>
          </cell>
          <cell r="AB923">
            <v>95</v>
          </cell>
          <cell r="AC923">
            <v>0</v>
          </cell>
          <cell r="AD923" t="str">
            <v>TIDAK</v>
          </cell>
          <cell r="AE923" t="str">
            <v>TIDAK</v>
          </cell>
          <cell r="AF923">
            <v>95</v>
          </cell>
          <cell r="AG923">
            <v>2</v>
          </cell>
          <cell r="AH923" t="str">
            <v>SAPHIRE</v>
          </cell>
          <cell r="AI923">
            <v>0</v>
          </cell>
          <cell r="AJ923" t="str">
            <v>Y</v>
          </cell>
          <cell r="AK923">
            <v>0</v>
          </cell>
          <cell r="AL923">
            <v>45261</v>
          </cell>
          <cell r="AM923">
            <v>45701</v>
          </cell>
          <cell r="AN923">
            <v>1</v>
          </cell>
          <cell r="AO923">
            <v>95</v>
          </cell>
          <cell r="AP923" t="str">
            <v>-</v>
          </cell>
          <cell r="AQ923" t="str">
            <v>-</v>
          </cell>
          <cell r="AR923" t="str">
            <v>-</v>
          </cell>
          <cell r="AS923" t="str">
            <v>-</v>
          </cell>
          <cell r="AT923" t="str">
            <v>-</v>
          </cell>
          <cell r="AU923" t="str">
            <v>-</v>
          </cell>
          <cell r="AV923" t="str">
            <v/>
          </cell>
          <cell r="AW923">
            <v>2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2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1</v>
          </cell>
          <cell r="BH923">
            <v>2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 t="str">
            <v/>
          </cell>
          <cell r="BN923">
            <v>3</v>
          </cell>
          <cell r="BO923">
            <v>1</v>
          </cell>
          <cell r="BP923">
            <v>2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  <cell r="BU923" t="str">
            <v/>
          </cell>
          <cell r="BV923">
            <v>3</v>
          </cell>
          <cell r="BW923">
            <v>5</v>
          </cell>
          <cell r="BX923" t="str">
            <v>DOWNGRADE</v>
          </cell>
          <cell r="BY923" t="str">
            <v>RESET</v>
          </cell>
        </row>
        <row r="924">
          <cell r="A924" t="str">
            <v>A3239</v>
          </cell>
          <cell r="B924" t="str">
            <v>Melvin Zebua</v>
          </cell>
          <cell r="C924" t="str">
            <v>TEMA C2</v>
          </cell>
          <cell r="D924">
            <v>45237</v>
          </cell>
          <cell r="E924" t="str">
            <v>Nov-23</v>
          </cell>
          <cell r="F924" t="str">
            <v>REGULER</v>
          </cell>
          <cell r="G924" t="str">
            <v>REGULER</v>
          </cell>
          <cell r="H924" t="str">
            <v>REGULER</v>
          </cell>
          <cell r="I924" t="str">
            <v>REGULER</v>
          </cell>
          <cell r="J924" t="str">
            <v>REGULER</v>
          </cell>
          <cell r="K924" t="str">
            <v>-</v>
          </cell>
          <cell r="L924" t="str">
            <v>-</v>
          </cell>
          <cell r="M924">
            <v>19</v>
          </cell>
          <cell r="N924">
            <v>39</v>
          </cell>
          <cell r="O924">
            <v>38</v>
          </cell>
          <cell r="P924">
            <v>32</v>
          </cell>
          <cell r="Q924">
            <v>20</v>
          </cell>
          <cell r="R924">
            <v>0</v>
          </cell>
          <cell r="S924" t="str">
            <v/>
          </cell>
          <cell r="T924">
            <v>148</v>
          </cell>
          <cell r="U924">
            <v>19</v>
          </cell>
          <cell r="V924">
            <v>39</v>
          </cell>
          <cell r="W924">
            <v>38</v>
          </cell>
          <cell r="X924">
            <v>32</v>
          </cell>
          <cell r="Y924">
            <v>20</v>
          </cell>
          <cell r="Z924">
            <v>0</v>
          </cell>
          <cell r="AA924" t="str">
            <v/>
          </cell>
          <cell r="AB924">
            <v>148</v>
          </cell>
          <cell r="AC924">
            <v>2</v>
          </cell>
          <cell r="AD924" t="str">
            <v>TIDAK</v>
          </cell>
          <cell r="AE924" t="str">
            <v>TIDAK</v>
          </cell>
          <cell r="AF924">
            <v>148</v>
          </cell>
          <cell r="AG924">
            <v>3</v>
          </cell>
          <cell r="AH924" t="str">
            <v>SAPHIRE</v>
          </cell>
          <cell r="AI924">
            <v>0</v>
          </cell>
          <cell r="AJ924" t="str">
            <v>Y</v>
          </cell>
          <cell r="AK924">
            <v>0</v>
          </cell>
          <cell r="AL924">
            <v>45261</v>
          </cell>
          <cell r="AM924">
            <v>45701</v>
          </cell>
          <cell r="AN924">
            <v>1</v>
          </cell>
          <cell r="AO924">
            <v>148</v>
          </cell>
          <cell r="AP924" t="str">
            <v>-</v>
          </cell>
          <cell r="AQ924" t="str">
            <v>-</v>
          </cell>
          <cell r="AR924" t="str">
            <v>-</v>
          </cell>
          <cell r="AS924" t="str">
            <v>-</v>
          </cell>
          <cell r="AT924" t="str">
            <v>-</v>
          </cell>
          <cell r="AU924" t="str">
            <v>-</v>
          </cell>
          <cell r="AV924" t="str">
            <v/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 t="str">
            <v/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 t="str">
            <v/>
          </cell>
          <cell r="BN924">
            <v>0</v>
          </cell>
          <cell r="BO924" t="str">
            <v/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 t="str">
            <v/>
          </cell>
          <cell r="BV924">
            <v>0</v>
          </cell>
          <cell r="BW924">
            <v>7</v>
          </cell>
          <cell r="BX924" t="str">
            <v>DOWNGRADE</v>
          </cell>
          <cell r="BY924" t="str">
            <v>RESET</v>
          </cell>
        </row>
        <row r="925">
          <cell r="A925" t="str">
            <v>A3034</v>
          </cell>
          <cell r="B925" t="str">
            <v>Meytia Eka Putri</v>
          </cell>
          <cell r="C925" t="str">
            <v>TEMA C2</v>
          </cell>
          <cell r="D925">
            <v>45202</v>
          </cell>
          <cell r="E925" t="str">
            <v>Oct-23</v>
          </cell>
          <cell r="F925" t="str">
            <v>EKSKLUSIF</v>
          </cell>
          <cell r="G925" t="str">
            <v>EKSKLUSIF</v>
          </cell>
          <cell r="H925" t="str">
            <v>EKSKLUSIF</v>
          </cell>
          <cell r="I925" t="str">
            <v>REGULER</v>
          </cell>
          <cell r="J925" t="str">
            <v>REGULER</v>
          </cell>
          <cell r="K925" t="str">
            <v>REGULER</v>
          </cell>
          <cell r="L925" t="str">
            <v>REGULER</v>
          </cell>
          <cell r="M925">
            <v>20</v>
          </cell>
          <cell r="N925">
            <v>47</v>
          </cell>
          <cell r="O925">
            <v>40</v>
          </cell>
          <cell r="P925">
            <v>36</v>
          </cell>
          <cell r="Q925">
            <v>13</v>
          </cell>
          <cell r="R925">
            <v>37</v>
          </cell>
          <cell r="S925">
            <v>21</v>
          </cell>
          <cell r="T925">
            <v>214</v>
          </cell>
          <cell r="U925">
            <v>0</v>
          </cell>
          <cell r="V925">
            <v>0</v>
          </cell>
          <cell r="W925">
            <v>0</v>
          </cell>
          <cell r="X925">
            <v>36</v>
          </cell>
          <cell r="Y925">
            <v>13</v>
          </cell>
          <cell r="Z925">
            <v>37</v>
          </cell>
          <cell r="AA925">
            <v>21</v>
          </cell>
          <cell r="AB925">
            <v>107</v>
          </cell>
          <cell r="AC925">
            <v>0</v>
          </cell>
          <cell r="AD925" t="str">
            <v>TIDAK</v>
          </cell>
          <cell r="AE925" t="str">
            <v>TIDAK</v>
          </cell>
          <cell r="AF925">
            <v>107</v>
          </cell>
          <cell r="AG925">
            <v>2</v>
          </cell>
          <cell r="AH925" t="str">
            <v>SAPHIRE</v>
          </cell>
          <cell r="AI925">
            <v>0</v>
          </cell>
          <cell r="AJ925" t="str">
            <v>Y</v>
          </cell>
          <cell r="AK925">
            <v>0</v>
          </cell>
          <cell r="AL925">
            <v>45261</v>
          </cell>
          <cell r="AM925">
            <v>45701</v>
          </cell>
          <cell r="AN925">
            <v>1</v>
          </cell>
          <cell r="AO925">
            <v>107</v>
          </cell>
          <cell r="AP925" t="str">
            <v>-</v>
          </cell>
          <cell r="AQ925" t="str">
            <v>-</v>
          </cell>
          <cell r="AR925" t="str">
            <v>EKSKLUSIF</v>
          </cell>
          <cell r="AS925" t="str">
            <v>EKSKLUSIF</v>
          </cell>
          <cell r="AT925" t="str">
            <v>EKSKLUSIF</v>
          </cell>
          <cell r="AU925" t="str">
            <v>EKSKLUSIF</v>
          </cell>
          <cell r="AV925" t="str">
            <v/>
          </cell>
          <cell r="AW925">
            <v>49</v>
          </cell>
          <cell r="AX925">
            <v>46</v>
          </cell>
          <cell r="AY925">
            <v>36</v>
          </cell>
          <cell r="AZ925">
            <v>47</v>
          </cell>
          <cell r="BA925">
            <v>44</v>
          </cell>
          <cell r="BB925">
            <v>49</v>
          </cell>
          <cell r="BC925">
            <v>46</v>
          </cell>
          <cell r="BD925">
            <v>36</v>
          </cell>
          <cell r="BE925">
            <v>47</v>
          </cell>
          <cell r="BF925">
            <v>44</v>
          </cell>
          <cell r="BG925">
            <v>19</v>
          </cell>
          <cell r="BH925">
            <v>49</v>
          </cell>
          <cell r="BI925">
            <v>46</v>
          </cell>
          <cell r="BJ925">
            <v>36</v>
          </cell>
          <cell r="BK925">
            <v>47</v>
          </cell>
          <cell r="BL925">
            <v>44</v>
          </cell>
          <cell r="BM925">
            <v>21</v>
          </cell>
          <cell r="BN925">
            <v>262</v>
          </cell>
          <cell r="BO925">
            <v>19</v>
          </cell>
          <cell r="BP925">
            <v>49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21</v>
          </cell>
          <cell r="BV925">
            <v>89</v>
          </cell>
          <cell r="BW925">
            <v>0</v>
          </cell>
          <cell r="BX925" t="str">
            <v>TIDAK</v>
          </cell>
          <cell r="BY925" t="str">
            <v>TIDAK</v>
          </cell>
        </row>
        <row r="926">
          <cell r="A926" t="str">
            <v>A2505</v>
          </cell>
          <cell r="B926" t="str">
            <v>Michael Valentino</v>
          </cell>
          <cell r="C926" t="str">
            <v>TEMA C2</v>
          </cell>
          <cell r="D926">
            <v>45107</v>
          </cell>
          <cell r="E926" t="str">
            <v>Jun-23</v>
          </cell>
          <cell r="F926" t="str">
            <v>REGULER</v>
          </cell>
          <cell r="G926" t="str">
            <v>REGULER</v>
          </cell>
          <cell r="H926" t="str">
            <v>REGULER</v>
          </cell>
          <cell r="I926" t="str">
            <v>REGULER</v>
          </cell>
          <cell r="J926" t="str">
            <v>REGULER</v>
          </cell>
          <cell r="K926" t="str">
            <v>REGULER</v>
          </cell>
          <cell r="L926" t="str">
            <v>REGULER</v>
          </cell>
          <cell r="M926">
            <v>11</v>
          </cell>
          <cell r="N926">
            <v>33</v>
          </cell>
          <cell r="O926">
            <v>30</v>
          </cell>
          <cell r="P926">
            <v>30</v>
          </cell>
          <cell r="Q926">
            <v>35</v>
          </cell>
          <cell r="R926">
            <v>29</v>
          </cell>
          <cell r="S926">
            <v>16</v>
          </cell>
          <cell r="T926">
            <v>184</v>
          </cell>
          <cell r="U926">
            <v>11</v>
          </cell>
          <cell r="V926">
            <v>33</v>
          </cell>
          <cell r="W926">
            <v>30</v>
          </cell>
          <cell r="X926">
            <v>30</v>
          </cell>
          <cell r="Y926">
            <v>35</v>
          </cell>
          <cell r="Z926">
            <v>29</v>
          </cell>
          <cell r="AA926">
            <v>16</v>
          </cell>
          <cell r="AB926">
            <v>184</v>
          </cell>
          <cell r="AC926">
            <v>0</v>
          </cell>
          <cell r="AD926" t="str">
            <v>TIDAK</v>
          </cell>
          <cell r="AE926" t="str">
            <v>TIDAK</v>
          </cell>
          <cell r="AF926">
            <v>184</v>
          </cell>
          <cell r="AG926">
            <v>2</v>
          </cell>
          <cell r="AH926" t="str">
            <v>SAPHIRE</v>
          </cell>
          <cell r="AI926">
            <v>0</v>
          </cell>
          <cell r="AJ926" t="str">
            <v>Y</v>
          </cell>
          <cell r="AK926">
            <v>0</v>
          </cell>
          <cell r="AL926">
            <v>45261</v>
          </cell>
          <cell r="AM926">
            <v>45701</v>
          </cell>
          <cell r="AN926">
            <v>1</v>
          </cell>
          <cell r="AO926">
            <v>184</v>
          </cell>
          <cell r="AP926" t="str">
            <v>-</v>
          </cell>
          <cell r="AQ926" t="str">
            <v>-</v>
          </cell>
          <cell r="AR926" t="str">
            <v>REGULER</v>
          </cell>
          <cell r="AS926" t="str">
            <v>REGULER</v>
          </cell>
          <cell r="AT926" t="str">
            <v>REGULER</v>
          </cell>
          <cell r="AU926" t="str">
            <v>-</v>
          </cell>
          <cell r="AV926" t="str">
            <v/>
          </cell>
          <cell r="AW926">
            <v>27</v>
          </cell>
          <cell r="AX926">
            <v>19</v>
          </cell>
          <cell r="AY926">
            <v>18</v>
          </cell>
          <cell r="AZ926">
            <v>3</v>
          </cell>
          <cell r="BA926">
            <v>0</v>
          </cell>
          <cell r="BB926">
            <v>27</v>
          </cell>
          <cell r="BC926">
            <v>19</v>
          </cell>
          <cell r="BD926">
            <v>18</v>
          </cell>
          <cell r="BE926">
            <v>3</v>
          </cell>
          <cell r="BF926">
            <v>0</v>
          </cell>
          <cell r="BG926">
            <v>9</v>
          </cell>
          <cell r="BH926">
            <v>27</v>
          </cell>
          <cell r="BI926">
            <v>19</v>
          </cell>
          <cell r="BJ926">
            <v>18</v>
          </cell>
          <cell r="BK926">
            <v>3</v>
          </cell>
          <cell r="BL926">
            <v>0</v>
          </cell>
          <cell r="BM926" t="str">
            <v/>
          </cell>
          <cell r="BN926">
            <v>76</v>
          </cell>
          <cell r="BO926">
            <v>9</v>
          </cell>
          <cell r="BP926">
            <v>27</v>
          </cell>
          <cell r="BQ926">
            <v>19</v>
          </cell>
          <cell r="BR926">
            <v>18</v>
          </cell>
          <cell r="BS926">
            <v>3</v>
          </cell>
          <cell r="BT926">
            <v>0</v>
          </cell>
          <cell r="BU926" t="str">
            <v/>
          </cell>
          <cell r="BV926">
            <v>76</v>
          </cell>
          <cell r="BW926">
            <v>2</v>
          </cell>
          <cell r="BX926" t="str">
            <v>TIDAK</v>
          </cell>
          <cell r="BY926" t="str">
            <v>TIDAK</v>
          </cell>
        </row>
        <row r="927">
          <cell r="A927" t="str">
            <v>A1366</v>
          </cell>
          <cell r="B927" t="str">
            <v>Mifta Ul Ulum</v>
          </cell>
          <cell r="C927" t="str">
            <v>TEMA C2</v>
          </cell>
          <cell r="D927">
            <v>44973</v>
          </cell>
          <cell r="E927" t="str">
            <v>Feb-23</v>
          </cell>
          <cell r="F927" t="str">
            <v>REGULER</v>
          </cell>
          <cell r="G927" t="str">
            <v>REGULER</v>
          </cell>
          <cell r="H927" t="str">
            <v>EKSKLUSIF</v>
          </cell>
          <cell r="I927" t="str">
            <v>EKSKLUSIF</v>
          </cell>
          <cell r="J927" t="str">
            <v>EKSKLUSIF</v>
          </cell>
          <cell r="K927" t="str">
            <v>REGULER</v>
          </cell>
          <cell r="L927" t="str">
            <v>REGULER</v>
          </cell>
          <cell r="M927">
            <v>14</v>
          </cell>
          <cell r="N927">
            <v>38</v>
          </cell>
          <cell r="O927">
            <v>39</v>
          </cell>
          <cell r="P927">
            <v>40</v>
          </cell>
          <cell r="Q927">
            <v>35</v>
          </cell>
          <cell r="R927">
            <v>34</v>
          </cell>
          <cell r="S927">
            <v>16</v>
          </cell>
          <cell r="T927">
            <v>216</v>
          </cell>
          <cell r="U927">
            <v>14</v>
          </cell>
          <cell r="V927">
            <v>38</v>
          </cell>
          <cell r="W927">
            <v>0</v>
          </cell>
          <cell r="X927">
            <v>0</v>
          </cell>
          <cell r="Y927">
            <v>0</v>
          </cell>
          <cell r="Z927">
            <v>34</v>
          </cell>
          <cell r="AA927">
            <v>16</v>
          </cell>
          <cell r="AB927">
            <v>102</v>
          </cell>
          <cell r="AC927">
            <v>0</v>
          </cell>
          <cell r="AD927" t="str">
            <v>TIDAK</v>
          </cell>
          <cell r="AE927" t="str">
            <v>TIDAK</v>
          </cell>
          <cell r="AF927">
            <v>102</v>
          </cell>
          <cell r="AG927">
            <v>3</v>
          </cell>
          <cell r="AH927" t="str">
            <v>SAPHIRE</v>
          </cell>
          <cell r="AI927">
            <v>65</v>
          </cell>
          <cell r="AJ927" t="str">
            <v>Y</v>
          </cell>
          <cell r="AK927">
            <v>0</v>
          </cell>
          <cell r="AL927">
            <v>45261</v>
          </cell>
          <cell r="AM927">
            <v>45701</v>
          </cell>
          <cell r="AN927">
            <v>1</v>
          </cell>
          <cell r="AO927">
            <v>37</v>
          </cell>
          <cell r="AP927" t="str">
            <v>-</v>
          </cell>
          <cell r="AQ927" t="str">
            <v>-</v>
          </cell>
          <cell r="AR927" t="str">
            <v>REGULER</v>
          </cell>
          <cell r="AS927" t="str">
            <v>REGULER</v>
          </cell>
          <cell r="AT927" t="str">
            <v>REGULER</v>
          </cell>
          <cell r="AU927" t="str">
            <v>REGULER</v>
          </cell>
          <cell r="AV927" t="str">
            <v/>
          </cell>
          <cell r="AW927">
            <v>23</v>
          </cell>
          <cell r="AX927">
            <v>33</v>
          </cell>
          <cell r="AY927">
            <v>23</v>
          </cell>
          <cell r="AZ927">
            <v>27</v>
          </cell>
          <cell r="BA927">
            <v>32</v>
          </cell>
          <cell r="BB927">
            <v>23</v>
          </cell>
          <cell r="BC927">
            <v>33</v>
          </cell>
          <cell r="BD927">
            <v>23</v>
          </cell>
          <cell r="BE927">
            <v>27</v>
          </cell>
          <cell r="BF927">
            <v>32</v>
          </cell>
          <cell r="BG927">
            <v>12</v>
          </cell>
          <cell r="BH927">
            <v>23</v>
          </cell>
          <cell r="BI927">
            <v>33</v>
          </cell>
          <cell r="BJ927">
            <v>23</v>
          </cell>
          <cell r="BK927">
            <v>27</v>
          </cell>
          <cell r="BL927">
            <v>32</v>
          </cell>
          <cell r="BM927">
            <v>16</v>
          </cell>
          <cell r="BN927">
            <v>166</v>
          </cell>
          <cell r="BO927">
            <v>12</v>
          </cell>
          <cell r="BP927">
            <v>23</v>
          </cell>
          <cell r="BQ927">
            <v>33</v>
          </cell>
          <cell r="BR927">
            <v>23</v>
          </cell>
          <cell r="BS927">
            <v>27</v>
          </cell>
          <cell r="BT927">
            <v>32</v>
          </cell>
          <cell r="BU927">
            <v>16</v>
          </cell>
          <cell r="BV927">
            <v>166</v>
          </cell>
          <cell r="BW927">
            <v>0</v>
          </cell>
          <cell r="BX927" t="str">
            <v>TIDAK</v>
          </cell>
          <cell r="BY927" t="str">
            <v>TIDAK</v>
          </cell>
        </row>
        <row r="928">
          <cell r="A928" t="str">
            <v>A0710</v>
          </cell>
          <cell r="B928" t="str">
            <v>Millenia Malinggas</v>
          </cell>
          <cell r="C928" t="str">
            <v>TEMA C2</v>
          </cell>
          <cell r="D928">
            <v>44881</v>
          </cell>
          <cell r="E928" t="str">
            <v>Nov-22</v>
          </cell>
          <cell r="F928" t="str">
            <v>REGULER</v>
          </cell>
          <cell r="G928" t="str">
            <v>REGULER</v>
          </cell>
          <cell r="H928" t="str">
            <v>REGULER</v>
          </cell>
          <cell r="I928" t="str">
            <v>REGULER</v>
          </cell>
          <cell r="J928" t="str">
            <v>REGULER</v>
          </cell>
          <cell r="K928" t="str">
            <v>REGULER</v>
          </cell>
          <cell r="L928" t="str">
            <v>REGULER</v>
          </cell>
          <cell r="M928">
            <v>12</v>
          </cell>
          <cell r="N928">
            <v>36</v>
          </cell>
          <cell r="O928">
            <v>29</v>
          </cell>
          <cell r="P928">
            <v>32</v>
          </cell>
          <cell r="Q928">
            <v>36</v>
          </cell>
          <cell r="R928">
            <v>38</v>
          </cell>
          <cell r="S928">
            <v>17</v>
          </cell>
          <cell r="T928">
            <v>200</v>
          </cell>
          <cell r="U928">
            <v>12</v>
          </cell>
          <cell r="V928">
            <v>36</v>
          </cell>
          <cell r="W928">
            <v>29</v>
          </cell>
          <cell r="X928">
            <v>32</v>
          </cell>
          <cell r="Y928">
            <v>36</v>
          </cell>
          <cell r="Z928">
            <v>38</v>
          </cell>
          <cell r="AA928">
            <v>17</v>
          </cell>
          <cell r="AB928">
            <v>200</v>
          </cell>
          <cell r="AC928">
            <v>0</v>
          </cell>
          <cell r="AD928" t="str">
            <v>TIDAK</v>
          </cell>
          <cell r="AE928" t="str">
            <v>TIDAK</v>
          </cell>
          <cell r="AF928">
            <v>200</v>
          </cell>
          <cell r="AG928">
            <v>3</v>
          </cell>
          <cell r="AH928" t="str">
            <v>SAPHIRE</v>
          </cell>
          <cell r="AI928">
            <v>0</v>
          </cell>
          <cell r="AJ928" t="str">
            <v>Y</v>
          </cell>
          <cell r="AK928">
            <v>0</v>
          </cell>
          <cell r="AL928">
            <v>45261</v>
          </cell>
          <cell r="AM928">
            <v>45701</v>
          </cell>
          <cell r="AN928">
            <v>1</v>
          </cell>
          <cell r="AO928">
            <v>200</v>
          </cell>
          <cell r="AP928" t="str">
            <v>-</v>
          </cell>
          <cell r="AQ928" t="str">
            <v>-</v>
          </cell>
          <cell r="AR928" t="str">
            <v>REGULER</v>
          </cell>
          <cell r="AS928" t="str">
            <v>REGULER</v>
          </cell>
          <cell r="AT928" t="str">
            <v>REGULER</v>
          </cell>
          <cell r="AU928" t="str">
            <v>REGULER</v>
          </cell>
          <cell r="AV928" t="str">
            <v/>
          </cell>
          <cell r="AW928">
            <v>34</v>
          </cell>
          <cell r="AX928">
            <v>33</v>
          </cell>
          <cell r="AY928">
            <v>29</v>
          </cell>
          <cell r="AZ928">
            <v>34</v>
          </cell>
          <cell r="BA928">
            <v>27</v>
          </cell>
          <cell r="BB928">
            <v>34</v>
          </cell>
          <cell r="BC928">
            <v>33</v>
          </cell>
          <cell r="BD928">
            <v>29</v>
          </cell>
          <cell r="BE928">
            <v>34</v>
          </cell>
          <cell r="BF928">
            <v>27</v>
          </cell>
          <cell r="BG928">
            <v>15</v>
          </cell>
          <cell r="BH928">
            <v>34</v>
          </cell>
          <cell r="BI928">
            <v>33</v>
          </cell>
          <cell r="BJ928">
            <v>29</v>
          </cell>
          <cell r="BK928">
            <v>34</v>
          </cell>
          <cell r="BL928">
            <v>27</v>
          </cell>
          <cell r="BM928">
            <v>13</v>
          </cell>
          <cell r="BN928">
            <v>185</v>
          </cell>
          <cell r="BO928">
            <v>15</v>
          </cell>
          <cell r="BP928">
            <v>34</v>
          </cell>
          <cell r="BQ928">
            <v>33</v>
          </cell>
          <cell r="BR928">
            <v>29</v>
          </cell>
          <cell r="BS928">
            <v>34</v>
          </cell>
          <cell r="BT928">
            <v>27</v>
          </cell>
          <cell r="BU928">
            <v>13</v>
          </cell>
          <cell r="BV928">
            <v>185</v>
          </cell>
          <cell r="BW928">
            <v>0</v>
          </cell>
          <cell r="BX928" t="str">
            <v>TIDAK</v>
          </cell>
          <cell r="BY928" t="str">
            <v>TIDAK</v>
          </cell>
        </row>
        <row r="929">
          <cell r="A929" t="str">
            <v>A3839</v>
          </cell>
          <cell r="B929" t="str">
            <v>Miranda</v>
          </cell>
          <cell r="C929" t="str">
            <v>TEMA C2</v>
          </cell>
          <cell r="D929">
            <v>45369</v>
          </cell>
          <cell r="E929" t="str">
            <v>Mar-24</v>
          </cell>
          <cell r="F929" t="str">
            <v>-</v>
          </cell>
          <cell r="G929" t="str">
            <v>-</v>
          </cell>
          <cell r="H929" t="str">
            <v>-</v>
          </cell>
          <cell r="I929" t="str">
            <v>REGULER</v>
          </cell>
          <cell r="J929" t="str">
            <v>REGULER</v>
          </cell>
          <cell r="K929" t="str">
            <v>REGULER</v>
          </cell>
          <cell r="L929" t="str">
            <v>REGULER</v>
          </cell>
          <cell r="M929">
            <v>0</v>
          </cell>
          <cell r="N929">
            <v>0</v>
          </cell>
          <cell r="O929">
            <v>0</v>
          </cell>
          <cell r="P929">
            <v>16</v>
          </cell>
          <cell r="Q929">
            <v>6</v>
          </cell>
          <cell r="R929">
            <v>28</v>
          </cell>
          <cell r="S929">
            <v>14</v>
          </cell>
          <cell r="T929">
            <v>64</v>
          </cell>
          <cell r="U929">
            <v>0</v>
          </cell>
          <cell r="V929">
            <v>0</v>
          </cell>
          <cell r="W929">
            <v>0</v>
          </cell>
          <cell r="X929">
            <v>16</v>
          </cell>
          <cell r="Y929">
            <v>6</v>
          </cell>
          <cell r="Z929">
            <v>28</v>
          </cell>
          <cell r="AA929">
            <v>14</v>
          </cell>
          <cell r="AB929">
            <v>64</v>
          </cell>
          <cell r="AC929">
            <v>0</v>
          </cell>
          <cell r="AD929" t="str">
            <v>TIDAK</v>
          </cell>
          <cell r="AE929" t="str">
            <v>TIDAK</v>
          </cell>
          <cell r="AF929">
            <v>64</v>
          </cell>
          <cell r="AG929">
            <v>2</v>
          </cell>
          <cell r="AH929" t="str">
            <v>SAPHIRE</v>
          </cell>
          <cell r="AI929">
            <v>0</v>
          </cell>
          <cell r="AJ929" t="str">
            <v>FALSE</v>
          </cell>
          <cell r="AK929">
            <v>0</v>
          </cell>
          <cell r="AL929">
            <v>45261</v>
          </cell>
          <cell r="AM929">
            <v>45701</v>
          </cell>
          <cell r="AN929">
            <v>1</v>
          </cell>
          <cell r="AO929">
            <v>64</v>
          </cell>
          <cell r="AP929" t="str">
            <v>-</v>
          </cell>
          <cell r="AQ929" t="str">
            <v>-</v>
          </cell>
          <cell r="AR929" t="str">
            <v>REGULER</v>
          </cell>
          <cell r="AS929" t="str">
            <v>-</v>
          </cell>
          <cell r="AT929" t="str">
            <v>-</v>
          </cell>
          <cell r="AU929" t="str">
            <v>-</v>
          </cell>
          <cell r="AV929" t="str">
            <v/>
          </cell>
          <cell r="AW929">
            <v>28</v>
          </cell>
          <cell r="AX929">
            <v>5</v>
          </cell>
          <cell r="AY929">
            <v>0</v>
          </cell>
          <cell r="AZ929">
            <v>0</v>
          </cell>
          <cell r="BA929">
            <v>0</v>
          </cell>
          <cell r="BB929">
            <v>28</v>
          </cell>
          <cell r="BC929">
            <v>5</v>
          </cell>
          <cell r="BD929">
            <v>0</v>
          </cell>
          <cell r="BE929">
            <v>0</v>
          </cell>
          <cell r="BF929">
            <v>0</v>
          </cell>
          <cell r="BG929">
            <v>15</v>
          </cell>
          <cell r="BH929">
            <v>28</v>
          </cell>
          <cell r="BI929">
            <v>5</v>
          </cell>
          <cell r="BJ929">
            <v>0</v>
          </cell>
          <cell r="BK929">
            <v>0</v>
          </cell>
          <cell r="BL929">
            <v>0</v>
          </cell>
          <cell r="BM929" t="str">
            <v/>
          </cell>
          <cell r="BN929">
            <v>48</v>
          </cell>
          <cell r="BO929">
            <v>15</v>
          </cell>
          <cell r="BP929">
            <v>28</v>
          </cell>
          <cell r="BQ929">
            <v>5</v>
          </cell>
          <cell r="BR929">
            <v>0</v>
          </cell>
          <cell r="BS929">
            <v>0</v>
          </cell>
          <cell r="BT929">
            <v>0</v>
          </cell>
          <cell r="BU929" t="str">
            <v/>
          </cell>
          <cell r="BV929">
            <v>48</v>
          </cell>
          <cell r="BW929">
            <v>4</v>
          </cell>
          <cell r="BX929" t="str">
            <v>DOWNGRADE</v>
          </cell>
          <cell r="BY929" t="str">
            <v>RESET</v>
          </cell>
        </row>
        <row r="930">
          <cell r="A930" t="str">
            <v>A1977</v>
          </cell>
          <cell r="B930" t="str">
            <v>Monica Andara</v>
          </cell>
          <cell r="C930" t="str">
            <v>TEMA C2</v>
          </cell>
          <cell r="D930">
            <v>45019</v>
          </cell>
          <cell r="E930" t="str">
            <v>Apr-23</v>
          </cell>
          <cell r="F930" t="str">
            <v>REGULER</v>
          </cell>
          <cell r="G930" t="str">
            <v>REGULER</v>
          </cell>
          <cell r="H930" t="str">
            <v>REGULER</v>
          </cell>
          <cell r="I930" t="str">
            <v>REGULER</v>
          </cell>
          <cell r="J930" t="str">
            <v>REGULER</v>
          </cell>
          <cell r="K930" t="str">
            <v>-</v>
          </cell>
          <cell r="L930" t="str">
            <v>-</v>
          </cell>
          <cell r="M930">
            <v>11</v>
          </cell>
          <cell r="N930">
            <v>33</v>
          </cell>
          <cell r="O930">
            <v>16</v>
          </cell>
          <cell r="P930">
            <v>22</v>
          </cell>
          <cell r="Q930">
            <v>5</v>
          </cell>
          <cell r="R930">
            <v>0</v>
          </cell>
          <cell r="S930" t="str">
            <v/>
          </cell>
          <cell r="T930">
            <v>87</v>
          </cell>
          <cell r="U930">
            <v>11</v>
          </cell>
          <cell r="V930">
            <v>33</v>
          </cell>
          <cell r="W930">
            <v>16</v>
          </cell>
          <cell r="X930">
            <v>22</v>
          </cell>
          <cell r="Y930">
            <v>5</v>
          </cell>
          <cell r="Z930">
            <v>0</v>
          </cell>
          <cell r="AA930" t="str">
            <v/>
          </cell>
          <cell r="AB930">
            <v>87</v>
          </cell>
          <cell r="AC930">
            <v>2</v>
          </cell>
          <cell r="AD930" t="str">
            <v>TIDAK</v>
          </cell>
          <cell r="AE930" t="str">
            <v>TIDAK</v>
          </cell>
          <cell r="AF930">
            <v>87</v>
          </cell>
          <cell r="AG930">
            <v>1</v>
          </cell>
          <cell r="AH930" t="str">
            <v>SAPHIRE</v>
          </cell>
          <cell r="AI930">
            <v>0</v>
          </cell>
          <cell r="AJ930" t="str">
            <v>Y</v>
          </cell>
          <cell r="AK930">
            <v>0</v>
          </cell>
          <cell r="AL930">
            <v>45261</v>
          </cell>
          <cell r="AM930">
            <v>45701</v>
          </cell>
          <cell r="AN930">
            <v>1</v>
          </cell>
          <cell r="AO930">
            <v>87</v>
          </cell>
          <cell r="AP930" t="str">
            <v>-</v>
          </cell>
          <cell r="AQ930" t="str">
            <v>-</v>
          </cell>
          <cell r="AR930" t="str">
            <v>-</v>
          </cell>
          <cell r="AS930" t="str">
            <v>-</v>
          </cell>
          <cell r="AT930" t="str">
            <v>-</v>
          </cell>
          <cell r="AU930" t="str">
            <v>-</v>
          </cell>
          <cell r="AV930" t="str">
            <v/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 t="str">
            <v/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 t="str">
            <v/>
          </cell>
          <cell r="BN930">
            <v>0</v>
          </cell>
          <cell r="BO930" t="str">
            <v/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 t="str">
            <v/>
          </cell>
          <cell r="BV930">
            <v>0</v>
          </cell>
          <cell r="BW930">
            <v>7</v>
          </cell>
          <cell r="BX930" t="str">
            <v>DOWNGRADE</v>
          </cell>
          <cell r="BY930" t="str">
            <v>RESET</v>
          </cell>
        </row>
        <row r="931">
          <cell r="A931" t="str">
            <v>A3230</v>
          </cell>
          <cell r="B931" t="str">
            <v>Monika Frila Abid</v>
          </cell>
          <cell r="C931" t="str">
            <v>TEMA C2</v>
          </cell>
          <cell r="D931">
            <v>45237</v>
          </cell>
          <cell r="E931" t="str">
            <v>Nov-23</v>
          </cell>
          <cell r="F931" t="str">
            <v>REGULER</v>
          </cell>
          <cell r="G931" t="str">
            <v>REGULER</v>
          </cell>
          <cell r="H931" t="str">
            <v>REGULER</v>
          </cell>
          <cell r="I931" t="str">
            <v>REGULER</v>
          </cell>
          <cell r="J931" t="str">
            <v>REGULER</v>
          </cell>
          <cell r="K931" t="str">
            <v>-</v>
          </cell>
          <cell r="L931" t="str">
            <v>-</v>
          </cell>
          <cell r="M931">
            <v>11</v>
          </cell>
          <cell r="N931">
            <v>32</v>
          </cell>
          <cell r="O931">
            <v>32</v>
          </cell>
          <cell r="P931">
            <v>22</v>
          </cell>
          <cell r="Q931">
            <v>5</v>
          </cell>
          <cell r="R931">
            <v>0</v>
          </cell>
          <cell r="S931" t="str">
            <v/>
          </cell>
          <cell r="T931">
            <v>102</v>
          </cell>
          <cell r="U931">
            <v>11</v>
          </cell>
          <cell r="V931">
            <v>32</v>
          </cell>
          <cell r="W931">
            <v>32</v>
          </cell>
          <cell r="X931">
            <v>22</v>
          </cell>
          <cell r="Y931">
            <v>5</v>
          </cell>
          <cell r="Z931">
            <v>0</v>
          </cell>
          <cell r="AA931" t="str">
            <v/>
          </cell>
          <cell r="AB931">
            <v>102</v>
          </cell>
          <cell r="AC931">
            <v>2</v>
          </cell>
          <cell r="AD931" t="str">
            <v>TIDAK</v>
          </cell>
          <cell r="AE931" t="str">
            <v>TIDAK</v>
          </cell>
          <cell r="AF931">
            <v>102</v>
          </cell>
          <cell r="AG931">
            <v>2</v>
          </cell>
          <cell r="AH931" t="str">
            <v>SAPHIRE</v>
          </cell>
          <cell r="AI931">
            <v>0</v>
          </cell>
          <cell r="AJ931" t="str">
            <v>Y</v>
          </cell>
          <cell r="AK931">
            <v>0</v>
          </cell>
          <cell r="AL931">
            <v>45261</v>
          </cell>
          <cell r="AM931">
            <v>45701</v>
          </cell>
          <cell r="AN931">
            <v>1</v>
          </cell>
          <cell r="AO931">
            <v>102</v>
          </cell>
          <cell r="AP931" t="str">
            <v>-</v>
          </cell>
          <cell r="AQ931" t="str">
            <v>-</v>
          </cell>
          <cell r="AR931" t="str">
            <v>-</v>
          </cell>
          <cell r="AS931" t="str">
            <v>-</v>
          </cell>
          <cell r="AT931" t="str">
            <v>-</v>
          </cell>
          <cell r="AU931" t="str">
            <v>-</v>
          </cell>
          <cell r="AV931" t="str">
            <v/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 t="str">
            <v/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 t="str">
            <v/>
          </cell>
          <cell r="BN931">
            <v>0</v>
          </cell>
          <cell r="BO931" t="str">
            <v/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 t="str">
            <v/>
          </cell>
          <cell r="BV931">
            <v>0</v>
          </cell>
          <cell r="BW931">
            <v>7</v>
          </cell>
          <cell r="BX931" t="str">
            <v>DOWNGRADE</v>
          </cell>
          <cell r="BY931" t="str">
            <v>RESET</v>
          </cell>
        </row>
        <row r="932">
          <cell r="A932" t="str">
            <v>A3220</v>
          </cell>
          <cell r="B932" t="str">
            <v>Muhamad Agung Gumelar</v>
          </cell>
          <cell r="C932" t="str">
            <v>TEMA C2</v>
          </cell>
          <cell r="D932">
            <v>45231</v>
          </cell>
          <cell r="E932" t="str">
            <v>Nov-23</v>
          </cell>
          <cell r="F932" t="str">
            <v>REGULER</v>
          </cell>
          <cell r="G932" t="str">
            <v>REGULER</v>
          </cell>
          <cell r="H932" t="str">
            <v>REGULER</v>
          </cell>
          <cell r="I932" t="str">
            <v>EKSKLUSIF</v>
          </cell>
          <cell r="J932" t="str">
            <v>EKSKLUSIF</v>
          </cell>
          <cell r="K932" t="str">
            <v>EKSKLUSIF</v>
          </cell>
          <cell r="L932" t="str">
            <v>EKSKLUSIF</v>
          </cell>
          <cell r="M932">
            <v>14</v>
          </cell>
          <cell r="N932">
            <v>45</v>
          </cell>
          <cell r="O932">
            <v>35</v>
          </cell>
          <cell r="P932">
            <v>42</v>
          </cell>
          <cell r="Q932">
            <v>37</v>
          </cell>
          <cell r="R932">
            <v>42</v>
          </cell>
          <cell r="S932">
            <v>21</v>
          </cell>
          <cell r="T932">
            <v>236</v>
          </cell>
          <cell r="U932">
            <v>14</v>
          </cell>
          <cell r="V932">
            <v>45</v>
          </cell>
          <cell r="W932">
            <v>35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94</v>
          </cell>
          <cell r="AC932">
            <v>0</v>
          </cell>
          <cell r="AD932" t="str">
            <v>TIDAK</v>
          </cell>
          <cell r="AE932" t="str">
            <v>TIDAK</v>
          </cell>
          <cell r="AF932">
            <v>94</v>
          </cell>
          <cell r="AG932">
            <v>1</v>
          </cell>
          <cell r="AH932" t="str">
            <v>SAPHIRE</v>
          </cell>
          <cell r="AI932">
            <v>65</v>
          </cell>
          <cell r="AJ932" t="str">
            <v>Y</v>
          </cell>
          <cell r="AK932">
            <v>0</v>
          </cell>
          <cell r="AL932">
            <v>45261</v>
          </cell>
          <cell r="AM932">
            <v>45701</v>
          </cell>
          <cell r="AN932">
            <v>1</v>
          </cell>
          <cell r="AO932">
            <v>29</v>
          </cell>
          <cell r="AP932" t="str">
            <v>EKSKLUSIF</v>
          </cell>
          <cell r="AQ932" t="str">
            <v>-</v>
          </cell>
          <cell r="AR932" t="str">
            <v>EKSKLUSIF</v>
          </cell>
          <cell r="AS932" t="str">
            <v>EKSKLUSIF</v>
          </cell>
          <cell r="AT932" t="str">
            <v>EKSKLUSIF</v>
          </cell>
          <cell r="AU932" t="str">
            <v>EKSKLUSIF</v>
          </cell>
          <cell r="AV932" t="str">
            <v/>
          </cell>
          <cell r="AW932">
            <v>47</v>
          </cell>
          <cell r="AX932">
            <v>47</v>
          </cell>
          <cell r="AY932">
            <v>43</v>
          </cell>
          <cell r="AZ932">
            <v>45</v>
          </cell>
          <cell r="BA932">
            <v>44</v>
          </cell>
          <cell r="BB932">
            <v>47</v>
          </cell>
          <cell r="BC932">
            <v>47</v>
          </cell>
          <cell r="BD932">
            <v>43</v>
          </cell>
          <cell r="BE932">
            <v>45</v>
          </cell>
          <cell r="BF932">
            <v>44</v>
          </cell>
          <cell r="BG932">
            <v>20</v>
          </cell>
          <cell r="BH932">
            <v>47</v>
          </cell>
          <cell r="BI932">
            <v>47</v>
          </cell>
          <cell r="BJ932">
            <v>43</v>
          </cell>
          <cell r="BK932">
            <v>45</v>
          </cell>
          <cell r="BL932">
            <v>44</v>
          </cell>
          <cell r="BM932">
            <v>6</v>
          </cell>
          <cell r="BN932">
            <v>252</v>
          </cell>
          <cell r="BO932">
            <v>0</v>
          </cell>
          <cell r="BP932">
            <v>47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  <cell r="BU932">
            <v>6</v>
          </cell>
          <cell r="BV932">
            <v>53</v>
          </cell>
          <cell r="BW932">
            <v>0</v>
          </cell>
          <cell r="BX932" t="str">
            <v>TIDAK</v>
          </cell>
          <cell r="BY932" t="str">
            <v>TIDAK</v>
          </cell>
        </row>
        <row r="933">
          <cell r="A933" t="str">
            <v>A3799</v>
          </cell>
          <cell r="B933" t="str">
            <v>Muhamad Mustofainal Achyar</v>
          </cell>
          <cell r="C933" t="str">
            <v>TEMA C2</v>
          </cell>
          <cell r="D933">
            <v>45367</v>
          </cell>
          <cell r="E933" t="str">
            <v>Mar-24</v>
          </cell>
          <cell r="F933" t="str">
            <v>-</v>
          </cell>
          <cell r="G933" t="str">
            <v>-</v>
          </cell>
          <cell r="H933" t="str">
            <v>-</v>
          </cell>
          <cell r="I933" t="str">
            <v>REGULER</v>
          </cell>
          <cell r="J933" t="str">
            <v>REGULER</v>
          </cell>
          <cell r="K933" t="str">
            <v>EKSKLUSIF</v>
          </cell>
          <cell r="L933" t="str">
            <v>EKSKLUSIF</v>
          </cell>
          <cell r="M933">
            <v>0</v>
          </cell>
          <cell r="N933">
            <v>0</v>
          </cell>
          <cell r="O933">
            <v>0</v>
          </cell>
          <cell r="P933">
            <v>16</v>
          </cell>
          <cell r="Q933">
            <v>35</v>
          </cell>
          <cell r="R933">
            <v>41</v>
          </cell>
          <cell r="S933">
            <v>20</v>
          </cell>
          <cell r="T933">
            <v>112</v>
          </cell>
          <cell r="U933">
            <v>0</v>
          </cell>
          <cell r="V933">
            <v>0</v>
          </cell>
          <cell r="W933">
            <v>0</v>
          </cell>
          <cell r="X933">
            <v>16</v>
          </cell>
          <cell r="Y933">
            <v>35</v>
          </cell>
          <cell r="Z933">
            <v>0</v>
          </cell>
          <cell r="AA933">
            <v>0</v>
          </cell>
          <cell r="AB933">
            <v>51</v>
          </cell>
          <cell r="AC933">
            <v>0</v>
          </cell>
          <cell r="AD933" t="str">
            <v>TIDAK</v>
          </cell>
          <cell r="AE933" t="str">
            <v>TIDAK</v>
          </cell>
          <cell r="AF933">
            <v>51</v>
          </cell>
          <cell r="AG933">
            <v>1</v>
          </cell>
          <cell r="AH933" t="str">
            <v>SAPHIRE</v>
          </cell>
          <cell r="AI933">
            <v>0</v>
          </cell>
          <cell r="AJ933" t="str">
            <v>FALSE</v>
          </cell>
          <cell r="AK933">
            <v>0</v>
          </cell>
          <cell r="AL933">
            <v>45261</v>
          </cell>
          <cell r="AM933">
            <v>45701</v>
          </cell>
          <cell r="AN933">
            <v>1</v>
          </cell>
          <cell r="AO933">
            <v>51</v>
          </cell>
          <cell r="AP933" t="str">
            <v>EKSKLUSIF</v>
          </cell>
          <cell r="AQ933" t="str">
            <v>-</v>
          </cell>
          <cell r="AR933" t="str">
            <v>-</v>
          </cell>
          <cell r="AS933" t="str">
            <v>-</v>
          </cell>
          <cell r="AT933" t="str">
            <v>-</v>
          </cell>
          <cell r="AU933" t="str">
            <v>-</v>
          </cell>
          <cell r="AV933" t="str">
            <v/>
          </cell>
          <cell r="AW933">
            <v>45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45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19</v>
          </cell>
          <cell r="BH933">
            <v>45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 t="str">
            <v/>
          </cell>
          <cell r="BN933">
            <v>64</v>
          </cell>
          <cell r="BO933">
            <v>0</v>
          </cell>
          <cell r="BP933">
            <v>45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 t="str">
            <v/>
          </cell>
          <cell r="BV933">
            <v>45</v>
          </cell>
          <cell r="BW933">
            <v>5</v>
          </cell>
          <cell r="BX933" t="str">
            <v>DOWNGRADE</v>
          </cell>
          <cell r="BY933" t="str">
            <v>RESET</v>
          </cell>
        </row>
        <row r="934">
          <cell r="A934" t="str">
            <v>A0248</v>
          </cell>
          <cell r="B934" t="str">
            <v>Muhammad Adam Shariar</v>
          </cell>
          <cell r="C934" t="str">
            <v>TEMA C2</v>
          </cell>
          <cell r="D934">
            <v>44826</v>
          </cell>
          <cell r="E934" t="str">
            <v>Sep-22</v>
          </cell>
          <cell r="F934" t="str">
            <v>REGULER</v>
          </cell>
          <cell r="G934" t="str">
            <v>REGULER</v>
          </cell>
          <cell r="H934" t="str">
            <v>REGULER</v>
          </cell>
          <cell r="I934" t="str">
            <v>REGULER</v>
          </cell>
          <cell r="J934" t="str">
            <v>REGULER</v>
          </cell>
          <cell r="K934" t="str">
            <v>-</v>
          </cell>
          <cell r="L934" t="str">
            <v>-</v>
          </cell>
          <cell r="M934">
            <v>3</v>
          </cell>
          <cell r="N934">
            <v>27</v>
          </cell>
          <cell r="O934">
            <v>26</v>
          </cell>
          <cell r="P934">
            <v>13</v>
          </cell>
          <cell r="Q934">
            <v>1</v>
          </cell>
          <cell r="R934">
            <v>0</v>
          </cell>
          <cell r="S934" t="str">
            <v/>
          </cell>
          <cell r="T934">
            <v>70</v>
          </cell>
          <cell r="U934">
            <v>3</v>
          </cell>
          <cell r="V934">
            <v>27</v>
          </cell>
          <cell r="W934">
            <v>26</v>
          </cell>
          <cell r="X934">
            <v>13</v>
          </cell>
          <cell r="Y934">
            <v>1</v>
          </cell>
          <cell r="Z934">
            <v>0</v>
          </cell>
          <cell r="AA934" t="str">
            <v/>
          </cell>
          <cell r="AB934">
            <v>70</v>
          </cell>
          <cell r="AC934">
            <v>2</v>
          </cell>
          <cell r="AD934" t="str">
            <v>TIDAK</v>
          </cell>
          <cell r="AE934" t="str">
            <v>TIDAK</v>
          </cell>
          <cell r="AF934">
            <v>70</v>
          </cell>
          <cell r="AG934">
            <v>1</v>
          </cell>
          <cell r="AH934" t="str">
            <v>SAPHIRE</v>
          </cell>
          <cell r="AI934">
            <v>0</v>
          </cell>
          <cell r="AJ934" t="str">
            <v>Y</v>
          </cell>
          <cell r="AK934">
            <v>0</v>
          </cell>
          <cell r="AL934">
            <v>45261</v>
          </cell>
          <cell r="AM934">
            <v>45701</v>
          </cell>
          <cell r="AN934">
            <v>1</v>
          </cell>
          <cell r="AO934">
            <v>70</v>
          </cell>
          <cell r="AP934" t="str">
            <v>-</v>
          </cell>
          <cell r="AQ934" t="str">
            <v>-</v>
          </cell>
          <cell r="AR934" t="str">
            <v>-</v>
          </cell>
          <cell r="AS934" t="str">
            <v>-</v>
          </cell>
          <cell r="AT934" t="str">
            <v>-</v>
          </cell>
          <cell r="AU934" t="str">
            <v>-</v>
          </cell>
          <cell r="AV934" t="str">
            <v/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 t="str">
            <v/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 t="str">
            <v/>
          </cell>
          <cell r="BN934">
            <v>0</v>
          </cell>
          <cell r="BO934" t="str">
            <v/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T934">
            <v>0</v>
          </cell>
          <cell r="BU934" t="str">
            <v/>
          </cell>
          <cell r="BV934">
            <v>0</v>
          </cell>
          <cell r="BW934">
            <v>7</v>
          </cell>
          <cell r="BX934" t="str">
            <v>DOWNGRADE</v>
          </cell>
          <cell r="BY934" t="str">
            <v>RESET</v>
          </cell>
        </row>
        <row r="935">
          <cell r="A935" t="str">
            <v>A3251</v>
          </cell>
          <cell r="B935" t="str">
            <v>Muhammad Afandi Helmi</v>
          </cell>
          <cell r="C935" t="str">
            <v>TEMA C2</v>
          </cell>
          <cell r="D935">
            <v>45238</v>
          </cell>
          <cell r="E935" t="str">
            <v>Nov-23</v>
          </cell>
          <cell r="F935" t="str">
            <v>REGULER</v>
          </cell>
          <cell r="G935" t="str">
            <v>REGULER</v>
          </cell>
          <cell r="H935" t="str">
            <v>REGULER</v>
          </cell>
          <cell r="I935" t="str">
            <v>REGULER</v>
          </cell>
          <cell r="J935" t="str">
            <v>REGULER</v>
          </cell>
          <cell r="K935" t="str">
            <v>-</v>
          </cell>
          <cell r="L935" t="str">
            <v>-</v>
          </cell>
          <cell r="M935">
            <v>1</v>
          </cell>
          <cell r="N935">
            <v>3</v>
          </cell>
          <cell r="O935">
            <v>8</v>
          </cell>
          <cell r="P935">
            <v>5</v>
          </cell>
          <cell r="Q935">
            <v>5</v>
          </cell>
          <cell r="R935">
            <v>0</v>
          </cell>
          <cell r="S935" t="str">
            <v/>
          </cell>
          <cell r="T935">
            <v>22</v>
          </cell>
          <cell r="U935">
            <v>1</v>
          </cell>
          <cell r="V935">
            <v>3</v>
          </cell>
          <cell r="W935">
            <v>8</v>
          </cell>
          <cell r="X935">
            <v>5</v>
          </cell>
          <cell r="Y935">
            <v>5</v>
          </cell>
          <cell r="Z935">
            <v>0</v>
          </cell>
          <cell r="AA935" t="str">
            <v/>
          </cell>
          <cell r="AB935">
            <v>22</v>
          </cell>
          <cell r="AC935">
            <v>2</v>
          </cell>
          <cell r="AD935" t="str">
            <v>TIDAK</v>
          </cell>
          <cell r="AE935" t="str">
            <v>TIDAK</v>
          </cell>
          <cell r="AF935">
            <v>22</v>
          </cell>
          <cell r="AG935">
            <v>1</v>
          </cell>
          <cell r="AH935" t="str">
            <v>SAPHIRE</v>
          </cell>
          <cell r="AI935">
            <v>0</v>
          </cell>
          <cell r="AJ935" t="str">
            <v>FALSE</v>
          </cell>
          <cell r="AK935">
            <v>0</v>
          </cell>
          <cell r="AL935">
            <v>45261</v>
          </cell>
          <cell r="AM935">
            <v>45701</v>
          </cell>
          <cell r="AN935">
            <v>1</v>
          </cell>
          <cell r="AO935">
            <v>22</v>
          </cell>
          <cell r="AP935" t="str">
            <v>-</v>
          </cell>
          <cell r="AQ935" t="str">
            <v>-</v>
          </cell>
          <cell r="AR935" t="str">
            <v>-</v>
          </cell>
          <cell r="AS935" t="str">
            <v>-</v>
          </cell>
          <cell r="AT935" t="str">
            <v>-</v>
          </cell>
          <cell r="AU935" t="str">
            <v>-</v>
          </cell>
          <cell r="AV935" t="str">
            <v/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 t="str">
            <v/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 t="str">
            <v/>
          </cell>
          <cell r="BN935">
            <v>0</v>
          </cell>
          <cell r="BO935" t="str">
            <v/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  <cell r="BU935" t="str">
            <v/>
          </cell>
          <cell r="BV935">
            <v>0</v>
          </cell>
          <cell r="BW935">
            <v>7</v>
          </cell>
          <cell r="BX935" t="str">
            <v>DOWNGRADE</v>
          </cell>
          <cell r="BY935" t="str">
            <v>RESET</v>
          </cell>
        </row>
        <row r="936">
          <cell r="A936" t="str">
            <v>A4011</v>
          </cell>
          <cell r="B936" t="str">
            <v>MUHAMMAD FAJRIADY</v>
          </cell>
          <cell r="C936" t="str">
            <v>TEMA C2</v>
          </cell>
          <cell r="D936">
            <v>45414</v>
          </cell>
          <cell r="E936" t="str">
            <v>May-24</v>
          </cell>
          <cell r="F936" t="str">
            <v>-</v>
          </cell>
          <cell r="G936" t="str">
            <v>-</v>
          </cell>
          <cell r="H936" t="str">
            <v>-</v>
          </cell>
          <cell r="I936" t="str">
            <v>-</v>
          </cell>
          <cell r="J936" t="str">
            <v>-</v>
          </cell>
          <cell r="K936" t="str">
            <v>REGULER</v>
          </cell>
          <cell r="L936" t="str">
            <v>EKSKLUSIF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40</v>
          </cell>
          <cell r="S936">
            <v>19</v>
          </cell>
          <cell r="T936">
            <v>59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40</v>
          </cell>
          <cell r="AA936">
            <v>0</v>
          </cell>
          <cell r="AB936">
            <v>40</v>
          </cell>
          <cell r="AC936">
            <v>0</v>
          </cell>
          <cell r="AD936" t="str">
            <v>TIDAK</v>
          </cell>
          <cell r="AE936" t="str">
            <v>TIDAK</v>
          </cell>
          <cell r="AF936">
            <v>40</v>
          </cell>
          <cell r="AG936">
            <v>1</v>
          </cell>
          <cell r="AH936" t="str">
            <v>SAPHIRE</v>
          </cell>
          <cell r="AI936">
            <v>0</v>
          </cell>
          <cell r="AJ936" t="str">
            <v>FALSE</v>
          </cell>
          <cell r="AK936">
            <v>0</v>
          </cell>
          <cell r="AL936">
            <v>45261</v>
          </cell>
          <cell r="AM936">
            <v>45701</v>
          </cell>
          <cell r="AN936">
            <v>1</v>
          </cell>
          <cell r="AO936">
            <v>40</v>
          </cell>
          <cell r="AP936" t="str">
            <v>EKSKLUSIF</v>
          </cell>
          <cell r="AQ936" t="str">
            <v>-</v>
          </cell>
          <cell r="AR936" t="str">
            <v>EKSKLUSIF</v>
          </cell>
          <cell r="AS936" t="str">
            <v>EKSKLUSIF</v>
          </cell>
          <cell r="AT936" t="str">
            <v>EKSKLUSIF</v>
          </cell>
          <cell r="AU936" t="str">
            <v>EKSKLUSIF</v>
          </cell>
          <cell r="AV936" t="str">
            <v/>
          </cell>
          <cell r="AW936">
            <v>48</v>
          </cell>
          <cell r="AX936">
            <v>46</v>
          </cell>
          <cell r="AY936">
            <v>24</v>
          </cell>
          <cell r="AZ936">
            <v>43</v>
          </cell>
          <cell r="BA936">
            <v>43</v>
          </cell>
          <cell r="BB936">
            <v>48</v>
          </cell>
          <cell r="BC936">
            <v>46</v>
          </cell>
          <cell r="BD936">
            <v>24</v>
          </cell>
          <cell r="BE936">
            <v>43</v>
          </cell>
          <cell r="BF936">
            <v>43</v>
          </cell>
          <cell r="BG936">
            <v>20</v>
          </cell>
          <cell r="BH936">
            <v>48</v>
          </cell>
          <cell r="BI936">
            <v>46</v>
          </cell>
          <cell r="BJ936">
            <v>24</v>
          </cell>
          <cell r="BK936">
            <v>43</v>
          </cell>
          <cell r="BL936">
            <v>43</v>
          </cell>
          <cell r="BM936">
            <v>20</v>
          </cell>
          <cell r="BN936">
            <v>244</v>
          </cell>
          <cell r="BO936">
            <v>0</v>
          </cell>
          <cell r="BP936">
            <v>48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20</v>
          </cell>
          <cell r="BV936">
            <v>68</v>
          </cell>
          <cell r="BW936">
            <v>0</v>
          </cell>
          <cell r="BX936" t="str">
            <v>TIDAK</v>
          </cell>
          <cell r="BY936" t="str">
            <v>TIDAK</v>
          </cell>
        </row>
        <row r="937">
          <cell r="A937" t="str">
            <v>A3960</v>
          </cell>
          <cell r="B937" t="str">
            <v>Muhammad Nur Arizal</v>
          </cell>
          <cell r="C937" t="str">
            <v>TEMA C2</v>
          </cell>
          <cell r="D937">
            <v>45374</v>
          </cell>
          <cell r="E937" t="str">
            <v>Mar-24</v>
          </cell>
          <cell r="F937" t="str">
            <v>-</v>
          </cell>
          <cell r="G937" t="str">
            <v>-</v>
          </cell>
          <cell r="H937" t="str">
            <v>-</v>
          </cell>
          <cell r="I937" t="str">
            <v>REGULER</v>
          </cell>
          <cell r="J937" t="str">
            <v>REGULER</v>
          </cell>
          <cell r="K937" t="str">
            <v>REGULER</v>
          </cell>
          <cell r="L937" t="str">
            <v>REGULER</v>
          </cell>
          <cell r="M937">
            <v>0</v>
          </cell>
          <cell r="N937">
            <v>0</v>
          </cell>
          <cell r="O937">
            <v>0</v>
          </cell>
          <cell r="P937">
            <v>2</v>
          </cell>
          <cell r="Q937">
            <v>23</v>
          </cell>
          <cell r="R937">
            <v>34</v>
          </cell>
          <cell r="S937">
            <v>10</v>
          </cell>
          <cell r="T937">
            <v>69</v>
          </cell>
          <cell r="U937">
            <v>0</v>
          </cell>
          <cell r="V937">
            <v>0</v>
          </cell>
          <cell r="W937">
            <v>0</v>
          </cell>
          <cell r="X937">
            <v>2</v>
          </cell>
          <cell r="Y937">
            <v>23</v>
          </cell>
          <cell r="Z937">
            <v>34</v>
          </cell>
          <cell r="AA937">
            <v>10</v>
          </cell>
          <cell r="AB937">
            <v>69</v>
          </cell>
          <cell r="AC937">
            <v>0</v>
          </cell>
          <cell r="AD937" t="str">
            <v>TIDAK</v>
          </cell>
          <cell r="AE937" t="str">
            <v>TIDAK</v>
          </cell>
          <cell r="AF937">
            <v>69</v>
          </cell>
          <cell r="AG937">
            <v>1</v>
          </cell>
          <cell r="AH937" t="str">
            <v>SAPHIRE</v>
          </cell>
          <cell r="AI937">
            <v>0</v>
          </cell>
          <cell r="AJ937" t="str">
            <v>Y</v>
          </cell>
          <cell r="AK937">
            <v>0</v>
          </cell>
          <cell r="AL937">
            <v>45261</v>
          </cell>
          <cell r="AM937">
            <v>45701</v>
          </cell>
          <cell r="AN937">
            <v>1</v>
          </cell>
          <cell r="AO937">
            <v>69</v>
          </cell>
          <cell r="AP937" t="str">
            <v>-</v>
          </cell>
          <cell r="AQ937" t="str">
            <v>-</v>
          </cell>
          <cell r="AR937" t="str">
            <v>-</v>
          </cell>
          <cell r="AS937" t="str">
            <v>-</v>
          </cell>
          <cell r="AT937" t="str">
            <v>-</v>
          </cell>
          <cell r="AU937" t="str">
            <v>-</v>
          </cell>
          <cell r="AV937" t="str">
            <v/>
          </cell>
          <cell r="AW937">
            <v>2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2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5</v>
          </cell>
          <cell r="BH937">
            <v>2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 t="str">
            <v/>
          </cell>
          <cell r="BN937">
            <v>7</v>
          </cell>
          <cell r="BO937">
            <v>5</v>
          </cell>
          <cell r="BP937">
            <v>2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  <cell r="BU937" t="str">
            <v/>
          </cell>
          <cell r="BV937">
            <v>7</v>
          </cell>
          <cell r="BW937">
            <v>5</v>
          </cell>
          <cell r="BX937" t="str">
            <v>DOWNGRADE</v>
          </cell>
          <cell r="BY937" t="str">
            <v>RESET</v>
          </cell>
        </row>
        <row r="938">
          <cell r="A938" t="str">
            <v>A3115</v>
          </cell>
          <cell r="B938" t="str">
            <v>Muhammad Ridho Dwiyogo</v>
          </cell>
          <cell r="C938" t="str">
            <v>TEMA C2</v>
          </cell>
          <cell r="D938">
            <v>45222</v>
          </cell>
          <cell r="E938" t="str">
            <v>Oct-23</v>
          </cell>
          <cell r="F938" t="str">
            <v>REGULER</v>
          </cell>
          <cell r="G938" t="str">
            <v>REGULER</v>
          </cell>
          <cell r="H938" t="str">
            <v>REGULER</v>
          </cell>
          <cell r="I938" t="str">
            <v>-</v>
          </cell>
          <cell r="J938" t="str">
            <v>-</v>
          </cell>
          <cell r="K938" t="str">
            <v>-</v>
          </cell>
          <cell r="L938" t="str">
            <v>-</v>
          </cell>
          <cell r="M938">
            <v>15</v>
          </cell>
          <cell r="N938">
            <v>31</v>
          </cell>
          <cell r="O938">
            <v>11</v>
          </cell>
          <cell r="P938">
            <v>0</v>
          </cell>
          <cell r="Q938">
            <v>0</v>
          </cell>
          <cell r="R938">
            <v>0</v>
          </cell>
          <cell r="S938" t="str">
            <v/>
          </cell>
          <cell r="T938">
            <v>57</v>
          </cell>
          <cell r="U938">
            <v>15</v>
          </cell>
          <cell r="V938">
            <v>31</v>
          </cell>
          <cell r="W938">
            <v>11</v>
          </cell>
          <cell r="X938">
            <v>0</v>
          </cell>
          <cell r="Y938">
            <v>0</v>
          </cell>
          <cell r="Z938">
            <v>0</v>
          </cell>
          <cell r="AA938" t="str">
            <v/>
          </cell>
          <cell r="AB938">
            <v>57</v>
          </cell>
          <cell r="AC938">
            <v>4</v>
          </cell>
          <cell r="AD938" t="str">
            <v>DOWNGRADE</v>
          </cell>
          <cell r="AE938" t="str">
            <v>RESET</v>
          </cell>
          <cell r="AF938">
            <v>0</v>
          </cell>
          <cell r="AG938">
            <v>5</v>
          </cell>
          <cell r="AH938" t="str">
            <v>SAPHIRE</v>
          </cell>
          <cell r="AI938">
            <v>0</v>
          </cell>
          <cell r="AJ938" t="str">
            <v>FALSE</v>
          </cell>
          <cell r="AK938">
            <v>0</v>
          </cell>
          <cell r="AL938">
            <v>45261</v>
          </cell>
          <cell r="AM938">
            <v>45701</v>
          </cell>
          <cell r="AN938">
            <v>1</v>
          </cell>
          <cell r="AO938">
            <v>0</v>
          </cell>
          <cell r="AP938" t="str">
            <v>-</v>
          </cell>
          <cell r="AQ938" t="str">
            <v>-</v>
          </cell>
          <cell r="AR938" t="str">
            <v>-</v>
          </cell>
          <cell r="AS938" t="str">
            <v>-</v>
          </cell>
          <cell r="AT938" t="str">
            <v>-</v>
          </cell>
          <cell r="AU938" t="str">
            <v>-</v>
          </cell>
          <cell r="AV938" t="str">
            <v/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 t="str">
            <v/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 t="str">
            <v/>
          </cell>
          <cell r="BN938">
            <v>0</v>
          </cell>
          <cell r="BO938" t="str">
            <v/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  <cell r="BU938" t="str">
            <v/>
          </cell>
          <cell r="BV938">
            <v>0</v>
          </cell>
          <cell r="BW938">
            <v>7</v>
          </cell>
          <cell r="BX938" t="str">
            <v>DOWNGRADE</v>
          </cell>
          <cell r="BY938" t="str">
            <v>RESET</v>
          </cell>
        </row>
        <row r="939">
          <cell r="A939" t="str">
            <v>A2965</v>
          </cell>
          <cell r="B939" t="str">
            <v>Muhammad Rizki Nur Fadillah</v>
          </cell>
          <cell r="C939" t="str">
            <v>TEMA C2</v>
          </cell>
          <cell r="D939">
            <v>45187</v>
          </cell>
          <cell r="E939" t="str">
            <v>Sep-23</v>
          </cell>
          <cell r="F939" t="str">
            <v>REGULER</v>
          </cell>
          <cell r="G939" t="str">
            <v>EKSKLUSIF</v>
          </cell>
          <cell r="H939" t="str">
            <v>EKSKLUSIF</v>
          </cell>
          <cell r="I939" t="str">
            <v>EKSKLUSIF</v>
          </cell>
          <cell r="J939" t="str">
            <v>EKSKLUSIF</v>
          </cell>
          <cell r="K939" t="str">
            <v>EKSKLUSIF</v>
          </cell>
          <cell r="L939" t="str">
            <v>-</v>
          </cell>
          <cell r="M939">
            <v>16</v>
          </cell>
          <cell r="N939">
            <v>45</v>
          </cell>
          <cell r="O939">
            <v>41</v>
          </cell>
          <cell r="P939">
            <v>39</v>
          </cell>
          <cell r="Q939">
            <v>33</v>
          </cell>
          <cell r="R939">
            <v>37</v>
          </cell>
          <cell r="S939" t="str">
            <v/>
          </cell>
          <cell r="T939">
            <v>211</v>
          </cell>
          <cell r="U939">
            <v>16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 t="str">
            <v/>
          </cell>
          <cell r="AB939">
            <v>16</v>
          </cell>
          <cell r="AC939">
            <v>1</v>
          </cell>
          <cell r="AD939" t="str">
            <v>TIDAK</v>
          </cell>
          <cell r="AE939" t="str">
            <v>TIDAK</v>
          </cell>
          <cell r="AF939">
            <v>16</v>
          </cell>
          <cell r="AG939">
            <v>2</v>
          </cell>
          <cell r="AH939" t="str">
            <v>SAPHIRE</v>
          </cell>
          <cell r="AI939">
            <v>0</v>
          </cell>
          <cell r="AJ939" t="str">
            <v>FALSE</v>
          </cell>
          <cell r="AK939">
            <v>0</v>
          </cell>
          <cell r="AL939">
            <v>45261</v>
          </cell>
          <cell r="AM939">
            <v>45701</v>
          </cell>
          <cell r="AN939">
            <v>1</v>
          </cell>
          <cell r="AO939">
            <v>16</v>
          </cell>
          <cell r="AP939" t="str">
            <v>-</v>
          </cell>
          <cell r="AQ939" t="str">
            <v>-</v>
          </cell>
          <cell r="AR939" t="str">
            <v>REGULER</v>
          </cell>
          <cell r="AS939" t="str">
            <v>REGULER</v>
          </cell>
          <cell r="AT939" t="str">
            <v>-</v>
          </cell>
          <cell r="AU939" t="str">
            <v>-</v>
          </cell>
          <cell r="AV939" t="str">
            <v/>
          </cell>
          <cell r="AW939">
            <v>0</v>
          </cell>
          <cell r="AX939">
            <v>1</v>
          </cell>
          <cell r="AY939">
            <v>12</v>
          </cell>
          <cell r="AZ939">
            <v>0</v>
          </cell>
          <cell r="BA939">
            <v>0</v>
          </cell>
          <cell r="BB939">
            <v>0</v>
          </cell>
          <cell r="BC939">
            <v>1</v>
          </cell>
          <cell r="BD939">
            <v>12</v>
          </cell>
          <cell r="BE939">
            <v>0</v>
          </cell>
          <cell r="BF939">
            <v>0</v>
          </cell>
          <cell r="BG939" t="str">
            <v/>
          </cell>
          <cell r="BH939">
            <v>0</v>
          </cell>
          <cell r="BI939">
            <v>1</v>
          </cell>
          <cell r="BJ939">
            <v>12</v>
          </cell>
          <cell r="BK939">
            <v>0</v>
          </cell>
          <cell r="BL939">
            <v>0</v>
          </cell>
          <cell r="BM939" t="str">
            <v/>
          </cell>
          <cell r="BN939">
            <v>13</v>
          </cell>
          <cell r="BO939" t="str">
            <v/>
          </cell>
          <cell r="BP939">
            <v>0</v>
          </cell>
          <cell r="BQ939">
            <v>1</v>
          </cell>
          <cell r="BR939">
            <v>12</v>
          </cell>
          <cell r="BS939">
            <v>0</v>
          </cell>
          <cell r="BT939">
            <v>0</v>
          </cell>
          <cell r="BU939" t="str">
            <v/>
          </cell>
          <cell r="BV939">
            <v>13</v>
          </cell>
          <cell r="BW939">
            <v>5</v>
          </cell>
          <cell r="BX939" t="str">
            <v>DOWNGRADE</v>
          </cell>
          <cell r="BY939" t="str">
            <v>RESET</v>
          </cell>
        </row>
        <row r="940">
          <cell r="A940" t="str">
            <v>A3889</v>
          </cell>
          <cell r="B940" t="str">
            <v>Muhammad Rizqi Sugiarto</v>
          </cell>
          <cell r="C940" t="str">
            <v>TEMA C2</v>
          </cell>
          <cell r="D940">
            <v>45353</v>
          </cell>
          <cell r="E940" t="str">
            <v>Mar-24</v>
          </cell>
          <cell r="F940" t="str">
            <v>-</v>
          </cell>
          <cell r="G940" t="str">
            <v>-</v>
          </cell>
          <cell r="H940" t="str">
            <v>-</v>
          </cell>
          <cell r="I940" t="str">
            <v>REGULER</v>
          </cell>
          <cell r="J940" t="str">
            <v>REGULER</v>
          </cell>
          <cell r="K940" t="str">
            <v>REGULER</v>
          </cell>
          <cell r="L940" t="str">
            <v>-</v>
          </cell>
          <cell r="M940">
            <v>0</v>
          </cell>
          <cell r="N940">
            <v>0</v>
          </cell>
          <cell r="O940">
            <v>0</v>
          </cell>
          <cell r="P940">
            <v>1</v>
          </cell>
          <cell r="Q940">
            <v>24</v>
          </cell>
          <cell r="R940">
            <v>0</v>
          </cell>
          <cell r="S940">
            <v>0</v>
          </cell>
          <cell r="T940">
            <v>25</v>
          </cell>
          <cell r="U940">
            <v>0</v>
          </cell>
          <cell r="V940">
            <v>0</v>
          </cell>
          <cell r="W940">
            <v>0</v>
          </cell>
          <cell r="X940">
            <v>1</v>
          </cell>
          <cell r="Y940">
            <v>24</v>
          </cell>
          <cell r="Z940">
            <v>0</v>
          </cell>
          <cell r="AA940">
            <v>0</v>
          </cell>
          <cell r="AB940">
            <v>25</v>
          </cell>
          <cell r="AC940">
            <v>2</v>
          </cell>
          <cell r="AD940" t="str">
            <v>TIDAK</v>
          </cell>
          <cell r="AE940" t="str">
            <v>TIDAK</v>
          </cell>
          <cell r="AF940">
            <v>25</v>
          </cell>
          <cell r="AG940">
            <v>1</v>
          </cell>
          <cell r="AH940" t="str">
            <v>SAPHIRE</v>
          </cell>
          <cell r="AI940">
            <v>0</v>
          </cell>
          <cell r="AJ940" t="str">
            <v>FALSE</v>
          </cell>
          <cell r="AK940">
            <v>0</v>
          </cell>
          <cell r="AL940">
            <v>45261</v>
          </cell>
          <cell r="AM940">
            <v>45701</v>
          </cell>
          <cell r="AN940">
            <v>1</v>
          </cell>
          <cell r="AO940">
            <v>25</v>
          </cell>
          <cell r="AP940" t="str">
            <v>-</v>
          </cell>
          <cell r="AQ940" t="str">
            <v>-</v>
          </cell>
          <cell r="AR940" t="str">
            <v>-</v>
          </cell>
          <cell r="AS940" t="str">
            <v>-</v>
          </cell>
          <cell r="AT940" t="str">
            <v>-</v>
          </cell>
          <cell r="AU940" t="str">
            <v>-</v>
          </cell>
          <cell r="AV940" t="str">
            <v/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 t="str">
            <v/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 t="str">
            <v/>
          </cell>
          <cell r="BN940">
            <v>0</v>
          </cell>
          <cell r="BO940" t="str">
            <v/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 t="str">
            <v/>
          </cell>
          <cell r="BV940">
            <v>0</v>
          </cell>
          <cell r="BW940">
            <v>7</v>
          </cell>
          <cell r="BX940" t="str">
            <v>DOWNGRADE</v>
          </cell>
          <cell r="BY940" t="str">
            <v>RESET</v>
          </cell>
        </row>
        <row r="941">
          <cell r="A941" t="str">
            <v>A3888</v>
          </cell>
          <cell r="B941" t="str">
            <v>Mutmainnah</v>
          </cell>
          <cell r="C941" t="str">
            <v>TEMA C2</v>
          </cell>
          <cell r="D941">
            <v>45367</v>
          </cell>
          <cell r="E941" t="str">
            <v>Mar-24</v>
          </cell>
          <cell r="F941" t="str">
            <v>-</v>
          </cell>
          <cell r="G941" t="str">
            <v>-</v>
          </cell>
          <cell r="H941" t="str">
            <v>-</v>
          </cell>
          <cell r="I941" t="str">
            <v>REGULER</v>
          </cell>
          <cell r="J941" t="str">
            <v>REGULER</v>
          </cell>
          <cell r="K941" t="str">
            <v>REGULER</v>
          </cell>
          <cell r="L941" t="str">
            <v>-</v>
          </cell>
          <cell r="M941">
            <v>0</v>
          </cell>
          <cell r="N941">
            <v>0</v>
          </cell>
          <cell r="O941">
            <v>0</v>
          </cell>
          <cell r="P941">
            <v>13</v>
          </cell>
          <cell r="Q941">
            <v>19</v>
          </cell>
          <cell r="R941">
            <v>8</v>
          </cell>
          <cell r="S941" t="str">
            <v/>
          </cell>
          <cell r="T941">
            <v>40</v>
          </cell>
          <cell r="U941">
            <v>0</v>
          </cell>
          <cell r="V941">
            <v>0</v>
          </cell>
          <cell r="W941">
            <v>0</v>
          </cell>
          <cell r="X941">
            <v>13</v>
          </cell>
          <cell r="Y941">
            <v>19</v>
          </cell>
          <cell r="Z941">
            <v>8</v>
          </cell>
          <cell r="AA941" t="str">
            <v/>
          </cell>
          <cell r="AB941">
            <v>40</v>
          </cell>
          <cell r="AC941">
            <v>1</v>
          </cell>
          <cell r="AD941" t="str">
            <v>TIDAK</v>
          </cell>
          <cell r="AE941" t="str">
            <v>TIDAK</v>
          </cell>
          <cell r="AF941">
            <v>40</v>
          </cell>
          <cell r="AG941">
            <v>1</v>
          </cell>
          <cell r="AH941" t="str">
            <v>SAPHIRE</v>
          </cell>
          <cell r="AI941">
            <v>0</v>
          </cell>
          <cell r="AJ941" t="str">
            <v>FALSE</v>
          </cell>
          <cell r="AK941">
            <v>0</v>
          </cell>
          <cell r="AL941">
            <v>45261</v>
          </cell>
          <cell r="AM941">
            <v>45701</v>
          </cell>
          <cell r="AN941">
            <v>1</v>
          </cell>
          <cell r="AO941">
            <v>40</v>
          </cell>
          <cell r="AP941" t="str">
            <v>-</v>
          </cell>
          <cell r="AQ941" t="str">
            <v>-</v>
          </cell>
          <cell r="AR941" t="str">
            <v>REGULER</v>
          </cell>
          <cell r="AS941" t="str">
            <v>REGULER</v>
          </cell>
          <cell r="AT941" t="str">
            <v>REGULER</v>
          </cell>
          <cell r="AU941" t="str">
            <v>-</v>
          </cell>
          <cell r="AV941" t="str">
            <v/>
          </cell>
          <cell r="AW941">
            <v>0</v>
          </cell>
          <cell r="AX941">
            <v>20</v>
          </cell>
          <cell r="AY941">
            <v>16</v>
          </cell>
          <cell r="AZ941">
            <v>2</v>
          </cell>
          <cell r="BA941">
            <v>0</v>
          </cell>
          <cell r="BB941">
            <v>0</v>
          </cell>
          <cell r="BC941">
            <v>20</v>
          </cell>
          <cell r="BD941">
            <v>16</v>
          </cell>
          <cell r="BE941">
            <v>2</v>
          </cell>
          <cell r="BF941">
            <v>0</v>
          </cell>
          <cell r="BG941">
            <v>4</v>
          </cell>
          <cell r="BH941">
            <v>0</v>
          </cell>
          <cell r="BI941">
            <v>20</v>
          </cell>
          <cell r="BJ941">
            <v>16</v>
          </cell>
          <cell r="BK941">
            <v>2</v>
          </cell>
          <cell r="BL941">
            <v>0</v>
          </cell>
          <cell r="BM941" t="str">
            <v/>
          </cell>
          <cell r="BN941">
            <v>42</v>
          </cell>
          <cell r="BO941">
            <v>4</v>
          </cell>
          <cell r="BP941">
            <v>0</v>
          </cell>
          <cell r="BQ941">
            <v>20</v>
          </cell>
          <cell r="BR941">
            <v>16</v>
          </cell>
          <cell r="BS941">
            <v>2</v>
          </cell>
          <cell r="BT941">
            <v>0</v>
          </cell>
          <cell r="BU941" t="str">
            <v/>
          </cell>
          <cell r="BV941">
            <v>42</v>
          </cell>
          <cell r="BW941">
            <v>3</v>
          </cell>
          <cell r="BX941" t="str">
            <v>DOWNGRADE</v>
          </cell>
          <cell r="BY941" t="str">
            <v>TIDAK</v>
          </cell>
        </row>
        <row r="942">
          <cell r="A942" t="str">
            <v>A3494</v>
          </cell>
          <cell r="B942" t="str">
            <v>Nabila Fernanda Fasya</v>
          </cell>
          <cell r="C942" t="str">
            <v>TEMA C2</v>
          </cell>
          <cell r="D942">
            <v>45262</v>
          </cell>
          <cell r="E942" t="str">
            <v>Dec-23</v>
          </cell>
          <cell r="F942" t="str">
            <v>REGULER</v>
          </cell>
          <cell r="G942" t="str">
            <v>REGULER</v>
          </cell>
          <cell r="H942" t="str">
            <v>REGULER</v>
          </cell>
          <cell r="I942" t="str">
            <v>-</v>
          </cell>
          <cell r="J942" t="str">
            <v>-</v>
          </cell>
          <cell r="K942" t="str">
            <v>-</v>
          </cell>
          <cell r="L942" t="str">
            <v>-</v>
          </cell>
          <cell r="M942">
            <v>2</v>
          </cell>
          <cell r="N942">
            <v>17</v>
          </cell>
          <cell r="O942">
            <v>14</v>
          </cell>
          <cell r="P942">
            <v>0</v>
          </cell>
          <cell r="Q942">
            <v>0</v>
          </cell>
          <cell r="R942">
            <v>0</v>
          </cell>
          <cell r="S942" t="str">
            <v/>
          </cell>
          <cell r="T942">
            <v>33</v>
          </cell>
          <cell r="U942">
            <v>2</v>
          </cell>
          <cell r="V942">
            <v>17</v>
          </cell>
          <cell r="W942">
            <v>14</v>
          </cell>
          <cell r="X942">
            <v>0</v>
          </cell>
          <cell r="Y942">
            <v>0</v>
          </cell>
          <cell r="Z942">
            <v>0</v>
          </cell>
          <cell r="AA942" t="str">
            <v/>
          </cell>
          <cell r="AB942">
            <v>33</v>
          </cell>
          <cell r="AC942">
            <v>4</v>
          </cell>
          <cell r="AD942" t="str">
            <v>DOWNGRADE</v>
          </cell>
          <cell r="AE942" t="str">
            <v>RESET</v>
          </cell>
          <cell r="AF942">
            <v>0</v>
          </cell>
          <cell r="AG942">
            <v>1</v>
          </cell>
          <cell r="AH942" t="str">
            <v>SAPHIRE</v>
          </cell>
          <cell r="AI942">
            <v>0</v>
          </cell>
          <cell r="AJ942" t="str">
            <v>FALSE</v>
          </cell>
          <cell r="AK942">
            <v>0</v>
          </cell>
          <cell r="AL942">
            <v>45261</v>
          </cell>
          <cell r="AM942">
            <v>45701</v>
          </cell>
          <cell r="AN942">
            <v>1</v>
          </cell>
          <cell r="AO942">
            <v>0</v>
          </cell>
          <cell r="AP942" t="str">
            <v>-</v>
          </cell>
          <cell r="AQ942" t="str">
            <v>-</v>
          </cell>
          <cell r="AR942" t="str">
            <v>-</v>
          </cell>
          <cell r="AS942" t="str">
            <v>-</v>
          </cell>
          <cell r="AT942" t="str">
            <v>-</v>
          </cell>
          <cell r="AU942" t="str">
            <v>-</v>
          </cell>
          <cell r="AV942" t="str">
            <v/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 t="str">
            <v/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 t="str">
            <v/>
          </cell>
          <cell r="BN942">
            <v>0</v>
          </cell>
          <cell r="BO942" t="str">
            <v/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 t="str">
            <v/>
          </cell>
          <cell r="BV942">
            <v>0</v>
          </cell>
          <cell r="BW942">
            <v>7</v>
          </cell>
          <cell r="BX942" t="str">
            <v>DOWNGRADE</v>
          </cell>
          <cell r="BY942" t="str">
            <v>RESET</v>
          </cell>
        </row>
        <row r="943">
          <cell r="A943" t="str">
            <v>A3167</v>
          </cell>
          <cell r="B943" t="str">
            <v>Nabila Putri Rahma</v>
          </cell>
          <cell r="C943" t="str">
            <v>TEMA C2</v>
          </cell>
          <cell r="D943">
            <v>45220</v>
          </cell>
          <cell r="E943" t="str">
            <v>Oct-23</v>
          </cell>
          <cell r="F943" t="str">
            <v>REGULER</v>
          </cell>
          <cell r="G943" t="str">
            <v>REGULER</v>
          </cell>
          <cell r="H943" t="str">
            <v>-</v>
          </cell>
          <cell r="I943" t="str">
            <v>-</v>
          </cell>
          <cell r="J943" t="str">
            <v>-</v>
          </cell>
          <cell r="K943" t="str">
            <v>-</v>
          </cell>
          <cell r="L943" t="str">
            <v>-</v>
          </cell>
          <cell r="M943">
            <v>6</v>
          </cell>
          <cell r="N943">
            <v>3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 t="str">
            <v/>
          </cell>
          <cell r="T943">
            <v>9</v>
          </cell>
          <cell r="U943">
            <v>6</v>
          </cell>
          <cell r="V943">
            <v>3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 t="str">
            <v/>
          </cell>
          <cell r="AB943">
            <v>9</v>
          </cell>
          <cell r="AC943">
            <v>5</v>
          </cell>
          <cell r="AD943" t="str">
            <v>DOWNGRADE</v>
          </cell>
          <cell r="AE943" t="str">
            <v>RESET</v>
          </cell>
          <cell r="AF943">
            <v>0</v>
          </cell>
          <cell r="AG943">
            <v>1</v>
          </cell>
          <cell r="AH943" t="str">
            <v>SAPHIRE</v>
          </cell>
          <cell r="AI943">
            <v>0</v>
          </cell>
          <cell r="AJ943" t="str">
            <v>FALSE</v>
          </cell>
          <cell r="AK943">
            <v>0</v>
          </cell>
          <cell r="AL943">
            <v>45261</v>
          </cell>
          <cell r="AM943">
            <v>45701</v>
          </cell>
          <cell r="AN943">
            <v>1</v>
          </cell>
          <cell r="AO943">
            <v>0</v>
          </cell>
          <cell r="AP943" t="str">
            <v>-</v>
          </cell>
          <cell r="AQ943" t="str">
            <v>-</v>
          </cell>
          <cell r="AR943" t="str">
            <v>-</v>
          </cell>
          <cell r="AS943" t="str">
            <v>-</v>
          </cell>
          <cell r="AT943" t="str">
            <v>-</v>
          </cell>
          <cell r="AU943" t="str">
            <v>-</v>
          </cell>
          <cell r="AV943" t="str">
            <v/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 t="str">
            <v/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 t="str">
            <v/>
          </cell>
          <cell r="BN943">
            <v>0</v>
          </cell>
          <cell r="BO943" t="str">
            <v/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 t="str">
            <v/>
          </cell>
          <cell r="BV943">
            <v>0</v>
          </cell>
          <cell r="BW943">
            <v>7</v>
          </cell>
          <cell r="BX943" t="str">
            <v>DOWNGRADE</v>
          </cell>
          <cell r="BY943" t="str">
            <v>RESET</v>
          </cell>
        </row>
        <row r="944">
          <cell r="A944" t="str">
            <v>A0919</v>
          </cell>
          <cell r="B944" t="str">
            <v>Nabila Yudistya</v>
          </cell>
          <cell r="C944" t="str">
            <v>TEMA C2</v>
          </cell>
          <cell r="D944">
            <v>44902</v>
          </cell>
          <cell r="E944" t="str">
            <v>Dec-22</v>
          </cell>
          <cell r="F944" t="str">
            <v>REGULER</v>
          </cell>
          <cell r="G944" t="str">
            <v>EKSKLUSIF</v>
          </cell>
          <cell r="H944" t="str">
            <v>EKSKLUSIF</v>
          </cell>
          <cell r="I944" t="str">
            <v>EKSKLUSIF</v>
          </cell>
          <cell r="J944" t="str">
            <v>REGULER</v>
          </cell>
          <cell r="K944" t="str">
            <v>REGULER</v>
          </cell>
          <cell r="L944" t="str">
            <v>REGULER</v>
          </cell>
          <cell r="M944">
            <v>12</v>
          </cell>
          <cell r="N944">
            <v>47</v>
          </cell>
          <cell r="O944">
            <v>37</v>
          </cell>
          <cell r="P944">
            <v>41</v>
          </cell>
          <cell r="Q944">
            <v>31</v>
          </cell>
          <cell r="R944">
            <v>35</v>
          </cell>
          <cell r="S944">
            <v>21</v>
          </cell>
          <cell r="T944">
            <v>224</v>
          </cell>
          <cell r="U944">
            <v>12</v>
          </cell>
          <cell r="V944">
            <v>0</v>
          </cell>
          <cell r="W944">
            <v>0</v>
          </cell>
          <cell r="X944">
            <v>0</v>
          </cell>
          <cell r="Y944">
            <v>31</v>
          </cell>
          <cell r="Z944">
            <v>35</v>
          </cell>
          <cell r="AA944">
            <v>21</v>
          </cell>
          <cell r="AB944">
            <v>99</v>
          </cell>
          <cell r="AC944">
            <v>0</v>
          </cell>
          <cell r="AD944" t="str">
            <v>TIDAK</v>
          </cell>
          <cell r="AE944" t="str">
            <v>TIDAK</v>
          </cell>
          <cell r="AF944">
            <v>99</v>
          </cell>
          <cell r="AG944">
            <v>2</v>
          </cell>
          <cell r="AH944" t="str">
            <v>SAPHIRE</v>
          </cell>
          <cell r="AI944">
            <v>65</v>
          </cell>
          <cell r="AJ944" t="str">
            <v>Y</v>
          </cell>
          <cell r="AK944">
            <v>0</v>
          </cell>
          <cell r="AL944">
            <v>45261</v>
          </cell>
          <cell r="AM944">
            <v>45701</v>
          </cell>
          <cell r="AN944">
            <v>1</v>
          </cell>
          <cell r="AO944">
            <v>34</v>
          </cell>
          <cell r="AP944" t="str">
            <v>-</v>
          </cell>
          <cell r="AQ944" t="str">
            <v>-</v>
          </cell>
          <cell r="AR944" t="str">
            <v>REGULER</v>
          </cell>
          <cell r="AS944" t="str">
            <v>REGULER</v>
          </cell>
          <cell r="AT944" t="str">
            <v>REGULER</v>
          </cell>
          <cell r="AU944" t="str">
            <v>REGULER</v>
          </cell>
          <cell r="AV944" t="str">
            <v/>
          </cell>
          <cell r="AW944">
            <v>44</v>
          </cell>
          <cell r="AX944">
            <v>44</v>
          </cell>
          <cell r="AY944">
            <v>41</v>
          </cell>
          <cell r="AZ944">
            <v>43</v>
          </cell>
          <cell r="BA944">
            <v>37</v>
          </cell>
          <cell r="BB944">
            <v>44</v>
          </cell>
          <cell r="BC944">
            <v>44</v>
          </cell>
          <cell r="BD944">
            <v>41</v>
          </cell>
          <cell r="BE944">
            <v>43</v>
          </cell>
          <cell r="BF944">
            <v>37</v>
          </cell>
          <cell r="BG944">
            <v>19</v>
          </cell>
          <cell r="BH944">
            <v>44</v>
          </cell>
          <cell r="BI944">
            <v>44</v>
          </cell>
          <cell r="BJ944">
            <v>41</v>
          </cell>
          <cell r="BK944">
            <v>43</v>
          </cell>
          <cell r="BL944">
            <v>37</v>
          </cell>
          <cell r="BM944" t="str">
            <v/>
          </cell>
          <cell r="BN944">
            <v>228</v>
          </cell>
          <cell r="BO944">
            <v>19</v>
          </cell>
          <cell r="BP944">
            <v>44</v>
          </cell>
          <cell r="BQ944">
            <v>44</v>
          </cell>
          <cell r="BR944">
            <v>41</v>
          </cell>
          <cell r="BS944">
            <v>43</v>
          </cell>
          <cell r="BT944">
            <v>37</v>
          </cell>
          <cell r="BU944" t="str">
            <v/>
          </cell>
          <cell r="BV944">
            <v>228</v>
          </cell>
          <cell r="BW944">
            <v>1</v>
          </cell>
          <cell r="BX944" t="str">
            <v>TIDAK</v>
          </cell>
          <cell r="BY944" t="str">
            <v>TIDAK</v>
          </cell>
        </row>
        <row r="945">
          <cell r="A945" t="str">
            <v>A3767</v>
          </cell>
          <cell r="B945" t="str">
            <v>Nada Agustin</v>
          </cell>
          <cell r="C945" t="str">
            <v>TEMA C2</v>
          </cell>
          <cell r="D945">
            <v>45345</v>
          </cell>
          <cell r="E945" t="str">
            <v>Feb-24</v>
          </cell>
          <cell r="F945" t="str">
            <v>-</v>
          </cell>
          <cell r="G945" t="str">
            <v>-</v>
          </cell>
          <cell r="H945" t="str">
            <v>REGULER</v>
          </cell>
          <cell r="I945" t="str">
            <v>REGULER</v>
          </cell>
          <cell r="J945" t="str">
            <v>REGULER</v>
          </cell>
          <cell r="K945" t="str">
            <v>REGULER</v>
          </cell>
          <cell r="L945" t="str">
            <v>-</v>
          </cell>
          <cell r="M945">
            <v>0</v>
          </cell>
          <cell r="N945">
            <v>0</v>
          </cell>
          <cell r="O945">
            <v>5</v>
          </cell>
          <cell r="P945">
            <v>29</v>
          </cell>
          <cell r="Q945">
            <v>12</v>
          </cell>
          <cell r="R945">
            <v>11</v>
          </cell>
          <cell r="S945" t="str">
            <v/>
          </cell>
          <cell r="T945">
            <v>57</v>
          </cell>
          <cell r="U945">
            <v>0</v>
          </cell>
          <cell r="V945">
            <v>0</v>
          </cell>
          <cell r="W945">
            <v>5</v>
          </cell>
          <cell r="X945">
            <v>29</v>
          </cell>
          <cell r="Y945">
            <v>12</v>
          </cell>
          <cell r="Z945">
            <v>11</v>
          </cell>
          <cell r="AA945" t="str">
            <v/>
          </cell>
          <cell r="AB945">
            <v>57</v>
          </cell>
          <cell r="AC945">
            <v>1</v>
          </cell>
          <cell r="AD945" t="str">
            <v>TIDAK</v>
          </cell>
          <cell r="AE945" t="str">
            <v>TIDAK</v>
          </cell>
          <cell r="AF945">
            <v>57</v>
          </cell>
          <cell r="AG945">
            <v>1</v>
          </cell>
          <cell r="AH945" t="str">
            <v>SAPHIRE</v>
          </cell>
          <cell r="AI945">
            <v>0</v>
          </cell>
          <cell r="AJ945" t="str">
            <v>FALSE</v>
          </cell>
          <cell r="AK945">
            <v>0</v>
          </cell>
          <cell r="AL945">
            <v>45261</v>
          </cell>
          <cell r="AM945">
            <v>45701</v>
          </cell>
          <cell r="AN945">
            <v>1</v>
          </cell>
          <cell r="AO945">
            <v>57</v>
          </cell>
          <cell r="AP945" t="str">
            <v>-</v>
          </cell>
          <cell r="AQ945" t="str">
            <v>-</v>
          </cell>
          <cell r="AR945" t="str">
            <v>-</v>
          </cell>
          <cell r="AS945" t="str">
            <v>REGULER</v>
          </cell>
          <cell r="AT945" t="str">
            <v>-</v>
          </cell>
          <cell r="AU945" t="str">
            <v>-</v>
          </cell>
          <cell r="AV945" t="str">
            <v/>
          </cell>
          <cell r="AW945">
            <v>4</v>
          </cell>
          <cell r="AX945">
            <v>0</v>
          </cell>
          <cell r="AY945">
            <v>14</v>
          </cell>
          <cell r="AZ945">
            <v>0</v>
          </cell>
          <cell r="BA945">
            <v>0</v>
          </cell>
          <cell r="BB945">
            <v>4</v>
          </cell>
          <cell r="BC945">
            <v>0</v>
          </cell>
          <cell r="BD945">
            <v>14</v>
          </cell>
          <cell r="BE945">
            <v>0</v>
          </cell>
          <cell r="BF945">
            <v>0</v>
          </cell>
          <cell r="BG945">
            <v>13</v>
          </cell>
          <cell r="BH945">
            <v>4</v>
          </cell>
          <cell r="BI945">
            <v>0</v>
          </cell>
          <cell r="BJ945">
            <v>14</v>
          </cell>
          <cell r="BK945">
            <v>0</v>
          </cell>
          <cell r="BL945">
            <v>0</v>
          </cell>
          <cell r="BM945" t="str">
            <v/>
          </cell>
          <cell r="BN945">
            <v>31</v>
          </cell>
          <cell r="BO945">
            <v>13</v>
          </cell>
          <cell r="BP945">
            <v>4</v>
          </cell>
          <cell r="BQ945">
            <v>0</v>
          </cell>
          <cell r="BR945">
            <v>14</v>
          </cell>
          <cell r="BS945">
            <v>0</v>
          </cell>
          <cell r="BT945">
            <v>0</v>
          </cell>
          <cell r="BU945" t="str">
            <v/>
          </cell>
          <cell r="BV945">
            <v>31</v>
          </cell>
          <cell r="BW945">
            <v>4</v>
          </cell>
          <cell r="BX945" t="str">
            <v>DOWNGRADE</v>
          </cell>
          <cell r="BY945" t="str">
            <v>RESET</v>
          </cell>
        </row>
        <row r="946">
          <cell r="A946" t="str">
            <v>A2578</v>
          </cell>
          <cell r="B946" t="str">
            <v>Nadia Ayu Amelia</v>
          </cell>
          <cell r="C946" t="str">
            <v>TEMA C2</v>
          </cell>
          <cell r="D946">
            <v>45093</v>
          </cell>
          <cell r="E946" t="str">
            <v>Jun-23</v>
          </cell>
          <cell r="F946" t="str">
            <v>REGULER</v>
          </cell>
          <cell r="G946" t="str">
            <v>REGULER</v>
          </cell>
          <cell r="H946" t="str">
            <v>-</v>
          </cell>
          <cell r="I946" t="str">
            <v>-</v>
          </cell>
          <cell r="J946" t="str">
            <v>-</v>
          </cell>
          <cell r="K946" t="str">
            <v>-</v>
          </cell>
          <cell r="L946" t="str">
            <v>-</v>
          </cell>
          <cell r="M946">
            <v>18</v>
          </cell>
          <cell r="N946">
            <v>9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 t="str">
            <v/>
          </cell>
          <cell r="T946">
            <v>27</v>
          </cell>
          <cell r="U946">
            <v>18</v>
          </cell>
          <cell r="V946">
            <v>9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 t="str">
            <v/>
          </cell>
          <cell r="AB946">
            <v>27</v>
          </cell>
          <cell r="AC946">
            <v>5</v>
          </cell>
          <cell r="AD946" t="str">
            <v>DOWNGRADE</v>
          </cell>
          <cell r="AE946" t="str">
            <v>RESET</v>
          </cell>
          <cell r="AF946">
            <v>0</v>
          </cell>
          <cell r="AG946">
            <v>5</v>
          </cell>
          <cell r="AH946" t="str">
            <v>SAPHIRE</v>
          </cell>
          <cell r="AI946">
            <v>0</v>
          </cell>
          <cell r="AJ946" t="str">
            <v>FALSE</v>
          </cell>
          <cell r="AK946">
            <v>0</v>
          </cell>
          <cell r="AL946">
            <v>45261</v>
          </cell>
          <cell r="AM946">
            <v>45701</v>
          </cell>
          <cell r="AN946">
            <v>1</v>
          </cell>
          <cell r="AO946">
            <v>0</v>
          </cell>
          <cell r="AP946" t="str">
            <v>-</v>
          </cell>
          <cell r="AQ946" t="str">
            <v>-</v>
          </cell>
          <cell r="AR946" t="str">
            <v>-</v>
          </cell>
          <cell r="AS946" t="str">
            <v>-</v>
          </cell>
          <cell r="AT946" t="str">
            <v>-</v>
          </cell>
          <cell r="AU946" t="str">
            <v>-</v>
          </cell>
          <cell r="AV946" t="str">
            <v/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 t="str">
            <v/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 t="str">
            <v/>
          </cell>
          <cell r="BN946">
            <v>0</v>
          </cell>
          <cell r="BO946" t="str">
            <v/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 t="str">
            <v/>
          </cell>
          <cell r="BV946">
            <v>0</v>
          </cell>
          <cell r="BW946">
            <v>7</v>
          </cell>
          <cell r="BX946" t="str">
            <v>DOWNGRADE</v>
          </cell>
          <cell r="BY946" t="str">
            <v>RESET</v>
          </cell>
        </row>
        <row r="947">
          <cell r="A947" t="str">
            <v>A2596</v>
          </cell>
          <cell r="B947" t="str">
            <v>Nadia Nur Fallah</v>
          </cell>
          <cell r="C947" t="str">
            <v>TEMA C2</v>
          </cell>
          <cell r="D947">
            <v>45093</v>
          </cell>
          <cell r="E947" t="str">
            <v>Jun-23</v>
          </cell>
          <cell r="F947" t="str">
            <v>REGULER</v>
          </cell>
          <cell r="G947" t="str">
            <v>REGULER</v>
          </cell>
          <cell r="H947" t="str">
            <v>-</v>
          </cell>
          <cell r="I947" t="str">
            <v>-</v>
          </cell>
          <cell r="J947" t="str">
            <v>-</v>
          </cell>
          <cell r="K947" t="str">
            <v>-</v>
          </cell>
          <cell r="L947" t="str">
            <v>-</v>
          </cell>
          <cell r="M947">
            <v>14</v>
          </cell>
          <cell r="N947">
            <v>16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 t="str">
            <v/>
          </cell>
          <cell r="T947">
            <v>30</v>
          </cell>
          <cell r="U947">
            <v>14</v>
          </cell>
          <cell r="V947">
            <v>16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 t="str">
            <v/>
          </cell>
          <cell r="AB947">
            <v>30</v>
          </cell>
          <cell r="AC947">
            <v>5</v>
          </cell>
          <cell r="AD947" t="str">
            <v>DOWNGRADE</v>
          </cell>
          <cell r="AE947" t="str">
            <v>RESET</v>
          </cell>
          <cell r="AF947">
            <v>0</v>
          </cell>
          <cell r="AG947">
            <v>1</v>
          </cell>
          <cell r="AH947" t="str">
            <v>SAPHIRE</v>
          </cell>
          <cell r="AI947">
            <v>0</v>
          </cell>
          <cell r="AJ947" t="str">
            <v>FALSE</v>
          </cell>
          <cell r="AK947">
            <v>0</v>
          </cell>
          <cell r="AL947">
            <v>45261</v>
          </cell>
          <cell r="AM947">
            <v>45701</v>
          </cell>
          <cell r="AN947">
            <v>1</v>
          </cell>
          <cell r="AO947">
            <v>0</v>
          </cell>
          <cell r="AP947" t="str">
            <v>-</v>
          </cell>
          <cell r="AQ947" t="str">
            <v>-</v>
          </cell>
          <cell r="AR947" t="str">
            <v>-</v>
          </cell>
          <cell r="AS947" t="str">
            <v>-</v>
          </cell>
          <cell r="AT947" t="str">
            <v>-</v>
          </cell>
          <cell r="AU947" t="str">
            <v>-</v>
          </cell>
          <cell r="AV947" t="str">
            <v/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 t="str">
            <v/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 t="str">
            <v/>
          </cell>
          <cell r="BN947">
            <v>0</v>
          </cell>
          <cell r="BO947" t="str">
            <v/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T947">
            <v>0</v>
          </cell>
          <cell r="BU947" t="str">
            <v/>
          </cell>
          <cell r="BV947">
            <v>0</v>
          </cell>
          <cell r="BW947">
            <v>7</v>
          </cell>
          <cell r="BX947" t="str">
            <v>DOWNGRADE</v>
          </cell>
          <cell r="BY947" t="str">
            <v>RESET</v>
          </cell>
        </row>
        <row r="948">
          <cell r="A948" t="str">
            <v>A1071</v>
          </cell>
          <cell r="B948" t="str">
            <v>Nadira Julia Jasmine</v>
          </cell>
          <cell r="C948" t="str">
            <v>TEMA C2</v>
          </cell>
          <cell r="D948">
            <v>45246</v>
          </cell>
          <cell r="E948" t="str">
            <v>Nov-23</v>
          </cell>
          <cell r="F948" t="str">
            <v>REGULER</v>
          </cell>
          <cell r="G948" t="str">
            <v>REGULER</v>
          </cell>
          <cell r="H948" t="str">
            <v>-</v>
          </cell>
          <cell r="I948" t="str">
            <v>REGULER</v>
          </cell>
          <cell r="J948" t="str">
            <v>REGULER</v>
          </cell>
          <cell r="K948" t="str">
            <v>-</v>
          </cell>
          <cell r="L948" t="str">
            <v>-</v>
          </cell>
          <cell r="M948">
            <v>11</v>
          </cell>
          <cell r="N948">
            <v>27</v>
          </cell>
          <cell r="O948">
            <v>0</v>
          </cell>
          <cell r="P948">
            <v>15</v>
          </cell>
          <cell r="Q948">
            <v>7</v>
          </cell>
          <cell r="R948">
            <v>0</v>
          </cell>
          <cell r="S948" t="str">
            <v/>
          </cell>
          <cell r="T948">
            <v>60</v>
          </cell>
          <cell r="U948">
            <v>11</v>
          </cell>
          <cell r="V948">
            <v>27</v>
          </cell>
          <cell r="W948">
            <v>0</v>
          </cell>
          <cell r="X948">
            <v>15</v>
          </cell>
          <cell r="Y948">
            <v>7</v>
          </cell>
          <cell r="Z948">
            <v>0</v>
          </cell>
          <cell r="AA948" t="str">
            <v/>
          </cell>
          <cell r="AB948">
            <v>60</v>
          </cell>
          <cell r="AC948">
            <v>3</v>
          </cell>
          <cell r="AD948" t="str">
            <v>DOWNGRADE</v>
          </cell>
          <cell r="AE948" t="str">
            <v>TIDAK</v>
          </cell>
          <cell r="AF948">
            <v>30</v>
          </cell>
          <cell r="AG948">
            <v>2</v>
          </cell>
          <cell r="AH948" t="str">
            <v>SAPHIRE</v>
          </cell>
          <cell r="AI948">
            <v>0</v>
          </cell>
          <cell r="AJ948" t="str">
            <v>FALSE</v>
          </cell>
          <cell r="AK948">
            <v>0</v>
          </cell>
          <cell r="AL948">
            <v>45261</v>
          </cell>
          <cell r="AM948">
            <v>45701</v>
          </cell>
          <cell r="AN948">
            <v>1</v>
          </cell>
          <cell r="AO948">
            <v>30</v>
          </cell>
          <cell r="AP948" t="str">
            <v>-</v>
          </cell>
          <cell r="AQ948" t="str">
            <v>-</v>
          </cell>
          <cell r="AR948" t="str">
            <v>-</v>
          </cell>
          <cell r="AS948" t="str">
            <v>-</v>
          </cell>
          <cell r="AT948" t="str">
            <v>-</v>
          </cell>
          <cell r="AU948" t="str">
            <v>-</v>
          </cell>
          <cell r="AV948" t="str">
            <v/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 t="str">
            <v/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 t="str">
            <v/>
          </cell>
          <cell r="BN948">
            <v>0</v>
          </cell>
          <cell r="BO948" t="str">
            <v/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 t="str">
            <v/>
          </cell>
          <cell r="BV948">
            <v>0</v>
          </cell>
          <cell r="BW948">
            <v>7</v>
          </cell>
          <cell r="BX948" t="str">
            <v>DOWNGRADE</v>
          </cell>
          <cell r="BY948" t="str">
            <v>RESET</v>
          </cell>
        </row>
        <row r="949">
          <cell r="A949" t="str">
            <v>A0707</v>
          </cell>
          <cell r="B949" t="str">
            <v>Naili Azka</v>
          </cell>
          <cell r="C949" t="str">
            <v>TEMA C2</v>
          </cell>
          <cell r="D949">
            <v>44876</v>
          </cell>
          <cell r="E949" t="str">
            <v>Nov-22</v>
          </cell>
          <cell r="F949" t="str">
            <v>REGULER</v>
          </cell>
          <cell r="G949" t="str">
            <v>REGULER</v>
          </cell>
          <cell r="H949" t="str">
            <v>REGULER</v>
          </cell>
          <cell r="I949" t="str">
            <v>REGULER</v>
          </cell>
          <cell r="J949" t="str">
            <v>REGULER</v>
          </cell>
          <cell r="K949" t="str">
            <v>EKSKLUSIF</v>
          </cell>
          <cell r="L949" t="str">
            <v>EKSKLUSIF</v>
          </cell>
          <cell r="M949">
            <v>16</v>
          </cell>
          <cell r="N949">
            <v>40</v>
          </cell>
          <cell r="O949">
            <v>35</v>
          </cell>
          <cell r="P949">
            <v>37</v>
          </cell>
          <cell r="Q949">
            <v>35</v>
          </cell>
          <cell r="R949">
            <v>40</v>
          </cell>
          <cell r="S949">
            <v>20</v>
          </cell>
          <cell r="T949">
            <v>223</v>
          </cell>
          <cell r="U949">
            <v>16</v>
          </cell>
          <cell r="V949">
            <v>40</v>
          </cell>
          <cell r="W949">
            <v>35</v>
          </cell>
          <cell r="X949">
            <v>37</v>
          </cell>
          <cell r="Y949">
            <v>35</v>
          </cell>
          <cell r="Z949">
            <v>0</v>
          </cell>
          <cell r="AA949">
            <v>0</v>
          </cell>
          <cell r="AB949">
            <v>163</v>
          </cell>
          <cell r="AC949">
            <v>0</v>
          </cell>
          <cell r="AD949" t="str">
            <v>TIDAK</v>
          </cell>
          <cell r="AE949" t="str">
            <v>TIDAK</v>
          </cell>
          <cell r="AF949">
            <v>163</v>
          </cell>
          <cell r="AG949">
            <v>3</v>
          </cell>
          <cell r="AH949" t="str">
            <v>SAPHIRE</v>
          </cell>
          <cell r="AI949">
            <v>0</v>
          </cell>
          <cell r="AJ949" t="str">
            <v>Y</v>
          </cell>
          <cell r="AK949">
            <v>0</v>
          </cell>
          <cell r="AL949">
            <v>45261</v>
          </cell>
          <cell r="AM949">
            <v>45701</v>
          </cell>
          <cell r="AN949">
            <v>1</v>
          </cell>
          <cell r="AO949">
            <v>163</v>
          </cell>
          <cell r="AP949" t="str">
            <v>EKSKLUSIF</v>
          </cell>
          <cell r="AQ949" t="str">
            <v>-</v>
          </cell>
          <cell r="AR949" t="str">
            <v>REGULER</v>
          </cell>
          <cell r="AS949" t="str">
            <v>REGULER</v>
          </cell>
          <cell r="AT949" t="str">
            <v>REGULER</v>
          </cell>
          <cell r="AU949" t="str">
            <v>REGULER</v>
          </cell>
          <cell r="AV949" t="str">
            <v/>
          </cell>
          <cell r="AW949">
            <v>44</v>
          </cell>
          <cell r="AX949">
            <v>26</v>
          </cell>
          <cell r="AY949">
            <v>25</v>
          </cell>
          <cell r="AZ949">
            <v>36</v>
          </cell>
          <cell r="BA949">
            <v>22</v>
          </cell>
          <cell r="BB949">
            <v>44</v>
          </cell>
          <cell r="BC949">
            <v>26</v>
          </cell>
          <cell r="BD949">
            <v>25</v>
          </cell>
          <cell r="BE949">
            <v>36</v>
          </cell>
          <cell r="BF949">
            <v>22</v>
          </cell>
          <cell r="BG949">
            <v>17</v>
          </cell>
          <cell r="BH949">
            <v>44</v>
          </cell>
          <cell r="BI949">
            <v>26</v>
          </cell>
          <cell r="BJ949">
            <v>25</v>
          </cell>
          <cell r="BK949">
            <v>36</v>
          </cell>
          <cell r="BL949">
            <v>22</v>
          </cell>
          <cell r="BM949">
            <v>4</v>
          </cell>
          <cell r="BN949">
            <v>174</v>
          </cell>
          <cell r="BO949">
            <v>0</v>
          </cell>
          <cell r="BP949">
            <v>44</v>
          </cell>
          <cell r="BQ949">
            <v>26</v>
          </cell>
          <cell r="BR949">
            <v>25</v>
          </cell>
          <cell r="BS949">
            <v>36</v>
          </cell>
          <cell r="BT949">
            <v>22</v>
          </cell>
          <cell r="BU949">
            <v>4</v>
          </cell>
          <cell r="BV949">
            <v>157</v>
          </cell>
          <cell r="BW949">
            <v>0</v>
          </cell>
          <cell r="BX949" t="str">
            <v>TIDAK</v>
          </cell>
          <cell r="BY949" t="str">
            <v>TIDAK</v>
          </cell>
        </row>
        <row r="950">
          <cell r="A950" t="str">
            <v>A3116</v>
          </cell>
          <cell r="B950" t="str">
            <v>Nanda Wisnu Wardhana</v>
          </cell>
          <cell r="C950" t="str">
            <v>TEMA C2</v>
          </cell>
          <cell r="D950">
            <v>45219</v>
          </cell>
          <cell r="E950" t="str">
            <v>Oct-23</v>
          </cell>
          <cell r="F950" t="str">
            <v>REGULER</v>
          </cell>
          <cell r="G950" t="str">
            <v>REGULER</v>
          </cell>
          <cell r="H950" t="str">
            <v>-</v>
          </cell>
          <cell r="I950" t="str">
            <v>-</v>
          </cell>
          <cell r="J950" t="str">
            <v>-</v>
          </cell>
          <cell r="K950" t="str">
            <v>-</v>
          </cell>
          <cell r="L950" t="str">
            <v>-</v>
          </cell>
          <cell r="M950">
            <v>5</v>
          </cell>
          <cell r="N950">
            <v>3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 t="str">
            <v/>
          </cell>
          <cell r="T950">
            <v>8</v>
          </cell>
          <cell r="U950">
            <v>5</v>
          </cell>
          <cell r="V950">
            <v>3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 t="str">
            <v/>
          </cell>
          <cell r="AB950">
            <v>8</v>
          </cell>
          <cell r="AC950">
            <v>5</v>
          </cell>
          <cell r="AD950" t="str">
            <v>DOWNGRADE</v>
          </cell>
          <cell r="AE950" t="str">
            <v>RESET</v>
          </cell>
          <cell r="AF950">
            <v>0</v>
          </cell>
          <cell r="AG950">
            <v>2</v>
          </cell>
          <cell r="AH950" t="str">
            <v>SAPHIRE</v>
          </cell>
          <cell r="AI950">
            <v>0</v>
          </cell>
          <cell r="AJ950" t="str">
            <v>FALSE</v>
          </cell>
          <cell r="AK950">
            <v>0</v>
          </cell>
          <cell r="AL950">
            <v>45261</v>
          </cell>
          <cell r="AM950">
            <v>45701</v>
          </cell>
          <cell r="AN950">
            <v>1</v>
          </cell>
          <cell r="AO950">
            <v>0</v>
          </cell>
          <cell r="AP950" t="str">
            <v>-</v>
          </cell>
          <cell r="AQ950" t="str">
            <v>-</v>
          </cell>
          <cell r="AR950" t="str">
            <v>-</v>
          </cell>
          <cell r="AS950" t="str">
            <v>-</v>
          </cell>
          <cell r="AT950" t="str">
            <v>-</v>
          </cell>
          <cell r="AU950" t="str">
            <v>-</v>
          </cell>
          <cell r="AV950" t="str">
            <v/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 t="str">
            <v/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 t="str">
            <v/>
          </cell>
          <cell r="BN950">
            <v>0</v>
          </cell>
          <cell r="BO950" t="str">
            <v/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T950">
            <v>0</v>
          </cell>
          <cell r="BU950" t="str">
            <v/>
          </cell>
          <cell r="BV950">
            <v>0</v>
          </cell>
          <cell r="BW950">
            <v>7</v>
          </cell>
          <cell r="BX950" t="str">
            <v>DOWNGRADE</v>
          </cell>
          <cell r="BY950" t="str">
            <v>RESET</v>
          </cell>
        </row>
        <row r="951">
          <cell r="A951" t="str">
            <v>A3327</v>
          </cell>
          <cell r="B951" t="str">
            <v>Nani Yusnani</v>
          </cell>
          <cell r="C951" t="str">
            <v>TEMA C2</v>
          </cell>
          <cell r="D951">
            <v>45244</v>
          </cell>
          <cell r="E951" t="str">
            <v>Nov-23</v>
          </cell>
          <cell r="F951" t="str">
            <v>REGULER</v>
          </cell>
          <cell r="G951" t="str">
            <v>REGULER</v>
          </cell>
          <cell r="H951" t="str">
            <v>-</v>
          </cell>
          <cell r="I951" t="str">
            <v>-</v>
          </cell>
          <cell r="J951" t="str">
            <v>-</v>
          </cell>
          <cell r="K951" t="str">
            <v>-</v>
          </cell>
          <cell r="L951" t="str">
            <v>-</v>
          </cell>
          <cell r="M951">
            <v>20</v>
          </cell>
          <cell r="N951">
            <v>28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 t="str">
            <v/>
          </cell>
          <cell r="T951">
            <v>48</v>
          </cell>
          <cell r="U951">
            <v>20</v>
          </cell>
          <cell r="V951">
            <v>28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 t="str">
            <v/>
          </cell>
          <cell r="AB951">
            <v>48</v>
          </cell>
          <cell r="AC951">
            <v>5</v>
          </cell>
          <cell r="AD951" t="str">
            <v>DOWNGRADE</v>
          </cell>
          <cell r="AE951" t="str">
            <v>RESET</v>
          </cell>
          <cell r="AF951">
            <v>0</v>
          </cell>
          <cell r="AG951">
            <v>4</v>
          </cell>
          <cell r="AH951" t="str">
            <v>SAPHIRE</v>
          </cell>
          <cell r="AI951">
            <v>0</v>
          </cell>
          <cell r="AJ951" t="str">
            <v>FALSE</v>
          </cell>
          <cell r="AK951">
            <v>0</v>
          </cell>
          <cell r="AL951">
            <v>45261</v>
          </cell>
          <cell r="AM951">
            <v>45701</v>
          </cell>
          <cell r="AN951">
            <v>1</v>
          </cell>
          <cell r="AO951">
            <v>0</v>
          </cell>
          <cell r="AP951" t="str">
            <v>-</v>
          </cell>
          <cell r="AQ951" t="str">
            <v>-</v>
          </cell>
          <cell r="AR951" t="str">
            <v>-</v>
          </cell>
          <cell r="AS951" t="str">
            <v>-</v>
          </cell>
          <cell r="AT951" t="str">
            <v>-</v>
          </cell>
          <cell r="AU951" t="str">
            <v>-</v>
          </cell>
          <cell r="AV951" t="str">
            <v/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 t="str">
            <v/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 t="str">
            <v/>
          </cell>
          <cell r="BN951">
            <v>0</v>
          </cell>
          <cell r="BO951" t="str">
            <v/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 t="str">
            <v/>
          </cell>
          <cell r="BV951">
            <v>0</v>
          </cell>
          <cell r="BW951">
            <v>7</v>
          </cell>
          <cell r="BX951" t="str">
            <v>DOWNGRADE</v>
          </cell>
          <cell r="BY951" t="str">
            <v>RESET</v>
          </cell>
        </row>
        <row r="952">
          <cell r="A952" t="str">
            <v>A2096</v>
          </cell>
          <cell r="B952" t="str">
            <v>Natalia Onesa</v>
          </cell>
          <cell r="C952" t="str">
            <v>TEMA C2</v>
          </cell>
          <cell r="D952">
            <v>45041</v>
          </cell>
          <cell r="E952" t="str">
            <v>Apr-23</v>
          </cell>
          <cell r="F952" t="str">
            <v>-</v>
          </cell>
          <cell r="G952" t="str">
            <v>-</v>
          </cell>
          <cell r="H952" t="str">
            <v>-</v>
          </cell>
          <cell r="I952" t="str">
            <v>REGULER</v>
          </cell>
          <cell r="J952" t="str">
            <v>REGULER</v>
          </cell>
          <cell r="K952" t="str">
            <v>REGULER</v>
          </cell>
          <cell r="L952" t="str">
            <v>REGULER</v>
          </cell>
          <cell r="M952">
            <v>0</v>
          </cell>
          <cell r="N952">
            <v>0</v>
          </cell>
          <cell r="O952">
            <v>0</v>
          </cell>
          <cell r="P952">
            <v>5</v>
          </cell>
          <cell r="Q952">
            <v>15</v>
          </cell>
          <cell r="R952">
            <v>18</v>
          </cell>
          <cell r="S952">
            <v>12</v>
          </cell>
          <cell r="T952">
            <v>50</v>
          </cell>
          <cell r="U952">
            <v>0</v>
          </cell>
          <cell r="V952">
            <v>0</v>
          </cell>
          <cell r="W952">
            <v>0</v>
          </cell>
          <cell r="X952">
            <v>5</v>
          </cell>
          <cell r="Y952">
            <v>15</v>
          </cell>
          <cell r="Z952">
            <v>18</v>
          </cell>
          <cell r="AA952">
            <v>12</v>
          </cell>
          <cell r="AB952">
            <v>50</v>
          </cell>
          <cell r="AC952">
            <v>3</v>
          </cell>
          <cell r="AD952" t="str">
            <v>DOWNGRADE</v>
          </cell>
          <cell r="AE952" t="str">
            <v>RESET</v>
          </cell>
          <cell r="AF952">
            <v>0</v>
          </cell>
          <cell r="AG952">
            <v>1</v>
          </cell>
          <cell r="AH952" t="str">
            <v>SAPHIRE</v>
          </cell>
          <cell r="AI952">
            <v>0</v>
          </cell>
          <cell r="AJ952" t="str">
            <v>FALSE</v>
          </cell>
          <cell r="AK952">
            <v>0</v>
          </cell>
          <cell r="AL952">
            <v>45261</v>
          </cell>
          <cell r="AM952">
            <v>45701</v>
          </cell>
          <cell r="AN952">
            <v>1</v>
          </cell>
          <cell r="AO952">
            <v>0</v>
          </cell>
          <cell r="AP952" t="str">
            <v>-</v>
          </cell>
          <cell r="AQ952" t="str">
            <v>-</v>
          </cell>
          <cell r="AR952" t="str">
            <v>REGULER</v>
          </cell>
          <cell r="AS952" t="str">
            <v>-</v>
          </cell>
          <cell r="AT952" t="str">
            <v>-</v>
          </cell>
          <cell r="AU952" t="str">
            <v>-</v>
          </cell>
          <cell r="AV952" t="str">
            <v/>
          </cell>
          <cell r="AW952">
            <v>21</v>
          </cell>
          <cell r="AX952">
            <v>1</v>
          </cell>
          <cell r="AY952">
            <v>0</v>
          </cell>
          <cell r="AZ952">
            <v>0</v>
          </cell>
          <cell r="BA952">
            <v>0</v>
          </cell>
          <cell r="BB952">
            <v>21</v>
          </cell>
          <cell r="BC952">
            <v>1</v>
          </cell>
          <cell r="BD952">
            <v>0</v>
          </cell>
          <cell r="BE952">
            <v>0</v>
          </cell>
          <cell r="BF952">
            <v>0</v>
          </cell>
          <cell r="BG952">
            <v>17</v>
          </cell>
          <cell r="BH952">
            <v>21</v>
          </cell>
          <cell r="BI952">
            <v>1</v>
          </cell>
          <cell r="BJ952">
            <v>0</v>
          </cell>
          <cell r="BK952">
            <v>0</v>
          </cell>
          <cell r="BL952">
            <v>0</v>
          </cell>
          <cell r="BM952" t="str">
            <v/>
          </cell>
          <cell r="BN952">
            <v>39</v>
          </cell>
          <cell r="BO952">
            <v>17</v>
          </cell>
          <cell r="BP952">
            <v>21</v>
          </cell>
          <cell r="BQ952">
            <v>1</v>
          </cell>
          <cell r="BR952">
            <v>0</v>
          </cell>
          <cell r="BS952">
            <v>0</v>
          </cell>
          <cell r="BT952">
            <v>0</v>
          </cell>
          <cell r="BU952" t="str">
            <v/>
          </cell>
          <cell r="BV952">
            <v>39</v>
          </cell>
          <cell r="BW952">
            <v>4</v>
          </cell>
          <cell r="BX952" t="str">
            <v>DOWNGRADE</v>
          </cell>
          <cell r="BY952" t="str">
            <v>RESET</v>
          </cell>
        </row>
        <row r="953">
          <cell r="A953" t="str">
            <v>A1362</v>
          </cell>
          <cell r="B953" t="str">
            <v>Natalia Simamora</v>
          </cell>
          <cell r="C953" t="str">
            <v>TEMA C2</v>
          </cell>
          <cell r="D953">
            <v>44972</v>
          </cell>
          <cell r="E953" t="str">
            <v>Feb-23</v>
          </cell>
          <cell r="F953" t="str">
            <v>EKSKLUSIF</v>
          </cell>
          <cell r="G953" t="str">
            <v>EKSKLUSIF</v>
          </cell>
          <cell r="H953" t="str">
            <v>EKSKLUSIF</v>
          </cell>
          <cell r="I953" t="str">
            <v>EKSKLUSIF</v>
          </cell>
          <cell r="J953" t="str">
            <v>REGULER</v>
          </cell>
          <cell r="K953" t="str">
            <v>EKSKLUSIF</v>
          </cell>
          <cell r="L953" t="str">
            <v>EKSKLUSIF</v>
          </cell>
          <cell r="M953">
            <v>21</v>
          </cell>
          <cell r="N953">
            <v>47</v>
          </cell>
          <cell r="O953">
            <v>40</v>
          </cell>
          <cell r="P953">
            <v>43</v>
          </cell>
          <cell r="Q953">
            <v>37</v>
          </cell>
          <cell r="R953">
            <v>44</v>
          </cell>
          <cell r="S953">
            <v>22</v>
          </cell>
          <cell r="T953">
            <v>254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37</v>
          </cell>
          <cell r="Z953">
            <v>0</v>
          </cell>
          <cell r="AA953">
            <v>0</v>
          </cell>
          <cell r="AB953">
            <v>37</v>
          </cell>
          <cell r="AC953">
            <v>0</v>
          </cell>
          <cell r="AD953" t="str">
            <v>TIDAK</v>
          </cell>
          <cell r="AE953" t="str">
            <v>TIDAK</v>
          </cell>
          <cell r="AF953">
            <v>37</v>
          </cell>
          <cell r="AG953">
            <v>3</v>
          </cell>
          <cell r="AH953" t="str">
            <v>SAPHIRE</v>
          </cell>
          <cell r="AI953">
            <v>0</v>
          </cell>
          <cell r="AJ953" t="str">
            <v>FALSE</v>
          </cell>
          <cell r="AK953">
            <v>0</v>
          </cell>
          <cell r="AL953">
            <v>45261</v>
          </cell>
          <cell r="AM953">
            <v>45701</v>
          </cell>
          <cell r="AN953">
            <v>1</v>
          </cell>
          <cell r="AO953">
            <v>37</v>
          </cell>
          <cell r="AP953" t="str">
            <v>EKSKLUSIF</v>
          </cell>
          <cell r="AQ953" t="str">
            <v>-</v>
          </cell>
          <cell r="AR953" t="str">
            <v>EKSKLUSIF</v>
          </cell>
          <cell r="AS953" t="str">
            <v>EKSKLUSIF</v>
          </cell>
          <cell r="AT953" t="str">
            <v>EKSKLUSIF</v>
          </cell>
          <cell r="AU953" t="str">
            <v>REGULER</v>
          </cell>
          <cell r="AV953" t="str">
            <v/>
          </cell>
          <cell r="AW953">
            <v>48</v>
          </cell>
          <cell r="AX953">
            <v>48</v>
          </cell>
          <cell r="AY953">
            <v>43</v>
          </cell>
          <cell r="AZ953">
            <v>48</v>
          </cell>
          <cell r="BA953">
            <v>41</v>
          </cell>
          <cell r="BB953">
            <v>48</v>
          </cell>
          <cell r="BC953">
            <v>48</v>
          </cell>
          <cell r="BD953">
            <v>43</v>
          </cell>
          <cell r="BE953">
            <v>48</v>
          </cell>
          <cell r="BF953">
            <v>41</v>
          </cell>
          <cell r="BG953">
            <v>20</v>
          </cell>
          <cell r="BH953">
            <v>48</v>
          </cell>
          <cell r="BI953">
            <v>48</v>
          </cell>
          <cell r="BJ953">
            <v>43</v>
          </cell>
          <cell r="BK953">
            <v>48</v>
          </cell>
          <cell r="BL953">
            <v>41</v>
          </cell>
          <cell r="BM953">
            <v>19</v>
          </cell>
          <cell r="BN953">
            <v>267</v>
          </cell>
          <cell r="BO953">
            <v>0</v>
          </cell>
          <cell r="BP953">
            <v>48</v>
          </cell>
          <cell r="BQ953">
            <v>0</v>
          </cell>
          <cell r="BR953">
            <v>0</v>
          </cell>
          <cell r="BS953">
            <v>0</v>
          </cell>
          <cell r="BT953">
            <v>41</v>
          </cell>
          <cell r="BU953">
            <v>19</v>
          </cell>
          <cell r="BV953">
            <v>108</v>
          </cell>
          <cell r="BW953">
            <v>0</v>
          </cell>
          <cell r="BX953" t="str">
            <v>TIDAK</v>
          </cell>
          <cell r="BY953" t="str">
            <v>TIDAK</v>
          </cell>
        </row>
        <row r="954">
          <cell r="A954" t="str">
            <v>A3634</v>
          </cell>
          <cell r="B954" t="str">
            <v>Natanael Hutagalung</v>
          </cell>
          <cell r="C954" t="str">
            <v>TEMA C2</v>
          </cell>
          <cell r="D954">
            <v>45313</v>
          </cell>
          <cell r="E954" t="str">
            <v>Jan-24</v>
          </cell>
          <cell r="F954" t="str">
            <v>-</v>
          </cell>
          <cell r="G954" t="str">
            <v>REGULER</v>
          </cell>
          <cell r="H954" t="str">
            <v>REGULER</v>
          </cell>
          <cell r="I954" t="str">
            <v>REGULER</v>
          </cell>
          <cell r="J954" t="str">
            <v>REGULER</v>
          </cell>
          <cell r="K954" t="str">
            <v>REGULER</v>
          </cell>
          <cell r="L954" t="str">
            <v>REGULER</v>
          </cell>
          <cell r="M954">
            <v>0</v>
          </cell>
          <cell r="N954">
            <v>5</v>
          </cell>
          <cell r="O954">
            <v>12</v>
          </cell>
          <cell r="P954">
            <v>15</v>
          </cell>
          <cell r="Q954">
            <v>13</v>
          </cell>
          <cell r="R954">
            <v>31</v>
          </cell>
          <cell r="S954">
            <v>13</v>
          </cell>
          <cell r="T954">
            <v>89</v>
          </cell>
          <cell r="U954">
            <v>0</v>
          </cell>
          <cell r="V954">
            <v>5</v>
          </cell>
          <cell r="W954">
            <v>12</v>
          </cell>
          <cell r="X954">
            <v>15</v>
          </cell>
          <cell r="Y954">
            <v>13</v>
          </cell>
          <cell r="Z954">
            <v>31</v>
          </cell>
          <cell r="AA954">
            <v>13</v>
          </cell>
          <cell r="AB954">
            <v>89</v>
          </cell>
          <cell r="AC954">
            <v>0</v>
          </cell>
          <cell r="AD954" t="str">
            <v>TIDAK</v>
          </cell>
          <cell r="AE954" t="str">
            <v>TIDAK</v>
          </cell>
          <cell r="AF954">
            <v>89</v>
          </cell>
          <cell r="AG954">
            <v>1</v>
          </cell>
          <cell r="AH954" t="str">
            <v>SAPHIRE</v>
          </cell>
          <cell r="AI954">
            <v>0</v>
          </cell>
          <cell r="AJ954" t="str">
            <v>Y</v>
          </cell>
          <cell r="AK954">
            <v>0</v>
          </cell>
          <cell r="AL954">
            <v>45261</v>
          </cell>
          <cell r="AM954">
            <v>45701</v>
          </cell>
          <cell r="AN954">
            <v>1</v>
          </cell>
          <cell r="AO954">
            <v>89</v>
          </cell>
          <cell r="AP954" t="str">
            <v>-</v>
          </cell>
          <cell r="AQ954" t="str">
            <v>-</v>
          </cell>
          <cell r="AR954" t="str">
            <v>REGULER</v>
          </cell>
          <cell r="AS954" t="str">
            <v>REGULER</v>
          </cell>
          <cell r="AT954" t="str">
            <v>REGULER</v>
          </cell>
          <cell r="AU954" t="str">
            <v>REGULER</v>
          </cell>
          <cell r="AV954" t="str">
            <v/>
          </cell>
          <cell r="AW954">
            <v>3</v>
          </cell>
          <cell r="AX954">
            <v>11</v>
          </cell>
          <cell r="AY954">
            <v>24</v>
          </cell>
          <cell r="AZ954">
            <v>5</v>
          </cell>
          <cell r="BA954">
            <v>11</v>
          </cell>
          <cell r="BB954">
            <v>3</v>
          </cell>
          <cell r="BC954">
            <v>11</v>
          </cell>
          <cell r="BD954">
            <v>24</v>
          </cell>
          <cell r="BE954">
            <v>5</v>
          </cell>
          <cell r="BF954">
            <v>11</v>
          </cell>
          <cell r="BG954">
            <v>5</v>
          </cell>
          <cell r="BH954">
            <v>3</v>
          </cell>
          <cell r="BI954">
            <v>11</v>
          </cell>
          <cell r="BJ954">
            <v>24</v>
          </cell>
          <cell r="BK954">
            <v>5</v>
          </cell>
          <cell r="BL954">
            <v>11</v>
          </cell>
          <cell r="BM954" t="str">
            <v/>
          </cell>
          <cell r="BN954">
            <v>59</v>
          </cell>
          <cell r="BO954">
            <v>5</v>
          </cell>
          <cell r="BP954">
            <v>3</v>
          </cell>
          <cell r="BQ954">
            <v>11</v>
          </cell>
          <cell r="BR954">
            <v>24</v>
          </cell>
          <cell r="BS954">
            <v>5</v>
          </cell>
          <cell r="BT954">
            <v>11</v>
          </cell>
          <cell r="BU954" t="str">
            <v/>
          </cell>
          <cell r="BV954">
            <v>59</v>
          </cell>
          <cell r="BW954">
            <v>1</v>
          </cell>
          <cell r="BX954" t="str">
            <v>TIDAK</v>
          </cell>
          <cell r="BY954" t="str">
            <v>TIDAK</v>
          </cell>
        </row>
        <row r="955">
          <cell r="A955" t="str">
            <v>A0485</v>
          </cell>
          <cell r="B955" t="str">
            <v>Natania Syafiqur Rahma</v>
          </cell>
          <cell r="C955" t="str">
            <v>TEMA C2</v>
          </cell>
          <cell r="D955">
            <v>44855</v>
          </cell>
          <cell r="E955" t="str">
            <v>Oct-22</v>
          </cell>
          <cell r="F955" t="str">
            <v>REGULER</v>
          </cell>
          <cell r="G955" t="str">
            <v>REGULER</v>
          </cell>
          <cell r="H955" t="str">
            <v>REGULER</v>
          </cell>
          <cell r="I955" t="str">
            <v>REGULER</v>
          </cell>
          <cell r="J955" t="str">
            <v>-</v>
          </cell>
          <cell r="K955" t="str">
            <v>-</v>
          </cell>
          <cell r="L955" t="str">
            <v>-</v>
          </cell>
          <cell r="M955">
            <v>11</v>
          </cell>
          <cell r="N955">
            <v>14</v>
          </cell>
          <cell r="O955">
            <v>12</v>
          </cell>
          <cell r="P955">
            <v>11</v>
          </cell>
          <cell r="Q955">
            <v>0</v>
          </cell>
          <cell r="R955">
            <v>0</v>
          </cell>
          <cell r="S955" t="str">
            <v/>
          </cell>
          <cell r="T955">
            <v>48</v>
          </cell>
          <cell r="U955">
            <v>11</v>
          </cell>
          <cell r="V955">
            <v>14</v>
          </cell>
          <cell r="W955">
            <v>12</v>
          </cell>
          <cell r="X955">
            <v>11</v>
          </cell>
          <cell r="Y955">
            <v>0</v>
          </cell>
          <cell r="Z955">
            <v>0</v>
          </cell>
          <cell r="AA955" t="str">
            <v/>
          </cell>
          <cell r="AB955">
            <v>48</v>
          </cell>
          <cell r="AC955">
            <v>3</v>
          </cell>
          <cell r="AD955" t="str">
            <v>DOWNGRADE</v>
          </cell>
          <cell r="AE955" t="str">
            <v>RESET</v>
          </cell>
          <cell r="AF955">
            <v>0</v>
          </cell>
          <cell r="AG955">
            <v>2</v>
          </cell>
          <cell r="AH955" t="str">
            <v>SAPHIRE</v>
          </cell>
          <cell r="AI955">
            <v>0</v>
          </cell>
          <cell r="AJ955" t="str">
            <v>FALSE</v>
          </cell>
          <cell r="AK955">
            <v>0</v>
          </cell>
          <cell r="AL955">
            <v>45261</v>
          </cell>
          <cell r="AM955">
            <v>45701</v>
          </cell>
          <cell r="AN955">
            <v>1</v>
          </cell>
          <cell r="AO955">
            <v>0</v>
          </cell>
          <cell r="AP955" t="str">
            <v>-</v>
          </cell>
          <cell r="AQ955" t="str">
            <v>-</v>
          </cell>
          <cell r="AR955" t="str">
            <v>-</v>
          </cell>
          <cell r="AS955" t="str">
            <v>-</v>
          </cell>
          <cell r="AT955" t="str">
            <v>-</v>
          </cell>
          <cell r="AU955" t="str">
            <v>-</v>
          </cell>
          <cell r="AV955" t="str">
            <v/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 t="str">
            <v/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 t="str">
            <v/>
          </cell>
          <cell r="BN955">
            <v>0</v>
          </cell>
          <cell r="BO955" t="str">
            <v/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 t="str">
            <v/>
          </cell>
          <cell r="BV955">
            <v>0</v>
          </cell>
          <cell r="BW955">
            <v>7</v>
          </cell>
          <cell r="BX955" t="str">
            <v>DOWNGRADE</v>
          </cell>
          <cell r="BY955" t="str">
            <v>RESET</v>
          </cell>
        </row>
        <row r="956">
          <cell r="A956" t="str">
            <v>A0862</v>
          </cell>
          <cell r="B956" t="str">
            <v>Navishtia Sabrina Rahmatin</v>
          </cell>
          <cell r="C956" t="str">
            <v>TEMA C2</v>
          </cell>
          <cell r="D956">
            <v>44918</v>
          </cell>
          <cell r="E956" t="str">
            <v>Dec-22</v>
          </cell>
          <cell r="F956" t="str">
            <v>REGULER</v>
          </cell>
          <cell r="G956" t="str">
            <v>REGULER</v>
          </cell>
          <cell r="H956" t="str">
            <v>REGULER</v>
          </cell>
          <cell r="I956" t="str">
            <v>REGULER</v>
          </cell>
          <cell r="J956" t="str">
            <v>REGULER</v>
          </cell>
          <cell r="K956" t="str">
            <v>REGULER</v>
          </cell>
          <cell r="L956" t="str">
            <v>REGULER</v>
          </cell>
          <cell r="M956">
            <v>14</v>
          </cell>
          <cell r="N956">
            <v>37</v>
          </cell>
          <cell r="O956">
            <v>28</v>
          </cell>
          <cell r="P956">
            <v>32</v>
          </cell>
          <cell r="Q956">
            <v>25</v>
          </cell>
          <cell r="R956">
            <v>31</v>
          </cell>
          <cell r="S956">
            <v>6</v>
          </cell>
          <cell r="T956">
            <v>173</v>
          </cell>
          <cell r="U956">
            <v>14</v>
          </cell>
          <cell r="V956">
            <v>37</v>
          </cell>
          <cell r="W956">
            <v>28</v>
          </cell>
          <cell r="X956">
            <v>32</v>
          </cell>
          <cell r="Y956">
            <v>25</v>
          </cell>
          <cell r="Z956">
            <v>31</v>
          </cell>
          <cell r="AA956">
            <v>6</v>
          </cell>
          <cell r="AB956">
            <v>173</v>
          </cell>
          <cell r="AC956">
            <v>0</v>
          </cell>
          <cell r="AD956" t="str">
            <v>TIDAK</v>
          </cell>
          <cell r="AE956" t="str">
            <v>TIDAK</v>
          </cell>
          <cell r="AF956">
            <v>173</v>
          </cell>
          <cell r="AG956">
            <v>1</v>
          </cell>
          <cell r="AH956" t="str">
            <v>SAPHIRE</v>
          </cell>
          <cell r="AI956">
            <v>0</v>
          </cell>
          <cell r="AJ956" t="str">
            <v>Y</v>
          </cell>
          <cell r="AK956">
            <v>0</v>
          </cell>
          <cell r="AL956">
            <v>45261</v>
          </cell>
          <cell r="AM956">
            <v>45701</v>
          </cell>
          <cell r="AN956">
            <v>1</v>
          </cell>
          <cell r="AO956">
            <v>173</v>
          </cell>
          <cell r="AP956" t="str">
            <v>-</v>
          </cell>
          <cell r="AQ956" t="str">
            <v>-</v>
          </cell>
          <cell r="AR956" t="str">
            <v>-</v>
          </cell>
          <cell r="AS956" t="str">
            <v>-</v>
          </cell>
          <cell r="AT956" t="str">
            <v>-</v>
          </cell>
          <cell r="AU956" t="str">
            <v>-</v>
          </cell>
          <cell r="AV956" t="str">
            <v/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1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 t="str">
            <v/>
          </cell>
          <cell r="BN956">
            <v>1</v>
          </cell>
          <cell r="BO956">
            <v>1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 t="str">
            <v/>
          </cell>
          <cell r="BV956">
            <v>1</v>
          </cell>
          <cell r="BW956">
            <v>6</v>
          </cell>
          <cell r="BX956" t="str">
            <v>DOWNGRADE</v>
          </cell>
          <cell r="BY956" t="str">
            <v>RESET</v>
          </cell>
        </row>
        <row r="957">
          <cell r="A957" t="str">
            <v>A2628</v>
          </cell>
          <cell r="B957" t="str">
            <v>Neilla Royhatul Jannah</v>
          </cell>
          <cell r="C957" t="str">
            <v>TEMA C2</v>
          </cell>
          <cell r="D957">
            <v>45115</v>
          </cell>
          <cell r="E957" t="str">
            <v>Jul-23</v>
          </cell>
          <cell r="F957" t="str">
            <v>REGULER</v>
          </cell>
          <cell r="G957" t="str">
            <v>EKSKLUSIF</v>
          </cell>
          <cell r="H957" t="str">
            <v>EKSKLUSIF</v>
          </cell>
          <cell r="I957" t="str">
            <v>EKSKLUSIF</v>
          </cell>
          <cell r="J957" t="str">
            <v>REGULER</v>
          </cell>
          <cell r="K957" t="str">
            <v>-</v>
          </cell>
          <cell r="L957" t="str">
            <v>-</v>
          </cell>
          <cell r="M957">
            <v>18</v>
          </cell>
          <cell r="N957">
            <v>45</v>
          </cell>
          <cell r="O957">
            <v>40</v>
          </cell>
          <cell r="P957">
            <v>42</v>
          </cell>
          <cell r="Q957">
            <v>7</v>
          </cell>
          <cell r="R957">
            <v>0</v>
          </cell>
          <cell r="S957" t="str">
            <v/>
          </cell>
          <cell r="T957">
            <v>152</v>
          </cell>
          <cell r="U957">
            <v>18</v>
          </cell>
          <cell r="V957">
            <v>0</v>
          </cell>
          <cell r="W957">
            <v>0</v>
          </cell>
          <cell r="X957">
            <v>0</v>
          </cell>
          <cell r="Y957">
            <v>7</v>
          </cell>
          <cell r="Z957">
            <v>0</v>
          </cell>
          <cell r="AA957" t="str">
            <v/>
          </cell>
          <cell r="AB957">
            <v>25</v>
          </cell>
          <cell r="AC957">
            <v>2</v>
          </cell>
          <cell r="AD957" t="str">
            <v>TIDAK</v>
          </cell>
          <cell r="AE957" t="str">
            <v>TIDAK</v>
          </cell>
          <cell r="AF957">
            <v>25</v>
          </cell>
          <cell r="AG957">
            <v>1</v>
          </cell>
          <cell r="AH957" t="str">
            <v>SAPHIRE</v>
          </cell>
          <cell r="AI957">
            <v>0</v>
          </cell>
          <cell r="AJ957" t="str">
            <v>FALSE</v>
          </cell>
          <cell r="AK957">
            <v>0</v>
          </cell>
          <cell r="AL957">
            <v>45261</v>
          </cell>
          <cell r="AM957">
            <v>45701</v>
          </cell>
          <cell r="AN957">
            <v>1</v>
          </cell>
          <cell r="AO957">
            <v>25</v>
          </cell>
          <cell r="AP957" t="str">
            <v>-</v>
          </cell>
          <cell r="AQ957" t="str">
            <v>-</v>
          </cell>
          <cell r="AR957" t="str">
            <v>-</v>
          </cell>
          <cell r="AS957" t="str">
            <v>-</v>
          </cell>
          <cell r="AT957" t="str">
            <v>-</v>
          </cell>
          <cell r="AU957" t="str">
            <v>-</v>
          </cell>
          <cell r="AV957" t="str">
            <v/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 t="str">
            <v/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 t="str">
            <v/>
          </cell>
          <cell r="BN957">
            <v>0</v>
          </cell>
          <cell r="BO957" t="str">
            <v/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T957">
            <v>0</v>
          </cell>
          <cell r="BU957" t="str">
            <v/>
          </cell>
          <cell r="BV957">
            <v>0</v>
          </cell>
          <cell r="BW957">
            <v>7</v>
          </cell>
          <cell r="BX957" t="str">
            <v>DOWNGRADE</v>
          </cell>
          <cell r="BY957" t="str">
            <v>RESET</v>
          </cell>
        </row>
        <row r="958">
          <cell r="A958" t="str">
            <v>A2901</v>
          </cell>
          <cell r="B958" t="str">
            <v>Nelly Anjani Br Sembiring</v>
          </cell>
          <cell r="C958" t="str">
            <v>TEMA C2</v>
          </cell>
          <cell r="D958">
            <v>45175</v>
          </cell>
          <cell r="E958" t="str">
            <v>Sep-23</v>
          </cell>
          <cell r="F958" t="str">
            <v>REGULER</v>
          </cell>
          <cell r="G958" t="str">
            <v>EKSKLUSIF</v>
          </cell>
          <cell r="H958" t="str">
            <v>EKSKLUSIF</v>
          </cell>
          <cell r="I958" t="str">
            <v>EKSKLUSIF</v>
          </cell>
          <cell r="J958" t="str">
            <v>EKSKLUSIF</v>
          </cell>
          <cell r="K958" t="str">
            <v>EKSKLUSIF</v>
          </cell>
          <cell r="L958" t="str">
            <v>EKSKLUSIF</v>
          </cell>
          <cell r="M958">
            <v>20</v>
          </cell>
          <cell r="N958">
            <v>46</v>
          </cell>
          <cell r="O958">
            <v>40</v>
          </cell>
          <cell r="P958">
            <v>41</v>
          </cell>
          <cell r="Q958">
            <v>36</v>
          </cell>
          <cell r="R958">
            <v>42</v>
          </cell>
          <cell r="S958">
            <v>20</v>
          </cell>
          <cell r="T958">
            <v>245</v>
          </cell>
          <cell r="U958">
            <v>20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20</v>
          </cell>
          <cell r="AC958">
            <v>0</v>
          </cell>
          <cell r="AD958" t="str">
            <v>TIDAK</v>
          </cell>
          <cell r="AE958" t="str">
            <v>TIDAK</v>
          </cell>
          <cell r="AF958">
            <v>20</v>
          </cell>
          <cell r="AG958">
            <v>2</v>
          </cell>
          <cell r="AH958" t="str">
            <v>SAPHIRE</v>
          </cell>
          <cell r="AI958">
            <v>0</v>
          </cell>
          <cell r="AJ958" t="str">
            <v>FALSE</v>
          </cell>
          <cell r="AK958">
            <v>0</v>
          </cell>
          <cell r="AL958">
            <v>45261</v>
          </cell>
          <cell r="AM958">
            <v>45701</v>
          </cell>
          <cell r="AN958">
            <v>1</v>
          </cell>
          <cell r="AO958">
            <v>20</v>
          </cell>
          <cell r="AP958" t="str">
            <v>EKSKLUSIF</v>
          </cell>
          <cell r="AQ958" t="str">
            <v>-</v>
          </cell>
          <cell r="AR958" t="str">
            <v>EKSKLUSIF</v>
          </cell>
          <cell r="AS958" t="str">
            <v>EKSKLUSIF</v>
          </cell>
          <cell r="AT958" t="str">
            <v>EKSKLUSIF</v>
          </cell>
          <cell r="AU958" t="str">
            <v>REGULER</v>
          </cell>
          <cell r="AV958" t="str">
            <v/>
          </cell>
          <cell r="AW958">
            <v>34</v>
          </cell>
          <cell r="AX958">
            <v>45</v>
          </cell>
          <cell r="AY958">
            <v>26</v>
          </cell>
          <cell r="AZ958">
            <v>46</v>
          </cell>
          <cell r="BA958">
            <v>23</v>
          </cell>
          <cell r="BB958">
            <v>34</v>
          </cell>
          <cell r="BC958">
            <v>45</v>
          </cell>
          <cell r="BD958">
            <v>26</v>
          </cell>
          <cell r="BE958">
            <v>46</v>
          </cell>
          <cell r="BF958">
            <v>23</v>
          </cell>
          <cell r="BG958">
            <v>18</v>
          </cell>
          <cell r="BH958">
            <v>34</v>
          </cell>
          <cell r="BI958">
            <v>45</v>
          </cell>
          <cell r="BJ958">
            <v>26</v>
          </cell>
          <cell r="BK958">
            <v>46</v>
          </cell>
          <cell r="BL958">
            <v>23</v>
          </cell>
          <cell r="BM958">
            <v>6</v>
          </cell>
          <cell r="BN958">
            <v>198</v>
          </cell>
          <cell r="BO958">
            <v>0</v>
          </cell>
          <cell r="BP958">
            <v>34</v>
          </cell>
          <cell r="BQ958">
            <v>0</v>
          </cell>
          <cell r="BR958">
            <v>0</v>
          </cell>
          <cell r="BS958">
            <v>0</v>
          </cell>
          <cell r="BT958">
            <v>23</v>
          </cell>
          <cell r="BU958">
            <v>6</v>
          </cell>
          <cell r="BV958">
            <v>63</v>
          </cell>
          <cell r="BW958">
            <v>0</v>
          </cell>
          <cell r="BX958" t="str">
            <v>TIDAK</v>
          </cell>
          <cell r="BY958" t="str">
            <v>TIDAK</v>
          </cell>
        </row>
        <row r="959">
          <cell r="A959" t="str">
            <v>A3340</v>
          </cell>
          <cell r="B959" t="str">
            <v>Neni Sundari</v>
          </cell>
          <cell r="C959" t="str">
            <v>TEMA C2</v>
          </cell>
          <cell r="D959">
            <v>45251</v>
          </cell>
          <cell r="E959" t="str">
            <v>Nov-23</v>
          </cell>
          <cell r="F959" t="str">
            <v>REGULER</v>
          </cell>
          <cell r="G959" t="str">
            <v>REGULER</v>
          </cell>
          <cell r="H959" t="str">
            <v>REGULER</v>
          </cell>
          <cell r="I959" t="str">
            <v>REGULER</v>
          </cell>
          <cell r="J959" t="str">
            <v>REGULER</v>
          </cell>
          <cell r="K959" t="str">
            <v>REGULER</v>
          </cell>
          <cell r="L959" t="str">
            <v>REGULER</v>
          </cell>
          <cell r="M959">
            <v>10</v>
          </cell>
          <cell r="N959">
            <v>40</v>
          </cell>
          <cell r="O959">
            <v>34</v>
          </cell>
          <cell r="P959">
            <v>33</v>
          </cell>
          <cell r="Q959">
            <v>26</v>
          </cell>
          <cell r="R959">
            <v>23</v>
          </cell>
          <cell r="S959">
            <v>3</v>
          </cell>
          <cell r="T959">
            <v>169</v>
          </cell>
          <cell r="U959">
            <v>10</v>
          </cell>
          <cell r="V959">
            <v>40</v>
          </cell>
          <cell r="W959">
            <v>34</v>
          </cell>
          <cell r="X959">
            <v>33</v>
          </cell>
          <cell r="Y959">
            <v>26</v>
          </cell>
          <cell r="Z959">
            <v>23</v>
          </cell>
          <cell r="AA959">
            <v>3</v>
          </cell>
          <cell r="AB959">
            <v>169</v>
          </cell>
          <cell r="AC959">
            <v>0</v>
          </cell>
          <cell r="AD959" t="str">
            <v>TIDAK</v>
          </cell>
          <cell r="AE959" t="str">
            <v>TIDAK</v>
          </cell>
          <cell r="AF959">
            <v>169</v>
          </cell>
          <cell r="AG959">
            <v>2</v>
          </cell>
          <cell r="AH959" t="str">
            <v>SAPHIRE</v>
          </cell>
          <cell r="AI959">
            <v>0</v>
          </cell>
          <cell r="AJ959" t="str">
            <v>Y</v>
          </cell>
          <cell r="AK959">
            <v>0</v>
          </cell>
          <cell r="AL959">
            <v>45261</v>
          </cell>
          <cell r="AM959">
            <v>45701</v>
          </cell>
          <cell r="AN959">
            <v>1</v>
          </cell>
          <cell r="AO959">
            <v>169</v>
          </cell>
          <cell r="AP959" t="str">
            <v>-</v>
          </cell>
          <cell r="AQ959" t="str">
            <v>-</v>
          </cell>
          <cell r="AR959" t="str">
            <v>REGULER</v>
          </cell>
          <cell r="AS959" t="str">
            <v>REGULER</v>
          </cell>
          <cell r="AT959" t="str">
            <v>-</v>
          </cell>
          <cell r="AU959" t="str">
            <v>-</v>
          </cell>
          <cell r="AV959" t="str">
            <v/>
          </cell>
          <cell r="AW959">
            <v>27</v>
          </cell>
          <cell r="AX959">
            <v>12</v>
          </cell>
          <cell r="AY959">
            <v>16</v>
          </cell>
          <cell r="AZ959">
            <v>0</v>
          </cell>
          <cell r="BA959">
            <v>0</v>
          </cell>
          <cell r="BB959">
            <v>27</v>
          </cell>
          <cell r="BC959">
            <v>12</v>
          </cell>
          <cell r="BD959">
            <v>16</v>
          </cell>
          <cell r="BE959">
            <v>0</v>
          </cell>
          <cell r="BF959">
            <v>0</v>
          </cell>
          <cell r="BG959">
            <v>2</v>
          </cell>
          <cell r="BH959">
            <v>27</v>
          </cell>
          <cell r="BI959">
            <v>12</v>
          </cell>
          <cell r="BJ959">
            <v>16</v>
          </cell>
          <cell r="BK959">
            <v>0</v>
          </cell>
          <cell r="BL959">
            <v>0</v>
          </cell>
          <cell r="BM959" t="str">
            <v/>
          </cell>
          <cell r="BN959">
            <v>57</v>
          </cell>
          <cell r="BO959">
            <v>2</v>
          </cell>
          <cell r="BP959">
            <v>27</v>
          </cell>
          <cell r="BQ959">
            <v>12</v>
          </cell>
          <cell r="BR959">
            <v>16</v>
          </cell>
          <cell r="BS959">
            <v>0</v>
          </cell>
          <cell r="BT959">
            <v>0</v>
          </cell>
          <cell r="BU959" t="str">
            <v/>
          </cell>
          <cell r="BV959">
            <v>57</v>
          </cell>
          <cell r="BW959">
            <v>3</v>
          </cell>
          <cell r="BX959" t="str">
            <v>DOWNGRADE</v>
          </cell>
          <cell r="BY959" t="str">
            <v>RESET</v>
          </cell>
        </row>
        <row r="960">
          <cell r="A960" t="str">
            <v>A2314</v>
          </cell>
          <cell r="B960" t="str">
            <v xml:space="preserve">Nida Asma Wafiqoh </v>
          </cell>
          <cell r="C960" t="str">
            <v>TEMA C2</v>
          </cell>
          <cell r="D960">
            <v>45051</v>
          </cell>
          <cell r="E960" t="str">
            <v>May-23</v>
          </cell>
          <cell r="F960" t="str">
            <v>REGULER</v>
          </cell>
          <cell r="G960" t="str">
            <v>REGULER</v>
          </cell>
          <cell r="H960" t="str">
            <v>REGULER</v>
          </cell>
          <cell r="I960" t="str">
            <v>REGULER</v>
          </cell>
          <cell r="J960" t="str">
            <v>-</v>
          </cell>
          <cell r="K960" t="str">
            <v>-</v>
          </cell>
          <cell r="L960" t="str">
            <v>-</v>
          </cell>
          <cell r="M960">
            <v>16</v>
          </cell>
          <cell r="N960">
            <v>28</v>
          </cell>
          <cell r="O960">
            <v>14</v>
          </cell>
          <cell r="P960">
            <v>10</v>
          </cell>
          <cell r="Q960">
            <v>0</v>
          </cell>
          <cell r="R960">
            <v>0</v>
          </cell>
          <cell r="S960" t="str">
            <v/>
          </cell>
          <cell r="T960">
            <v>68</v>
          </cell>
          <cell r="U960">
            <v>16</v>
          </cell>
          <cell r="V960">
            <v>28</v>
          </cell>
          <cell r="W960">
            <v>14</v>
          </cell>
          <cell r="X960">
            <v>10</v>
          </cell>
          <cell r="Y960">
            <v>0</v>
          </cell>
          <cell r="Z960">
            <v>0</v>
          </cell>
          <cell r="AA960" t="str">
            <v/>
          </cell>
          <cell r="AB960">
            <v>68</v>
          </cell>
          <cell r="AC960">
            <v>3</v>
          </cell>
          <cell r="AD960" t="str">
            <v>DOWNGRADE</v>
          </cell>
          <cell r="AE960" t="str">
            <v>RESET</v>
          </cell>
          <cell r="AF960">
            <v>0</v>
          </cell>
          <cell r="AG960">
            <v>2</v>
          </cell>
          <cell r="AH960" t="str">
            <v>SAPHIRE</v>
          </cell>
          <cell r="AI960">
            <v>0</v>
          </cell>
          <cell r="AJ960" t="str">
            <v>FALSE</v>
          </cell>
          <cell r="AK960">
            <v>0</v>
          </cell>
          <cell r="AL960">
            <v>45261</v>
          </cell>
          <cell r="AM960">
            <v>45701</v>
          </cell>
          <cell r="AN960">
            <v>1</v>
          </cell>
          <cell r="AO960">
            <v>0</v>
          </cell>
          <cell r="AP960" t="str">
            <v>-</v>
          </cell>
          <cell r="AQ960" t="str">
            <v>-</v>
          </cell>
          <cell r="AR960" t="str">
            <v>-</v>
          </cell>
          <cell r="AS960" t="str">
            <v>-</v>
          </cell>
          <cell r="AT960" t="str">
            <v>-</v>
          </cell>
          <cell r="AU960" t="str">
            <v>-</v>
          </cell>
          <cell r="AV960" t="str">
            <v/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 t="str">
            <v/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 t="str">
            <v/>
          </cell>
          <cell r="BN960">
            <v>0</v>
          </cell>
          <cell r="BO960" t="str">
            <v/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 t="str">
            <v/>
          </cell>
          <cell r="BV960">
            <v>0</v>
          </cell>
          <cell r="BW960">
            <v>7</v>
          </cell>
          <cell r="BX960" t="str">
            <v>DOWNGRADE</v>
          </cell>
          <cell r="BY960" t="str">
            <v>RESET</v>
          </cell>
        </row>
        <row r="961">
          <cell r="A961" t="str">
            <v>A1117</v>
          </cell>
          <cell r="B961" t="str">
            <v>Ninda Rizqi Safitri</v>
          </cell>
          <cell r="C961" t="str">
            <v>TEMA C2</v>
          </cell>
          <cell r="D961">
            <v>44943</v>
          </cell>
          <cell r="E961" t="str">
            <v>Jan-23</v>
          </cell>
          <cell r="F961" t="str">
            <v>REGULER</v>
          </cell>
          <cell r="G961" t="str">
            <v>REGULER</v>
          </cell>
          <cell r="H961" t="str">
            <v>REGULER</v>
          </cell>
          <cell r="I961" t="str">
            <v>REGULER</v>
          </cell>
          <cell r="J961" t="str">
            <v>REGULER</v>
          </cell>
          <cell r="K961" t="str">
            <v>REGULER</v>
          </cell>
          <cell r="L961" t="str">
            <v>REGULER</v>
          </cell>
          <cell r="M961">
            <v>19</v>
          </cell>
          <cell r="N961">
            <v>41</v>
          </cell>
          <cell r="O961">
            <v>32</v>
          </cell>
          <cell r="P961">
            <v>37</v>
          </cell>
          <cell r="Q961">
            <v>37</v>
          </cell>
          <cell r="R961">
            <v>35</v>
          </cell>
          <cell r="S961">
            <v>18</v>
          </cell>
          <cell r="T961">
            <v>219</v>
          </cell>
          <cell r="U961">
            <v>19</v>
          </cell>
          <cell r="V961">
            <v>41</v>
          </cell>
          <cell r="W961">
            <v>32</v>
          </cell>
          <cell r="X961">
            <v>37</v>
          </cell>
          <cell r="Y961">
            <v>37</v>
          </cell>
          <cell r="Z961">
            <v>35</v>
          </cell>
          <cell r="AA961">
            <v>18</v>
          </cell>
          <cell r="AB961">
            <v>219</v>
          </cell>
          <cell r="AC961">
            <v>0</v>
          </cell>
          <cell r="AD961" t="str">
            <v>TIDAK</v>
          </cell>
          <cell r="AE961" t="str">
            <v>TIDAK</v>
          </cell>
          <cell r="AF961">
            <v>219</v>
          </cell>
          <cell r="AG961">
            <v>3</v>
          </cell>
          <cell r="AH961" t="str">
            <v>SAPHIRE</v>
          </cell>
          <cell r="AI961">
            <v>135</v>
          </cell>
          <cell r="AJ961" t="str">
            <v>Y</v>
          </cell>
          <cell r="AK961">
            <v>0</v>
          </cell>
          <cell r="AL961">
            <v>45261</v>
          </cell>
          <cell r="AM961">
            <v>45701</v>
          </cell>
          <cell r="AN961">
            <v>1</v>
          </cell>
          <cell r="AO961">
            <v>84</v>
          </cell>
          <cell r="AP961" t="str">
            <v>-</v>
          </cell>
          <cell r="AQ961" t="str">
            <v>-</v>
          </cell>
          <cell r="AR961" t="str">
            <v>REGULER</v>
          </cell>
          <cell r="AS961" t="str">
            <v>REGULER</v>
          </cell>
          <cell r="AT961" t="str">
            <v>REGULER</v>
          </cell>
          <cell r="AU961" t="str">
            <v>REGULER</v>
          </cell>
          <cell r="AV961" t="str">
            <v/>
          </cell>
          <cell r="AW961">
            <v>41</v>
          </cell>
          <cell r="AX961">
            <v>35</v>
          </cell>
          <cell r="AY961">
            <v>26</v>
          </cell>
          <cell r="AZ961">
            <v>36</v>
          </cell>
          <cell r="BA961">
            <v>28</v>
          </cell>
          <cell r="BB961">
            <v>41</v>
          </cell>
          <cell r="BC961">
            <v>35</v>
          </cell>
          <cell r="BD961">
            <v>26</v>
          </cell>
          <cell r="BE961">
            <v>36</v>
          </cell>
          <cell r="BF961">
            <v>28</v>
          </cell>
          <cell r="BG961">
            <v>13</v>
          </cell>
          <cell r="BH961">
            <v>41</v>
          </cell>
          <cell r="BI961">
            <v>35</v>
          </cell>
          <cell r="BJ961">
            <v>26</v>
          </cell>
          <cell r="BK961">
            <v>36</v>
          </cell>
          <cell r="BL961">
            <v>28</v>
          </cell>
          <cell r="BM961">
            <v>10</v>
          </cell>
          <cell r="BN961">
            <v>189</v>
          </cell>
          <cell r="BO961">
            <v>13</v>
          </cell>
          <cell r="BP961">
            <v>41</v>
          </cell>
          <cell r="BQ961">
            <v>35</v>
          </cell>
          <cell r="BR961">
            <v>26</v>
          </cell>
          <cell r="BS961">
            <v>36</v>
          </cell>
          <cell r="BT961">
            <v>28</v>
          </cell>
          <cell r="BU961">
            <v>10</v>
          </cell>
          <cell r="BV961">
            <v>189</v>
          </cell>
          <cell r="BW961">
            <v>0</v>
          </cell>
          <cell r="BX961" t="str">
            <v>TIDAK</v>
          </cell>
          <cell r="BY961" t="str">
            <v>TIDAK</v>
          </cell>
        </row>
        <row r="962">
          <cell r="A962">
            <v>92628</v>
          </cell>
          <cell r="B962" t="str">
            <v>Nini Aulia Sari</v>
          </cell>
          <cell r="C962" t="str">
            <v>TEMA C2</v>
          </cell>
          <cell r="D962">
            <v>44767</v>
          </cell>
          <cell r="E962" t="str">
            <v>Jul-22</v>
          </cell>
          <cell r="F962" t="str">
            <v>REGULER</v>
          </cell>
          <cell r="G962" t="str">
            <v>REGULER</v>
          </cell>
          <cell r="H962" t="str">
            <v>REGULER</v>
          </cell>
          <cell r="I962" t="str">
            <v>REGULER</v>
          </cell>
          <cell r="J962" t="str">
            <v>REGULER</v>
          </cell>
          <cell r="K962" t="str">
            <v>REGULER</v>
          </cell>
          <cell r="L962" t="str">
            <v>REGULER</v>
          </cell>
          <cell r="M962">
            <v>15</v>
          </cell>
          <cell r="N962">
            <v>42</v>
          </cell>
          <cell r="O962">
            <v>37</v>
          </cell>
          <cell r="P962">
            <v>27</v>
          </cell>
          <cell r="Q962">
            <v>30</v>
          </cell>
          <cell r="R962">
            <v>35</v>
          </cell>
          <cell r="S962">
            <v>20</v>
          </cell>
          <cell r="T962">
            <v>206</v>
          </cell>
          <cell r="U962">
            <v>15</v>
          </cell>
          <cell r="V962">
            <v>42</v>
          </cell>
          <cell r="W962">
            <v>37</v>
          </cell>
          <cell r="X962">
            <v>27</v>
          </cell>
          <cell r="Y962">
            <v>30</v>
          </cell>
          <cell r="Z962">
            <v>35</v>
          </cell>
          <cell r="AA962">
            <v>20</v>
          </cell>
          <cell r="AB962">
            <v>206</v>
          </cell>
          <cell r="AC962">
            <v>0</v>
          </cell>
          <cell r="AD962" t="str">
            <v>TIDAK</v>
          </cell>
          <cell r="AE962" t="str">
            <v>TIDAK</v>
          </cell>
          <cell r="AF962">
            <v>206</v>
          </cell>
          <cell r="AG962">
            <v>3</v>
          </cell>
          <cell r="AH962" t="str">
            <v>SAPHIRE</v>
          </cell>
          <cell r="AI962">
            <v>0</v>
          </cell>
          <cell r="AJ962" t="str">
            <v>Y</v>
          </cell>
          <cell r="AK962">
            <v>0</v>
          </cell>
          <cell r="AL962">
            <v>45261</v>
          </cell>
          <cell r="AM962">
            <v>45701</v>
          </cell>
          <cell r="AN962">
            <v>1</v>
          </cell>
          <cell r="AO962">
            <v>206</v>
          </cell>
          <cell r="AP962" t="str">
            <v>-</v>
          </cell>
          <cell r="AQ962" t="str">
            <v>-</v>
          </cell>
          <cell r="AR962" t="str">
            <v>REGULER</v>
          </cell>
          <cell r="AS962" t="str">
            <v>EKSKLUSIF</v>
          </cell>
          <cell r="AT962" t="str">
            <v>EKSKLUSIF</v>
          </cell>
          <cell r="AU962" t="str">
            <v>EKSKLUSIF</v>
          </cell>
          <cell r="AV962" t="str">
            <v/>
          </cell>
          <cell r="AW962">
            <v>47</v>
          </cell>
          <cell r="AX962">
            <v>43</v>
          </cell>
          <cell r="AY962">
            <v>42</v>
          </cell>
          <cell r="AZ962">
            <v>49</v>
          </cell>
          <cell r="BA962">
            <v>39</v>
          </cell>
          <cell r="BB962">
            <v>47</v>
          </cell>
          <cell r="BC962">
            <v>43</v>
          </cell>
          <cell r="BD962">
            <v>42</v>
          </cell>
          <cell r="BE962">
            <v>49</v>
          </cell>
          <cell r="BF962">
            <v>39</v>
          </cell>
          <cell r="BG962">
            <v>17</v>
          </cell>
          <cell r="BH962">
            <v>47</v>
          </cell>
          <cell r="BI962">
            <v>43</v>
          </cell>
          <cell r="BJ962">
            <v>42</v>
          </cell>
          <cell r="BK962">
            <v>49</v>
          </cell>
          <cell r="BL962">
            <v>39</v>
          </cell>
          <cell r="BM962">
            <v>0</v>
          </cell>
          <cell r="BN962">
            <v>237</v>
          </cell>
          <cell r="BO962">
            <v>17</v>
          </cell>
          <cell r="BP962">
            <v>47</v>
          </cell>
          <cell r="BQ962">
            <v>43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107</v>
          </cell>
          <cell r="BW962">
            <v>1</v>
          </cell>
          <cell r="BX962" t="str">
            <v>TIDAK</v>
          </cell>
          <cell r="BY962" t="str">
            <v>TIDAK</v>
          </cell>
        </row>
        <row r="963">
          <cell r="A963" t="str">
            <v>A3895</v>
          </cell>
          <cell r="B963" t="str">
            <v>Novita Dea Asmarawati</v>
          </cell>
          <cell r="C963" t="str">
            <v>TEMA C2</v>
          </cell>
          <cell r="D963">
            <v>45350</v>
          </cell>
          <cell r="E963" t="str">
            <v>Feb-24</v>
          </cell>
          <cell r="F963" t="str">
            <v>-</v>
          </cell>
          <cell r="G963" t="str">
            <v>-</v>
          </cell>
          <cell r="H963" t="str">
            <v>REGULER</v>
          </cell>
          <cell r="I963" t="str">
            <v>REGULER</v>
          </cell>
          <cell r="J963" t="str">
            <v>REGULER</v>
          </cell>
          <cell r="K963" t="str">
            <v>REGULER</v>
          </cell>
          <cell r="L963" t="str">
            <v>REGULER</v>
          </cell>
          <cell r="M963">
            <v>0</v>
          </cell>
          <cell r="N963">
            <v>0</v>
          </cell>
          <cell r="O963">
            <v>2</v>
          </cell>
          <cell r="P963">
            <v>25</v>
          </cell>
          <cell r="Q963">
            <v>34</v>
          </cell>
          <cell r="R963">
            <v>27</v>
          </cell>
          <cell r="S963">
            <v>14</v>
          </cell>
          <cell r="T963">
            <v>102</v>
          </cell>
          <cell r="U963">
            <v>0</v>
          </cell>
          <cell r="V963">
            <v>0</v>
          </cell>
          <cell r="W963">
            <v>2</v>
          </cell>
          <cell r="X963">
            <v>25</v>
          </cell>
          <cell r="Y963">
            <v>34</v>
          </cell>
          <cell r="Z963">
            <v>27</v>
          </cell>
          <cell r="AA963">
            <v>14</v>
          </cell>
          <cell r="AB963">
            <v>102</v>
          </cell>
          <cell r="AC963">
            <v>0</v>
          </cell>
          <cell r="AD963" t="str">
            <v>TIDAK</v>
          </cell>
          <cell r="AE963" t="str">
            <v>TIDAK</v>
          </cell>
          <cell r="AF963">
            <v>102</v>
          </cell>
          <cell r="AG963">
            <v>2</v>
          </cell>
          <cell r="AH963" t="str">
            <v>SAPHIRE</v>
          </cell>
          <cell r="AI963">
            <v>65</v>
          </cell>
          <cell r="AJ963" t="str">
            <v>Y</v>
          </cell>
          <cell r="AK963">
            <v>0</v>
          </cell>
          <cell r="AL963">
            <v>45261</v>
          </cell>
          <cell r="AM963">
            <v>45701</v>
          </cell>
          <cell r="AN963">
            <v>1</v>
          </cell>
          <cell r="AO963">
            <v>37</v>
          </cell>
          <cell r="AP963" t="str">
            <v>-</v>
          </cell>
          <cell r="AQ963" t="str">
            <v>-</v>
          </cell>
          <cell r="AR963" t="str">
            <v>-</v>
          </cell>
          <cell r="AS963" t="str">
            <v>-</v>
          </cell>
          <cell r="AT963" t="str">
            <v>-</v>
          </cell>
          <cell r="AU963" t="str">
            <v>-</v>
          </cell>
          <cell r="AV963" t="str">
            <v/>
          </cell>
          <cell r="AW963">
            <v>15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15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11</v>
          </cell>
          <cell r="BH963">
            <v>15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 t="str">
            <v/>
          </cell>
          <cell r="BN963">
            <v>26</v>
          </cell>
          <cell r="BO963">
            <v>11</v>
          </cell>
          <cell r="BP963">
            <v>15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 t="str">
            <v/>
          </cell>
          <cell r="BV963">
            <v>26</v>
          </cell>
          <cell r="BW963">
            <v>5</v>
          </cell>
          <cell r="BX963" t="str">
            <v>DOWNGRADE</v>
          </cell>
          <cell r="BY963" t="str">
            <v>RESET</v>
          </cell>
        </row>
        <row r="964">
          <cell r="A964" t="str">
            <v>A2014</v>
          </cell>
          <cell r="B964" t="str">
            <v>Nur Anisa</v>
          </cell>
          <cell r="C964" t="str">
            <v>TEMA C2</v>
          </cell>
          <cell r="D964">
            <v>45043</v>
          </cell>
          <cell r="E964" t="str">
            <v>Apr-23</v>
          </cell>
          <cell r="F964" t="str">
            <v>EKSKLUSIF</v>
          </cell>
          <cell r="G964" t="str">
            <v>EKSKLUSIF</v>
          </cell>
          <cell r="H964" t="str">
            <v>EKSKLUSIF</v>
          </cell>
          <cell r="I964" t="str">
            <v>REGULER</v>
          </cell>
          <cell r="J964" t="str">
            <v>REGULER</v>
          </cell>
          <cell r="K964" t="str">
            <v>REGULER</v>
          </cell>
          <cell r="L964" t="str">
            <v>REGULER</v>
          </cell>
          <cell r="M964">
            <v>20</v>
          </cell>
          <cell r="N964">
            <v>46</v>
          </cell>
          <cell r="O964">
            <v>40</v>
          </cell>
          <cell r="P964">
            <v>32</v>
          </cell>
          <cell r="Q964">
            <v>34</v>
          </cell>
          <cell r="R964">
            <v>30</v>
          </cell>
          <cell r="S964">
            <v>14</v>
          </cell>
          <cell r="T964">
            <v>216</v>
          </cell>
          <cell r="U964">
            <v>0</v>
          </cell>
          <cell r="V964">
            <v>0</v>
          </cell>
          <cell r="W964">
            <v>0</v>
          </cell>
          <cell r="X964">
            <v>32</v>
          </cell>
          <cell r="Y964">
            <v>34</v>
          </cell>
          <cell r="Z964">
            <v>30</v>
          </cell>
          <cell r="AA964">
            <v>14</v>
          </cell>
          <cell r="AB964">
            <v>110</v>
          </cell>
          <cell r="AC964">
            <v>0</v>
          </cell>
          <cell r="AD964" t="str">
            <v>TIDAK</v>
          </cell>
          <cell r="AE964" t="str">
            <v>TIDAK</v>
          </cell>
          <cell r="AF964">
            <v>110</v>
          </cell>
          <cell r="AG964">
            <v>2</v>
          </cell>
          <cell r="AH964" t="str">
            <v>SAPHIRE</v>
          </cell>
          <cell r="AI964">
            <v>65</v>
          </cell>
          <cell r="AJ964" t="str">
            <v>Y</v>
          </cell>
          <cell r="AK964">
            <v>0</v>
          </cell>
          <cell r="AL964">
            <v>45261</v>
          </cell>
          <cell r="AM964">
            <v>45701</v>
          </cell>
          <cell r="AN964">
            <v>1</v>
          </cell>
          <cell r="AO964">
            <v>45</v>
          </cell>
          <cell r="AP964" t="str">
            <v>-</v>
          </cell>
          <cell r="AQ964" t="str">
            <v>-</v>
          </cell>
          <cell r="AR964" t="str">
            <v>REGULER</v>
          </cell>
          <cell r="AS964" t="str">
            <v>REGULER</v>
          </cell>
          <cell r="AT964" t="str">
            <v>REGULER</v>
          </cell>
          <cell r="AU964" t="str">
            <v>REGULER</v>
          </cell>
          <cell r="AV964" t="str">
            <v/>
          </cell>
          <cell r="AW964">
            <v>41</v>
          </cell>
          <cell r="AX964">
            <v>33</v>
          </cell>
          <cell r="AY964">
            <v>28</v>
          </cell>
          <cell r="AZ964">
            <v>38</v>
          </cell>
          <cell r="BA964">
            <v>37</v>
          </cell>
          <cell r="BB964">
            <v>41</v>
          </cell>
          <cell r="BC964">
            <v>33</v>
          </cell>
          <cell r="BD964">
            <v>28</v>
          </cell>
          <cell r="BE964">
            <v>38</v>
          </cell>
          <cell r="BF964">
            <v>37</v>
          </cell>
          <cell r="BG964">
            <v>15</v>
          </cell>
          <cell r="BH964">
            <v>41</v>
          </cell>
          <cell r="BI964">
            <v>33</v>
          </cell>
          <cell r="BJ964">
            <v>28</v>
          </cell>
          <cell r="BK964">
            <v>38</v>
          </cell>
          <cell r="BL964">
            <v>37</v>
          </cell>
          <cell r="BM964">
            <v>22</v>
          </cell>
          <cell r="BN964">
            <v>214</v>
          </cell>
          <cell r="BO964">
            <v>15</v>
          </cell>
          <cell r="BP964">
            <v>41</v>
          </cell>
          <cell r="BQ964">
            <v>33</v>
          </cell>
          <cell r="BR964">
            <v>28</v>
          </cell>
          <cell r="BS964">
            <v>38</v>
          </cell>
          <cell r="BT964">
            <v>37</v>
          </cell>
          <cell r="BU964">
            <v>22</v>
          </cell>
          <cell r="BV964">
            <v>214</v>
          </cell>
          <cell r="BW964">
            <v>0</v>
          </cell>
          <cell r="BX964" t="str">
            <v>TIDAK</v>
          </cell>
          <cell r="BY964" t="str">
            <v>TIDAK</v>
          </cell>
        </row>
        <row r="965">
          <cell r="A965" t="str">
            <v>A1239</v>
          </cell>
          <cell r="B965" t="str">
            <v>Nur Revsi</v>
          </cell>
          <cell r="C965" t="str">
            <v>TEMA C2</v>
          </cell>
          <cell r="D965">
            <v>44942</v>
          </cell>
          <cell r="E965" t="str">
            <v>Jan-23</v>
          </cell>
          <cell r="F965" t="str">
            <v>EKSKLUSIF</v>
          </cell>
          <cell r="G965" t="str">
            <v>EKSKLUSIF</v>
          </cell>
          <cell r="H965" t="str">
            <v>REGULER</v>
          </cell>
          <cell r="I965" t="str">
            <v>REGULER</v>
          </cell>
          <cell r="J965" t="str">
            <v>-</v>
          </cell>
          <cell r="K965" t="str">
            <v>-</v>
          </cell>
          <cell r="L965" t="str">
            <v>-</v>
          </cell>
          <cell r="M965">
            <v>20</v>
          </cell>
          <cell r="N965">
            <v>47</v>
          </cell>
          <cell r="O965">
            <v>39</v>
          </cell>
          <cell r="P965">
            <v>28</v>
          </cell>
          <cell r="Q965">
            <v>0</v>
          </cell>
          <cell r="R965">
            <v>0</v>
          </cell>
          <cell r="S965" t="str">
            <v/>
          </cell>
          <cell r="T965">
            <v>134</v>
          </cell>
          <cell r="U965">
            <v>0</v>
          </cell>
          <cell r="V965">
            <v>0</v>
          </cell>
          <cell r="W965">
            <v>39</v>
          </cell>
          <cell r="X965">
            <v>28</v>
          </cell>
          <cell r="Y965">
            <v>0</v>
          </cell>
          <cell r="Z965">
            <v>0</v>
          </cell>
          <cell r="AA965" t="str">
            <v/>
          </cell>
          <cell r="AB965">
            <v>67</v>
          </cell>
          <cell r="AC965">
            <v>3</v>
          </cell>
          <cell r="AD965" t="str">
            <v>DOWNGRADE</v>
          </cell>
          <cell r="AE965" t="str">
            <v>RESET</v>
          </cell>
          <cell r="AF965">
            <v>0</v>
          </cell>
          <cell r="AG965">
            <v>2</v>
          </cell>
          <cell r="AH965" t="str">
            <v>SAPHIRE</v>
          </cell>
          <cell r="AI965">
            <v>0</v>
          </cell>
          <cell r="AJ965" t="str">
            <v>FALSE</v>
          </cell>
          <cell r="AK965">
            <v>0</v>
          </cell>
          <cell r="AL965">
            <v>45261</v>
          </cell>
          <cell r="AM965">
            <v>45701</v>
          </cell>
          <cell r="AN965">
            <v>1</v>
          </cell>
          <cell r="AO965">
            <v>0</v>
          </cell>
          <cell r="AP965" t="str">
            <v>-</v>
          </cell>
          <cell r="AQ965" t="str">
            <v>-</v>
          </cell>
          <cell r="AR965" t="str">
            <v>-</v>
          </cell>
          <cell r="AS965" t="str">
            <v>-</v>
          </cell>
          <cell r="AT965" t="str">
            <v>-</v>
          </cell>
          <cell r="AU965" t="str">
            <v>-</v>
          </cell>
          <cell r="AV965" t="str">
            <v/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 t="str">
            <v/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 t="str">
            <v/>
          </cell>
          <cell r="BN965">
            <v>0</v>
          </cell>
          <cell r="BO965" t="str">
            <v/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 t="str">
            <v/>
          </cell>
          <cell r="BV965">
            <v>0</v>
          </cell>
          <cell r="BW965">
            <v>7</v>
          </cell>
          <cell r="BX965" t="str">
            <v>DOWNGRADE</v>
          </cell>
          <cell r="BY965" t="str">
            <v>RESET</v>
          </cell>
        </row>
        <row r="966">
          <cell r="A966" t="str">
            <v>A3084</v>
          </cell>
          <cell r="B966" t="str">
            <v>Nur Tahnia Anggraeni</v>
          </cell>
          <cell r="C966" t="str">
            <v>TEMA C2</v>
          </cell>
          <cell r="D966">
            <v>45220</v>
          </cell>
          <cell r="E966" t="str">
            <v>Oct-23</v>
          </cell>
          <cell r="F966" t="str">
            <v>REGULER</v>
          </cell>
          <cell r="G966" t="str">
            <v>REGULER</v>
          </cell>
          <cell r="H966" t="str">
            <v>REGULER</v>
          </cell>
          <cell r="I966" t="str">
            <v>REGULER</v>
          </cell>
          <cell r="J966" t="str">
            <v>-</v>
          </cell>
          <cell r="K966" t="str">
            <v>-</v>
          </cell>
          <cell r="L966" t="str">
            <v>-</v>
          </cell>
          <cell r="M966">
            <v>1</v>
          </cell>
          <cell r="N966">
            <v>8</v>
          </cell>
          <cell r="O966">
            <v>8</v>
          </cell>
          <cell r="P966">
            <v>13</v>
          </cell>
          <cell r="Q966">
            <v>0</v>
          </cell>
          <cell r="R966">
            <v>0</v>
          </cell>
          <cell r="S966" t="str">
            <v/>
          </cell>
          <cell r="T966">
            <v>30</v>
          </cell>
          <cell r="U966">
            <v>1</v>
          </cell>
          <cell r="V966">
            <v>8</v>
          </cell>
          <cell r="W966">
            <v>8</v>
          </cell>
          <cell r="X966">
            <v>13</v>
          </cell>
          <cell r="Y966">
            <v>0</v>
          </cell>
          <cell r="Z966">
            <v>0</v>
          </cell>
          <cell r="AA966" t="str">
            <v/>
          </cell>
          <cell r="AB966">
            <v>30</v>
          </cell>
          <cell r="AC966">
            <v>3</v>
          </cell>
          <cell r="AD966" t="str">
            <v>DOWNGRADE</v>
          </cell>
          <cell r="AE966" t="str">
            <v>RESET</v>
          </cell>
          <cell r="AF966">
            <v>0</v>
          </cell>
          <cell r="AG966">
            <v>1</v>
          </cell>
          <cell r="AH966" t="str">
            <v>SAPHIRE</v>
          </cell>
          <cell r="AI966">
            <v>0</v>
          </cell>
          <cell r="AJ966" t="str">
            <v>FALSE</v>
          </cell>
          <cell r="AK966">
            <v>0</v>
          </cell>
          <cell r="AL966">
            <v>45261</v>
          </cell>
          <cell r="AM966">
            <v>45701</v>
          </cell>
          <cell r="AN966">
            <v>1</v>
          </cell>
          <cell r="AO966">
            <v>0</v>
          </cell>
          <cell r="AP966" t="str">
            <v>-</v>
          </cell>
          <cell r="AQ966" t="str">
            <v>-</v>
          </cell>
          <cell r="AR966" t="str">
            <v>-</v>
          </cell>
          <cell r="AS966" t="str">
            <v>-</v>
          </cell>
          <cell r="AT966" t="str">
            <v>-</v>
          </cell>
          <cell r="AU966" t="str">
            <v>-</v>
          </cell>
          <cell r="AV966" t="str">
            <v/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 t="str">
            <v/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 t="str">
            <v/>
          </cell>
          <cell r="BN966">
            <v>0</v>
          </cell>
          <cell r="BO966" t="str">
            <v/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 t="str">
            <v/>
          </cell>
          <cell r="BV966">
            <v>0</v>
          </cell>
          <cell r="BW966">
            <v>7</v>
          </cell>
          <cell r="BX966" t="str">
            <v>DOWNGRADE</v>
          </cell>
          <cell r="BY966" t="str">
            <v>RESET</v>
          </cell>
        </row>
        <row r="967">
          <cell r="A967" t="str">
            <v>A2525</v>
          </cell>
          <cell r="B967" t="str">
            <v>Nurin Farhana</v>
          </cell>
          <cell r="C967" t="str">
            <v>TEMA C2</v>
          </cell>
          <cell r="D967">
            <v>45110</v>
          </cell>
          <cell r="E967" t="str">
            <v>Jul-23</v>
          </cell>
          <cell r="F967" t="str">
            <v>REGULER</v>
          </cell>
          <cell r="G967" t="str">
            <v>REGULER</v>
          </cell>
          <cell r="H967" t="str">
            <v>REGULER</v>
          </cell>
          <cell r="I967" t="str">
            <v>REGULER</v>
          </cell>
          <cell r="J967" t="str">
            <v>REGULER</v>
          </cell>
          <cell r="K967" t="str">
            <v>REGULER</v>
          </cell>
          <cell r="L967" t="str">
            <v>REGULER</v>
          </cell>
          <cell r="M967">
            <v>9</v>
          </cell>
          <cell r="N967">
            <v>35</v>
          </cell>
          <cell r="O967">
            <v>1</v>
          </cell>
          <cell r="P967">
            <v>22</v>
          </cell>
          <cell r="Q967">
            <v>34</v>
          </cell>
          <cell r="R967">
            <v>37</v>
          </cell>
          <cell r="S967">
            <v>19</v>
          </cell>
          <cell r="T967">
            <v>157</v>
          </cell>
          <cell r="U967">
            <v>9</v>
          </cell>
          <cell r="V967">
            <v>35</v>
          </cell>
          <cell r="W967">
            <v>1</v>
          </cell>
          <cell r="X967">
            <v>22</v>
          </cell>
          <cell r="Y967">
            <v>34</v>
          </cell>
          <cell r="Z967">
            <v>37</v>
          </cell>
          <cell r="AA967">
            <v>19</v>
          </cell>
          <cell r="AB967">
            <v>157</v>
          </cell>
          <cell r="AC967">
            <v>0</v>
          </cell>
          <cell r="AD967" t="str">
            <v>TIDAK</v>
          </cell>
          <cell r="AE967" t="str">
            <v>TIDAK</v>
          </cell>
          <cell r="AF967">
            <v>157</v>
          </cell>
          <cell r="AG967">
            <v>2</v>
          </cell>
          <cell r="AH967" t="str">
            <v>SAPHIRE</v>
          </cell>
          <cell r="AI967">
            <v>135</v>
          </cell>
          <cell r="AJ967" t="str">
            <v>Y</v>
          </cell>
          <cell r="AK967">
            <v>0</v>
          </cell>
          <cell r="AL967">
            <v>45261</v>
          </cell>
          <cell r="AM967">
            <v>45701</v>
          </cell>
          <cell r="AN967">
            <v>1</v>
          </cell>
          <cell r="AO967">
            <v>22</v>
          </cell>
          <cell r="AP967" t="str">
            <v>-</v>
          </cell>
          <cell r="AQ967" t="str">
            <v>-</v>
          </cell>
          <cell r="AR967" t="str">
            <v>REGULER</v>
          </cell>
          <cell r="AS967" t="str">
            <v>-</v>
          </cell>
          <cell r="AT967" t="str">
            <v>-</v>
          </cell>
          <cell r="AU967" t="str">
            <v>-</v>
          </cell>
          <cell r="AV967" t="str">
            <v/>
          </cell>
          <cell r="AW967">
            <v>31</v>
          </cell>
          <cell r="AX967">
            <v>19</v>
          </cell>
          <cell r="AY967">
            <v>0</v>
          </cell>
          <cell r="AZ967">
            <v>0</v>
          </cell>
          <cell r="BA967">
            <v>0</v>
          </cell>
          <cell r="BB967">
            <v>31</v>
          </cell>
          <cell r="BC967">
            <v>19</v>
          </cell>
          <cell r="BD967">
            <v>0</v>
          </cell>
          <cell r="BE967">
            <v>0</v>
          </cell>
          <cell r="BF967">
            <v>0</v>
          </cell>
          <cell r="BG967">
            <v>14</v>
          </cell>
          <cell r="BH967">
            <v>31</v>
          </cell>
          <cell r="BI967">
            <v>19</v>
          </cell>
          <cell r="BJ967">
            <v>0</v>
          </cell>
          <cell r="BK967">
            <v>0</v>
          </cell>
          <cell r="BL967">
            <v>0</v>
          </cell>
          <cell r="BM967" t="str">
            <v/>
          </cell>
          <cell r="BN967">
            <v>64</v>
          </cell>
          <cell r="BO967">
            <v>14</v>
          </cell>
          <cell r="BP967">
            <v>31</v>
          </cell>
          <cell r="BQ967">
            <v>19</v>
          </cell>
          <cell r="BR967">
            <v>0</v>
          </cell>
          <cell r="BS967">
            <v>0</v>
          </cell>
          <cell r="BT967">
            <v>0</v>
          </cell>
          <cell r="BU967" t="str">
            <v/>
          </cell>
          <cell r="BV967">
            <v>64</v>
          </cell>
          <cell r="BW967">
            <v>4</v>
          </cell>
          <cell r="BX967" t="str">
            <v>DOWNGRADE</v>
          </cell>
          <cell r="BY967" t="str">
            <v>RESET</v>
          </cell>
        </row>
        <row r="968">
          <cell r="A968" t="str">
            <v>A3035</v>
          </cell>
          <cell r="B968" t="str">
            <v>Nurul Fajri</v>
          </cell>
          <cell r="C968" t="str">
            <v>TEMA C2</v>
          </cell>
          <cell r="D968">
            <v>45201</v>
          </cell>
          <cell r="E968" t="str">
            <v>Oct-23</v>
          </cell>
          <cell r="F968" t="str">
            <v>REGULER</v>
          </cell>
          <cell r="G968" t="str">
            <v>REGULER</v>
          </cell>
          <cell r="H968" t="str">
            <v>REGULER</v>
          </cell>
          <cell r="I968" t="str">
            <v>REGULER</v>
          </cell>
          <cell r="J968" t="str">
            <v>REGULER</v>
          </cell>
          <cell r="K968" t="str">
            <v>REGULER</v>
          </cell>
          <cell r="L968" t="str">
            <v>REGULER</v>
          </cell>
          <cell r="M968">
            <v>18</v>
          </cell>
          <cell r="N968">
            <v>37</v>
          </cell>
          <cell r="O968">
            <v>27</v>
          </cell>
          <cell r="P968">
            <v>33</v>
          </cell>
          <cell r="Q968">
            <v>33</v>
          </cell>
          <cell r="R968">
            <v>15</v>
          </cell>
          <cell r="S968">
            <v>14</v>
          </cell>
          <cell r="T968">
            <v>177</v>
          </cell>
          <cell r="U968">
            <v>18</v>
          </cell>
          <cell r="V968">
            <v>37</v>
          </cell>
          <cell r="W968">
            <v>27</v>
          </cell>
          <cell r="X968">
            <v>33</v>
          </cell>
          <cell r="Y968">
            <v>33</v>
          </cell>
          <cell r="Z968">
            <v>15</v>
          </cell>
          <cell r="AA968">
            <v>14</v>
          </cell>
          <cell r="AB968">
            <v>177</v>
          </cell>
          <cell r="AC968">
            <v>0</v>
          </cell>
          <cell r="AD968" t="str">
            <v>TIDAK</v>
          </cell>
          <cell r="AE968" t="str">
            <v>TIDAK</v>
          </cell>
          <cell r="AF968">
            <v>177</v>
          </cell>
          <cell r="AG968">
            <v>3</v>
          </cell>
          <cell r="AH968" t="str">
            <v>SAPHIRE</v>
          </cell>
          <cell r="AI968">
            <v>130</v>
          </cell>
          <cell r="AJ968" t="str">
            <v>Y</v>
          </cell>
          <cell r="AK968">
            <v>0</v>
          </cell>
          <cell r="AL968">
            <v>45261</v>
          </cell>
          <cell r="AM968">
            <v>45701</v>
          </cell>
          <cell r="AN968">
            <v>1</v>
          </cell>
          <cell r="AO968">
            <v>47</v>
          </cell>
          <cell r="AP968" t="str">
            <v>-</v>
          </cell>
          <cell r="AQ968" t="str">
            <v>-</v>
          </cell>
          <cell r="AR968" t="str">
            <v>REGULER</v>
          </cell>
          <cell r="AS968" t="str">
            <v>REGULER</v>
          </cell>
          <cell r="AT968" t="str">
            <v>REGULER</v>
          </cell>
          <cell r="AU968" t="str">
            <v>REGULER</v>
          </cell>
          <cell r="AV968" t="str">
            <v/>
          </cell>
          <cell r="AW968">
            <v>42</v>
          </cell>
          <cell r="AX968">
            <v>39</v>
          </cell>
          <cell r="AY968">
            <v>37</v>
          </cell>
          <cell r="AZ968">
            <v>38</v>
          </cell>
          <cell r="BA968">
            <v>2</v>
          </cell>
          <cell r="BB968">
            <v>42</v>
          </cell>
          <cell r="BC968">
            <v>39</v>
          </cell>
          <cell r="BD968">
            <v>37</v>
          </cell>
          <cell r="BE968">
            <v>38</v>
          </cell>
          <cell r="BF968">
            <v>2</v>
          </cell>
          <cell r="BG968" t="str">
            <v/>
          </cell>
          <cell r="BH968">
            <v>42</v>
          </cell>
          <cell r="BI968">
            <v>39</v>
          </cell>
          <cell r="BJ968">
            <v>37</v>
          </cell>
          <cell r="BK968">
            <v>38</v>
          </cell>
          <cell r="BL968">
            <v>2</v>
          </cell>
          <cell r="BM968" t="str">
            <v/>
          </cell>
          <cell r="BN968">
            <v>158</v>
          </cell>
          <cell r="BO968" t="str">
            <v/>
          </cell>
          <cell r="BP968">
            <v>42</v>
          </cell>
          <cell r="BQ968">
            <v>39</v>
          </cell>
          <cell r="BR968">
            <v>37</v>
          </cell>
          <cell r="BS968">
            <v>38</v>
          </cell>
          <cell r="BT968">
            <v>2</v>
          </cell>
          <cell r="BU968" t="str">
            <v/>
          </cell>
          <cell r="BV968">
            <v>158</v>
          </cell>
          <cell r="BW968">
            <v>2</v>
          </cell>
          <cell r="BX968" t="str">
            <v>TIDAK</v>
          </cell>
          <cell r="BY968" t="str">
            <v>TIDAK</v>
          </cell>
        </row>
        <row r="969">
          <cell r="A969" t="str">
            <v>A3830</v>
          </cell>
          <cell r="B969" t="str">
            <v>Nurul Ulfa</v>
          </cell>
          <cell r="C969" t="str">
            <v>TEMA C2</v>
          </cell>
          <cell r="D969">
            <v>45385</v>
          </cell>
          <cell r="E969" t="str">
            <v>Apr-24</v>
          </cell>
          <cell r="F969" t="str">
            <v>-</v>
          </cell>
          <cell r="G969" t="str">
            <v>-</v>
          </cell>
          <cell r="H969" t="str">
            <v>-</v>
          </cell>
          <cell r="I969" t="str">
            <v>-</v>
          </cell>
          <cell r="J969" t="str">
            <v>REGULER</v>
          </cell>
          <cell r="K969" t="str">
            <v>REGULER</v>
          </cell>
          <cell r="L969" t="str">
            <v>REGULER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14</v>
          </cell>
          <cell r="R969">
            <v>21</v>
          </cell>
          <cell r="S969">
            <v>10</v>
          </cell>
          <cell r="T969">
            <v>45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14</v>
          </cell>
          <cell r="Z969">
            <v>21</v>
          </cell>
          <cell r="AA969">
            <v>10</v>
          </cell>
          <cell r="AB969">
            <v>45</v>
          </cell>
          <cell r="AC969">
            <v>0</v>
          </cell>
          <cell r="AD969" t="str">
            <v>TIDAK</v>
          </cell>
          <cell r="AE969" t="str">
            <v>TIDAK</v>
          </cell>
          <cell r="AF969">
            <v>45</v>
          </cell>
          <cell r="AG969">
            <v>1</v>
          </cell>
          <cell r="AH969" t="str">
            <v>SAPHIRE</v>
          </cell>
          <cell r="AI969">
            <v>0</v>
          </cell>
          <cell r="AJ969" t="str">
            <v>FALSE</v>
          </cell>
          <cell r="AK969">
            <v>0</v>
          </cell>
          <cell r="AL969">
            <v>45261</v>
          </cell>
          <cell r="AM969">
            <v>45701</v>
          </cell>
          <cell r="AN969">
            <v>1</v>
          </cell>
          <cell r="AO969">
            <v>45</v>
          </cell>
          <cell r="AP969" t="str">
            <v>-</v>
          </cell>
          <cell r="AQ969" t="str">
            <v>-</v>
          </cell>
          <cell r="AR969" t="str">
            <v>-</v>
          </cell>
          <cell r="AS969" t="str">
            <v>-</v>
          </cell>
          <cell r="AT969" t="str">
            <v>-</v>
          </cell>
          <cell r="AU969" t="str">
            <v>-</v>
          </cell>
          <cell r="AV969" t="str">
            <v/>
          </cell>
          <cell r="AW969">
            <v>5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5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6</v>
          </cell>
          <cell r="BH969">
            <v>5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 t="str">
            <v/>
          </cell>
          <cell r="BN969">
            <v>11</v>
          </cell>
          <cell r="BO969">
            <v>6</v>
          </cell>
          <cell r="BP969">
            <v>5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 t="str">
            <v/>
          </cell>
          <cell r="BV969">
            <v>11</v>
          </cell>
          <cell r="BW969">
            <v>5</v>
          </cell>
          <cell r="BX969" t="str">
            <v>DOWNGRADE</v>
          </cell>
          <cell r="BY969" t="str">
            <v>RESET</v>
          </cell>
        </row>
        <row r="970">
          <cell r="A970" t="str">
            <v>A0918</v>
          </cell>
          <cell r="B970" t="str">
            <v>Ogie Prayoga</v>
          </cell>
          <cell r="C970" t="str">
            <v>TEMA C2</v>
          </cell>
          <cell r="D970">
            <v>44907</v>
          </cell>
          <cell r="E970" t="str">
            <v>Dec-22</v>
          </cell>
          <cell r="F970" t="str">
            <v>REGULER</v>
          </cell>
          <cell r="G970" t="str">
            <v>REGULER</v>
          </cell>
          <cell r="H970" t="str">
            <v>-</v>
          </cell>
          <cell r="I970" t="str">
            <v>-</v>
          </cell>
          <cell r="J970" t="str">
            <v>-</v>
          </cell>
          <cell r="K970" t="str">
            <v>-</v>
          </cell>
          <cell r="L970" t="str">
            <v>-</v>
          </cell>
          <cell r="M970">
            <v>16</v>
          </cell>
          <cell r="N970">
            <v>16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 t="str">
            <v/>
          </cell>
          <cell r="T970">
            <v>32</v>
          </cell>
          <cell r="U970">
            <v>16</v>
          </cell>
          <cell r="V970">
            <v>16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 t="str">
            <v/>
          </cell>
          <cell r="AB970">
            <v>32</v>
          </cell>
          <cell r="AC970">
            <v>5</v>
          </cell>
          <cell r="AD970" t="str">
            <v>DOWNGRADE</v>
          </cell>
          <cell r="AE970" t="str">
            <v>RESET</v>
          </cell>
          <cell r="AF970">
            <v>0</v>
          </cell>
          <cell r="AG970">
            <v>2</v>
          </cell>
          <cell r="AH970" t="str">
            <v>SAPHIRE</v>
          </cell>
          <cell r="AI970">
            <v>0</v>
          </cell>
          <cell r="AJ970" t="str">
            <v>FALSE</v>
          </cell>
          <cell r="AK970">
            <v>0</v>
          </cell>
          <cell r="AL970">
            <v>45261</v>
          </cell>
          <cell r="AM970">
            <v>45701</v>
          </cell>
          <cell r="AN970">
            <v>1</v>
          </cell>
          <cell r="AO970">
            <v>0</v>
          </cell>
          <cell r="AP970" t="str">
            <v>-</v>
          </cell>
          <cell r="AQ970" t="str">
            <v>-</v>
          </cell>
          <cell r="AR970" t="str">
            <v>-</v>
          </cell>
          <cell r="AS970" t="str">
            <v>-</v>
          </cell>
          <cell r="AT970" t="str">
            <v>REGULER</v>
          </cell>
          <cell r="AU970" t="str">
            <v>REGULER</v>
          </cell>
          <cell r="AV970" t="str">
            <v/>
          </cell>
          <cell r="AW970">
            <v>0</v>
          </cell>
          <cell r="AX970">
            <v>0</v>
          </cell>
          <cell r="AY970">
            <v>0</v>
          </cell>
          <cell r="AZ970">
            <v>33</v>
          </cell>
          <cell r="BA970">
            <v>29</v>
          </cell>
          <cell r="BB970">
            <v>0</v>
          </cell>
          <cell r="BC970">
            <v>0</v>
          </cell>
          <cell r="BD970">
            <v>0</v>
          </cell>
          <cell r="BE970">
            <v>33</v>
          </cell>
          <cell r="BF970">
            <v>29</v>
          </cell>
          <cell r="BG970" t="str">
            <v/>
          </cell>
          <cell r="BH970">
            <v>0</v>
          </cell>
          <cell r="BI970">
            <v>0</v>
          </cell>
          <cell r="BJ970">
            <v>0</v>
          </cell>
          <cell r="BK970">
            <v>33</v>
          </cell>
          <cell r="BL970">
            <v>29</v>
          </cell>
          <cell r="BM970">
            <v>4</v>
          </cell>
          <cell r="BN970">
            <v>66</v>
          </cell>
          <cell r="BO970" t="str">
            <v/>
          </cell>
          <cell r="BP970">
            <v>0</v>
          </cell>
          <cell r="BQ970">
            <v>0</v>
          </cell>
          <cell r="BR970">
            <v>0</v>
          </cell>
          <cell r="BS970">
            <v>33</v>
          </cell>
          <cell r="BT970">
            <v>29</v>
          </cell>
          <cell r="BU970">
            <v>4</v>
          </cell>
          <cell r="BV970">
            <v>66</v>
          </cell>
          <cell r="BW970">
            <v>4</v>
          </cell>
          <cell r="BX970" t="str">
            <v>DOWNGRADE</v>
          </cell>
          <cell r="BY970" t="str">
            <v>RESET</v>
          </cell>
        </row>
        <row r="971">
          <cell r="A971" t="str">
            <v>A3072</v>
          </cell>
          <cell r="B971" t="str">
            <v>Oktaviani Roosdiawati</v>
          </cell>
          <cell r="C971" t="str">
            <v>TEMA C2</v>
          </cell>
          <cell r="D971">
            <v>45212</v>
          </cell>
          <cell r="E971" t="str">
            <v>Oct-23</v>
          </cell>
          <cell r="F971" t="str">
            <v>REGULER</v>
          </cell>
          <cell r="G971" t="str">
            <v>-</v>
          </cell>
          <cell r="H971" t="str">
            <v>-</v>
          </cell>
          <cell r="I971" t="str">
            <v>-</v>
          </cell>
          <cell r="J971" t="str">
            <v>-</v>
          </cell>
          <cell r="K971" t="str">
            <v>-</v>
          </cell>
          <cell r="L971" t="str">
            <v>-</v>
          </cell>
          <cell r="M971">
            <v>1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1</v>
          </cell>
          <cell r="U971">
            <v>1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1</v>
          </cell>
          <cell r="AC971">
            <v>6</v>
          </cell>
          <cell r="AD971" t="str">
            <v>DOWNGRADE</v>
          </cell>
          <cell r="AE971" t="str">
            <v>RESET</v>
          </cell>
          <cell r="AF971">
            <v>0</v>
          </cell>
          <cell r="AG971">
            <v>1</v>
          </cell>
          <cell r="AH971" t="str">
            <v>SAPHIRE</v>
          </cell>
          <cell r="AI971">
            <v>0</v>
          </cell>
          <cell r="AJ971" t="str">
            <v>FALSE</v>
          </cell>
          <cell r="AK971">
            <v>0</v>
          </cell>
          <cell r="AL971">
            <v>45261</v>
          </cell>
          <cell r="AM971">
            <v>45701</v>
          </cell>
          <cell r="AN971">
            <v>1</v>
          </cell>
          <cell r="AO971">
            <v>0</v>
          </cell>
          <cell r="AP971" t="str">
            <v>-</v>
          </cell>
          <cell r="AQ971" t="str">
            <v>-</v>
          </cell>
          <cell r="AR971" t="str">
            <v>-</v>
          </cell>
          <cell r="AS971" t="str">
            <v>-</v>
          </cell>
          <cell r="AT971" t="str">
            <v>-</v>
          </cell>
          <cell r="AU971" t="str">
            <v>-</v>
          </cell>
          <cell r="AV971" t="str">
            <v/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 t="str">
            <v/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 t="str">
            <v/>
          </cell>
          <cell r="BN971">
            <v>0</v>
          </cell>
          <cell r="BO971" t="str">
            <v/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  <cell r="BU971" t="str">
            <v/>
          </cell>
          <cell r="BV971">
            <v>0</v>
          </cell>
          <cell r="BW971">
            <v>7</v>
          </cell>
          <cell r="BX971" t="str">
            <v>DOWNGRADE</v>
          </cell>
          <cell r="BY971" t="str">
            <v>RESET</v>
          </cell>
        </row>
        <row r="972">
          <cell r="A972" t="str">
            <v>A3575</v>
          </cell>
          <cell r="B972" t="str">
            <v>Patrik Maretra Widanna</v>
          </cell>
          <cell r="C972" t="str">
            <v>TEMA C2</v>
          </cell>
          <cell r="D972">
            <v>45311</v>
          </cell>
          <cell r="E972" t="str">
            <v>Jan-24</v>
          </cell>
          <cell r="F972" t="str">
            <v>-</v>
          </cell>
          <cell r="G972" t="str">
            <v>REGULER</v>
          </cell>
          <cell r="H972" t="str">
            <v>REGULER</v>
          </cell>
          <cell r="I972" t="str">
            <v>REGULER</v>
          </cell>
          <cell r="J972" t="str">
            <v>REGULER</v>
          </cell>
          <cell r="K972" t="str">
            <v>-</v>
          </cell>
          <cell r="L972" t="str">
            <v>-</v>
          </cell>
          <cell r="M972">
            <v>0</v>
          </cell>
          <cell r="N972">
            <v>1</v>
          </cell>
          <cell r="O972">
            <v>18</v>
          </cell>
          <cell r="P972">
            <v>21</v>
          </cell>
          <cell r="Q972">
            <v>3</v>
          </cell>
          <cell r="R972">
            <v>0</v>
          </cell>
          <cell r="S972" t="str">
            <v/>
          </cell>
          <cell r="T972">
            <v>43</v>
          </cell>
          <cell r="U972">
            <v>0</v>
          </cell>
          <cell r="V972">
            <v>1</v>
          </cell>
          <cell r="W972">
            <v>18</v>
          </cell>
          <cell r="X972">
            <v>21</v>
          </cell>
          <cell r="Y972">
            <v>3</v>
          </cell>
          <cell r="Z972">
            <v>0</v>
          </cell>
          <cell r="AA972" t="str">
            <v/>
          </cell>
          <cell r="AB972">
            <v>43</v>
          </cell>
          <cell r="AC972">
            <v>2</v>
          </cell>
          <cell r="AD972" t="str">
            <v>TIDAK</v>
          </cell>
          <cell r="AE972" t="str">
            <v>TIDAK</v>
          </cell>
          <cell r="AF972">
            <v>43</v>
          </cell>
          <cell r="AG972">
            <v>2</v>
          </cell>
          <cell r="AH972" t="str">
            <v>SAPHIRE</v>
          </cell>
          <cell r="AI972">
            <v>0</v>
          </cell>
          <cell r="AJ972" t="str">
            <v>FALSE</v>
          </cell>
          <cell r="AK972">
            <v>0</v>
          </cell>
          <cell r="AL972">
            <v>45261</v>
          </cell>
          <cell r="AM972">
            <v>45701</v>
          </cell>
          <cell r="AN972">
            <v>1</v>
          </cell>
          <cell r="AO972">
            <v>43</v>
          </cell>
          <cell r="AP972" t="str">
            <v>-</v>
          </cell>
          <cell r="AQ972" t="str">
            <v>-</v>
          </cell>
          <cell r="AR972" t="str">
            <v>-</v>
          </cell>
          <cell r="AS972" t="str">
            <v>-</v>
          </cell>
          <cell r="AT972" t="str">
            <v>-</v>
          </cell>
          <cell r="AU972" t="str">
            <v>-</v>
          </cell>
          <cell r="AV972" t="str">
            <v/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 t="str">
            <v/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 t="str">
            <v/>
          </cell>
          <cell r="BN972">
            <v>0</v>
          </cell>
          <cell r="BO972" t="str">
            <v/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 t="str">
            <v/>
          </cell>
          <cell r="BV972">
            <v>0</v>
          </cell>
          <cell r="BW972">
            <v>7</v>
          </cell>
          <cell r="BX972" t="str">
            <v>DOWNGRADE</v>
          </cell>
          <cell r="BY972" t="str">
            <v>RESET</v>
          </cell>
        </row>
        <row r="973">
          <cell r="A973">
            <v>90759</v>
          </cell>
          <cell r="B973" t="str">
            <v>Pertiwi Handayani</v>
          </cell>
          <cell r="C973" t="str">
            <v>TEMA C2</v>
          </cell>
          <cell r="D973">
            <v>45323</v>
          </cell>
          <cell r="E973" t="str">
            <v>Feb-24</v>
          </cell>
          <cell r="F973" t="str">
            <v>EKSKLUSIF</v>
          </cell>
          <cell r="G973" t="str">
            <v>REGULER</v>
          </cell>
          <cell r="H973" t="str">
            <v>REGULER</v>
          </cell>
          <cell r="I973" t="str">
            <v>EKSKLUSIF</v>
          </cell>
          <cell r="J973" t="str">
            <v>EKSKLUSIF</v>
          </cell>
          <cell r="K973" t="str">
            <v>EKSKLUSIF</v>
          </cell>
          <cell r="L973" t="str">
            <v>EKSKLUSIF</v>
          </cell>
          <cell r="M973">
            <v>18</v>
          </cell>
          <cell r="N973">
            <v>36</v>
          </cell>
          <cell r="O973">
            <v>41</v>
          </cell>
          <cell r="P973">
            <v>43</v>
          </cell>
          <cell r="Q973">
            <v>36</v>
          </cell>
          <cell r="R973">
            <v>40</v>
          </cell>
          <cell r="S973">
            <v>20</v>
          </cell>
          <cell r="T973">
            <v>234</v>
          </cell>
          <cell r="U973">
            <v>0</v>
          </cell>
          <cell r="V973">
            <v>36</v>
          </cell>
          <cell r="W973">
            <v>41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77</v>
          </cell>
          <cell r="AC973">
            <v>0</v>
          </cell>
          <cell r="AD973" t="str">
            <v>TIDAK</v>
          </cell>
          <cell r="AE973" t="str">
            <v>TIDAK</v>
          </cell>
          <cell r="AF973">
            <v>77</v>
          </cell>
          <cell r="AG973">
            <v>2</v>
          </cell>
          <cell r="AH973" t="str">
            <v>SAPHIRE</v>
          </cell>
          <cell r="AI973">
            <v>65</v>
          </cell>
          <cell r="AJ973" t="str">
            <v>Y</v>
          </cell>
          <cell r="AK973">
            <v>0</v>
          </cell>
          <cell r="AL973">
            <v>45261</v>
          </cell>
          <cell r="AM973">
            <v>45701</v>
          </cell>
          <cell r="AN973">
            <v>1</v>
          </cell>
          <cell r="AO973">
            <v>12</v>
          </cell>
          <cell r="AP973" t="str">
            <v>EKSKLUSIF</v>
          </cell>
          <cell r="AQ973" t="str">
            <v>-</v>
          </cell>
          <cell r="AR973" t="str">
            <v>EKSKLUSIF</v>
          </cell>
          <cell r="AS973" t="str">
            <v>REGULER</v>
          </cell>
          <cell r="AT973" t="str">
            <v>REGULER</v>
          </cell>
          <cell r="AU973" t="str">
            <v>REGULER</v>
          </cell>
          <cell r="AV973" t="str">
            <v/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41</v>
          </cell>
          <cell r="BC973">
            <v>45</v>
          </cell>
          <cell r="BD973">
            <v>33</v>
          </cell>
          <cell r="BE973">
            <v>38</v>
          </cell>
          <cell r="BF973">
            <v>35</v>
          </cell>
          <cell r="BG973">
            <v>18</v>
          </cell>
          <cell r="BH973">
            <v>41</v>
          </cell>
          <cell r="BI973">
            <v>45</v>
          </cell>
          <cell r="BJ973">
            <v>33</v>
          </cell>
          <cell r="BK973">
            <v>38</v>
          </cell>
          <cell r="BL973">
            <v>35</v>
          </cell>
          <cell r="BM973">
            <v>16</v>
          </cell>
          <cell r="BN973">
            <v>226</v>
          </cell>
          <cell r="BO973">
            <v>0</v>
          </cell>
          <cell r="BP973">
            <v>41</v>
          </cell>
          <cell r="BQ973">
            <v>0</v>
          </cell>
          <cell r="BR973">
            <v>33</v>
          </cell>
          <cell r="BS973">
            <v>38</v>
          </cell>
          <cell r="BT973">
            <v>35</v>
          </cell>
          <cell r="BU973">
            <v>16</v>
          </cell>
          <cell r="BV973">
            <v>163</v>
          </cell>
          <cell r="BW973">
            <v>0</v>
          </cell>
          <cell r="BX973" t="str">
            <v>TIDAK</v>
          </cell>
          <cell r="BY973" t="str">
            <v>TIDAK</v>
          </cell>
        </row>
        <row r="974">
          <cell r="A974" t="str">
            <v>A0565</v>
          </cell>
          <cell r="B974" t="str">
            <v>Pradipta Niwayani</v>
          </cell>
          <cell r="C974" t="str">
            <v>TEMA C2</v>
          </cell>
          <cell r="D974">
            <v>44929</v>
          </cell>
          <cell r="E974" t="str">
            <v>Jan-23</v>
          </cell>
          <cell r="F974" t="str">
            <v>REGULER</v>
          </cell>
          <cell r="G974" t="str">
            <v>REGULER</v>
          </cell>
          <cell r="H974" t="str">
            <v>REGULER</v>
          </cell>
          <cell r="I974" t="str">
            <v>REGULER</v>
          </cell>
          <cell r="J974" t="str">
            <v>REGULER</v>
          </cell>
          <cell r="K974" t="str">
            <v>REGULER</v>
          </cell>
          <cell r="L974" t="str">
            <v>REGULER</v>
          </cell>
          <cell r="M974">
            <v>6</v>
          </cell>
          <cell r="N974">
            <v>4</v>
          </cell>
          <cell r="O974">
            <v>4</v>
          </cell>
          <cell r="P974">
            <v>11</v>
          </cell>
          <cell r="Q974">
            <v>5</v>
          </cell>
          <cell r="R974">
            <v>9</v>
          </cell>
          <cell r="S974">
            <v>3</v>
          </cell>
          <cell r="T974">
            <v>42</v>
          </cell>
          <cell r="U974">
            <v>6</v>
          </cell>
          <cell r="V974">
            <v>4</v>
          </cell>
          <cell r="W974">
            <v>4</v>
          </cell>
          <cell r="X974">
            <v>11</v>
          </cell>
          <cell r="Y974">
            <v>5</v>
          </cell>
          <cell r="Z974">
            <v>9</v>
          </cell>
          <cell r="AA974">
            <v>3</v>
          </cell>
          <cell r="AB974">
            <v>42</v>
          </cell>
          <cell r="AC974">
            <v>0</v>
          </cell>
          <cell r="AD974" t="str">
            <v>TIDAK</v>
          </cell>
          <cell r="AE974" t="str">
            <v>TIDAK</v>
          </cell>
          <cell r="AF974">
            <v>42</v>
          </cell>
          <cell r="AG974">
            <v>2</v>
          </cell>
          <cell r="AH974" t="str">
            <v>SAPHIRE</v>
          </cell>
          <cell r="AI974">
            <v>0</v>
          </cell>
          <cell r="AJ974" t="str">
            <v>FALSE</v>
          </cell>
          <cell r="AK974">
            <v>0</v>
          </cell>
          <cell r="AL974">
            <v>45261</v>
          </cell>
          <cell r="AM974">
            <v>45701</v>
          </cell>
          <cell r="AN974">
            <v>1</v>
          </cell>
          <cell r="AO974">
            <v>42</v>
          </cell>
          <cell r="AP974" t="str">
            <v>-</v>
          </cell>
          <cell r="AQ974" t="str">
            <v>-</v>
          </cell>
          <cell r="AR974" t="str">
            <v>REGULER</v>
          </cell>
          <cell r="AS974" t="str">
            <v>REGULER</v>
          </cell>
          <cell r="AT974" t="str">
            <v>REGULER</v>
          </cell>
          <cell r="AU974" t="str">
            <v>REGULER</v>
          </cell>
          <cell r="AV974" t="str">
            <v/>
          </cell>
          <cell r="AW974">
            <v>24</v>
          </cell>
          <cell r="AX974">
            <v>35</v>
          </cell>
          <cell r="AY974">
            <v>32</v>
          </cell>
          <cell r="AZ974">
            <v>43</v>
          </cell>
          <cell r="BA974">
            <v>38</v>
          </cell>
          <cell r="BB974">
            <v>24</v>
          </cell>
          <cell r="BC974">
            <v>35</v>
          </cell>
          <cell r="BD974">
            <v>32</v>
          </cell>
          <cell r="BE974">
            <v>43</v>
          </cell>
          <cell r="BF974">
            <v>38</v>
          </cell>
          <cell r="BG974">
            <v>3</v>
          </cell>
          <cell r="BH974">
            <v>24</v>
          </cell>
          <cell r="BI974">
            <v>35</v>
          </cell>
          <cell r="BJ974">
            <v>32</v>
          </cell>
          <cell r="BK974">
            <v>43</v>
          </cell>
          <cell r="BL974">
            <v>38</v>
          </cell>
          <cell r="BM974">
            <v>22</v>
          </cell>
          <cell r="BN974">
            <v>197</v>
          </cell>
          <cell r="BO974">
            <v>3</v>
          </cell>
          <cell r="BP974">
            <v>24</v>
          </cell>
          <cell r="BQ974">
            <v>35</v>
          </cell>
          <cell r="BR974">
            <v>32</v>
          </cell>
          <cell r="BS974">
            <v>43</v>
          </cell>
          <cell r="BT974">
            <v>38</v>
          </cell>
          <cell r="BU974">
            <v>22</v>
          </cell>
          <cell r="BV974">
            <v>197</v>
          </cell>
          <cell r="BW974">
            <v>0</v>
          </cell>
          <cell r="BX974" t="str">
            <v>TIDAK</v>
          </cell>
          <cell r="BY974" t="str">
            <v>TIDAK</v>
          </cell>
        </row>
        <row r="975">
          <cell r="A975" t="str">
            <v>A3082</v>
          </cell>
          <cell r="B975" t="str">
            <v>Pratama Yudha Setiawan</v>
          </cell>
          <cell r="C975" t="str">
            <v>TEMA C2</v>
          </cell>
          <cell r="D975">
            <v>45206</v>
          </cell>
          <cell r="E975" t="str">
            <v>Oct-23</v>
          </cell>
          <cell r="F975" t="str">
            <v>REGULER</v>
          </cell>
          <cell r="G975" t="str">
            <v>REGULER</v>
          </cell>
          <cell r="H975" t="str">
            <v>REGULER</v>
          </cell>
          <cell r="I975" t="str">
            <v>REGULER</v>
          </cell>
          <cell r="J975" t="str">
            <v>REGULER</v>
          </cell>
          <cell r="K975" t="str">
            <v>REGULER</v>
          </cell>
          <cell r="L975" t="str">
            <v>REGULER</v>
          </cell>
          <cell r="M975">
            <v>4</v>
          </cell>
          <cell r="N975">
            <v>40</v>
          </cell>
          <cell r="O975">
            <v>39</v>
          </cell>
          <cell r="P975">
            <v>38</v>
          </cell>
          <cell r="Q975">
            <v>24</v>
          </cell>
          <cell r="R975">
            <v>5</v>
          </cell>
          <cell r="S975">
            <v>5</v>
          </cell>
          <cell r="T975">
            <v>155</v>
          </cell>
          <cell r="U975">
            <v>4</v>
          </cell>
          <cell r="V975">
            <v>40</v>
          </cell>
          <cell r="W975">
            <v>39</v>
          </cell>
          <cell r="X975">
            <v>38</v>
          </cell>
          <cell r="Y975">
            <v>24</v>
          </cell>
          <cell r="Z975">
            <v>5</v>
          </cell>
          <cell r="AA975">
            <v>5</v>
          </cell>
          <cell r="AB975">
            <v>155</v>
          </cell>
          <cell r="AC975">
            <v>0</v>
          </cell>
          <cell r="AD975" t="str">
            <v>TIDAK</v>
          </cell>
          <cell r="AE975" t="str">
            <v>TIDAK</v>
          </cell>
          <cell r="AF975">
            <v>155</v>
          </cell>
          <cell r="AG975">
            <v>2</v>
          </cell>
          <cell r="AH975" t="str">
            <v>SAPHIRE</v>
          </cell>
          <cell r="AI975">
            <v>0</v>
          </cell>
          <cell r="AJ975" t="str">
            <v>Y</v>
          </cell>
          <cell r="AK975">
            <v>0</v>
          </cell>
          <cell r="AL975">
            <v>45261</v>
          </cell>
          <cell r="AM975">
            <v>45701</v>
          </cell>
          <cell r="AN975">
            <v>1</v>
          </cell>
          <cell r="AO975">
            <v>155</v>
          </cell>
          <cell r="AP975" t="str">
            <v>-</v>
          </cell>
          <cell r="AQ975" t="str">
            <v>-</v>
          </cell>
          <cell r="AR975" t="str">
            <v>-</v>
          </cell>
          <cell r="AS975" t="str">
            <v>-</v>
          </cell>
          <cell r="AT975" t="str">
            <v>-</v>
          </cell>
          <cell r="AU975" t="str">
            <v>-</v>
          </cell>
          <cell r="AV975" t="str">
            <v/>
          </cell>
          <cell r="AW975">
            <v>8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8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6</v>
          </cell>
          <cell r="BH975">
            <v>8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 t="str">
            <v/>
          </cell>
          <cell r="BN975">
            <v>14</v>
          </cell>
          <cell r="BO975">
            <v>6</v>
          </cell>
          <cell r="BP975">
            <v>8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 t="str">
            <v/>
          </cell>
          <cell r="BV975">
            <v>14</v>
          </cell>
          <cell r="BW975">
            <v>5</v>
          </cell>
          <cell r="BX975" t="str">
            <v>DOWNGRADE</v>
          </cell>
          <cell r="BY975" t="str">
            <v>RESET</v>
          </cell>
        </row>
        <row r="976">
          <cell r="A976" t="str">
            <v>A3247</v>
          </cell>
          <cell r="B976" t="str">
            <v>Prayoga Novan Liano</v>
          </cell>
          <cell r="C976" t="str">
            <v>TEMA C2</v>
          </cell>
          <cell r="D976">
            <v>45238</v>
          </cell>
          <cell r="E976" t="str">
            <v>Nov-23</v>
          </cell>
          <cell r="F976" t="str">
            <v>REGULER</v>
          </cell>
          <cell r="G976" t="str">
            <v>REGULER</v>
          </cell>
          <cell r="H976" t="str">
            <v>REGULER</v>
          </cell>
          <cell r="I976" t="str">
            <v>-</v>
          </cell>
          <cell r="J976" t="str">
            <v>-</v>
          </cell>
          <cell r="K976" t="str">
            <v>REGULER</v>
          </cell>
          <cell r="L976" t="str">
            <v>-</v>
          </cell>
          <cell r="M976">
            <v>18</v>
          </cell>
          <cell r="N976">
            <v>34</v>
          </cell>
          <cell r="O976">
            <v>19</v>
          </cell>
          <cell r="P976">
            <v>0</v>
          </cell>
          <cell r="Q976">
            <v>0</v>
          </cell>
          <cell r="R976">
            <v>1</v>
          </cell>
          <cell r="S976" t="str">
            <v/>
          </cell>
          <cell r="T976">
            <v>72</v>
          </cell>
          <cell r="U976">
            <v>18</v>
          </cell>
          <cell r="V976">
            <v>34</v>
          </cell>
          <cell r="W976">
            <v>19</v>
          </cell>
          <cell r="X976">
            <v>0</v>
          </cell>
          <cell r="Y976">
            <v>0</v>
          </cell>
          <cell r="Z976">
            <v>1</v>
          </cell>
          <cell r="AA976" t="str">
            <v/>
          </cell>
          <cell r="AB976">
            <v>72</v>
          </cell>
          <cell r="AC976">
            <v>3</v>
          </cell>
          <cell r="AD976" t="str">
            <v>DOWNGRADE</v>
          </cell>
          <cell r="AE976" t="str">
            <v>TIDAK</v>
          </cell>
          <cell r="AF976">
            <v>36</v>
          </cell>
          <cell r="AG976">
            <v>2</v>
          </cell>
          <cell r="AH976" t="str">
            <v>SAPHIRE</v>
          </cell>
          <cell r="AI976">
            <v>0</v>
          </cell>
          <cell r="AJ976" t="str">
            <v>FALSE</v>
          </cell>
          <cell r="AK976">
            <v>0</v>
          </cell>
          <cell r="AL976">
            <v>45261</v>
          </cell>
          <cell r="AM976">
            <v>45701</v>
          </cell>
          <cell r="AN976">
            <v>1</v>
          </cell>
          <cell r="AO976">
            <v>36</v>
          </cell>
          <cell r="AP976" t="str">
            <v>-</v>
          </cell>
          <cell r="AQ976" t="str">
            <v>-</v>
          </cell>
          <cell r="AR976" t="str">
            <v>-</v>
          </cell>
          <cell r="AS976" t="str">
            <v>-</v>
          </cell>
          <cell r="AT976" t="str">
            <v>-</v>
          </cell>
          <cell r="AU976" t="str">
            <v>-</v>
          </cell>
          <cell r="AV976" t="str">
            <v/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 t="str">
            <v/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 t="str">
            <v/>
          </cell>
          <cell r="BN976">
            <v>0</v>
          </cell>
          <cell r="BO976" t="str">
            <v/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 t="str">
            <v/>
          </cell>
          <cell r="BV976">
            <v>0</v>
          </cell>
          <cell r="BW976">
            <v>7</v>
          </cell>
          <cell r="BX976" t="str">
            <v>DOWNGRADE</v>
          </cell>
          <cell r="BY976" t="str">
            <v>RESET</v>
          </cell>
        </row>
        <row r="977">
          <cell r="A977" t="str">
            <v>A0915</v>
          </cell>
          <cell r="B977" t="str">
            <v>Prima Anggita</v>
          </cell>
          <cell r="C977" t="str">
            <v>TEMA C2</v>
          </cell>
          <cell r="D977">
            <v>44921</v>
          </cell>
          <cell r="E977" t="str">
            <v>Dec-22</v>
          </cell>
          <cell r="F977" t="str">
            <v>EKSKLUSIF</v>
          </cell>
          <cell r="G977" t="str">
            <v>EKSKLUSIF</v>
          </cell>
          <cell r="H977" t="str">
            <v>EKSKLUSIF</v>
          </cell>
          <cell r="I977" t="str">
            <v>EKSKLUSIF</v>
          </cell>
          <cell r="J977" t="str">
            <v>EKSKLUSIF</v>
          </cell>
          <cell r="K977" t="str">
            <v>EKSKLUSIF</v>
          </cell>
          <cell r="L977" t="str">
            <v>EKSKLUSIF</v>
          </cell>
          <cell r="M977">
            <v>21</v>
          </cell>
          <cell r="N977">
            <v>47</v>
          </cell>
          <cell r="O977">
            <v>40</v>
          </cell>
          <cell r="P977">
            <v>40</v>
          </cell>
          <cell r="Q977">
            <v>37</v>
          </cell>
          <cell r="R977">
            <v>40</v>
          </cell>
          <cell r="S977">
            <v>21</v>
          </cell>
          <cell r="T977">
            <v>246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 t="str">
            <v>TIDAK</v>
          </cell>
          <cell r="AE977" t="str">
            <v>TIDAK</v>
          </cell>
          <cell r="AF977">
            <v>0</v>
          </cell>
          <cell r="AG977">
            <v>3</v>
          </cell>
          <cell r="AH977" t="str">
            <v>SAPHIRE</v>
          </cell>
          <cell r="AI977">
            <v>0</v>
          </cell>
          <cell r="AJ977" t="str">
            <v>FALSE</v>
          </cell>
          <cell r="AK977">
            <v>0</v>
          </cell>
          <cell r="AL977">
            <v>45261</v>
          </cell>
          <cell r="AM977">
            <v>45701</v>
          </cell>
          <cell r="AN977">
            <v>1</v>
          </cell>
          <cell r="AO977">
            <v>0</v>
          </cell>
          <cell r="AP977" t="str">
            <v>EKSKLUSIF</v>
          </cell>
          <cell r="AQ977" t="str">
            <v>-</v>
          </cell>
          <cell r="AR977" t="str">
            <v>EKSKLUSIF</v>
          </cell>
          <cell r="AS977" t="str">
            <v>EKSKLUSIF</v>
          </cell>
          <cell r="AT977" t="str">
            <v>REGULER</v>
          </cell>
          <cell r="AU977" t="str">
            <v>-</v>
          </cell>
          <cell r="AV977" t="str">
            <v/>
          </cell>
          <cell r="AW977">
            <v>46</v>
          </cell>
          <cell r="AX977">
            <v>47</v>
          </cell>
          <cell r="AY977">
            <v>44</v>
          </cell>
          <cell r="AZ977">
            <v>2</v>
          </cell>
          <cell r="BA977">
            <v>0</v>
          </cell>
          <cell r="BB977">
            <v>46</v>
          </cell>
          <cell r="BC977">
            <v>47</v>
          </cell>
          <cell r="BD977">
            <v>44</v>
          </cell>
          <cell r="BE977">
            <v>2</v>
          </cell>
          <cell r="BF977">
            <v>0</v>
          </cell>
          <cell r="BG977">
            <v>18</v>
          </cell>
          <cell r="BH977">
            <v>46</v>
          </cell>
          <cell r="BI977">
            <v>47</v>
          </cell>
          <cell r="BJ977">
            <v>44</v>
          </cell>
          <cell r="BK977">
            <v>2</v>
          </cell>
          <cell r="BL977">
            <v>0</v>
          </cell>
          <cell r="BM977" t="str">
            <v/>
          </cell>
          <cell r="BN977">
            <v>157</v>
          </cell>
          <cell r="BO977">
            <v>0</v>
          </cell>
          <cell r="BP977">
            <v>46</v>
          </cell>
          <cell r="BQ977">
            <v>0</v>
          </cell>
          <cell r="BR977">
            <v>0</v>
          </cell>
          <cell r="BS977">
            <v>2</v>
          </cell>
          <cell r="BT977">
            <v>0</v>
          </cell>
          <cell r="BU977" t="str">
            <v/>
          </cell>
          <cell r="BV977">
            <v>48</v>
          </cell>
          <cell r="BW977">
            <v>2</v>
          </cell>
          <cell r="BX977" t="str">
            <v>TIDAK</v>
          </cell>
          <cell r="BY977" t="str">
            <v>TIDAK</v>
          </cell>
        </row>
        <row r="978">
          <cell r="A978" t="str">
            <v>A2146</v>
          </cell>
          <cell r="B978" t="str">
            <v>Putri Amalia</v>
          </cell>
          <cell r="C978" t="str">
            <v>TEMA C2</v>
          </cell>
          <cell r="D978">
            <v>45042</v>
          </cell>
          <cell r="E978" t="str">
            <v>Apr-23</v>
          </cell>
          <cell r="F978" t="str">
            <v>EKSKLUSIF</v>
          </cell>
          <cell r="G978" t="str">
            <v>EKSKLUSIF</v>
          </cell>
          <cell r="H978" t="str">
            <v>EKSKLUSIF</v>
          </cell>
          <cell r="I978" t="str">
            <v>EKSKLUSIF</v>
          </cell>
          <cell r="J978" t="str">
            <v>EKSKLUSIF</v>
          </cell>
          <cell r="K978" t="str">
            <v>EKSKLUSIF</v>
          </cell>
          <cell r="L978" t="str">
            <v>REGULER</v>
          </cell>
          <cell r="M978">
            <v>18</v>
          </cell>
          <cell r="N978">
            <v>44</v>
          </cell>
          <cell r="O978">
            <v>36</v>
          </cell>
          <cell r="P978">
            <v>36</v>
          </cell>
          <cell r="Q978">
            <v>36</v>
          </cell>
          <cell r="R978">
            <v>43</v>
          </cell>
          <cell r="S978">
            <v>16</v>
          </cell>
          <cell r="T978">
            <v>229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16</v>
          </cell>
          <cell r="AB978">
            <v>16</v>
          </cell>
          <cell r="AC978">
            <v>0</v>
          </cell>
          <cell r="AD978" t="str">
            <v>TIDAK</v>
          </cell>
          <cell r="AE978" t="str">
            <v>TIDAK</v>
          </cell>
          <cell r="AF978">
            <v>16</v>
          </cell>
          <cell r="AG978">
            <v>2</v>
          </cell>
          <cell r="AH978" t="str">
            <v>SAPHIRE</v>
          </cell>
          <cell r="AI978">
            <v>0</v>
          </cell>
          <cell r="AJ978" t="str">
            <v>FALSE</v>
          </cell>
          <cell r="AK978">
            <v>0</v>
          </cell>
          <cell r="AL978">
            <v>45261</v>
          </cell>
          <cell r="AM978">
            <v>45701</v>
          </cell>
          <cell r="AN978">
            <v>1</v>
          </cell>
          <cell r="AO978">
            <v>16</v>
          </cell>
          <cell r="AP978" t="str">
            <v>-</v>
          </cell>
          <cell r="AQ978" t="str">
            <v>-</v>
          </cell>
          <cell r="AR978" t="str">
            <v>REGULER</v>
          </cell>
          <cell r="AS978" t="str">
            <v>REGULER</v>
          </cell>
          <cell r="AT978" t="str">
            <v>REGULER</v>
          </cell>
          <cell r="AU978" t="str">
            <v>REGULER</v>
          </cell>
          <cell r="AV978" t="str">
            <v/>
          </cell>
          <cell r="AW978">
            <v>39</v>
          </cell>
          <cell r="AX978">
            <v>34</v>
          </cell>
          <cell r="AY978">
            <v>33</v>
          </cell>
          <cell r="AZ978">
            <v>26</v>
          </cell>
          <cell r="BA978">
            <v>21</v>
          </cell>
          <cell r="BB978">
            <v>39</v>
          </cell>
          <cell r="BC978">
            <v>34</v>
          </cell>
          <cell r="BD978">
            <v>33</v>
          </cell>
          <cell r="BE978">
            <v>26</v>
          </cell>
          <cell r="BF978">
            <v>21</v>
          </cell>
          <cell r="BG978">
            <v>16</v>
          </cell>
          <cell r="BH978">
            <v>39</v>
          </cell>
          <cell r="BI978">
            <v>34</v>
          </cell>
          <cell r="BJ978">
            <v>33</v>
          </cell>
          <cell r="BK978">
            <v>26</v>
          </cell>
          <cell r="BL978">
            <v>21</v>
          </cell>
          <cell r="BM978" t="str">
            <v/>
          </cell>
          <cell r="BN978">
            <v>169</v>
          </cell>
          <cell r="BO978">
            <v>16</v>
          </cell>
          <cell r="BP978">
            <v>39</v>
          </cell>
          <cell r="BQ978">
            <v>34</v>
          </cell>
          <cell r="BR978">
            <v>33</v>
          </cell>
          <cell r="BS978">
            <v>26</v>
          </cell>
          <cell r="BT978">
            <v>21</v>
          </cell>
          <cell r="BU978" t="str">
            <v/>
          </cell>
          <cell r="BV978">
            <v>169</v>
          </cell>
          <cell r="BW978">
            <v>1</v>
          </cell>
          <cell r="BX978" t="str">
            <v>TIDAK</v>
          </cell>
          <cell r="BY978" t="str">
            <v>TIDAK</v>
          </cell>
        </row>
        <row r="979">
          <cell r="A979">
            <v>90689</v>
          </cell>
          <cell r="B979" t="str">
            <v>Putri Maiwan</v>
          </cell>
          <cell r="C979" t="str">
            <v>TEMA C2</v>
          </cell>
          <cell r="D979">
            <v>45222</v>
          </cell>
          <cell r="E979" t="str">
            <v>Oct-23</v>
          </cell>
          <cell r="F979" t="str">
            <v>REGULER</v>
          </cell>
          <cell r="G979" t="str">
            <v>REGULER</v>
          </cell>
          <cell r="H979" t="str">
            <v>REGULER</v>
          </cell>
          <cell r="I979" t="str">
            <v>REGULER</v>
          </cell>
          <cell r="J979" t="str">
            <v>-</v>
          </cell>
          <cell r="K979" t="str">
            <v>-</v>
          </cell>
          <cell r="L979" t="str">
            <v>-</v>
          </cell>
          <cell r="M979">
            <v>19</v>
          </cell>
          <cell r="N979">
            <v>44</v>
          </cell>
          <cell r="O979">
            <v>35</v>
          </cell>
          <cell r="P979">
            <v>17</v>
          </cell>
          <cell r="Q979">
            <v>0</v>
          </cell>
          <cell r="R979">
            <v>0</v>
          </cell>
          <cell r="S979" t="str">
            <v/>
          </cell>
          <cell r="T979">
            <v>115</v>
          </cell>
          <cell r="U979">
            <v>19</v>
          </cell>
          <cell r="V979">
            <v>44</v>
          </cell>
          <cell r="W979">
            <v>35</v>
          </cell>
          <cell r="X979">
            <v>17</v>
          </cell>
          <cell r="Y979">
            <v>0</v>
          </cell>
          <cell r="Z979">
            <v>0</v>
          </cell>
          <cell r="AA979" t="str">
            <v/>
          </cell>
          <cell r="AB979">
            <v>115</v>
          </cell>
          <cell r="AC979">
            <v>3</v>
          </cell>
          <cell r="AD979" t="str">
            <v>DOWNGRADE</v>
          </cell>
          <cell r="AE979" t="str">
            <v>RESET</v>
          </cell>
          <cell r="AF979">
            <v>0</v>
          </cell>
          <cell r="AG979">
            <v>4</v>
          </cell>
          <cell r="AH979" t="str">
            <v>SAPHIRE</v>
          </cell>
          <cell r="AI979">
            <v>0</v>
          </cell>
          <cell r="AJ979" t="str">
            <v>FALSE</v>
          </cell>
          <cell r="AK979">
            <v>0</v>
          </cell>
          <cell r="AL979">
            <v>45261</v>
          </cell>
          <cell r="AM979">
            <v>45701</v>
          </cell>
          <cell r="AN979">
            <v>1</v>
          </cell>
          <cell r="AO979">
            <v>0</v>
          </cell>
          <cell r="AP979" t="str">
            <v>-</v>
          </cell>
          <cell r="AQ979" t="str">
            <v>-</v>
          </cell>
          <cell r="AR979" t="str">
            <v>-</v>
          </cell>
          <cell r="AS979" t="str">
            <v>-</v>
          </cell>
          <cell r="AT979" t="str">
            <v>-</v>
          </cell>
          <cell r="AU979" t="str">
            <v>-</v>
          </cell>
          <cell r="AV979" t="str">
            <v/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 t="str">
            <v/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 t="str">
            <v/>
          </cell>
          <cell r="BN979">
            <v>0</v>
          </cell>
          <cell r="BO979" t="str">
            <v/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 t="str">
            <v/>
          </cell>
          <cell r="BV979">
            <v>0</v>
          </cell>
          <cell r="BW979">
            <v>7</v>
          </cell>
          <cell r="BX979" t="str">
            <v>DOWNGRADE</v>
          </cell>
          <cell r="BY979" t="str">
            <v>RESET</v>
          </cell>
        </row>
        <row r="980">
          <cell r="A980" t="str">
            <v>A2174</v>
          </cell>
          <cell r="B980" t="str">
            <v xml:space="preserve">Queendy Kalingga </v>
          </cell>
          <cell r="C980" t="str">
            <v>TEMA C2</v>
          </cell>
          <cell r="D980">
            <v>45054</v>
          </cell>
          <cell r="E980" t="str">
            <v>May-23</v>
          </cell>
          <cell r="F980" t="str">
            <v>EKSKLUSIF</v>
          </cell>
          <cell r="G980" t="str">
            <v>EKSKLUSIF</v>
          </cell>
          <cell r="H980" t="str">
            <v>EKSKLUSIF</v>
          </cell>
          <cell r="I980" t="str">
            <v>REGULER</v>
          </cell>
          <cell r="J980" t="str">
            <v>REGULER</v>
          </cell>
          <cell r="K980" t="str">
            <v>EKSKLUSIF</v>
          </cell>
          <cell r="L980" t="str">
            <v>EKSKLUSIF</v>
          </cell>
          <cell r="M980">
            <v>21</v>
          </cell>
          <cell r="N980">
            <v>46</v>
          </cell>
          <cell r="O980">
            <v>40</v>
          </cell>
          <cell r="P980">
            <v>27</v>
          </cell>
          <cell r="Q980">
            <v>36</v>
          </cell>
          <cell r="R980">
            <v>38</v>
          </cell>
          <cell r="S980">
            <v>22</v>
          </cell>
          <cell r="T980">
            <v>230</v>
          </cell>
          <cell r="U980">
            <v>0</v>
          </cell>
          <cell r="V980">
            <v>0</v>
          </cell>
          <cell r="W980">
            <v>0</v>
          </cell>
          <cell r="X980">
            <v>27</v>
          </cell>
          <cell r="Y980">
            <v>36</v>
          </cell>
          <cell r="Z980">
            <v>0</v>
          </cell>
          <cell r="AA980">
            <v>0</v>
          </cell>
          <cell r="AB980">
            <v>63</v>
          </cell>
          <cell r="AC980">
            <v>0</v>
          </cell>
          <cell r="AD980" t="str">
            <v>TIDAK</v>
          </cell>
          <cell r="AE980" t="str">
            <v>TIDAK</v>
          </cell>
          <cell r="AF980">
            <v>63</v>
          </cell>
          <cell r="AG980">
            <v>1</v>
          </cell>
          <cell r="AH980" t="str">
            <v>SAPHIRE</v>
          </cell>
          <cell r="AI980">
            <v>0</v>
          </cell>
          <cell r="AJ980" t="str">
            <v>FALSE</v>
          </cell>
          <cell r="AK980">
            <v>0</v>
          </cell>
          <cell r="AL980">
            <v>45261</v>
          </cell>
          <cell r="AM980">
            <v>45701</v>
          </cell>
          <cell r="AN980">
            <v>1</v>
          </cell>
          <cell r="AO980">
            <v>63</v>
          </cell>
          <cell r="AP980" t="str">
            <v>EKSKLUSIF</v>
          </cell>
          <cell r="AQ980" t="str">
            <v>-</v>
          </cell>
          <cell r="AR980" t="str">
            <v>-</v>
          </cell>
          <cell r="AS980" t="str">
            <v>-</v>
          </cell>
          <cell r="AT980" t="str">
            <v>-</v>
          </cell>
          <cell r="AU980" t="str">
            <v>-</v>
          </cell>
          <cell r="AV980" t="str">
            <v/>
          </cell>
          <cell r="AW980">
            <v>49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49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19</v>
          </cell>
          <cell r="BH980">
            <v>49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 t="str">
            <v/>
          </cell>
          <cell r="BN980">
            <v>68</v>
          </cell>
          <cell r="BO980">
            <v>0</v>
          </cell>
          <cell r="BP980">
            <v>49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 t="str">
            <v/>
          </cell>
          <cell r="BV980">
            <v>49</v>
          </cell>
          <cell r="BW980">
            <v>5</v>
          </cell>
          <cell r="BX980" t="str">
            <v>DOWNGRADE</v>
          </cell>
          <cell r="BY980" t="str">
            <v>RESET</v>
          </cell>
        </row>
        <row r="981">
          <cell r="A981" t="str">
            <v>A1964</v>
          </cell>
          <cell r="B981" t="str">
            <v>R. Adhitya Sulistomo</v>
          </cell>
          <cell r="C981" t="str">
            <v>TEMA C2</v>
          </cell>
          <cell r="D981">
            <v>45020</v>
          </cell>
          <cell r="E981" t="str">
            <v>Apr-23</v>
          </cell>
          <cell r="F981" t="str">
            <v>REGULER</v>
          </cell>
          <cell r="G981" t="str">
            <v>REGULER</v>
          </cell>
          <cell r="H981" t="str">
            <v>REGULER</v>
          </cell>
          <cell r="I981" t="str">
            <v>REGULER</v>
          </cell>
          <cell r="J981" t="str">
            <v>-</v>
          </cell>
          <cell r="K981" t="str">
            <v>-</v>
          </cell>
          <cell r="L981" t="str">
            <v>-</v>
          </cell>
          <cell r="M981">
            <v>2</v>
          </cell>
          <cell r="N981">
            <v>4</v>
          </cell>
          <cell r="O981">
            <v>5</v>
          </cell>
          <cell r="P981">
            <v>3</v>
          </cell>
          <cell r="Q981">
            <v>0</v>
          </cell>
          <cell r="R981">
            <v>0</v>
          </cell>
          <cell r="S981" t="str">
            <v/>
          </cell>
          <cell r="T981">
            <v>14</v>
          </cell>
          <cell r="U981">
            <v>2</v>
          </cell>
          <cell r="V981">
            <v>4</v>
          </cell>
          <cell r="W981">
            <v>5</v>
          </cell>
          <cell r="X981">
            <v>3</v>
          </cell>
          <cell r="Y981">
            <v>0</v>
          </cell>
          <cell r="Z981">
            <v>0</v>
          </cell>
          <cell r="AA981" t="str">
            <v/>
          </cell>
          <cell r="AB981">
            <v>14</v>
          </cell>
          <cell r="AC981">
            <v>3</v>
          </cell>
          <cell r="AD981" t="str">
            <v>DOWNGRADE</v>
          </cell>
          <cell r="AE981" t="str">
            <v>RESET</v>
          </cell>
          <cell r="AF981">
            <v>0</v>
          </cell>
          <cell r="AG981">
            <v>1</v>
          </cell>
          <cell r="AH981" t="str">
            <v>SAPHIRE</v>
          </cell>
          <cell r="AI981">
            <v>0</v>
          </cell>
          <cell r="AJ981" t="str">
            <v>FALSE</v>
          </cell>
          <cell r="AK981">
            <v>0</v>
          </cell>
          <cell r="AL981">
            <v>45261</v>
          </cell>
          <cell r="AM981">
            <v>45701</v>
          </cell>
          <cell r="AN981">
            <v>1</v>
          </cell>
          <cell r="AO981">
            <v>0</v>
          </cell>
          <cell r="AP981" t="str">
            <v>-</v>
          </cell>
          <cell r="AQ981" t="str">
            <v>-</v>
          </cell>
          <cell r="AR981" t="str">
            <v>-</v>
          </cell>
          <cell r="AS981" t="str">
            <v>-</v>
          </cell>
          <cell r="AT981" t="str">
            <v>-</v>
          </cell>
          <cell r="AU981" t="str">
            <v>-</v>
          </cell>
          <cell r="AV981" t="str">
            <v/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 t="str">
            <v/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 t="str">
            <v/>
          </cell>
          <cell r="BN981">
            <v>0</v>
          </cell>
          <cell r="BO981" t="str">
            <v/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 t="str">
            <v/>
          </cell>
          <cell r="BV981">
            <v>0</v>
          </cell>
          <cell r="BW981">
            <v>7</v>
          </cell>
          <cell r="BX981" t="str">
            <v>DOWNGRADE</v>
          </cell>
          <cell r="BY981" t="str">
            <v>RESET</v>
          </cell>
        </row>
        <row r="982">
          <cell r="A982" t="str">
            <v>A3892</v>
          </cell>
          <cell r="B982" t="str">
            <v>Raden Bonaventura Gendra Igambimata</v>
          </cell>
          <cell r="C982" t="str">
            <v>TEMA C2</v>
          </cell>
          <cell r="D982">
            <v>45367</v>
          </cell>
          <cell r="E982" t="str">
            <v>Mar-24</v>
          </cell>
          <cell r="F982" t="str">
            <v>-</v>
          </cell>
          <cell r="G982" t="str">
            <v>-</v>
          </cell>
          <cell r="H982" t="str">
            <v>-</v>
          </cell>
          <cell r="I982" t="str">
            <v>REGULER</v>
          </cell>
          <cell r="J982" t="str">
            <v>REGULER</v>
          </cell>
          <cell r="K982" t="str">
            <v>REGULER</v>
          </cell>
          <cell r="L982" t="str">
            <v>REGULER</v>
          </cell>
          <cell r="M982">
            <v>0</v>
          </cell>
          <cell r="N982">
            <v>0</v>
          </cell>
          <cell r="O982">
            <v>0</v>
          </cell>
          <cell r="P982">
            <v>15</v>
          </cell>
          <cell r="Q982">
            <v>31</v>
          </cell>
          <cell r="R982">
            <v>33</v>
          </cell>
          <cell r="S982">
            <v>15</v>
          </cell>
          <cell r="T982">
            <v>94</v>
          </cell>
          <cell r="U982">
            <v>0</v>
          </cell>
          <cell r="V982">
            <v>0</v>
          </cell>
          <cell r="W982">
            <v>0</v>
          </cell>
          <cell r="X982">
            <v>15</v>
          </cell>
          <cell r="Y982">
            <v>31</v>
          </cell>
          <cell r="Z982">
            <v>33</v>
          </cell>
          <cell r="AA982">
            <v>15</v>
          </cell>
          <cell r="AB982">
            <v>94</v>
          </cell>
          <cell r="AC982">
            <v>0</v>
          </cell>
          <cell r="AD982" t="str">
            <v>TIDAK</v>
          </cell>
          <cell r="AE982" t="str">
            <v>TIDAK</v>
          </cell>
          <cell r="AF982">
            <v>94</v>
          </cell>
          <cell r="AG982">
            <v>1</v>
          </cell>
          <cell r="AH982" t="str">
            <v>SAPHIRE</v>
          </cell>
          <cell r="AI982">
            <v>0</v>
          </cell>
          <cell r="AJ982" t="str">
            <v>Y</v>
          </cell>
          <cell r="AK982">
            <v>0</v>
          </cell>
          <cell r="AL982">
            <v>45261</v>
          </cell>
          <cell r="AM982">
            <v>45701</v>
          </cell>
          <cell r="AN982">
            <v>1</v>
          </cell>
          <cell r="AO982">
            <v>94</v>
          </cell>
          <cell r="AP982" t="str">
            <v>-</v>
          </cell>
          <cell r="AQ982" t="str">
            <v>-</v>
          </cell>
          <cell r="AR982" t="str">
            <v>REGULER</v>
          </cell>
          <cell r="AS982" t="str">
            <v>REGULER</v>
          </cell>
          <cell r="AT982" t="str">
            <v>REGULER</v>
          </cell>
          <cell r="AU982" t="str">
            <v>-</v>
          </cell>
          <cell r="AV982" t="str">
            <v/>
          </cell>
          <cell r="AW982">
            <v>23</v>
          </cell>
          <cell r="AX982">
            <v>11</v>
          </cell>
          <cell r="AY982">
            <v>2</v>
          </cell>
          <cell r="AZ982">
            <v>7</v>
          </cell>
          <cell r="BA982">
            <v>0</v>
          </cell>
          <cell r="BB982">
            <v>23</v>
          </cell>
          <cell r="BC982">
            <v>11</v>
          </cell>
          <cell r="BD982">
            <v>2</v>
          </cell>
          <cell r="BE982">
            <v>7</v>
          </cell>
          <cell r="BF982">
            <v>0</v>
          </cell>
          <cell r="BG982">
            <v>12</v>
          </cell>
          <cell r="BH982">
            <v>23</v>
          </cell>
          <cell r="BI982">
            <v>11</v>
          </cell>
          <cell r="BJ982">
            <v>2</v>
          </cell>
          <cell r="BK982">
            <v>7</v>
          </cell>
          <cell r="BL982">
            <v>0</v>
          </cell>
          <cell r="BM982" t="str">
            <v/>
          </cell>
          <cell r="BN982">
            <v>55</v>
          </cell>
          <cell r="BO982">
            <v>12</v>
          </cell>
          <cell r="BP982">
            <v>23</v>
          </cell>
          <cell r="BQ982">
            <v>11</v>
          </cell>
          <cell r="BR982">
            <v>2</v>
          </cell>
          <cell r="BS982">
            <v>7</v>
          </cell>
          <cell r="BT982">
            <v>0</v>
          </cell>
          <cell r="BU982" t="str">
            <v/>
          </cell>
          <cell r="BV982">
            <v>55</v>
          </cell>
          <cell r="BW982">
            <v>2</v>
          </cell>
          <cell r="BX982" t="str">
            <v>TIDAK</v>
          </cell>
          <cell r="BY982" t="str">
            <v>TIDAK</v>
          </cell>
        </row>
        <row r="983">
          <cell r="A983" t="str">
            <v>A1486</v>
          </cell>
          <cell r="B983" t="str">
            <v>Rafika Putri</v>
          </cell>
          <cell r="C983" t="str">
            <v>TEMA C2</v>
          </cell>
          <cell r="D983">
            <v>45000</v>
          </cell>
          <cell r="E983" t="str">
            <v>Mar-23</v>
          </cell>
          <cell r="F983" t="str">
            <v>REGULER</v>
          </cell>
          <cell r="G983" t="str">
            <v>REGULER</v>
          </cell>
          <cell r="H983" t="str">
            <v>REGULER</v>
          </cell>
          <cell r="I983" t="str">
            <v>REGULER</v>
          </cell>
          <cell r="J983" t="str">
            <v>REGULER</v>
          </cell>
          <cell r="K983" t="str">
            <v>REGULER</v>
          </cell>
          <cell r="L983" t="str">
            <v>REGULER</v>
          </cell>
          <cell r="M983">
            <v>16</v>
          </cell>
          <cell r="N983">
            <v>38</v>
          </cell>
          <cell r="O983">
            <v>26</v>
          </cell>
          <cell r="P983">
            <v>28</v>
          </cell>
          <cell r="Q983">
            <v>31</v>
          </cell>
          <cell r="R983">
            <v>26</v>
          </cell>
          <cell r="S983">
            <v>13</v>
          </cell>
          <cell r="T983">
            <v>178</v>
          </cell>
          <cell r="U983">
            <v>16</v>
          </cell>
          <cell r="V983">
            <v>38</v>
          </cell>
          <cell r="W983">
            <v>26</v>
          </cell>
          <cell r="X983">
            <v>28</v>
          </cell>
          <cell r="Y983">
            <v>31</v>
          </cell>
          <cell r="Z983">
            <v>26</v>
          </cell>
          <cell r="AA983">
            <v>13</v>
          </cell>
          <cell r="AB983">
            <v>178</v>
          </cell>
          <cell r="AC983">
            <v>0</v>
          </cell>
          <cell r="AD983" t="str">
            <v>TIDAK</v>
          </cell>
          <cell r="AE983" t="str">
            <v>TIDAK</v>
          </cell>
          <cell r="AF983">
            <v>178</v>
          </cell>
          <cell r="AG983">
            <v>3</v>
          </cell>
          <cell r="AH983" t="str">
            <v>SAPHIRE</v>
          </cell>
          <cell r="AI983">
            <v>0</v>
          </cell>
          <cell r="AJ983" t="str">
            <v>Y</v>
          </cell>
          <cell r="AK983">
            <v>0</v>
          </cell>
          <cell r="AL983">
            <v>45261</v>
          </cell>
          <cell r="AM983">
            <v>45701</v>
          </cell>
          <cell r="AN983">
            <v>1</v>
          </cell>
          <cell r="AO983">
            <v>178</v>
          </cell>
          <cell r="AP983" t="str">
            <v>-</v>
          </cell>
          <cell r="AQ983" t="str">
            <v>-</v>
          </cell>
          <cell r="AR983" t="str">
            <v>REGULER</v>
          </cell>
          <cell r="AS983" t="str">
            <v>-</v>
          </cell>
          <cell r="AT983" t="str">
            <v>-</v>
          </cell>
          <cell r="AU983" t="str">
            <v>-</v>
          </cell>
          <cell r="AV983" t="str">
            <v/>
          </cell>
          <cell r="AW983">
            <v>17</v>
          </cell>
          <cell r="AX983">
            <v>7</v>
          </cell>
          <cell r="AY983">
            <v>0</v>
          </cell>
          <cell r="AZ983">
            <v>0</v>
          </cell>
          <cell r="BA983">
            <v>0</v>
          </cell>
          <cell r="BB983">
            <v>17</v>
          </cell>
          <cell r="BC983">
            <v>7</v>
          </cell>
          <cell r="BD983">
            <v>0</v>
          </cell>
          <cell r="BE983">
            <v>0</v>
          </cell>
          <cell r="BF983">
            <v>0</v>
          </cell>
          <cell r="BG983">
            <v>11</v>
          </cell>
          <cell r="BH983">
            <v>17</v>
          </cell>
          <cell r="BI983">
            <v>7</v>
          </cell>
          <cell r="BJ983">
            <v>0</v>
          </cell>
          <cell r="BK983">
            <v>0</v>
          </cell>
          <cell r="BL983">
            <v>0</v>
          </cell>
          <cell r="BM983" t="str">
            <v/>
          </cell>
          <cell r="BN983">
            <v>35</v>
          </cell>
          <cell r="BO983">
            <v>11</v>
          </cell>
          <cell r="BP983">
            <v>17</v>
          </cell>
          <cell r="BQ983">
            <v>7</v>
          </cell>
          <cell r="BR983">
            <v>0</v>
          </cell>
          <cell r="BS983">
            <v>0</v>
          </cell>
          <cell r="BT983">
            <v>0</v>
          </cell>
          <cell r="BU983" t="str">
            <v/>
          </cell>
          <cell r="BV983">
            <v>35</v>
          </cell>
          <cell r="BW983">
            <v>4</v>
          </cell>
          <cell r="BX983" t="str">
            <v>DOWNGRADE</v>
          </cell>
          <cell r="BY983" t="str">
            <v>RESET</v>
          </cell>
        </row>
        <row r="984">
          <cell r="A984" t="str">
            <v>A3894</v>
          </cell>
          <cell r="B984" t="str">
            <v>Rahma Alfiani</v>
          </cell>
          <cell r="C984" t="str">
            <v>TEMA C2</v>
          </cell>
          <cell r="D984">
            <v>45371</v>
          </cell>
          <cell r="E984" t="str">
            <v>Mar-24</v>
          </cell>
          <cell r="F984" t="str">
            <v>-</v>
          </cell>
          <cell r="G984" t="str">
            <v>-</v>
          </cell>
          <cell r="H984" t="str">
            <v>-</v>
          </cell>
          <cell r="I984" t="str">
            <v>REGULER</v>
          </cell>
          <cell r="J984" t="str">
            <v>REGULER</v>
          </cell>
          <cell r="K984" t="str">
            <v>REGULER</v>
          </cell>
          <cell r="L984" t="str">
            <v>-</v>
          </cell>
          <cell r="M984">
            <v>0</v>
          </cell>
          <cell r="N984">
            <v>0</v>
          </cell>
          <cell r="O984">
            <v>0</v>
          </cell>
          <cell r="P984">
            <v>3</v>
          </cell>
          <cell r="Q984">
            <v>7</v>
          </cell>
          <cell r="R984">
            <v>8</v>
          </cell>
          <cell r="S984" t="str">
            <v/>
          </cell>
          <cell r="T984">
            <v>18</v>
          </cell>
          <cell r="U984">
            <v>0</v>
          </cell>
          <cell r="V984">
            <v>0</v>
          </cell>
          <cell r="W984">
            <v>0</v>
          </cell>
          <cell r="X984">
            <v>3</v>
          </cell>
          <cell r="Y984">
            <v>7</v>
          </cell>
          <cell r="Z984">
            <v>8</v>
          </cell>
          <cell r="AA984" t="str">
            <v/>
          </cell>
          <cell r="AB984">
            <v>18</v>
          </cell>
          <cell r="AC984">
            <v>1</v>
          </cell>
          <cell r="AD984" t="str">
            <v>TIDAK</v>
          </cell>
          <cell r="AE984" t="str">
            <v>TIDAK</v>
          </cell>
          <cell r="AF984">
            <v>18</v>
          </cell>
          <cell r="AG984">
            <v>1</v>
          </cell>
          <cell r="AH984" t="str">
            <v>SAPHIRE</v>
          </cell>
          <cell r="AI984">
            <v>0</v>
          </cell>
          <cell r="AJ984" t="str">
            <v>FALSE</v>
          </cell>
          <cell r="AK984">
            <v>0</v>
          </cell>
          <cell r="AL984">
            <v>45261</v>
          </cell>
          <cell r="AM984">
            <v>45701</v>
          </cell>
          <cell r="AN984">
            <v>1</v>
          </cell>
          <cell r="AO984">
            <v>18</v>
          </cell>
          <cell r="AP984" t="str">
            <v>-</v>
          </cell>
          <cell r="AQ984" t="str">
            <v>-</v>
          </cell>
          <cell r="AR984" t="str">
            <v>-</v>
          </cell>
          <cell r="AS984" t="str">
            <v>-</v>
          </cell>
          <cell r="AT984" t="str">
            <v>-</v>
          </cell>
          <cell r="AU984" t="str">
            <v>-</v>
          </cell>
          <cell r="AV984" t="str">
            <v/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 t="str">
            <v/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 t="str">
            <v/>
          </cell>
          <cell r="BN984">
            <v>0</v>
          </cell>
          <cell r="BO984" t="str">
            <v/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 t="str">
            <v/>
          </cell>
          <cell r="BV984">
            <v>0</v>
          </cell>
          <cell r="BW984">
            <v>7</v>
          </cell>
          <cell r="BX984" t="str">
            <v>DOWNGRADE</v>
          </cell>
          <cell r="BY984" t="str">
            <v>RESET</v>
          </cell>
        </row>
        <row r="985">
          <cell r="A985" t="str">
            <v>A3688</v>
          </cell>
          <cell r="B985" t="str">
            <v>RAHMA ASTUTI NINGSIH</v>
          </cell>
          <cell r="C985" t="str">
            <v>TEMA C2</v>
          </cell>
          <cell r="D985">
            <v>45414</v>
          </cell>
          <cell r="E985" t="str">
            <v>May-24</v>
          </cell>
          <cell r="F985" t="str">
            <v>-</v>
          </cell>
          <cell r="G985" t="str">
            <v>-</v>
          </cell>
          <cell r="H985" t="str">
            <v>-</v>
          </cell>
          <cell r="I985" t="str">
            <v>-</v>
          </cell>
          <cell r="J985" t="str">
            <v>-</v>
          </cell>
          <cell r="K985" t="str">
            <v>REGULER</v>
          </cell>
          <cell r="L985" t="str">
            <v>REGULER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6</v>
          </cell>
          <cell r="S985">
            <v>5</v>
          </cell>
          <cell r="T985">
            <v>11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6</v>
          </cell>
          <cell r="AA985">
            <v>5</v>
          </cell>
          <cell r="AB985">
            <v>11</v>
          </cell>
          <cell r="AC985">
            <v>0</v>
          </cell>
          <cell r="AD985" t="str">
            <v>TIDAK</v>
          </cell>
          <cell r="AE985" t="str">
            <v>TIDAK</v>
          </cell>
          <cell r="AF985">
            <v>11</v>
          </cell>
          <cell r="AG985">
            <v>1</v>
          </cell>
          <cell r="AH985" t="str">
            <v>SAPHIRE</v>
          </cell>
          <cell r="AI985">
            <v>0</v>
          </cell>
          <cell r="AJ985" t="str">
            <v>FALSE</v>
          </cell>
          <cell r="AK985">
            <v>0</v>
          </cell>
          <cell r="AL985">
            <v>45261</v>
          </cell>
          <cell r="AM985">
            <v>45701</v>
          </cell>
          <cell r="AN985">
            <v>1</v>
          </cell>
          <cell r="AO985">
            <v>11</v>
          </cell>
          <cell r="AP985" t="str">
            <v>-</v>
          </cell>
          <cell r="AQ985" t="str">
            <v>-</v>
          </cell>
          <cell r="AR985" t="str">
            <v>-</v>
          </cell>
          <cell r="AS985" t="str">
            <v>-</v>
          </cell>
          <cell r="AT985" t="str">
            <v>-</v>
          </cell>
          <cell r="AU985" t="str">
            <v>-</v>
          </cell>
          <cell r="AV985" t="str">
            <v/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1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 t="str">
            <v/>
          </cell>
          <cell r="BN985">
            <v>1</v>
          </cell>
          <cell r="BO985">
            <v>1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 t="str">
            <v/>
          </cell>
          <cell r="BV985">
            <v>1</v>
          </cell>
          <cell r="BW985">
            <v>6</v>
          </cell>
          <cell r="BX985" t="str">
            <v>DOWNGRADE</v>
          </cell>
          <cell r="BY985" t="str">
            <v>RESET</v>
          </cell>
        </row>
        <row r="986">
          <cell r="A986">
            <v>92347</v>
          </cell>
          <cell r="B986" t="str">
            <v>Rahmad Sabtono</v>
          </cell>
          <cell r="C986" t="str">
            <v>TEMA C2</v>
          </cell>
          <cell r="D986">
            <v>44714</v>
          </cell>
          <cell r="E986" t="str">
            <v>Jun-22</v>
          </cell>
          <cell r="F986" t="str">
            <v>EKSKLUSIF</v>
          </cell>
          <cell r="G986" t="str">
            <v>EKSKLUSIF</v>
          </cell>
          <cell r="H986" t="str">
            <v>EKSKLUSIF</v>
          </cell>
          <cell r="I986" t="str">
            <v>EKSKLUSIF</v>
          </cell>
          <cell r="J986" t="str">
            <v>EKSKLUSIF</v>
          </cell>
          <cell r="K986" t="str">
            <v>EKSKLUSIF</v>
          </cell>
          <cell r="L986" t="str">
            <v>EKSKLUSIF</v>
          </cell>
          <cell r="M986">
            <v>20</v>
          </cell>
          <cell r="N986">
            <v>42</v>
          </cell>
          <cell r="O986">
            <v>39</v>
          </cell>
          <cell r="P986">
            <v>42</v>
          </cell>
          <cell r="Q986">
            <v>36</v>
          </cell>
          <cell r="R986">
            <v>43</v>
          </cell>
          <cell r="S986">
            <v>15</v>
          </cell>
          <cell r="T986">
            <v>237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 t="str">
            <v>TIDAK</v>
          </cell>
          <cell r="AE986" t="str">
            <v>TIDAK</v>
          </cell>
          <cell r="AF986">
            <v>0</v>
          </cell>
          <cell r="AG986">
            <v>1</v>
          </cell>
          <cell r="AH986" t="str">
            <v>SAPHIRE</v>
          </cell>
          <cell r="AI986">
            <v>0</v>
          </cell>
          <cell r="AJ986" t="str">
            <v>FALSE</v>
          </cell>
          <cell r="AK986">
            <v>0</v>
          </cell>
          <cell r="AL986">
            <v>45261</v>
          </cell>
          <cell r="AM986">
            <v>45701</v>
          </cell>
          <cell r="AN986">
            <v>1</v>
          </cell>
          <cell r="AO986">
            <v>0</v>
          </cell>
          <cell r="AP986" t="str">
            <v>EKSKLUSIF</v>
          </cell>
          <cell r="AQ986" t="str">
            <v>-</v>
          </cell>
          <cell r="AR986" t="str">
            <v>EKSKLUSIF</v>
          </cell>
          <cell r="AS986" t="str">
            <v>EKSKLUSIF</v>
          </cell>
          <cell r="AT986" t="str">
            <v>EKSKLUSIF</v>
          </cell>
          <cell r="AU986" t="str">
            <v>EKSKLUSIF</v>
          </cell>
          <cell r="AV986" t="str">
            <v/>
          </cell>
          <cell r="AW986">
            <v>48</v>
          </cell>
          <cell r="AX986">
            <v>44</v>
          </cell>
          <cell r="AY986">
            <v>39</v>
          </cell>
          <cell r="AZ986">
            <v>44</v>
          </cell>
          <cell r="BA986">
            <v>38</v>
          </cell>
          <cell r="BB986">
            <v>48</v>
          </cell>
          <cell r="BC986">
            <v>44</v>
          </cell>
          <cell r="BD986">
            <v>39</v>
          </cell>
          <cell r="BE986">
            <v>44</v>
          </cell>
          <cell r="BF986">
            <v>38</v>
          </cell>
          <cell r="BG986">
            <v>18</v>
          </cell>
          <cell r="BH986">
            <v>48</v>
          </cell>
          <cell r="BI986">
            <v>44</v>
          </cell>
          <cell r="BJ986">
            <v>39</v>
          </cell>
          <cell r="BK986">
            <v>44</v>
          </cell>
          <cell r="BL986">
            <v>38</v>
          </cell>
          <cell r="BM986">
            <v>16</v>
          </cell>
          <cell r="BN986">
            <v>247</v>
          </cell>
          <cell r="BO986">
            <v>0</v>
          </cell>
          <cell r="BP986">
            <v>48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16</v>
          </cell>
          <cell r="BV986">
            <v>64</v>
          </cell>
          <cell r="BW986">
            <v>0</v>
          </cell>
          <cell r="BX986" t="str">
            <v>TIDAK</v>
          </cell>
          <cell r="BY986" t="str">
            <v>TIDAK</v>
          </cell>
        </row>
        <row r="987">
          <cell r="A987" t="str">
            <v>A3204</v>
          </cell>
          <cell r="B987" t="str">
            <v>Rani Tyas Salmadewi</v>
          </cell>
          <cell r="C987" t="str">
            <v>TEMA C2</v>
          </cell>
          <cell r="D987">
            <v>45262</v>
          </cell>
          <cell r="E987" t="str">
            <v>Dec-23</v>
          </cell>
          <cell r="F987" t="str">
            <v>REGULER</v>
          </cell>
          <cell r="G987" t="str">
            <v>REGULER</v>
          </cell>
          <cell r="H987" t="str">
            <v>REGULER</v>
          </cell>
          <cell r="I987" t="str">
            <v>-</v>
          </cell>
          <cell r="J987" t="str">
            <v>-</v>
          </cell>
          <cell r="K987" t="str">
            <v>-</v>
          </cell>
          <cell r="L987" t="str">
            <v>-</v>
          </cell>
          <cell r="M987">
            <v>3</v>
          </cell>
          <cell r="N987">
            <v>12</v>
          </cell>
          <cell r="O987">
            <v>1</v>
          </cell>
          <cell r="P987">
            <v>0</v>
          </cell>
          <cell r="Q987">
            <v>0</v>
          </cell>
          <cell r="R987">
            <v>0</v>
          </cell>
          <cell r="S987" t="str">
            <v/>
          </cell>
          <cell r="T987">
            <v>16</v>
          </cell>
          <cell r="U987">
            <v>3</v>
          </cell>
          <cell r="V987">
            <v>12</v>
          </cell>
          <cell r="W987">
            <v>1</v>
          </cell>
          <cell r="X987">
            <v>0</v>
          </cell>
          <cell r="Y987">
            <v>0</v>
          </cell>
          <cell r="Z987">
            <v>0</v>
          </cell>
          <cell r="AA987" t="str">
            <v/>
          </cell>
          <cell r="AB987">
            <v>16</v>
          </cell>
          <cell r="AC987">
            <v>4</v>
          </cell>
          <cell r="AD987" t="str">
            <v>DOWNGRADE</v>
          </cell>
          <cell r="AE987" t="str">
            <v>RESET</v>
          </cell>
          <cell r="AF987">
            <v>0</v>
          </cell>
          <cell r="AG987">
            <v>1</v>
          </cell>
          <cell r="AH987" t="str">
            <v>SAPHIRE</v>
          </cell>
          <cell r="AI987">
            <v>0</v>
          </cell>
          <cell r="AJ987" t="str">
            <v>FALSE</v>
          </cell>
          <cell r="AK987">
            <v>0</v>
          </cell>
          <cell r="AL987">
            <v>45261</v>
          </cell>
          <cell r="AM987">
            <v>45701</v>
          </cell>
          <cell r="AN987">
            <v>1</v>
          </cell>
          <cell r="AO987">
            <v>0</v>
          </cell>
          <cell r="AP987" t="str">
            <v>-</v>
          </cell>
          <cell r="AQ987" t="str">
            <v>-</v>
          </cell>
          <cell r="AR987" t="str">
            <v>-</v>
          </cell>
          <cell r="AS987" t="str">
            <v>-</v>
          </cell>
          <cell r="AT987" t="str">
            <v>-</v>
          </cell>
          <cell r="AU987" t="str">
            <v>-</v>
          </cell>
          <cell r="AV987" t="str">
            <v/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 t="str">
            <v/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 t="str">
            <v/>
          </cell>
          <cell r="BN987">
            <v>0</v>
          </cell>
          <cell r="BO987" t="str">
            <v/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 t="str">
            <v/>
          </cell>
          <cell r="BV987">
            <v>0</v>
          </cell>
          <cell r="BW987">
            <v>7</v>
          </cell>
          <cell r="BX987" t="str">
            <v>DOWNGRADE</v>
          </cell>
          <cell r="BY987" t="str">
            <v>RESET</v>
          </cell>
        </row>
        <row r="988">
          <cell r="A988" t="str">
            <v>A4084</v>
          </cell>
          <cell r="B988" t="str">
            <v>REGINA CAHYANTI</v>
          </cell>
          <cell r="C988" t="str">
            <v>TEMA C2</v>
          </cell>
          <cell r="D988">
            <v>45442</v>
          </cell>
          <cell r="E988" t="str">
            <v>May-24</v>
          </cell>
          <cell r="F988" t="str">
            <v>-</v>
          </cell>
          <cell r="G988" t="str">
            <v>-</v>
          </cell>
          <cell r="H988" t="str">
            <v>-</v>
          </cell>
          <cell r="I988" t="str">
            <v>-</v>
          </cell>
          <cell r="J988" t="str">
            <v>-</v>
          </cell>
          <cell r="K988" t="str">
            <v>REGULER</v>
          </cell>
          <cell r="L988" t="str">
            <v>REGULER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4</v>
          </cell>
          <cell r="S988">
            <v>22</v>
          </cell>
          <cell r="T988">
            <v>26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4</v>
          </cell>
          <cell r="AA988">
            <v>22</v>
          </cell>
          <cell r="AB988">
            <v>26</v>
          </cell>
          <cell r="AC988">
            <v>0</v>
          </cell>
          <cell r="AD988" t="str">
            <v>TIDAK</v>
          </cell>
          <cell r="AE988" t="str">
            <v>TIDAK</v>
          </cell>
          <cell r="AF988">
            <v>26</v>
          </cell>
          <cell r="AG988">
            <v>1</v>
          </cell>
          <cell r="AH988" t="str">
            <v>SAPHIRE</v>
          </cell>
          <cell r="AI988">
            <v>0</v>
          </cell>
          <cell r="AJ988" t="str">
            <v>FALSE</v>
          </cell>
          <cell r="AK988">
            <v>0</v>
          </cell>
          <cell r="AL988">
            <v>45261</v>
          </cell>
          <cell r="AM988">
            <v>45701</v>
          </cell>
          <cell r="AN988">
            <v>1</v>
          </cell>
          <cell r="AO988">
            <v>26</v>
          </cell>
          <cell r="AP988" t="str">
            <v>-</v>
          </cell>
          <cell r="AQ988" t="str">
            <v>-</v>
          </cell>
          <cell r="AR988" t="str">
            <v>REGULER</v>
          </cell>
          <cell r="AS988" t="str">
            <v>-</v>
          </cell>
          <cell r="AT988" t="str">
            <v>-</v>
          </cell>
          <cell r="AU988" t="str">
            <v>-</v>
          </cell>
          <cell r="AV988" t="str">
            <v/>
          </cell>
          <cell r="AW988">
            <v>43</v>
          </cell>
          <cell r="AX988">
            <v>23</v>
          </cell>
          <cell r="AY988">
            <v>0</v>
          </cell>
          <cell r="AZ988">
            <v>0</v>
          </cell>
          <cell r="BA988">
            <v>0</v>
          </cell>
          <cell r="BB988">
            <v>43</v>
          </cell>
          <cell r="BC988">
            <v>23</v>
          </cell>
          <cell r="BD988">
            <v>0</v>
          </cell>
          <cell r="BE988">
            <v>0</v>
          </cell>
          <cell r="BF988">
            <v>0</v>
          </cell>
          <cell r="BG988">
            <v>20</v>
          </cell>
          <cell r="BH988">
            <v>43</v>
          </cell>
          <cell r="BI988">
            <v>23</v>
          </cell>
          <cell r="BJ988">
            <v>0</v>
          </cell>
          <cell r="BK988">
            <v>0</v>
          </cell>
          <cell r="BL988">
            <v>0</v>
          </cell>
          <cell r="BM988" t="str">
            <v/>
          </cell>
          <cell r="BN988">
            <v>86</v>
          </cell>
          <cell r="BO988">
            <v>20</v>
          </cell>
          <cell r="BP988">
            <v>43</v>
          </cell>
          <cell r="BQ988">
            <v>23</v>
          </cell>
          <cell r="BR988">
            <v>0</v>
          </cell>
          <cell r="BS988">
            <v>0</v>
          </cell>
          <cell r="BT988">
            <v>0</v>
          </cell>
          <cell r="BU988" t="str">
            <v/>
          </cell>
          <cell r="BV988">
            <v>86</v>
          </cell>
          <cell r="BW988">
            <v>4</v>
          </cell>
          <cell r="BX988" t="str">
            <v>DOWNGRADE</v>
          </cell>
          <cell r="BY988" t="str">
            <v>RESET</v>
          </cell>
        </row>
        <row r="989">
          <cell r="A989" t="str">
            <v>A2985</v>
          </cell>
          <cell r="B989" t="str">
            <v>Regina Michelle Tansaya Pramono</v>
          </cell>
          <cell r="C989" t="str">
            <v>TEMA C2</v>
          </cell>
          <cell r="D989">
            <v>45199</v>
          </cell>
          <cell r="E989" t="str">
            <v>Sep-23</v>
          </cell>
          <cell r="F989" t="str">
            <v>REGULER</v>
          </cell>
          <cell r="G989" t="str">
            <v>EKSKLUSIF</v>
          </cell>
          <cell r="H989" t="str">
            <v>EKSKLUSIF</v>
          </cell>
          <cell r="I989" t="str">
            <v>EKSKLUSIF</v>
          </cell>
          <cell r="J989" t="str">
            <v>REGULER</v>
          </cell>
          <cell r="K989" t="str">
            <v>REGULER</v>
          </cell>
          <cell r="L989" t="str">
            <v>REGULER</v>
          </cell>
          <cell r="M989">
            <v>11</v>
          </cell>
          <cell r="N989">
            <v>45</v>
          </cell>
          <cell r="O989">
            <v>36</v>
          </cell>
          <cell r="P989">
            <v>39</v>
          </cell>
          <cell r="Q989">
            <v>21</v>
          </cell>
          <cell r="R989">
            <v>5</v>
          </cell>
          <cell r="S989">
            <v>5</v>
          </cell>
          <cell r="T989">
            <v>162</v>
          </cell>
          <cell r="U989">
            <v>11</v>
          </cell>
          <cell r="V989">
            <v>0</v>
          </cell>
          <cell r="W989">
            <v>0</v>
          </cell>
          <cell r="X989">
            <v>0</v>
          </cell>
          <cell r="Y989">
            <v>21</v>
          </cell>
          <cell r="Z989">
            <v>5</v>
          </cell>
          <cell r="AA989">
            <v>5</v>
          </cell>
          <cell r="AB989">
            <v>42</v>
          </cell>
          <cell r="AC989">
            <v>0</v>
          </cell>
          <cell r="AD989" t="str">
            <v>TIDAK</v>
          </cell>
          <cell r="AE989" t="str">
            <v>TIDAK</v>
          </cell>
          <cell r="AF989">
            <v>42</v>
          </cell>
          <cell r="AG989">
            <v>2</v>
          </cell>
          <cell r="AH989" t="str">
            <v>SAPHIRE</v>
          </cell>
          <cell r="AI989">
            <v>0</v>
          </cell>
          <cell r="AJ989" t="str">
            <v>FALSE</v>
          </cell>
          <cell r="AK989">
            <v>0</v>
          </cell>
          <cell r="AL989">
            <v>45261</v>
          </cell>
          <cell r="AM989">
            <v>45701</v>
          </cell>
          <cell r="AN989">
            <v>1</v>
          </cell>
          <cell r="AO989">
            <v>42</v>
          </cell>
          <cell r="AP989" t="str">
            <v>-</v>
          </cell>
          <cell r="AQ989" t="str">
            <v>-</v>
          </cell>
          <cell r="AR989" t="str">
            <v>REGULER</v>
          </cell>
          <cell r="AS989" t="str">
            <v>REGULER</v>
          </cell>
          <cell r="AT989" t="str">
            <v>REGULER</v>
          </cell>
          <cell r="AU989" t="str">
            <v>REGULER</v>
          </cell>
          <cell r="AV989" t="str">
            <v/>
          </cell>
          <cell r="AW989">
            <v>27</v>
          </cell>
          <cell r="AX989">
            <v>16</v>
          </cell>
          <cell r="AY989">
            <v>5</v>
          </cell>
          <cell r="AZ989">
            <v>2</v>
          </cell>
          <cell r="BA989">
            <v>1</v>
          </cell>
          <cell r="BB989">
            <v>27</v>
          </cell>
          <cell r="BC989">
            <v>16</v>
          </cell>
          <cell r="BD989">
            <v>5</v>
          </cell>
          <cell r="BE989">
            <v>2</v>
          </cell>
          <cell r="BF989">
            <v>1</v>
          </cell>
          <cell r="BG989">
            <v>5</v>
          </cell>
          <cell r="BH989">
            <v>27</v>
          </cell>
          <cell r="BI989">
            <v>16</v>
          </cell>
          <cell r="BJ989">
            <v>5</v>
          </cell>
          <cell r="BK989">
            <v>2</v>
          </cell>
          <cell r="BL989">
            <v>1</v>
          </cell>
          <cell r="BM989">
            <v>4</v>
          </cell>
          <cell r="BN989">
            <v>60</v>
          </cell>
          <cell r="BO989">
            <v>5</v>
          </cell>
          <cell r="BP989">
            <v>27</v>
          </cell>
          <cell r="BQ989">
            <v>16</v>
          </cell>
          <cell r="BR989">
            <v>5</v>
          </cell>
          <cell r="BS989">
            <v>2</v>
          </cell>
          <cell r="BT989">
            <v>1</v>
          </cell>
          <cell r="BU989">
            <v>4</v>
          </cell>
          <cell r="BV989">
            <v>60</v>
          </cell>
          <cell r="BW989">
            <v>0</v>
          </cell>
          <cell r="BX989" t="str">
            <v>TIDAK</v>
          </cell>
          <cell r="BY989" t="str">
            <v>TIDAK</v>
          </cell>
        </row>
        <row r="990">
          <cell r="A990" t="str">
            <v>A2867</v>
          </cell>
          <cell r="B990" t="str">
            <v>Rehulina Putri Depari</v>
          </cell>
          <cell r="C990" t="str">
            <v>TEMA C2</v>
          </cell>
          <cell r="D990">
            <v>45176</v>
          </cell>
          <cell r="E990" t="str">
            <v>Sep-23</v>
          </cell>
          <cell r="F990" t="str">
            <v>REGULER</v>
          </cell>
          <cell r="G990" t="str">
            <v>REGULER</v>
          </cell>
          <cell r="H990" t="str">
            <v>REGULER</v>
          </cell>
          <cell r="I990" t="str">
            <v>REGULER</v>
          </cell>
          <cell r="J990" t="str">
            <v>REGULER</v>
          </cell>
          <cell r="K990" t="str">
            <v>REGULER</v>
          </cell>
          <cell r="L990" t="str">
            <v>REGULER</v>
          </cell>
          <cell r="M990">
            <v>8</v>
          </cell>
          <cell r="N990">
            <v>20</v>
          </cell>
          <cell r="O990">
            <v>15</v>
          </cell>
          <cell r="P990">
            <v>14</v>
          </cell>
          <cell r="Q990">
            <v>9</v>
          </cell>
          <cell r="R990">
            <v>14</v>
          </cell>
          <cell r="S990">
            <v>3</v>
          </cell>
          <cell r="T990">
            <v>83</v>
          </cell>
          <cell r="U990">
            <v>8</v>
          </cell>
          <cell r="V990">
            <v>20</v>
          </cell>
          <cell r="W990">
            <v>15</v>
          </cell>
          <cell r="X990">
            <v>14</v>
          </cell>
          <cell r="Y990">
            <v>9</v>
          </cell>
          <cell r="Z990">
            <v>14</v>
          </cell>
          <cell r="AA990">
            <v>3</v>
          </cell>
          <cell r="AB990">
            <v>83</v>
          </cell>
          <cell r="AC990">
            <v>0</v>
          </cell>
          <cell r="AD990" t="str">
            <v>TIDAK</v>
          </cell>
          <cell r="AE990" t="str">
            <v>TIDAK</v>
          </cell>
          <cell r="AF990">
            <v>83</v>
          </cell>
          <cell r="AG990">
            <v>2</v>
          </cell>
          <cell r="AH990" t="str">
            <v>SAPHIRE</v>
          </cell>
          <cell r="AI990">
            <v>65</v>
          </cell>
          <cell r="AJ990" t="str">
            <v>Y</v>
          </cell>
          <cell r="AK990">
            <v>0</v>
          </cell>
          <cell r="AL990">
            <v>45261</v>
          </cell>
          <cell r="AM990">
            <v>45701</v>
          </cell>
          <cell r="AN990">
            <v>1</v>
          </cell>
          <cell r="AO990">
            <v>18</v>
          </cell>
          <cell r="AP990" t="str">
            <v>-</v>
          </cell>
          <cell r="AQ990" t="str">
            <v>-</v>
          </cell>
          <cell r="AR990" t="str">
            <v>-</v>
          </cell>
          <cell r="AS990" t="str">
            <v>REGULER</v>
          </cell>
          <cell r="AT990" t="str">
            <v>REGULER</v>
          </cell>
          <cell r="AU990" t="str">
            <v>-</v>
          </cell>
          <cell r="AV990" t="str">
            <v/>
          </cell>
          <cell r="AW990">
            <v>3</v>
          </cell>
          <cell r="AX990">
            <v>0</v>
          </cell>
          <cell r="AY990">
            <v>0</v>
          </cell>
          <cell r="AZ990">
            <v>8</v>
          </cell>
          <cell r="BA990">
            <v>0</v>
          </cell>
          <cell r="BB990">
            <v>3</v>
          </cell>
          <cell r="BC990">
            <v>0</v>
          </cell>
          <cell r="BD990">
            <v>0</v>
          </cell>
          <cell r="BE990">
            <v>8</v>
          </cell>
          <cell r="BF990">
            <v>0</v>
          </cell>
          <cell r="BG990">
            <v>2</v>
          </cell>
          <cell r="BH990">
            <v>3</v>
          </cell>
          <cell r="BI990">
            <v>0</v>
          </cell>
          <cell r="BJ990">
            <v>0</v>
          </cell>
          <cell r="BK990">
            <v>8</v>
          </cell>
          <cell r="BL990">
            <v>0</v>
          </cell>
          <cell r="BM990">
            <v>0</v>
          </cell>
          <cell r="BN990">
            <v>13</v>
          </cell>
          <cell r="BO990">
            <v>2</v>
          </cell>
          <cell r="BP990">
            <v>3</v>
          </cell>
          <cell r="BQ990">
            <v>0</v>
          </cell>
          <cell r="BR990">
            <v>0</v>
          </cell>
          <cell r="BS990">
            <v>8</v>
          </cell>
          <cell r="BT990">
            <v>0</v>
          </cell>
          <cell r="BU990">
            <v>0</v>
          </cell>
          <cell r="BV990">
            <v>13</v>
          </cell>
          <cell r="BW990">
            <v>4</v>
          </cell>
          <cell r="BX990" t="str">
            <v>DOWNGRADE</v>
          </cell>
          <cell r="BY990" t="str">
            <v>TIDAK</v>
          </cell>
        </row>
        <row r="991">
          <cell r="A991" t="str">
            <v>A1671</v>
          </cell>
          <cell r="B991" t="str">
            <v>Reni Cahyani</v>
          </cell>
          <cell r="C991" t="str">
            <v>TEMA C2</v>
          </cell>
          <cell r="D991">
            <v>45019</v>
          </cell>
          <cell r="E991" t="str">
            <v>Apr-23</v>
          </cell>
          <cell r="F991" t="str">
            <v>REGULER</v>
          </cell>
          <cell r="G991" t="str">
            <v>REGULER</v>
          </cell>
          <cell r="H991" t="str">
            <v>EKSKLUSIF</v>
          </cell>
          <cell r="I991" t="str">
            <v>EKSKLUSIF</v>
          </cell>
          <cell r="J991" t="str">
            <v>EKSKLUSIF</v>
          </cell>
          <cell r="K991" t="str">
            <v>EKSKLUSIF</v>
          </cell>
          <cell r="L991" t="str">
            <v>EKSKLUSIF</v>
          </cell>
          <cell r="M991">
            <v>11</v>
          </cell>
          <cell r="N991">
            <v>39</v>
          </cell>
          <cell r="O991">
            <v>38</v>
          </cell>
          <cell r="P991">
            <v>40</v>
          </cell>
          <cell r="Q991">
            <v>35</v>
          </cell>
          <cell r="R991">
            <v>43</v>
          </cell>
          <cell r="S991">
            <v>21</v>
          </cell>
          <cell r="T991">
            <v>227</v>
          </cell>
          <cell r="U991">
            <v>11</v>
          </cell>
          <cell r="V991">
            <v>39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50</v>
          </cell>
          <cell r="AC991">
            <v>0</v>
          </cell>
          <cell r="AD991" t="str">
            <v>TIDAK</v>
          </cell>
          <cell r="AE991" t="str">
            <v>TIDAK</v>
          </cell>
          <cell r="AF991">
            <v>50</v>
          </cell>
          <cell r="AG991">
            <v>2</v>
          </cell>
          <cell r="AH991" t="str">
            <v>SAPHIRE</v>
          </cell>
          <cell r="AI991">
            <v>0</v>
          </cell>
          <cell r="AJ991" t="str">
            <v>FALSE</v>
          </cell>
          <cell r="AK991">
            <v>0</v>
          </cell>
          <cell r="AL991">
            <v>45261</v>
          </cell>
          <cell r="AM991">
            <v>45701</v>
          </cell>
          <cell r="AN991">
            <v>1</v>
          </cell>
          <cell r="AO991">
            <v>50</v>
          </cell>
          <cell r="AP991" t="str">
            <v>EKSKLUSIF</v>
          </cell>
          <cell r="AQ991" t="str">
            <v>-</v>
          </cell>
          <cell r="AR991" t="str">
            <v>EKSKLUSIF</v>
          </cell>
          <cell r="AS991" t="str">
            <v>REGULER</v>
          </cell>
          <cell r="AT991" t="str">
            <v>EKSKLUSIF</v>
          </cell>
          <cell r="AU991" t="str">
            <v>-</v>
          </cell>
          <cell r="AV991" t="str">
            <v/>
          </cell>
          <cell r="AW991">
            <v>48</v>
          </cell>
          <cell r="AX991">
            <v>44</v>
          </cell>
          <cell r="AY991">
            <v>40</v>
          </cell>
          <cell r="AZ991">
            <v>41</v>
          </cell>
          <cell r="BA991">
            <v>0</v>
          </cell>
          <cell r="BB991">
            <v>48</v>
          </cell>
          <cell r="BC991">
            <v>44</v>
          </cell>
          <cell r="BD991">
            <v>40</v>
          </cell>
          <cell r="BE991">
            <v>41</v>
          </cell>
          <cell r="BF991">
            <v>0</v>
          </cell>
          <cell r="BG991">
            <v>20</v>
          </cell>
          <cell r="BH991">
            <v>48</v>
          </cell>
          <cell r="BI991">
            <v>44</v>
          </cell>
          <cell r="BJ991">
            <v>40</v>
          </cell>
          <cell r="BK991">
            <v>41</v>
          </cell>
          <cell r="BL991">
            <v>0</v>
          </cell>
          <cell r="BM991" t="str">
            <v/>
          </cell>
          <cell r="BN991">
            <v>193</v>
          </cell>
          <cell r="BO991">
            <v>0</v>
          </cell>
          <cell r="BP991">
            <v>48</v>
          </cell>
          <cell r="BQ991">
            <v>0</v>
          </cell>
          <cell r="BR991">
            <v>40</v>
          </cell>
          <cell r="BS991">
            <v>0</v>
          </cell>
          <cell r="BT991">
            <v>0</v>
          </cell>
          <cell r="BU991" t="str">
            <v/>
          </cell>
          <cell r="BV991">
            <v>88</v>
          </cell>
          <cell r="BW991">
            <v>2</v>
          </cell>
          <cell r="BX991" t="str">
            <v>TIDAK</v>
          </cell>
          <cell r="BY991" t="str">
            <v>TIDAK</v>
          </cell>
        </row>
        <row r="992">
          <cell r="A992" t="str">
            <v>A3571</v>
          </cell>
          <cell r="B992" t="str">
            <v>Reva Kurnianingsih</v>
          </cell>
          <cell r="C992" t="str">
            <v>TEMA C2</v>
          </cell>
          <cell r="D992">
            <v>45303</v>
          </cell>
          <cell r="E992" t="str">
            <v>Jan-24</v>
          </cell>
          <cell r="F992" t="str">
            <v>-</v>
          </cell>
          <cell r="G992" t="str">
            <v>REGULER</v>
          </cell>
          <cell r="H992" t="str">
            <v>REGULER</v>
          </cell>
          <cell r="I992" t="str">
            <v>REGULER</v>
          </cell>
          <cell r="J992" t="str">
            <v>REGULER</v>
          </cell>
          <cell r="K992" t="str">
            <v>REGULER</v>
          </cell>
          <cell r="L992" t="str">
            <v>-</v>
          </cell>
          <cell r="M992">
            <v>0</v>
          </cell>
          <cell r="N992">
            <v>19</v>
          </cell>
          <cell r="O992">
            <v>30</v>
          </cell>
          <cell r="P992">
            <v>41</v>
          </cell>
          <cell r="Q992">
            <v>36</v>
          </cell>
          <cell r="R992">
            <v>2</v>
          </cell>
          <cell r="S992" t="str">
            <v/>
          </cell>
          <cell r="T992">
            <v>128</v>
          </cell>
          <cell r="U992">
            <v>0</v>
          </cell>
          <cell r="V992">
            <v>19</v>
          </cell>
          <cell r="W992">
            <v>30</v>
          </cell>
          <cell r="X992">
            <v>41</v>
          </cell>
          <cell r="Y992">
            <v>36</v>
          </cell>
          <cell r="Z992">
            <v>2</v>
          </cell>
          <cell r="AA992" t="str">
            <v/>
          </cell>
          <cell r="AB992">
            <v>128</v>
          </cell>
          <cell r="AC992">
            <v>1</v>
          </cell>
          <cell r="AD992" t="str">
            <v>TIDAK</v>
          </cell>
          <cell r="AE992" t="str">
            <v>TIDAK</v>
          </cell>
          <cell r="AF992">
            <v>128</v>
          </cell>
          <cell r="AG992">
            <v>2</v>
          </cell>
          <cell r="AH992" t="str">
            <v>SAPHIRE</v>
          </cell>
          <cell r="AI992">
            <v>0</v>
          </cell>
          <cell r="AJ992" t="str">
            <v>Y</v>
          </cell>
          <cell r="AK992">
            <v>0</v>
          </cell>
          <cell r="AL992">
            <v>45261</v>
          </cell>
          <cell r="AM992">
            <v>45701</v>
          </cell>
          <cell r="AN992">
            <v>1</v>
          </cell>
          <cell r="AO992">
            <v>128</v>
          </cell>
          <cell r="AP992" t="str">
            <v>-</v>
          </cell>
          <cell r="AQ992" t="str">
            <v>-</v>
          </cell>
          <cell r="AR992" t="str">
            <v>-</v>
          </cell>
          <cell r="AS992" t="str">
            <v>-</v>
          </cell>
          <cell r="AT992" t="str">
            <v>-</v>
          </cell>
          <cell r="AU992" t="str">
            <v>-</v>
          </cell>
          <cell r="AV992" t="str">
            <v/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 t="str">
            <v/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 t="str">
            <v/>
          </cell>
          <cell r="BN992">
            <v>0</v>
          </cell>
          <cell r="BO992" t="str">
            <v/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 t="str">
            <v/>
          </cell>
          <cell r="BV992">
            <v>0</v>
          </cell>
          <cell r="BW992">
            <v>7</v>
          </cell>
          <cell r="BX992" t="str">
            <v>DOWNGRADE</v>
          </cell>
          <cell r="BY992" t="str">
            <v>RESET</v>
          </cell>
        </row>
        <row r="993">
          <cell r="A993" t="str">
            <v>A3696</v>
          </cell>
          <cell r="B993" t="str">
            <v>Reva Novrita Indahsari</v>
          </cell>
          <cell r="C993" t="str">
            <v>TEMA C2</v>
          </cell>
          <cell r="D993">
            <v>45315</v>
          </cell>
          <cell r="E993" t="str">
            <v>Jan-24</v>
          </cell>
          <cell r="F993" t="str">
            <v>-</v>
          </cell>
          <cell r="G993" t="str">
            <v>REGULER</v>
          </cell>
          <cell r="H993" t="str">
            <v>REGULER</v>
          </cell>
          <cell r="I993" t="str">
            <v>REGULER</v>
          </cell>
          <cell r="J993" t="str">
            <v>REGULER</v>
          </cell>
          <cell r="K993" t="str">
            <v>REGULER</v>
          </cell>
          <cell r="L993" t="str">
            <v>REGULER</v>
          </cell>
          <cell r="M993">
            <v>0</v>
          </cell>
          <cell r="N993">
            <v>4</v>
          </cell>
          <cell r="O993">
            <v>30</v>
          </cell>
          <cell r="P993">
            <v>30</v>
          </cell>
          <cell r="Q993">
            <v>36</v>
          </cell>
          <cell r="R993">
            <v>34</v>
          </cell>
          <cell r="S993">
            <v>18</v>
          </cell>
          <cell r="T993">
            <v>152</v>
          </cell>
          <cell r="U993">
            <v>0</v>
          </cell>
          <cell r="V993">
            <v>4</v>
          </cell>
          <cell r="W993">
            <v>30</v>
          </cell>
          <cell r="X993">
            <v>30</v>
          </cell>
          <cell r="Y993">
            <v>36</v>
          </cell>
          <cell r="Z993">
            <v>34</v>
          </cell>
          <cell r="AA993">
            <v>18</v>
          </cell>
          <cell r="AB993">
            <v>152</v>
          </cell>
          <cell r="AC993">
            <v>0</v>
          </cell>
          <cell r="AD993" t="str">
            <v>TIDAK</v>
          </cell>
          <cell r="AE993" t="str">
            <v>TIDAK</v>
          </cell>
          <cell r="AF993">
            <v>152</v>
          </cell>
          <cell r="AG993">
            <v>2</v>
          </cell>
          <cell r="AH993" t="str">
            <v>SAPHIRE</v>
          </cell>
          <cell r="AI993">
            <v>135</v>
          </cell>
          <cell r="AJ993" t="str">
            <v>Y</v>
          </cell>
          <cell r="AK993">
            <v>0</v>
          </cell>
          <cell r="AL993">
            <v>45261</v>
          </cell>
          <cell r="AM993">
            <v>45701</v>
          </cell>
          <cell r="AN993">
            <v>1</v>
          </cell>
          <cell r="AO993">
            <v>17</v>
          </cell>
          <cell r="AP993" t="str">
            <v>-</v>
          </cell>
          <cell r="AQ993" t="str">
            <v>-</v>
          </cell>
          <cell r="AR993" t="str">
            <v>-</v>
          </cell>
          <cell r="AS993" t="str">
            <v>-</v>
          </cell>
          <cell r="AT993" t="str">
            <v>-</v>
          </cell>
          <cell r="AU993" t="str">
            <v>-</v>
          </cell>
          <cell r="AV993" t="str">
            <v/>
          </cell>
          <cell r="AW993">
            <v>35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35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16</v>
          </cell>
          <cell r="BH993">
            <v>35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 t="str">
            <v/>
          </cell>
          <cell r="BN993">
            <v>51</v>
          </cell>
          <cell r="BO993">
            <v>16</v>
          </cell>
          <cell r="BP993">
            <v>35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 t="str">
            <v/>
          </cell>
          <cell r="BV993">
            <v>51</v>
          </cell>
          <cell r="BW993">
            <v>5</v>
          </cell>
          <cell r="BX993" t="str">
            <v>DOWNGRADE</v>
          </cell>
          <cell r="BY993" t="str">
            <v>RESET</v>
          </cell>
        </row>
        <row r="994">
          <cell r="A994" t="str">
            <v>A0708</v>
          </cell>
          <cell r="B994" t="str">
            <v>Rezza Khairunisa</v>
          </cell>
          <cell r="C994" t="str">
            <v>TEMA C2</v>
          </cell>
          <cell r="D994">
            <v>44876</v>
          </cell>
          <cell r="E994" t="str">
            <v>Nov-22</v>
          </cell>
          <cell r="F994" t="str">
            <v>REGULER</v>
          </cell>
          <cell r="G994" t="str">
            <v>REGULER</v>
          </cell>
          <cell r="H994" t="str">
            <v>REGULER</v>
          </cell>
          <cell r="I994" t="str">
            <v>REGULER</v>
          </cell>
          <cell r="J994" t="str">
            <v>REGULER</v>
          </cell>
          <cell r="K994" t="str">
            <v>REGULER</v>
          </cell>
          <cell r="L994" t="str">
            <v>REGULER</v>
          </cell>
          <cell r="M994">
            <v>17</v>
          </cell>
          <cell r="N994">
            <v>35</v>
          </cell>
          <cell r="O994">
            <v>30</v>
          </cell>
          <cell r="P994">
            <v>32</v>
          </cell>
          <cell r="Q994">
            <v>38</v>
          </cell>
          <cell r="R994">
            <v>36</v>
          </cell>
          <cell r="S994">
            <v>18</v>
          </cell>
          <cell r="T994">
            <v>206</v>
          </cell>
          <cell r="U994">
            <v>17</v>
          </cell>
          <cell r="V994">
            <v>35</v>
          </cell>
          <cell r="W994">
            <v>30</v>
          </cell>
          <cell r="X994">
            <v>32</v>
          </cell>
          <cell r="Y994">
            <v>38</v>
          </cell>
          <cell r="Z994">
            <v>36</v>
          </cell>
          <cell r="AA994">
            <v>18</v>
          </cell>
          <cell r="AB994">
            <v>206</v>
          </cell>
          <cell r="AC994">
            <v>0</v>
          </cell>
          <cell r="AD994" t="str">
            <v>TIDAK</v>
          </cell>
          <cell r="AE994" t="str">
            <v>TIDAK</v>
          </cell>
          <cell r="AF994">
            <v>206</v>
          </cell>
          <cell r="AG994">
            <v>2</v>
          </cell>
          <cell r="AH994" t="str">
            <v>SAPHIRE</v>
          </cell>
          <cell r="AI994">
            <v>0</v>
          </cell>
          <cell r="AJ994" t="str">
            <v>Y</v>
          </cell>
          <cell r="AK994">
            <v>0</v>
          </cell>
          <cell r="AL994">
            <v>45261</v>
          </cell>
          <cell r="AM994">
            <v>45701</v>
          </cell>
          <cell r="AN994">
            <v>1</v>
          </cell>
          <cell r="AO994">
            <v>206</v>
          </cell>
          <cell r="AP994" t="str">
            <v>-</v>
          </cell>
          <cell r="AQ994" t="str">
            <v>-</v>
          </cell>
          <cell r="AR994" t="str">
            <v>REGULER</v>
          </cell>
          <cell r="AS994" t="str">
            <v>REGULER</v>
          </cell>
          <cell r="AT994" t="str">
            <v>REGULER</v>
          </cell>
          <cell r="AU994" t="str">
            <v>REGULER</v>
          </cell>
          <cell r="AV994" t="str">
            <v/>
          </cell>
          <cell r="AW994">
            <v>36</v>
          </cell>
          <cell r="AX994">
            <v>38</v>
          </cell>
          <cell r="AY994">
            <v>31</v>
          </cell>
          <cell r="AZ994">
            <v>35</v>
          </cell>
          <cell r="BA994">
            <v>28</v>
          </cell>
          <cell r="BB994">
            <v>36</v>
          </cell>
          <cell r="BC994">
            <v>38</v>
          </cell>
          <cell r="BD994">
            <v>31</v>
          </cell>
          <cell r="BE994">
            <v>35</v>
          </cell>
          <cell r="BF994">
            <v>28</v>
          </cell>
          <cell r="BG994">
            <v>19</v>
          </cell>
          <cell r="BH994">
            <v>36</v>
          </cell>
          <cell r="BI994">
            <v>38</v>
          </cell>
          <cell r="BJ994">
            <v>31</v>
          </cell>
          <cell r="BK994">
            <v>35</v>
          </cell>
          <cell r="BL994">
            <v>28</v>
          </cell>
          <cell r="BM994">
            <v>15</v>
          </cell>
          <cell r="BN994">
            <v>202</v>
          </cell>
          <cell r="BO994">
            <v>19</v>
          </cell>
          <cell r="BP994">
            <v>36</v>
          </cell>
          <cell r="BQ994">
            <v>38</v>
          </cell>
          <cell r="BR994">
            <v>31</v>
          </cell>
          <cell r="BS994">
            <v>35</v>
          </cell>
          <cell r="BT994">
            <v>28</v>
          </cell>
          <cell r="BU994">
            <v>15</v>
          </cell>
          <cell r="BV994">
            <v>202</v>
          </cell>
          <cell r="BW994">
            <v>0</v>
          </cell>
          <cell r="BX994" t="str">
            <v>TIDAK</v>
          </cell>
          <cell r="BY994" t="str">
            <v>TIDAK</v>
          </cell>
        </row>
        <row r="995">
          <cell r="A995" t="str">
            <v>A3639</v>
          </cell>
          <cell r="B995" t="str">
            <v>Ridho Hambali</v>
          </cell>
          <cell r="C995" t="str">
            <v>TEMA C2</v>
          </cell>
          <cell r="D995">
            <v>45314</v>
          </cell>
          <cell r="E995" t="str">
            <v>Jan-24</v>
          </cell>
          <cell r="F995" t="str">
            <v>-</v>
          </cell>
          <cell r="G995" t="str">
            <v>REGULER</v>
          </cell>
          <cell r="H995" t="str">
            <v>REGULER</v>
          </cell>
          <cell r="I995" t="str">
            <v>REGULER</v>
          </cell>
          <cell r="J995" t="str">
            <v>REGULER</v>
          </cell>
          <cell r="K995" t="str">
            <v>REGULER</v>
          </cell>
          <cell r="L995" t="str">
            <v>REGULER</v>
          </cell>
          <cell r="M995">
            <v>0</v>
          </cell>
          <cell r="N995">
            <v>4</v>
          </cell>
          <cell r="O995">
            <v>16</v>
          </cell>
          <cell r="P995">
            <v>29</v>
          </cell>
          <cell r="Q995">
            <v>7</v>
          </cell>
          <cell r="R995">
            <v>36</v>
          </cell>
          <cell r="S995">
            <v>14</v>
          </cell>
          <cell r="T995">
            <v>106</v>
          </cell>
          <cell r="U995">
            <v>0</v>
          </cell>
          <cell r="V995">
            <v>4</v>
          </cell>
          <cell r="W995">
            <v>16</v>
          </cell>
          <cell r="X995">
            <v>29</v>
          </cell>
          <cell r="Y995">
            <v>7</v>
          </cell>
          <cell r="Z995">
            <v>36</v>
          </cell>
          <cell r="AA995">
            <v>14</v>
          </cell>
          <cell r="AB995">
            <v>106</v>
          </cell>
          <cell r="AC995">
            <v>0</v>
          </cell>
          <cell r="AD995" t="str">
            <v>TIDAK</v>
          </cell>
          <cell r="AE995" t="str">
            <v>TIDAK</v>
          </cell>
          <cell r="AF995">
            <v>106</v>
          </cell>
          <cell r="AG995">
            <v>2</v>
          </cell>
          <cell r="AH995" t="str">
            <v>SAPHIRE</v>
          </cell>
          <cell r="AI995">
            <v>0</v>
          </cell>
          <cell r="AJ995" t="str">
            <v>Y</v>
          </cell>
          <cell r="AK995">
            <v>0</v>
          </cell>
          <cell r="AL995">
            <v>45261</v>
          </cell>
          <cell r="AM995">
            <v>45701</v>
          </cell>
          <cell r="AN995">
            <v>1</v>
          </cell>
          <cell r="AO995">
            <v>106</v>
          </cell>
          <cell r="AP995" t="str">
            <v>-</v>
          </cell>
          <cell r="AQ995" t="str">
            <v>-</v>
          </cell>
          <cell r="AR995" t="str">
            <v>REGULER</v>
          </cell>
          <cell r="AS995" t="str">
            <v>REGULER</v>
          </cell>
          <cell r="AT995" t="str">
            <v>REGULER</v>
          </cell>
          <cell r="AU995" t="str">
            <v>-</v>
          </cell>
          <cell r="AV995" t="str">
            <v/>
          </cell>
          <cell r="AW995">
            <v>32</v>
          </cell>
          <cell r="AX995">
            <v>33</v>
          </cell>
          <cell r="AY995">
            <v>17</v>
          </cell>
          <cell r="AZ995">
            <v>3</v>
          </cell>
          <cell r="BA995">
            <v>0</v>
          </cell>
          <cell r="BB995">
            <v>32</v>
          </cell>
          <cell r="BC995">
            <v>33</v>
          </cell>
          <cell r="BD995">
            <v>17</v>
          </cell>
          <cell r="BE995">
            <v>3</v>
          </cell>
          <cell r="BF995">
            <v>0</v>
          </cell>
          <cell r="BG995">
            <v>13</v>
          </cell>
          <cell r="BH995">
            <v>32</v>
          </cell>
          <cell r="BI995">
            <v>33</v>
          </cell>
          <cell r="BJ995">
            <v>17</v>
          </cell>
          <cell r="BK995">
            <v>3</v>
          </cell>
          <cell r="BL995">
            <v>0</v>
          </cell>
          <cell r="BM995" t="str">
            <v/>
          </cell>
          <cell r="BN995">
            <v>98</v>
          </cell>
          <cell r="BO995">
            <v>13</v>
          </cell>
          <cell r="BP995">
            <v>32</v>
          </cell>
          <cell r="BQ995">
            <v>33</v>
          </cell>
          <cell r="BR995">
            <v>17</v>
          </cell>
          <cell r="BS995">
            <v>3</v>
          </cell>
          <cell r="BT995">
            <v>0</v>
          </cell>
          <cell r="BU995" t="str">
            <v/>
          </cell>
          <cell r="BV995">
            <v>98</v>
          </cell>
          <cell r="BW995">
            <v>2</v>
          </cell>
          <cell r="BX995" t="str">
            <v>TIDAK</v>
          </cell>
          <cell r="BY995" t="str">
            <v>TIDAK</v>
          </cell>
        </row>
        <row r="996">
          <cell r="A996" t="str">
            <v>A1428</v>
          </cell>
          <cell r="B996" t="str">
            <v>Rifka Ayu Pradita</v>
          </cell>
          <cell r="C996" t="str">
            <v>TEMA C2</v>
          </cell>
          <cell r="D996">
            <v>44972</v>
          </cell>
          <cell r="E996" t="str">
            <v>Feb-23</v>
          </cell>
          <cell r="F996" t="str">
            <v>EKSKLUSIF</v>
          </cell>
          <cell r="G996" t="str">
            <v>REGULER</v>
          </cell>
          <cell r="H996" t="str">
            <v>EKSKLUSIF</v>
          </cell>
          <cell r="I996" t="str">
            <v>EKSKLUSIF</v>
          </cell>
          <cell r="J996" t="str">
            <v>EKSKLUSIF</v>
          </cell>
          <cell r="K996" t="str">
            <v>EKSKLUSIF</v>
          </cell>
          <cell r="L996" t="str">
            <v>EKSKLUSIF</v>
          </cell>
          <cell r="M996">
            <v>19</v>
          </cell>
          <cell r="N996">
            <v>23</v>
          </cell>
          <cell r="O996">
            <v>39</v>
          </cell>
          <cell r="P996">
            <v>39</v>
          </cell>
          <cell r="Q996">
            <v>32</v>
          </cell>
          <cell r="R996">
            <v>39</v>
          </cell>
          <cell r="S996">
            <v>20</v>
          </cell>
          <cell r="T996">
            <v>211</v>
          </cell>
          <cell r="U996">
            <v>0</v>
          </cell>
          <cell r="V996">
            <v>23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23</v>
          </cell>
          <cell r="AC996">
            <v>0</v>
          </cell>
          <cell r="AD996" t="str">
            <v>TIDAK</v>
          </cell>
          <cell r="AE996" t="str">
            <v>TIDAK</v>
          </cell>
          <cell r="AF996">
            <v>23</v>
          </cell>
          <cell r="AG996">
            <v>2</v>
          </cell>
          <cell r="AH996" t="str">
            <v>SAPHIRE</v>
          </cell>
          <cell r="AI996">
            <v>0</v>
          </cell>
          <cell r="AJ996" t="str">
            <v>FALSE</v>
          </cell>
          <cell r="AK996">
            <v>0</v>
          </cell>
          <cell r="AL996">
            <v>45261</v>
          </cell>
          <cell r="AM996">
            <v>45701</v>
          </cell>
          <cell r="AN996">
            <v>1</v>
          </cell>
          <cell r="AO996">
            <v>23</v>
          </cell>
          <cell r="AP996" t="str">
            <v>EKSKLUSIF</v>
          </cell>
          <cell r="AQ996" t="str">
            <v>-</v>
          </cell>
          <cell r="AR996" t="str">
            <v>REGULER</v>
          </cell>
          <cell r="AS996" t="str">
            <v>REGULER</v>
          </cell>
          <cell r="AT996" t="str">
            <v>-</v>
          </cell>
          <cell r="AU996" t="str">
            <v>REGULER</v>
          </cell>
          <cell r="AV996" t="str">
            <v/>
          </cell>
          <cell r="AW996">
            <v>46</v>
          </cell>
          <cell r="AX996">
            <v>37</v>
          </cell>
          <cell r="AY996">
            <v>10</v>
          </cell>
          <cell r="AZ996">
            <v>0</v>
          </cell>
          <cell r="BA996">
            <v>21</v>
          </cell>
          <cell r="BB996">
            <v>46</v>
          </cell>
          <cell r="BC996">
            <v>37</v>
          </cell>
          <cell r="BD996">
            <v>10</v>
          </cell>
          <cell r="BE996">
            <v>0</v>
          </cell>
          <cell r="BF996">
            <v>21</v>
          </cell>
          <cell r="BG996">
            <v>20</v>
          </cell>
          <cell r="BH996">
            <v>46</v>
          </cell>
          <cell r="BI996">
            <v>37</v>
          </cell>
          <cell r="BJ996">
            <v>10</v>
          </cell>
          <cell r="BK996">
            <v>0</v>
          </cell>
          <cell r="BL996">
            <v>21</v>
          </cell>
          <cell r="BM996">
            <v>19</v>
          </cell>
          <cell r="BN996">
            <v>153</v>
          </cell>
          <cell r="BO996">
            <v>0</v>
          </cell>
          <cell r="BP996">
            <v>46</v>
          </cell>
          <cell r="BQ996">
            <v>37</v>
          </cell>
          <cell r="BR996">
            <v>10</v>
          </cell>
          <cell r="BS996">
            <v>0</v>
          </cell>
          <cell r="BT996">
            <v>21</v>
          </cell>
          <cell r="BU996">
            <v>19</v>
          </cell>
          <cell r="BV996">
            <v>133</v>
          </cell>
          <cell r="BW996">
            <v>1</v>
          </cell>
          <cell r="BX996" t="str">
            <v>TIDAK</v>
          </cell>
          <cell r="BY996" t="str">
            <v>TIDAK</v>
          </cell>
        </row>
        <row r="997">
          <cell r="A997" t="str">
            <v>A3322</v>
          </cell>
          <cell r="B997" t="str">
            <v>RIFKI FAHRUL FARESA</v>
          </cell>
          <cell r="C997" t="str">
            <v>TEMA C2</v>
          </cell>
          <cell r="D997">
            <v>45425</v>
          </cell>
          <cell r="E997" t="str">
            <v>May-24</v>
          </cell>
          <cell r="F997" t="str">
            <v>-</v>
          </cell>
          <cell r="G997" t="str">
            <v>-</v>
          </cell>
          <cell r="H997" t="str">
            <v>-</v>
          </cell>
          <cell r="I997" t="str">
            <v>-</v>
          </cell>
          <cell r="J997" t="str">
            <v>-</v>
          </cell>
          <cell r="K997" t="str">
            <v>REGULER</v>
          </cell>
          <cell r="L997" t="str">
            <v>REGULER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3</v>
          </cell>
          <cell r="S997">
            <v>5</v>
          </cell>
          <cell r="T997">
            <v>8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3</v>
          </cell>
          <cell r="AA997">
            <v>5</v>
          </cell>
          <cell r="AB997">
            <v>8</v>
          </cell>
          <cell r="AC997">
            <v>0</v>
          </cell>
          <cell r="AD997" t="str">
            <v>TIDAK</v>
          </cell>
          <cell r="AE997" t="str">
            <v>TIDAK</v>
          </cell>
          <cell r="AF997">
            <v>8</v>
          </cell>
          <cell r="AG997">
            <v>1</v>
          </cell>
          <cell r="AH997" t="str">
            <v>SAPHIRE</v>
          </cell>
          <cell r="AI997">
            <v>0</v>
          </cell>
          <cell r="AJ997" t="str">
            <v>FALSE</v>
          </cell>
          <cell r="AK997">
            <v>0</v>
          </cell>
          <cell r="AL997">
            <v>45261</v>
          </cell>
          <cell r="AM997">
            <v>45701</v>
          </cell>
          <cell r="AN997">
            <v>1</v>
          </cell>
          <cell r="AO997">
            <v>8</v>
          </cell>
          <cell r="AP997" t="str">
            <v>-</v>
          </cell>
          <cell r="AQ997" t="str">
            <v>-</v>
          </cell>
          <cell r="AR997" t="str">
            <v>REGULER</v>
          </cell>
          <cell r="AS997" t="str">
            <v>REGULER</v>
          </cell>
          <cell r="AT997" t="str">
            <v>-</v>
          </cell>
          <cell r="AU997" t="str">
            <v>-</v>
          </cell>
          <cell r="AV997" t="str">
            <v/>
          </cell>
          <cell r="AW997">
            <v>2</v>
          </cell>
          <cell r="AX997">
            <v>1</v>
          </cell>
          <cell r="AY997">
            <v>14</v>
          </cell>
          <cell r="AZ997">
            <v>0</v>
          </cell>
          <cell r="BA997">
            <v>0</v>
          </cell>
          <cell r="BB997">
            <v>2</v>
          </cell>
          <cell r="BC997">
            <v>1</v>
          </cell>
          <cell r="BD997">
            <v>14</v>
          </cell>
          <cell r="BE997">
            <v>0</v>
          </cell>
          <cell r="BF997">
            <v>0</v>
          </cell>
          <cell r="BG997" t="str">
            <v/>
          </cell>
          <cell r="BH997">
            <v>2</v>
          </cell>
          <cell r="BI997">
            <v>1</v>
          </cell>
          <cell r="BJ997">
            <v>14</v>
          </cell>
          <cell r="BK997">
            <v>0</v>
          </cell>
          <cell r="BL997">
            <v>0</v>
          </cell>
          <cell r="BM997" t="str">
            <v/>
          </cell>
          <cell r="BN997">
            <v>17</v>
          </cell>
          <cell r="BO997" t="str">
            <v/>
          </cell>
          <cell r="BP997">
            <v>2</v>
          </cell>
          <cell r="BQ997">
            <v>1</v>
          </cell>
          <cell r="BR997">
            <v>14</v>
          </cell>
          <cell r="BS997">
            <v>0</v>
          </cell>
          <cell r="BT997">
            <v>0</v>
          </cell>
          <cell r="BU997" t="str">
            <v/>
          </cell>
          <cell r="BV997">
            <v>17</v>
          </cell>
          <cell r="BW997">
            <v>4</v>
          </cell>
          <cell r="BX997" t="str">
            <v>DOWNGRADE</v>
          </cell>
          <cell r="BY997" t="str">
            <v>RESET</v>
          </cell>
        </row>
        <row r="998">
          <cell r="A998" t="str">
            <v>A3068</v>
          </cell>
          <cell r="B998" t="str">
            <v>Rina Prastiwi</v>
          </cell>
          <cell r="C998" t="str">
            <v>TEMA C2</v>
          </cell>
          <cell r="D998">
            <v>45293</v>
          </cell>
          <cell r="E998" t="str">
            <v>Jan-24</v>
          </cell>
          <cell r="F998" t="str">
            <v>-</v>
          </cell>
          <cell r="G998" t="str">
            <v>REGULER</v>
          </cell>
          <cell r="H998" t="str">
            <v>REGULER</v>
          </cell>
          <cell r="I998" t="str">
            <v>REGULER</v>
          </cell>
          <cell r="J998" t="str">
            <v>REGULER</v>
          </cell>
          <cell r="K998" t="str">
            <v>REGULER</v>
          </cell>
          <cell r="L998" t="str">
            <v>REGULER</v>
          </cell>
          <cell r="M998">
            <v>0</v>
          </cell>
          <cell r="N998">
            <v>34</v>
          </cell>
          <cell r="O998">
            <v>34</v>
          </cell>
          <cell r="P998">
            <v>32</v>
          </cell>
          <cell r="Q998">
            <v>35</v>
          </cell>
          <cell r="R998">
            <v>31</v>
          </cell>
          <cell r="S998">
            <v>14</v>
          </cell>
          <cell r="T998">
            <v>180</v>
          </cell>
          <cell r="U998">
            <v>0</v>
          </cell>
          <cell r="V998">
            <v>34</v>
          </cell>
          <cell r="W998">
            <v>34</v>
          </cell>
          <cell r="X998">
            <v>32</v>
          </cell>
          <cell r="Y998">
            <v>35</v>
          </cell>
          <cell r="Z998">
            <v>31</v>
          </cell>
          <cell r="AA998">
            <v>14</v>
          </cell>
          <cell r="AB998">
            <v>180</v>
          </cell>
          <cell r="AC998">
            <v>0</v>
          </cell>
          <cell r="AD998" t="str">
            <v>TIDAK</v>
          </cell>
          <cell r="AE998" t="str">
            <v>TIDAK</v>
          </cell>
          <cell r="AF998">
            <v>180</v>
          </cell>
          <cell r="AG998">
            <v>2</v>
          </cell>
          <cell r="AH998" t="str">
            <v>SAPHIRE</v>
          </cell>
          <cell r="AI998">
            <v>135</v>
          </cell>
          <cell r="AJ998" t="str">
            <v>Y</v>
          </cell>
          <cell r="AK998">
            <v>0</v>
          </cell>
          <cell r="AL998">
            <v>45261</v>
          </cell>
          <cell r="AM998">
            <v>45701</v>
          </cell>
          <cell r="AN998">
            <v>1</v>
          </cell>
          <cell r="AO998">
            <v>45</v>
          </cell>
          <cell r="AP998" t="str">
            <v>-</v>
          </cell>
          <cell r="AQ998" t="str">
            <v>-</v>
          </cell>
          <cell r="AR998" t="str">
            <v>-</v>
          </cell>
          <cell r="AS998" t="str">
            <v>-</v>
          </cell>
          <cell r="AT998" t="str">
            <v>-</v>
          </cell>
          <cell r="AU998" t="str">
            <v>-</v>
          </cell>
          <cell r="AV998" t="str">
            <v/>
          </cell>
          <cell r="AW998">
            <v>14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14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15</v>
          </cell>
          <cell r="BH998">
            <v>14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 t="str">
            <v/>
          </cell>
          <cell r="BN998">
            <v>29</v>
          </cell>
          <cell r="BO998">
            <v>15</v>
          </cell>
          <cell r="BP998">
            <v>14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 t="str">
            <v/>
          </cell>
          <cell r="BV998">
            <v>29</v>
          </cell>
          <cell r="BW998">
            <v>5</v>
          </cell>
          <cell r="BX998" t="str">
            <v>DOWNGRADE</v>
          </cell>
          <cell r="BY998" t="str">
            <v>RESET</v>
          </cell>
        </row>
        <row r="999">
          <cell r="A999" t="str">
            <v>A0789</v>
          </cell>
          <cell r="B999" t="str">
            <v>Riyan Firmansyah</v>
          </cell>
          <cell r="C999" t="str">
            <v>TEMA C2</v>
          </cell>
          <cell r="D999">
            <v>44928</v>
          </cell>
          <cell r="E999" t="str">
            <v>Jan-23</v>
          </cell>
          <cell r="F999" t="str">
            <v>EKSKLUSIF</v>
          </cell>
          <cell r="G999" t="str">
            <v>REGULER</v>
          </cell>
          <cell r="H999" t="str">
            <v>EKSKLUSIF</v>
          </cell>
          <cell r="I999" t="str">
            <v>EKSKLUSIF</v>
          </cell>
          <cell r="J999" t="str">
            <v>EKSKLUSIF</v>
          </cell>
          <cell r="K999" t="str">
            <v>REGULER</v>
          </cell>
          <cell r="L999" t="str">
            <v>REGULER</v>
          </cell>
          <cell r="M999">
            <v>19</v>
          </cell>
          <cell r="N999">
            <v>34</v>
          </cell>
          <cell r="O999">
            <v>37</v>
          </cell>
          <cell r="P999">
            <v>39</v>
          </cell>
          <cell r="Q999">
            <v>35</v>
          </cell>
          <cell r="R999">
            <v>29</v>
          </cell>
          <cell r="S999">
            <v>16</v>
          </cell>
          <cell r="T999">
            <v>209</v>
          </cell>
          <cell r="U999">
            <v>0</v>
          </cell>
          <cell r="V999">
            <v>34</v>
          </cell>
          <cell r="W999">
            <v>0</v>
          </cell>
          <cell r="X999">
            <v>0</v>
          </cell>
          <cell r="Y999">
            <v>0</v>
          </cell>
          <cell r="Z999">
            <v>29</v>
          </cell>
          <cell r="AA999">
            <v>16</v>
          </cell>
          <cell r="AB999">
            <v>79</v>
          </cell>
          <cell r="AC999">
            <v>0</v>
          </cell>
          <cell r="AD999" t="str">
            <v>TIDAK</v>
          </cell>
          <cell r="AE999" t="str">
            <v>TIDAK</v>
          </cell>
          <cell r="AF999">
            <v>79</v>
          </cell>
          <cell r="AG999">
            <v>2</v>
          </cell>
          <cell r="AH999" t="str">
            <v>SAPHIRE</v>
          </cell>
          <cell r="AI999">
            <v>0</v>
          </cell>
          <cell r="AJ999" t="str">
            <v>Y</v>
          </cell>
          <cell r="AK999">
            <v>0</v>
          </cell>
          <cell r="AL999">
            <v>45261</v>
          </cell>
          <cell r="AM999">
            <v>45701</v>
          </cell>
          <cell r="AN999">
            <v>1</v>
          </cell>
          <cell r="AO999">
            <v>79</v>
          </cell>
          <cell r="AP999" t="str">
            <v>-</v>
          </cell>
          <cell r="AQ999" t="str">
            <v>-</v>
          </cell>
          <cell r="AR999" t="str">
            <v>REGULER</v>
          </cell>
          <cell r="AS999" t="str">
            <v>EKSKLUSIF</v>
          </cell>
          <cell r="AT999" t="str">
            <v>EKSKLUSIF</v>
          </cell>
          <cell r="AU999" t="str">
            <v>-</v>
          </cell>
          <cell r="AV999" t="str">
            <v/>
          </cell>
          <cell r="AW999">
            <v>33</v>
          </cell>
          <cell r="AX999">
            <v>32</v>
          </cell>
          <cell r="AY999">
            <v>40</v>
          </cell>
          <cell r="AZ999">
            <v>36</v>
          </cell>
          <cell r="BA999">
            <v>0</v>
          </cell>
          <cell r="BB999">
            <v>33</v>
          </cell>
          <cell r="BC999">
            <v>32</v>
          </cell>
          <cell r="BD999">
            <v>40</v>
          </cell>
          <cell r="BE999">
            <v>36</v>
          </cell>
          <cell r="BF999">
            <v>0</v>
          </cell>
          <cell r="BG999">
            <v>13</v>
          </cell>
          <cell r="BH999">
            <v>33</v>
          </cell>
          <cell r="BI999">
            <v>32</v>
          </cell>
          <cell r="BJ999">
            <v>40</v>
          </cell>
          <cell r="BK999">
            <v>36</v>
          </cell>
          <cell r="BL999">
            <v>0</v>
          </cell>
          <cell r="BM999" t="str">
            <v/>
          </cell>
          <cell r="BN999">
            <v>154</v>
          </cell>
          <cell r="BO999">
            <v>13</v>
          </cell>
          <cell r="BP999">
            <v>33</v>
          </cell>
          <cell r="BQ999">
            <v>32</v>
          </cell>
          <cell r="BR999">
            <v>0</v>
          </cell>
          <cell r="BS999">
            <v>0</v>
          </cell>
          <cell r="BT999">
            <v>0</v>
          </cell>
          <cell r="BU999" t="str">
            <v/>
          </cell>
          <cell r="BV999">
            <v>78</v>
          </cell>
          <cell r="BW999">
            <v>2</v>
          </cell>
          <cell r="BX999" t="str">
            <v>TIDAK</v>
          </cell>
          <cell r="BY999" t="str">
            <v>TIDAK</v>
          </cell>
        </row>
        <row r="1000">
          <cell r="A1000" t="str">
            <v>A1208</v>
          </cell>
          <cell r="B1000" t="str">
            <v>Riyan Istiqomah</v>
          </cell>
          <cell r="C1000" t="str">
            <v>TEMA C2</v>
          </cell>
          <cell r="D1000">
            <v>44986</v>
          </cell>
          <cell r="E1000" t="str">
            <v>Mar-23</v>
          </cell>
          <cell r="F1000" t="str">
            <v>EKSKLUSIF</v>
          </cell>
          <cell r="G1000" t="str">
            <v>EKSKLUSIF</v>
          </cell>
          <cell r="H1000" t="str">
            <v>EKSKLUSIF</v>
          </cell>
          <cell r="I1000" t="str">
            <v>REGULER</v>
          </cell>
          <cell r="J1000" t="str">
            <v>REGULER</v>
          </cell>
          <cell r="K1000" t="str">
            <v>REGULER</v>
          </cell>
          <cell r="L1000" t="str">
            <v>EKSKLUSIF</v>
          </cell>
          <cell r="M1000">
            <v>19</v>
          </cell>
          <cell r="N1000">
            <v>44</v>
          </cell>
          <cell r="O1000">
            <v>37</v>
          </cell>
          <cell r="P1000">
            <v>37</v>
          </cell>
          <cell r="Q1000">
            <v>29</v>
          </cell>
          <cell r="R1000">
            <v>32</v>
          </cell>
          <cell r="S1000">
            <v>22</v>
          </cell>
          <cell r="T1000">
            <v>220</v>
          </cell>
          <cell r="U1000">
            <v>0</v>
          </cell>
          <cell r="V1000">
            <v>0</v>
          </cell>
          <cell r="W1000">
            <v>0</v>
          </cell>
          <cell r="X1000">
            <v>37</v>
          </cell>
          <cell r="Y1000">
            <v>29</v>
          </cell>
          <cell r="Z1000">
            <v>32</v>
          </cell>
          <cell r="AA1000">
            <v>0</v>
          </cell>
          <cell r="AB1000">
            <v>98</v>
          </cell>
          <cell r="AC1000">
            <v>0</v>
          </cell>
          <cell r="AD1000" t="str">
            <v>TIDAK</v>
          </cell>
          <cell r="AE1000" t="str">
            <v>TIDAK</v>
          </cell>
          <cell r="AF1000">
            <v>98</v>
          </cell>
          <cell r="AG1000">
            <v>2</v>
          </cell>
          <cell r="AH1000" t="str">
            <v>SAPHIRE</v>
          </cell>
          <cell r="AI1000">
            <v>65</v>
          </cell>
          <cell r="AJ1000" t="str">
            <v>Y</v>
          </cell>
          <cell r="AK1000">
            <v>0</v>
          </cell>
          <cell r="AL1000">
            <v>45261</v>
          </cell>
          <cell r="AM1000">
            <v>45701</v>
          </cell>
          <cell r="AN1000">
            <v>1</v>
          </cell>
          <cell r="AO1000">
            <v>33</v>
          </cell>
          <cell r="AP1000" t="str">
            <v>EKSKLUSIF</v>
          </cell>
          <cell r="AQ1000" t="str">
            <v>-</v>
          </cell>
          <cell r="AR1000" t="str">
            <v>EKSKLUSIF</v>
          </cell>
          <cell r="AS1000" t="str">
            <v>EKSKLUSIF</v>
          </cell>
          <cell r="AT1000" t="str">
            <v>EKSKLUSIF</v>
          </cell>
          <cell r="AU1000" t="str">
            <v>EKSKLUSIF</v>
          </cell>
          <cell r="AV1000" t="str">
            <v/>
          </cell>
          <cell r="AW1000">
            <v>46</v>
          </cell>
          <cell r="AX1000">
            <v>45</v>
          </cell>
          <cell r="AY1000">
            <v>42</v>
          </cell>
          <cell r="AZ1000">
            <v>46</v>
          </cell>
          <cell r="BA1000">
            <v>43</v>
          </cell>
          <cell r="BB1000">
            <v>46</v>
          </cell>
          <cell r="BC1000">
            <v>45</v>
          </cell>
          <cell r="BD1000">
            <v>42</v>
          </cell>
          <cell r="BE1000">
            <v>46</v>
          </cell>
          <cell r="BF1000">
            <v>43</v>
          </cell>
          <cell r="BG1000">
            <v>18</v>
          </cell>
          <cell r="BH1000">
            <v>46</v>
          </cell>
          <cell r="BI1000">
            <v>45</v>
          </cell>
          <cell r="BJ1000">
            <v>42</v>
          </cell>
          <cell r="BK1000">
            <v>46</v>
          </cell>
          <cell r="BL1000">
            <v>43</v>
          </cell>
          <cell r="BM1000">
            <v>16</v>
          </cell>
          <cell r="BN1000">
            <v>256</v>
          </cell>
          <cell r="BO1000">
            <v>0</v>
          </cell>
          <cell r="BP1000">
            <v>46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16</v>
          </cell>
          <cell r="BV1000">
            <v>62</v>
          </cell>
          <cell r="BW1000">
            <v>0</v>
          </cell>
          <cell r="BX1000" t="str">
            <v>TIDAK</v>
          </cell>
          <cell r="BY1000" t="str">
            <v>TIDAK</v>
          </cell>
        </row>
        <row r="1001">
          <cell r="A1001" t="str">
            <v>A1205</v>
          </cell>
          <cell r="B1001" t="str">
            <v>Rizki Lubis Mariadi</v>
          </cell>
          <cell r="C1001" t="str">
            <v>TEMA C2</v>
          </cell>
          <cell r="D1001">
            <v>45155</v>
          </cell>
          <cell r="E1001" t="str">
            <v>Aug-23</v>
          </cell>
          <cell r="F1001" t="str">
            <v>REGULER</v>
          </cell>
          <cell r="G1001" t="str">
            <v>REGULER</v>
          </cell>
          <cell r="H1001" t="str">
            <v>REGULER</v>
          </cell>
          <cell r="I1001" t="str">
            <v>EKSKLUSIF</v>
          </cell>
          <cell r="J1001" t="str">
            <v>EKSKLUSIF</v>
          </cell>
          <cell r="K1001" t="str">
            <v>EKSKLUSIF</v>
          </cell>
          <cell r="L1001" t="str">
            <v>REGULER</v>
          </cell>
          <cell r="M1001">
            <v>19</v>
          </cell>
          <cell r="N1001">
            <v>47</v>
          </cell>
          <cell r="O1001">
            <v>36</v>
          </cell>
          <cell r="P1001">
            <v>40</v>
          </cell>
          <cell r="Q1001">
            <v>33</v>
          </cell>
          <cell r="R1001">
            <v>38</v>
          </cell>
          <cell r="S1001">
            <v>10</v>
          </cell>
          <cell r="T1001">
            <v>223</v>
          </cell>
          <cell r="U1001">
            <v>19</v>
          </cell>
          <cell r="V1001">
            <v>47</v>
          </cell>
          <cell r="W1001">
            <v>36</v>
          </cell>
          <cell r="X1001">
            <v>0</v>
          </cell>
          <cell r="Y1001">
            <v>0</v>
          </cell>
          <cell r="Z1001">
            <v>0</v>
          </cell>
          <cell r="AA1001">
            <v>10</v>
          </cell>
          <cell r="AB1001">
            <v>112</v>
          </cell>
          <cell r="AC1001">
            <v>0</v>
          </cell>
          <cell r="AD1001" t="str">
            <v>TIDAK</v>
          </cell>
          <cell r="AE1001" t="str">
            <v>TIDAK</v>
          </cell>
          <cell r="AF1001">
            <v>112</v>
          </cell>
          <cell r="AG1001">
            <v>1</v>
          </cell>
          <cell r="AH1001" t="str">
            <v>SAPHIRE</v>
          </cell>
          <cell r="AI1001">
            <v>0</v>
          </cell>
          <cell r="AJ1001" t="str">
            <v>Y</v>
          </cell>
          <cell r="AK1001">
            <v>0</v>
          </cell>
          <cell r="AL1001">
            <v>45261</v>
          </cell>
          <cell r="AM1001">
            <v>45701</v>
          </cell>
          <cell r="AN1001">
            <v>1</v>
          </cell>
          <cell r="AO1001">
            <v>112</v>
          </cell>
          <cell r="AP1001" t="str">
            <v>-</v>
          </cell>
          <cell r="AQ1001" t="str">
            <v>-</v>
          </cell>
          <cell r="AR1001" t="str">
            <v>-</v>
          </cell>
          <cell r="AS1001" t="str">
            <v>-</v>
          </cell>
          <cell r="AT1001" t="str">
            <v>-</v>
          </cell>
          <cell r="AU1001" t="str">
            <v>-</v>
          </cell>
          <cell r="AV1001" t="str">
            <v/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 t="str">
            <v/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 t="str">
            <v/>
          </cell>
          <cell r="BN1001">
            <v>0</v>
          </cell>
          <cell r="BO1001" t="str">
            <v/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 t="str">
            <v/>
          </cell>
          <cell r="BV1001">
            <v>0</v>
          </cell>
          <cell r="BW1001">
            <v>7</v>
          </cell>
          <cell r="BX1001" t="str">
            <v>DOWNGRADE</v>
          </cell>
          <cell r="BY1001" t="str">
            <v>RESET</v>
          </cell>
        </row>
        <row r="1002">
          <cell r="A1002" t="str">
            <v>A4035</v>
          </cell>
          <cell r="B1002" t="str">
            <v>RIZKI MULYAWAN</v>
          </cell>
          <cell r="C1002" t="str">
            <v>TEMA C2</v>
          </cell>
          <cell r="D1002">
            <v>45425</v>
          </cell>
          <cell r="E1002" t="str">
            <v>May-24</v>
          </cell>
          <cell r="F1002" t="str">
            <v>-</v>
          </cell>
          <cell r="G1002" t="str">
            <v>-</v>
          </cell>
          <cell r="H1002" t="str">
            <v>-</v>
          </cell>
          <cell r="I1002" t="str">
            <v>-</v>
          </cell>
          <cell r="J1002" t="str">
            <v>-</v>
          </cell>
          <cell r="K1002" t="str">
            <v>REGULER</v>
          </cell>
          <cell r="L1002" t="str">
            <v>EKSKLUSIF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27</v>
          </cell>
          <cell r="S1002">
            <v>20</v>
          </cell>
          <cell r="T1002">
            <v>47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27</v>
          </cell>
          <cell r="AA1002">
            <v>0</v>
          </cell>
          <cell r="AB1002">
            <v>27</v>
          </cell>
          <cell r="AC1002">
            <v>0</v>
          </cell>
          <cell r="AD1002" t="str">
            <v>TIDAK</v>
          </cell>
          <cell r="AE1002" t="str">
            <v>TIDAK</v>
          </cell>
          <cell r="AF1002">
            <v>27</v>
          </cell>
          <cell r="AG1002">
            <v>1</v>
          </cell>
          <cell r="AH1002" t="str">
            <v>SAPHIRE</v>
          </cell>
          <cell r="AI1002">
            <v>0</v>
          </cell>
          <cell r="AJ1002" t="str">
            <v>FALSE</v>
          </cell>
          <cell r="AK1002">
            <v>0</v>
          </cell>
          <cell r="AL1002">
            <v>45261</v>
          </cell>
          <cell r="AM1002">
            <v>45701</v>
          </cell>
          <cell r="AN1002">
            <v>1</v>
          </cell>
          <cell r="AO1002">
            <v>27</v>
          </cell>
          <cell r="AP1002" t="str">
            <v>EKSKLUSIF</v>
          </cell>
          <cell r="AQ1002" t="str">
            <v>-</v>
          </cell>
          <cell r="AR1002" t="str">
            <v>EKSKLUSIF</v>
          </cell>
          <cell r="AS1002" t="str">
            <v>REGULER</v>
          </cell>
          <cell r="AT1002" t="str">
            <v>REGULER</v>
          </cell>
          <cell r="AU1002" t="str">
            <v>-</v>
          </cell>
          <cell r="AV1002" t="str">
            <v/>
          </cell>
          <cell r="AW1002">
            <v>50</v>
          </cell>
          <cell r="AX1002">
            <v>45</v>
          </cell>
          <cell r="AY1002">
            <v>21</v>
          </cell>
          <cell r="AZ1002">
            <v>18</v>
          </cell>
          <cell r="BA1002">
            <v>0</v>
          </cell>
          <cell r="BB1002">
            <v>50</v>
          </cell>
          <cell r="BC1002">
            <v>45</v>
          </cell>
          <cell r="BD1002">
            <v>21</v>
          </cell>
          <cell r="BE1002">
            <v>18</v>
          </cell>
          <cell r="BF1002">
            <v>0</v>
          </cell>
          <cell r="BG1002">
            <v>19</v>
          </cell>
          <cell r="BH1002">
            <v>50</v>
          </cell>
          <cell r="BI1002">
            <v>45</v>
          </cell>
          <cell r="BJ1002">
            <v>21</v>
          </cell>
          <cell r="BK1002">
            <v>18</v>
          </cell>
          <cell r="BL1002">
            <v>0</v>
          </cell>
          <cell r="BM1002">
            <v>4</v>
          </cell>
          <cell r="BN1002">
            <v>157</v>
          </cell>
          <cell r="BO1002">
            <v>0</v>
          </cell>
          <cell r="BP1002">
            <v>50</v>
          </cell>
          <cell r="BQ1002">
            <v>0</v>
          </cell>
          <cell r="BR1002">
            <v>21</v>
          </cell>
          <cell r="BS1002">
            <v>18</v>
          </cell>
          <cell r="BT1002">
            <v>0</v>
          </cell>
          <cell r="BU1002">
            <v>4</v>
          </cell>
          <cell r="BV1002">
            <v>93</v>
          </cell>
          <cell r="BW1002">
            <v>1</v>
          </cell>
          <cell r="BX1002" t="str">
            <v>TIDAK</v>
          </cell>
          <cell r="BY1002" t="str">
            <v>TIDAK</v>
          </cell>
        </row>
        <row r="1003">
          <cell r="A1003" t="str">
            <v>A0724</v>
          </cell>
          <cell r="B1003" t="str">
            <v>Rizky Reynaldi</v>
          </cell>
          <cell r="C1003" t="str">
            <v>TEMA C2</v>
          </cell>
          <cell r="D1003">
            <v>44886</v>
          </cell>
          <cell r="E1003" t="str">
            <v>Nov-22</v>
          </cell>
          <cell r="F1003" t="str">
            <v>EKSKLUSIF</v>
          </cell>
          <cell r="G1003" t="str">
            <v>EKSKLUSIF</v>
          </cell>
          <cell r="H1003" t="str">
            <v>EKSKLUSIF</v>
          </cell>
          <cell r="I1003" t="str">
            <v>EKSKLUSIF</v>
          </cell>
          <cell r="J1003" t="str">
            <v>EKSKLUSIF</v>
          </cell>
          <cell r="K1003" t="str">
            <v>EKSKLUSIF</v>
          </cell>
          <cell r="L1003" t="str">
            <v>EKSKLUSIF</v>
          </cell>
          <cell r="M1003">
            <v>16</v>
          </cell>
          <cell r="N1003">
            <v>46</v>
          </cell>
          <cell r="O1003">
            <v>38</v>
          </cell>
          <cell r="P1003">
            <v>40</v>
          </cell>
          <cell r="Q1003">
            <v>33</v>
          </cell>
          <cell r="R1003">
            <v>44</v>
          </cell>
          <cell r="S1003">
            <v>22</v>
          </cell>
          <cell r="T1003">
            <v>239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 t="str">
            <v>TIDAK</v>
          </cell>
          <cell r="AE1003" t="str">
            <v>TIDAK</v>
          </cell>
          <cell r="AF1003">
            <v>0</v>
          </cell>
          <cell r="AG1003">
            <v>3</v>
          </cell>
          <cell r="AH1003" t="str">
            <v>SAPHIRE</v>
          </cell>
          <cell r="AI1003">
            <v>0</v>
          </cell>
          <cell r="AJ1003" t="str">
            <v>FALSE</v>
          </cell>
          <cell r="AK1003">
            <v>0</v>
          </cell>
          <cell r="AL1003">
            <v>45261</v>
          </cell>
          <cell r="AM1003">
            <v>45701</v>
          </cell>
          <cell r="AN1003">
            <v>1</v>
          </cell>
          <cell r="AO1003">
            <v>0</v>
          </cell>
          <cell r="AP1003" t="str">
            <v>EKSKLUSIF</v>
          </cell>
          <cell r="AQ1003" t="str">
            <v>-</v>
          </cell>
          <cell r="AR1003" t="str">
            <v>EKSKLUSIF</v>
          </cell>
          <cell r="AS1003" t="str">
            <v>EKSKLUSIF</v>
          </cell>
          <cell r="AT1003" t="str">
            <v>EKSKLUSIF</v>
          </cell>
          <cell r="AU1003" t="str">
            <v>EKSKLUSIF</v>
          </cell>
          <cell r="AV1003" t="str">
            <v/>
          </cell>
          <cell r="AW1003">
            <v>47</v>
          </cell>
          <cell r="AX1003">
            <v>47</v>
          </cell>
          <cell r="AY1003">
            <v>40</v>
          </cell>
          <cell r="AZ1003">
            <v>47</v>
          </cell>
          <cell r="BA1003">
            <v>43</v>
          </cell>
          <cell r="BB1003">
            <v>47</v>
          </cell>
          <cell r="BC1003">
            <v>47</v>
          </cell>
          <cell r="BD1003">
            <v>40</v>
          </cell>
          <cell r="BE1003">
            <v>47</v>
          </cell>
          <cell r="BF1003">
            <v>43</v>
          </cell>
          <cell r="BG1003">
            <v>11</v>
          </cell>
          <cell r="BH1003">
            <v>47</v>
          </cell>
          <cell r="BI1003">
            <v>47</v>
          </cell>
          <cell r="BJ1003">
            <v>40</v>
          </cell>
          <cell r="BK1003">
            <v>47</v>
          </cell>
          <cell r="BL1003">
            <v>43</v>
          </cell>
          <cell r="BM1003">
            <v>19</v>
          </cell>
          <cell r="BN1003">
            <v>254</v>
          </cell>
          <cell r="BO1003">
            <v>0</v>
          </cell>
          <cell r="BP1003">
            <v>47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19</v>
          </cell>
          <cell r="BV1003">
            <v>66</v>
          </cell>
          <cell r="BW1003">
            <v>0</v>
          </cell>
          <cell r="BX1003" t="str">
            <v>TIDAK</v>
          </cell>
          <cell r="BY1003" t="str">
            <v>TIDAK</v>
          </cell>
        </row>
        <row r="1004">
          <cell r="A1004" t="str">
            <v>A3324</v>
          </cell>
          <cell r="B1004" t="str">
            <v>Robertus Jordy Susilo</v>
          </cell>
          <cell r="C1004" t="str">
            <v>TEMA C2</v>
          </cell>
          <cell r="D1004">
            <v>45246</v>
          </cell>
          <cell r="E1004" t="str">
            <v>Nov-23</v>
          </cell>
          <cell r="F1004" t="str">
            <v>REGULER</v>
          </cell>
          <cell r="G1004" t="str">
            <v>REGULER</v>
          </cell>
          <cell r="H1004" t="str">
            <v>REGULER</v>
          </cell>
          <cell r="I1004" t="str">
            <v>EKSKLUSIF</v>
          </cell>
          <cell r="J1004" t="str">
            <v>EKSKLUSIF</v>
          </cell>
          <cell r="K1004" t="str">
            <v>EKSKLUSIF</v>
          </cell>
          <cell r="L1004" t="str">
            <v>-</v>
          </cell>
          <cell r="M1004">
            <v>17</v>
          </cell>
          <cell r="N1004">
            <v>38</v>
          </cell>
          <cell r="O1004">
            <v>35</v>
          </cell>
          <cell r="P1004">
            <v>40</v>
          </cell>
          <cell r="Q1004">
            <v>35</v>
          </cell>
          <cell r="R1004">
            <v>44</v>
          </cell>
          <cell r="S1004" t="str">
            <v/>
          </cell>
          <cell r="T1004">
            <v>209</v>
          </cell>
          <cell r="U1004">
            <v>17</v>
          </cell>
          <cell r="V1004">
            <v>38</v>
          </cell>
          <cell r="W1004">
            <v>35</v>
          </cell>
          <cell r="X1004">
            <v>0</v>
          </cell>
          <cell r="Y1004">
            <v>0</v>
          </cell>
          <cell r="Z1004">
            <v>0</v>
          </cell>
          <cell r="AA1004" t="str">
            <v/>
          </cell>
          <cell r="AB1004">
            <v>90</v>
          </cell>
          <cell r="AC1004">
            <v>1</v>
          </cell>
          <cell r="AD1004" t="str">
            <v>TIDAK</v>
          </cell>
          <cell r="AE1004" t="str">
            <v>TIDAK</v>
          </cell>
          <cell r="AF1004">
            <v>90</v>
          </cell>
          <cell r="AG1004">
            <v>2</v>
          </cell>
          <cell r="AH1004" t="str">
            <v>SAPHIRE</v>
          </cell>
          <cell r="AI1004">
            <v>0</v>
          </cell>
          <cell r="AJ1004" t="str">
            <v>Y</v>
          </cell>
          <cell r="AK1004">
            <v>0</v>
          </cell>
          <cell r="AL1004">
            <v>45261</v>
          </cell>
          <cell r="AM1004">
            <v>45701</v>
          </cell>
          <cell r="AN1004">
            <v>1</v>
          </cell>
          <cell r="AO1004">
            <v>90</v>
          </cell>
          <cell r="AP1004" t="str">
            <v>-</v>
          </cell>
          <cell r="AQ1004" t="str">
            <v>-</v>
          </cell>
          <cell r="AR1004" t="str">
            <v>-</v>
          </cell>
          <cell r="AS1004" t="str">
            <v>-</v>
          </cell>
          <cell r="AT1004" t="str">
            <v>-</v>
          </cell>
          <cell r="AU1004" t="str">
            <v>-</v>
          </cell>
          <cell r="AV1004" t="str">
            <v/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 t="str">
            <v/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 t="str">
            <v/>
          </cell>
          <cell r="BN1004">
            <v>0</v>
          </cell>
          <cell r="BO1004" t="str">
            <v/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 t="str">
            <v/>
          </cell>
          <cell r="BV1004">
            <v>0</v>
          </cell>
          <cell r="BW1004">
            <v>7</v>
          </cell>
          <cell r="BX1004" t="str">
            <v>DOWNGRADE</v>
          </cell>
          <cell r="BY1004" t="str">
            <v>RESET</v>
          </cell>
        </row>
        <row r="1005">
          <cell r="A1005" t="str">
            <v>A3787</v>
          </cell>
          <cell r="B1005" t="str">
            <v>Roy Frananda Saragih</v>
          </cell>
          <cell r="C1005" t="str">
            <v>TEMA C2</v>
          </cell>
          <cell r="D1005">
            <v>45335</v>
          </cell>
          <cell r="E1005" t="str">
            <v>Feb-24</v>
          </cell>
          <cell r="F1005" t="str">
            <v>-</v>
          </cell>
          <cell r="G1005" t="str">
            <v>-</v>
          </cell>
          <cell r="H1005" t="str">
            <v>REGULER</v>
          </cell>
          <cell r="I1005" t="str">
            <v>REGULER</v>
          </cell>
          <cell r="J1005" t="str">
            <v>REGULER</v>
          </cell>
          <cell r="K1005" t="str">
            <v>-</v>
          </cell>
          <cell r="L1005" t="str">
            <v>-</v>
          </cell>
          <cell r="M1005">
            <v>0</v>
          </cell>
          <cell r="N1005">
            <v>0</v>
          </cell>
          <cell r="O1005">
            <v>8</v>
          </cell>
          <cell r="P1005">
            <v>9</v>
          </cell>
          <cell r="Q1005">
            <v>14</v>
          </cell>
          <cell r="R1005">
            <v>0</v>
          </cell>
          <cell r="S1005" t="str">
            <v/>
          </cell>
          <cell r="T1005">
            <v>31</v>
          </cell>
          <cell r="U1005">
            <v>0</v>
          </cell>
          <cell r="V1005">
            <v>0</v>
          </cell>
          <cell r="W1005">
            <v>8</v>
          </cell>
          <cell r="X1005">
            <v>9</v>
          </cell>
          <cell r="Y1005">
            <v>14</v>
          </cell>
          <cell r="Z1005">
            <v>0</v>
          </cell>
          <cell r="AA1005" t="str">
            <v/>
          </cell>
          <cell r="AB1005">
            <v>31</v>
          </cell>
          <cell r="AC1005">
            <v>2</v>
          </cell>
          <cell r="AD1005" t="str">
            <v>TIDAK</v>
          </cell>
          <cell r="AE1005" t="str">
            <v>TIDAK</v>
          </cell>
          <cell r="AF1005">
            <v>31</v>
          </cell>
          <cell r="AG1005">
            <v>1</v>
          </cell>
          <cell r="AH1005" t="str">
            <v>SAPHIRE</v>
          </cell>
          <cell r="AI1005">
            <v>0</v>
          </cell>
          <cell r="AJ1005" t="str">
            <v>FALSE</v>
          </cell>
          <cell r="AK1005">
            <v>0</v>
          </cell>
          <cell r="AL1005">
            <v>45261</v>
          </cell>
          <cell r="AM1005">
            <v>45701</v>
          </cell>
          <cell r="AN1005">
            <v>1</v>
          </cell>
          <cell r="AO1005">
            <v>31</v>
          </cell>
          <cell r="AP1005" t="str">
            <v>-</v>
          </cell>
          <cell r="AQ1005" t="str">
            <v>-</v>
          </cell>
          <cell r="AR1005" t="str">
            <v>-</v>
          </cell>
          <cell r="AS1005" t="str">
            <v>-</v>
          </cell>
          <cell r="AT1005" t="str">
            <v>-</v>
          </cell>
          <cell r="AU1005" t="str">
            <v>-</v>
          </cell>
          <cell r="AV1005" t="str">
            <v/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 t="str">
            <v/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 t="str">
            <v/>
          </cell>
          <cell r="BN1005">
            <v>0</v>
          </cell>
          <cell r="BO1005" t="str">
            <v/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 t="str">
            <v/>
          </cell>
          <cell r="BV1005">
            <v>0</v>
          </cell>
          <cell r="BW1005">
            <v>7</v>
          </cell>
          <cell r="BX1005" t="str">
            <v>DOWNGRADE</v>
          </cell>
          <cell r="BY1005" t="str">
            <v>RESET</v>
          </cell>
        </row>
        <row r="1006">
          <cell r="A1006" t="str">
            <v>A3392</v>
          </cell>
          <cell r="B1006" t="str">
            <v>Rr Octaviarani Purbo Widodo</v>
          </cell>
          <cell r="C1006" t="str">
            <v>TEMA C2</v>
          </cell>
          <cell r="D1006">
            <v>45262</v>
          </cell>
          <cell r="E1006" t="str">
            <v>Dec-23</v>
          </cell>
          <cell r="F1006" t="str">
            <v>REGULER</v>
          </cell>
          <cell r="G1006" t="str">
            <v>REGULER</v>
          </cell>
          <cell r="H1006" t="str">
            <v>REGULER</v>
          </cell>
          <cell r="I1006" t="str">
            <v>REGULER</v>
          </cell>
          <cell r="J1006" t="str">
            <v>REGULER</v>
          </cell>
          <cell r="K1006" t="str">
            <v>REGULER</v>
          </cell>
          <cell r="L1006" t="str">
            <v>REGULER</v>
          </cell>
          <cell r="M1006">
            <v>7</v>
          </cell>
          <cell r="N1006">
            <v>34</v>
          </cell>
          <cell r="O1006">
            <v>22</v>
          </cell>
          <cell r="P1006">
            <v>19</v>
          </cell>
          <cell r="Q1006">
            <v>8</v>
          </cell>
          <cell r="R1006">
            <v>32</v>
          </cell>
          <cell r="S1006">
            <v>13</v>
          </cell>
          <cell r="T1006">
            <v>135</v>
          </cell>
          <cell r="U1006">
            <v>7</v>
          </cell>
          <cell r="V1006">
            <v>34</v>
          </cell>
          <cell r="W1006">
            <v>22</v>
          </cell>
          <cell r="X1006">
            <v>19</v>
          </cell>
          <cell r="Y1006">
            <v>8</v>
          </cell>
          <cell r="Z1006">
            <v>32</v>
          </cell>
          <cell r="AA1006">
            <v>13</v>
          </cell>
          <cell r="AB1006">
            <v>135</v>
          </cell>
          <cell r="AC1006">
            <v>0</v>
          </cell>
          <cell r="AD1006" t="str">
            <v>TIDAK</v>
          </cell>
          <cell r="AE1006" t="str">
            <v>TIDAK</v>
          </cell>
          <cell r="AF1006">
            <v>135</v>
          </cell>
          <cell r="AG1006">
            <v>1</v>
          </cell>
          <cell r="AH1006" t="str">
            <v>SAPHIRE</v>
          </cell>
          <cell r="AI1006">
            <v>65</v>
          </cell>
          <cell r="AJ1006" t="str">
            <v>Y</v>
          </cell>
          <cell r="AK1006">
            <v>0</v>
          </cell>
          <cell r="AL1006">
            <v>45261</v>
          </cell>
          <cell r="AM1006">
            <v>45701</v>
          </cell>
          <cell r="AN1006">
            <v>1</v>
          </cell>
          <cell r="AO1006">
            <v>70</v>
          </cell>
          <cell r="AP1006" t="str">
            <v>-</v>
          </cell>
          <cell r="AQ1006" t="str">
            <v>-</v>
          </cell>
          <cell r="AR1006" t="str">
            <v>REGULER</v>
          </cell>
          <cell r="AS1006" t="str">
            <v>-</v>
          </cell>
          <cell r="AT1006" t="str">
            <v>-</v>
          </cell>
          <cell r="AU1006" t="str">
            <v>-</v>
          </cell>
          <cell r="AV1006" t="str">
            <v/>
          </cell>
          <cell r="AW1006">
            <v>24</v>
          </cell>
          <cell r="AX1006">
            <v>3</v>
          </cell>
          <cell r="AY1006">
            <v>0</v>
          </cell>
          <cell r="AZ1006">
            <v>0</v>
          </cell>
          <cell r="BA1006">
            <v>0</v>
          </cell>
          <cell r="BB1006">
            <v>24</v>
          </cell>
          <cell r="BC1006">
            <v>3</v>
          </cell>
          <cell r="BD1006">
            <v>0</v>
          </cell>
          <cell r="BE1006">
            <v>0</v>
          </cell>
          <cell r="BF1006">
            <v>0</v>
          </cell>
          <cell r="BG1006">
            <v>11</v>
          </cell>
          <cell r="BH1006">
            <v>24</v>
          </cell>
          <cell r="BI1006">
            <v>3</v>
          </cell>
          <cell r="BJ1006">
            <v>0</v>
          </cell>
          <cell r="BK1006">
            <v>0</v>
          </cell>
          <cell r="BL1006">
            <v>0</v>
          </cell>
          <cell r="BM1006" t="str">
            <v/>
          </cell>
          <cell r="BN1006">
            <v>38</v>
          </cell>
          <cell r="BO1006">
            <v>11</v>
          </cell>
          <cell r="BP1006">
            <v>24</v>
          </cell>
          <cell r="BQ1006">
            <v>3</v>
          </cell>
          <cell r="BR1006">
            <v>0</v>
          </cell>
          <cell r="BS1006">
            <v>0</v>
          </cell>
          <cell r="BT1006">
            <v>0</v>
          </cell>
          <cell r="BU1006" t="str">
            <v/>
          </cell>
          <cell r="BV1006">
            <v>38</v>
          </cell>
          <cell r="BW1006">
            <v>4</v>
          </cell>
          <cell r="BX1006" t="str">
            <v>DOWNGRADE</v>
          </cell>
          <cell r="BY1006" t="str">
            <v>RESET</v>
          </cell>
        </row>
        <row r="1007">
          <cell r="A1007">
            <v>90876</v>
          </cell>
          <cell r="B1007" t="str">
            <v>Sadiyyah Adriana</v>
          </cell>
          <cell r="C1007" t="str">
            <v>TEMA C2</v>
          </cell>
          <cell r="D1007">
            <v>45093</v>
          </cell>
          <cell r="E1007" t="str">
            <v>Jun-23</v>
          </cell>
          <cell r="F1007" t="str">
            <v>REGULER</v>
          </cell>
          <cell r="G1007" t="str">
            <v>REGULER</v>
          </cell>
          <cell r="H1007" t="str">
            <v>REGULER</v>
          </cell>
          <cell r="I1007" t="str">
            <v>REGULER</v>
          </cell>
          <cell r="J1007" t="str">
            <v>REGULER</v>
          </cell>
          <cell r="K1007" t="str">
            <v>REGULER</v>
          </cell>
          <cell r="L1007" t="str">
            <v>REGULER</v>
          </cell>
          <cell r="M1007">
            <v>9</v>
          </cell>
          <cell r="N1007">
            <v>36</v>
          </cell>
          <cell r="O1007">
            <v>24</v>
          </cell>
          <cell r="P1007">
            <v>27</v>
          </cell>
          <cell r="Q1007">
            <v>35</v>
          </cell>
          <cell r="R1007">
            <v>32</v>
          </cell>
          <cell r="S1007">
            <v>14</v>
          </cell>
          <cell r="T1007">
            <v>177</v>
          </cell>
          <cell r="U1007">
            <v>9</v>
          </cell>
          <cell r="V1007">
            <v>36</v>
          </cell>
          <cell r="W1007">
            <v>24</v>
          </cell>
          <cell r="X1007">
            <v>27</v>
          </cell>
          <cell r="Y1007">
            <v>35</v>
          </cell>
          <cell r="Z1007">
            <v>32</v>
          </cell>
          <cell r="AA1007">
            <v>14</v>
          </cell>
          <cell r="AB1007">
            <v>177</v>
          </cell>
          <cell r="AC1007">
            <v>0</v>
          </cell>
          <cell r="AD1007" t="str">
            <v>TIDAK</v>
          </cell>
          <cell r="AE1007" t="str">
            <v>TIDAK</v>
          </cell>
          <cell r="AF1007">
            <v>177</v>
          </cell>
          <cell r="AG1007">
            <v>1</v>
          </cell>
          <cell r="AH1007" t="str">
            <v>SAPHIRE</v>
          </cell>
          <cell r="AI1007">
            <v>0</v>
          </cell>
          <cell r="AJ1007" t="str">
            <v>Y</v>
          </cell>
          <cell r="AK1007">
            <v>0</v>
          </cell>
          <cell r="AL1007">
            <v>45261</v>
          </cell>
          <cell r="AM1007">
            <v>45701</v>
          </cell>
          <cell r="AN1007">
            <v>1</v>
          </cell>
          <cell r="AO1007">
            <v>177</v>
          </cell>
          <cell r="AP1007" t="str">
            <v>-</v>
          </cell>
          <cell r="AQ1007" t="str">
            <v>-</v>
          </cell>
          <cell r="AR1007" t="str">
            <v>REGULER</v>
          </cell>
          <cell r="AS1007" t="str">
            <v>-</v>
          </cell>
          <cell r="AT1007" t="str">
            <v>-</v>
          </cell>
          <cell r="AU1007" t="str">
            <v>-</v>
          </cell>
          <cell r="AV1007" t="str">
            <v/>
          </cell>
          <cell r="AW1007">
            <v>30</v>
          </cell>
          <cell r="AX1007">
            <v>29</v>
          </cell>
          <cell r="AY1007">
            <v>0</v>
          </cell>
          <cell r="AZ1007">
            <v>0</v>
          </cell>
          <cell r="BA1007">
            <v>0</v>
          </cell>
          <cell r="BB1007">
            <v>30</v>
          </cell>
          <cell r="BC1007">
            <v>29</v>
          </cell>
          <cell r="BD1007">
            <v>0</v>
          </cell>
          <cell r="BE1007">
            <v>0</v>
          </cell>
          <cell r="BF1007">
            <v>0</v>
          </cell>
          <cell r="BG1007">
            <v>10</v>
          </cell>
          <cell r="BH1007">
            <v>30</v>
          </cell>
          <cell r="BI1007">
            <v>29</v>
          </cell>
          <cell r="BJ1007">
            <v>0</v>
          </cell>
          <cell r="BK1007">
            <v>0</v>
          </cell>
          <cell r="BL1007">
            <v>0</v>
          </cell>
          <cell r="BM1007" t="str">
            <v/>
          </cell>
          <cell r="BN1007">
            <v>69</v>
          </cell>
          <cell r="BO1007">
            <v>10</v>
          </cell>
          <cell r="BP1007">
            <v>30</v>
          </cell>
          <cell r="BQ1007">
            <v>29</v>
          </cell>
          <cell r="BR1007">
            <v>0</v>
          </cell>
          <cell r="BS1007">
            <v>0</v>
          </cell>
          <cell r="BT1007">
            <v>0</v>
          </cell>
          <cell r="BU1007" t="str">
            <v/>
          </cell>
          <cell r="BV1007">
            <v>69</v>
          </cell>
          <cell r="BW1007">
            <v>4</v>
          </cell>
          <cell r="BX1007" t="str">
            <v>DOWNGRADE</v>
          </cell>
          <cell r="BY1007" t="str">
            <v>RESET</v>
          </cell>
        </row>
        <row r="1008">
          <cell r="A1008" t="str">
            <v>A3982</v>
          </cell>
          <cell r="B1008" t="str">
            <v>Salwa Putri Nabilah</v>
          </cell>
          <cell r="C1008" t="str">
            <v>TEMA C2</v>
          </cell>
          <cell r="D1008">
            <v>45401</v>
          </cell>
          <cell r="E1008" t="str">
            <v>Apr-24</v>
          </cell>
          <cell r="F1008" t="str">
            <v>-</v>
          </cell>
          <cell r="G1008" t="str">
            <v>-</v>
          </cell>
          <cell r="H1008" t="str">
            <v>-</v>
          </cell>
          <cell r="I1008" t="str">
            <v>-</v>
          </cell>
          <cell r="J1008" t="str">
            <v>REGULER</v>
          </cell>
          <cell r="K1008" t="str">
            <v>-</v>
          </cell>
          <cell r="L1008" t="str">
            <v>-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1</v>
          </cell>
          <cell r="R1008">
            <v>0</v>
          </cell>
          <cell r="S1008" t="str">
            <v/>
          </cell>
          <cell r="T1008">
            <v>1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1</v>
          </cell>
          <cell r="Z1008">
            <v>0</v>
          </cell>
          <cell r="AA1008" t="str">
            <v/>
          </cell>
          <cell r="AB1008">
            <v>1</v>
          </cell>
          <cell r="AC1008">
            <v>2</v>
          </cell>
          <cell r="AD1008" t="str">
            <v>TIDAK</v>
          </cell>
          <cell r="AE1008" t="str">
            <v>TIDAK</v>
          </cell>
          <cell r="AF1008">
            <v>1</v>
          </cell>
          <cell r="AG1008">
            <v>1</v>
          </cell>
          <cell r="AH1008" t="str">
            <v>SAPHIRE</v>
          </cell>
          <cell r="AI1008">
            <v>0</v>
          </cell>
          <cell r="AJ1008" t="str">
            <v>FALSE</v>
          </cell>
          <cell r="AK1008">
            <v>0</v>
          </cell>
          <cell r="AL1008">
            <v>45261</v>
          </cell>
          <cell r="AM1008">
            <v>45701</v>
          </cell>
          <cell r="AN1008">
            <v>1</v>
          </cell>
          <cell r="AO1008">
            <v>1</v>
          </cell>
          <cell r="AP1008" t="str">
            <v>-</v>
          </cell>
          <cell r="AQ1008" t="str">
            <v>-</v>
          </cell>
          <cell r="AR1008" t="str">
            <v>-</v>
          </cell>
          <cell r="AS1008" t="str">
            <v>-</v>
          </cell>
          <cell r="AT1008" t="str">
            <v>-</v>
          </cell>
          <cell r="AU1008" t="str">
            <v>-</v>
          </cell>
          <cell r="AV1008" t="str">
            <v/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 t="str">
            <v/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 t="str">
            <v/>
          </cell>
          <cell r="BN1008">
            <v>0</v>
          </cell>
          <cell r="BO1008" t="str">
            <v/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 t="str">
            <v/>
          </cell>
          <cell r="BV1008">
            <v>0</v>
          </cell>
          <cell r="BW1008">
            <v>7</v>
          </cell>
          <cell r="BX1008" t="str">
            <v>DOWNGRADE</v>
          </cell>
          <cell r="BY1008" t="str">
            <v>RESET</v>
          </cell>
        </row>
        <row r="1009">
          <cell r="A1009" t="str">
            <v>A3715</v>
          </cell>
          <cell r="B1009" t="str">
            <v>Samantha Nora Mindo Panjaitan</v>
          </cell>
          <cell r="C1009" t="str">
            <v>TEMA C2</v>
          </cell>
          <cell r="D1009">
            <v>45323</v>
          </cell>
          <cell r="E1009" t="str">
            <v>Feb-24</v>
          </cell>
          <cell r="F1009" t="str">
            <v>-</v>
          </cell>
          <cell r="G1009" t="str">
            <v>-</v>
          </cell>
          <cell r="H1009" t="str">
            <v>REGULER</v>
          </cell>
          <cell r="I1009" t="str">
            <v>-</v>
          </cell>
          <cell r="J1009" t="str">
            <v>-</v>
          </cell>
          <cell r="K1009" t="str">
            <v>-</v>
          </cell>
          <cell r="L1009" t="str">
            <v>-</v>
          </cell>
          <cell r="M1009">
            <v>0</v>
          </cell>
          <cell r="N1009">
            <v>0</v>
          </cell>
          <cell r="O1009">
            <v>15</v>
          </cell>
          <cell r="P1009">
            <v>0</v>
          </cell>
          <cell r="Q1009">
            <v>0</v>
          </cell>
          <cell r="R1009">
            <v>0</v>
          </cell>
          <cell r="S1009" t="str">
            <v/>
          </cell>
          <cell r="T1009">
            <v>15</v>
          </cell>
          <cell r="U1009">
            <v>0</v>
          </cell>
          <cell r="V1009">
            <v>0</v>
          </cell>
          <cell r="W1009">
            <v>15</v>
          </cell>
          <cell r="X1009">
            <v>0</v>
          </cell>
          <cell r="Y1009">
            <v>0</v>
          </cell>
          <cell r="Z1009">
            <v>0</v>
          </cell>
          <cell r="AA1009" t="str">
            <v/>
          </cell>
          <cell r="AB1009">
            <v>15</v>
          </cell>
          <cell r="AC1009">
            <v>4</v>
          </cell>
          <cell r="AD1009" t="str">
            <v>DOWNGRADE</v>
          </cell>
          <cell r="AE1009" t="str">
            <v>RESET</v>
          </cell>
          <cell r="AF1009">
            <v>0</v>
          </cell>
          <cell r="AG1009">
            <v>1</v>
          </cell>
          <cell r="AH1009" t="str">
            <v>SAPHIRE</v>
          </cell>
          <cell r="AI1009">
            <v>0</v>
          </cell>
          <cell r="AJ1009" t="str">
            <v>FALSE</v>
          </cell>
          <cell r="AK1009">
            <v>0</v>
          </cell>
          <cell r="AL1009">
            <v>45261</v>
          </cell>
          <cell r="AM1009">
            <v>45701</v>
          </cell>
          <cell r="AN1009">
            <v>1</v>
          </cell>
          <cell r="AO1009">
            <v>0</v>
          </cell>
          <cell r="AP1009" t="str">
            <v>-</v>
          </cell>
          <cell r="AQ1009" t="str">
            <v>-</v>
          </cell>
          <cell r="AR1009" t="str">
            <v>-</v>
          </cell>
          <cell r="AS1009" t="str">
            <v>-</v>
          </cell>
          <cell r="AT1009" t="str">
            <v>-</v>
          </cell>
          <cell r="AU1009" t="str">
            <v>-</v>
          </cell>
          <cell r="AV1009" t="str">
            <v/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 t="str">
            <v/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 t="str">
            <v/>
          </cell>
          <cell r="BN1009">
            <v>0</v>
          </cell>
          <cell r="BO1009" t="str">
            <v/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 t="str">
            <v/>
          </cell>
          <cell r="BV1009">
            <v>0</v>
          </cell>
          <cell r="BW1009">
            <v>7</v>
          </cell>
          <cell r="BX1009" t="str">
            <v>DOWNGRADE</v>
          </cell>
          <cell r="BY1009" t="str">
            <v>RESET</v>
          </cell>
        </row>
        <row r="1010">
          <cell r="A1010" t="str">
            <v>A0105</v>
          </cell>
          <cell r="B1010" t="str">
            <v>Sanda Irianto</v>
          </cell>
          <cell r="C1010" t="str">
            <v>TEMA C2</v>
          </cell>
          <cell r="D1010">
            <v>44791</v>
          </cell>
          <cell r="E1010" t="str">
            <v>Aug-22</v>
          </cell>
          <cell r="F1010" t="str">
            <v>EKSKLUSIF</v>
          </cell>
          <cell r="G1010" t="str">
            <v>EKSKLUSIF</v>
          </cell>
          <cell r="H1010" t="str">
            <v>EKSKLUSIF</v>
          </cell>
          <cell r="I1010" t="str">
            <v>EKSKLUSIF</v>
          </cell>
          <cell r="J1010" t="str">
            <v>EKSKLUSIF</v>
          </cell>
          <cell r="K1010" t="str">
            <v>EKSKLUSIF</v>
          </cell>
          <cell r="L1010" t="str">
            <v>EKSKLUSIF</v>
          </cell>
          <cell r="M1010">
            <v>21</v>
          </cell>
          <cell r="N1010">
            <v>48</v>
          </cell>
          <cell r="O1010">
            <v>41</v>
          </cell>
          <cell r="P1010">
            <v>43</v>
          </cell>
          <cell r="Q1010">
            <v>37</v>
          </cell>
          <cell r="R1010">
            <v>44</v>
          </cell>
          <cell r="S1010">
            <v>21</v>
          </cell>
          <cell r="T1010">
            <v>255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 t="str">
            <v>TIDAK</v>
          </cell>
          <cell r="AE1010" t="str">
            <v>TIDAK</v>
          </cell>
          <cell r="AF1010">
            <v>0</v>
          </cell>
          <cell r="AG1010">
            <v>3</v>
          </cell>
          <cell r="AH1010" t="str">
            <v>SAPHIRE</v>
          </cell>
          <cell r="AI1010">
            <v>0</v>
          </cell>
          <cell r="AJ1010" t="str">
            <v>FALSE</v>
          </cell>
          <cell r="AK1010">
            <v>0</v>
          </cell>
          <cell r="AL1010">
            <v>45261</v>
          </cell>
          <cell r="AM1010">
            <v>45701</v>
          </cell>
          <cell r="AN1010">
            <v>1</v>
          </cell>
          <cell r="AO1010">
            <v>0</v>
          </cell>
          <cell r="AP1010" t="str">
            <v>EKSKLUSIF</v>
          </cell>
          <cell r="AQ1010" t="str">
            <v>-</v>
          </cell>
          <cell r="AR1010" t="str">
            <v>EKSKLUSIF</v>
          </cell>
          <cell r="AS1010" t="str">
            <v>EKSKLUSIF</v>
          </cell>
          <cell r="AT1010" t="str">
            <v>EKSKLUSIF</v>
          </cell>
          <cell r="AU1010" t="str">
            <v>EKSKLUSIF</v>
          </cell>
          <cell r="AV1010" t="str">
            <v/>
          </cell>
          <cell r="AW1010">
            <v>49</v>
          </cell>
          <cell r="AX1010">
            <v>48</v>
          </cell>
          <cell r="AY1010">
            <v>44</v>
          </cell>
          <cell r="AZ1010">
            <v>50</v>
          </cell>
          <cell r="BA1010">
            <v>44</v>
          </cell>
          <cell r="BB1010">
            <v>49</v>
          </cell>
          <cell r="BC1010">
            <v>48</v>
          </cell>
          <cell r="BD1010">
            <v>44</v>
          </cell>
          <cell r="BE1010">
            <v>50</v>
          </cell>
          <cell r="BF1010">
            <v>44</v>
          </cell>
          <cell r="BG1010">
            <v>20</v>
          </cell>
          <cell r="BH1010">
            <v>49</v>
          </cell>
          <cell r="BI1010">
            <v>48</v>
          </cell>
          <cell r="BJ1010">
            <v>44</v>
          </cell>
          <cell r="BK1010">
            <v>50</v>
          </cell>
          <cell r="BL1010">
            <v>44</v>
          </cell>
          <cell r="BM1010">
            <v>22</v>
          </cell>
          <cell r="BN1010">
            <v>277</v>
          </cell>
          <cell r="BO1010">
            <v>0</v>
          </cell>
          <cell r="BP1010">
            <v>49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22</v>
          </cell>
          <cell r="BV1010">
            <v>71</v>
          </cell>
          <cell r="BW1010">
            <v>0</v>
          </cell>
          <cell r="BX1010" t="str">
            <v>TIDAK</v>
          </cell>
          <cell r="BY1010" t="str">
            <v>TIDAK</v>
          </cell>
        </row>
        <row r="1011">
          <cell r="A1011" t="str">
            <v>A2766</v>
          </cell>
          <cell r="B1011" t="str">
            <v>Sasti Kristin Yosiana</v>
          </cell>
          <cell r="C1011" t="str">
            <v>TEMA C2</v>
          </cell>
          <cell r="D1011">
            <v>45157</v>
          </cell>
          <cell r="E1011" t="str">
            <v>Aug-23</v>
          </cell>
          <cell r="F1011" t="str">
            <v>REGULER</v>
          </cell>
          <cell r="G1011" t="str">
            <v>REGULER</v>
          </cell>
          <cell r="H1011" t="str">
            <v>REGULER</v>
          </cell>
          <cell r="I1011" t="str">
            <v>REGULER</v>
          </cell>
          <cell r="J1011" t="str">
            <v>REGULER</v>
          </cell>
          <cell r="K1011" t="str">
            <v>REGULER</v>
          </cell>
          <cell r="L1011" t="str">
            <v>REGULER</v>
          </cell>
          <cell r="M1011">
            <v>5</v>
          </cell>
          <cell r="N1011">
            <v>3</v>
          </cell>
          <cell r="O1011">
            <v>10</v>
          </cell>
          <cell r="P1011">
            <v>13</v>
          </cell>
          <cell r="Q1011">
            <v>3</v>
          </cell>
          <cell r="R1011">
            <v>5</v>
          </cell>
          <cell r="S1011">
            <v>1</v>
          </cell>
          <cell r="T1011">
            <v>40</v>
          </cell>
          <cell r="U1011">
            <v>5</v>
          </cell>
          <cell r="V1011">
            <v>3</v>
          </cell>
          <cell r="W1011">
            <v>10</v>
          </cell>
          <cell r="X1011">
            <v>13</v>
          </cell>
          <cell r="Y1011">
            <v>3</v>
          </cell>
          <cell r="Z1011">
            <v>5</v>
          </cell>
          <cell r="AA1011">
            <v>1</v>
          </cell>
          <cell r="AB1011">
            <v>40</v>
          </cell>
          <cell r="AC1011">
            <v>0</v>
          </cell>
          <cell r="AD1011" t="str">
            <v>TIDAK</v>
          </cell>
          <cell r="AE1011" t="str">
            <v>TIDAK</v>
          </cell>
          <cell r="AF1011">
            <v>40</v>
          </cell>
          <cell r="AG1011">
            <v>1</v>
          </cell>
          <cell r="AH1011" t="str">
            <v>SAPHIRE</v>
          </cell>
          <cell r="AI1011">
            <v>0</v>
          </cell>
          <cell r="AJ1011" t="str">
            <v>FALSE</v>
          </cell>
          <cell r="AK1011">
            <v>0</v>
          </cell>
          <cell r="AL1011">
            <v>45261</v>
          </cell>
          <cell r="AM1011">
            <v>45701</v>
          </cell>
          <cell r="AN1011">
            <v>1</v>
          </cell>
          <cell r="AO1011">
            <v>40</v>
          </cell>
          <cell r="AP1011" t="str">
            <v>-</v>
          </cell>
          <cell r="AQ1011" t="str">
            <v>-</v>
          </cell>
          <cell r="AR1011" t="str">
            <v>-</v>
          </cell>
          <cell r="AS1011" t="str">
            <v>-</v>
          </cell>
          <cell r="AT1011" t="str">
            <v>-</v>
          </cell>
          <cell r="AU1011" t="str">
            <v>-</v>
          </cell>
          <cell r="AV1011" t="str">
            <v/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 t="str">
            <v/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 t="str">
            <v/>
          </cell>
          <cell r="BN1011">
            <v>0</v>
          </cell>
          <cell r="BO1011" t="str">
            <v/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 t="str">
            <v/>
          </cell>
          <cell r="BV1011">
            <v>0</v>
          </cell>
          <cell r="BW1011">
            <v>7</v>
          </cell>
          <cell r="BX1011" t="str">
            <v>DOWNGRADE</v>
          </cell>
          <cell r="BY1011" t="str">
            <v>RESET</v>
          </cell>
        </row>
        <row r="1012">
          <cell r="A1012" t="str">
            <v>A2374</v>
          </cell>
          <cell r="B1012" t="str">
            <v>Sekar Ayu Agustina</v>
          </cell>
          <cell r="C1012" t="str">
            <v>TEMA C2</v>
          </cell>
          <cell r="D1012">
            <v>45063</v>
          </cell>
          <cell r="E1012" t="str">
            <v>May-23</v>
          </cell>
          <cell r="F1012" t="str">
            <v>REGULER</v>
          </cell>
          <cell r="G1012" t="str">
            <v>REGULER</v>
          </cell>
          <cell r="H1012" t="str">
            <v>-</v>
          </cell>
          <cell r="I1012" t="str">
            <v>-</v>
          </cell>
          <cell r="J1012" t="str">
            <v>-</v>
          </cell>
          <cell r="K1012" t="str">
            <v>-</v>
          </cell>
          <cell r="L1012" t="str">
            <v>-</v>
          </cell>
          <cell r="M1012">
            <v>2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 t="str">
            <v/>
          </cell>
          <cell r="T1012">
            <v>2</v>
          </cell>
          <cell r="U1012">
            <v>2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 t="str">
            <v/>
          </cell>
          <cell r="AB1012">
            <v>2</v>
          </cell>
          <cell r="AC1012">
            <v>6</v>
          </cell>
          <cell r="AD1012" t="str">
            <v>DOWNGRADE</v>
          </cell>
          <cell r="AE1012" t="str">
            <v>RESET</v>
          </cell>
          <cell r="AF1012">
            <v>0</v>
          </cell>
          <cell r="AG1012">
            <v>1</v>
          </cell>
          <cell r="AH1012" t="str">
            <v>SAPHIRE</v>
          </cell>
          <cell r="AI1012">
            <v>0</v>
          </cell>
          <cell r="AJ1012" t="str">
            <v>FALSE</v>
          </cell>
          <cell r="AK1012">
            <v>0</v>
          </cell>
          <cell r="AL1012">
            <v>45261</v>
          </cell>
          <cell r="AM1012">
            <v>45701</v>
          </cell>
          <cell r="AN1012">
            <v>1</v>
          </cell>
          <cell r="AO1012">
            <v>0</v>
          </cell>
          <cell r="AP1012" t="str">
            <v>-</v>
          </cell>
          <cell r="AQ1012" t="str">
            <v>-</v>
          </cell>
          <cell r="AR1012" t="str">
            <v>-</v>
          </cell>
          <cell r="AS1012" t="str">
            <v>-</v>
          </cell>
          <cell r="AT1012" t="str">
            <v>-</v>
          </cell>
          <cell r="AU1012" t="str">
            <v>-</v>
          </cell>
          <cell r="AV1012" t="str">
            <v/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 t="str">
            <v/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 t="str">
            <v/>
          </cell>
          <cell r="BN1012">
            <v>0</v>
          </cell>
          <cell r="BO1012" t="str">
            <v/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 t="str">
            <v/>
          </cell>
          <cell r="BV1012">
            <v>0</v>
          </cell>
          <cell r="BW1012">
            <v>7</v>
          </cell>
          <cell r="BX1012" t="str">
            <v>DOWNGRADE</v>
          </cell>
          <cell r="BY1012" t="str">
            <v>RESET</v>
          </cell>
        </row>
        <row r="1013">
          <cell r="A1013" t="str">
            <v>A3493</v>
          </cell>
          <cell r="B1013" t="str">
            <v>Septian Yoga Krisnadi</v>
          </cell>
          <cell r="C1013" t="str">
            <v>TEMA C2</v>
          </cell>
          <cell r="D1013">
            <v>45262</v>
          </cell>
          <cell r="E1013" t="str">
            <v>Dec-23</v>
          </cell>
          <cell r="F1013" t="str">
            <v>REGULER</v>
          </cell>
          <cell r="G1013" t="str">
            <v>REGULER</v>
          </cell>
          <cell r="H1013" t="str">
            <v>-</v>
          </cell>
          <cell r="I1013" t="str">
            <v>-</v>
          </cell>
          <cell r="J1013" t="str">
            <v>-</v>
          </cell>
          <cell r="K1013" t="str">
            <v>-</v>
          </cell>
          <cell r="L1013" t="str">
            <v>-</v>
          </cell>
          <cell r="M1013">
            <v>10</v>
          </cell>
          <cell r="N1013">
            <v>22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 t="str">
            <v/>
          </cell>
          <cell r="T1013">
            <v>32</v>
          </cell>
          <cell r="U1013">
            <v>10</v>
          </cell>
          <cell r="V1013">
            <v>22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 t="str">
            <v/>
          </cell>
          <cell r="AB1013">
            <v>32</v>
          </cell>
          <cell r="AC1013">
            <v>5</v>
          </cell>
          <cell r="AD1013" t="str">
            <v>DOWNGRADE</v>
          </cell>
          <cell r="AE1013" t="str">
            <v>RESET</v>
          </cell>
          <cell r="AF1013">
            <v>0</v>
          </cell>
          <cell r="AG1013">
            <v>2</v>
          </cell>
          <cell r="AH1013" t="str">
            <v>SAPHIRE</v>
          </cell>
          <cell r="AI1013">
            <v>0</v>
          </cell>
          <cell r="AJ1013" t="str">
            <v>FALSE</v>
          </cell>
          <cell r="AK1013">
            <v>0</v>
          </cell>
          <cell r="AL1013">
            <v>45261</v>
          </cell>
          <cell r="AM1013">
            <v>45701</v>
          </cell>
          <cell r="AN1013">
            <v>1</v>
          </cell>
          <cell r="AO1013">
            <v>0</v>
          </cell>
          <cell r="AP1013" t="str">
            <v>-</v>
          </cell>
          <cell r="AQ1013" t="str">
            <v>-</v>
          </cell>
          <cell r="AR1013" t="str">
            <v>-</v>
          </cell>
          <cell r="AS1013" t="str">
            <v>-</v>
          </cell>
          <cell r="AT1013" t="str">
            <v>-</v>
          </cell>
          <cell r="AU1013" t="str">
            <v>-</v>
          </cell>
          <cell r="AV1013" t="str">
            <v/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 t="str">
            <v/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 t="str">
            <v/>
          </cell>
          <cell r="BN1013">
            <v>0</v>
          </cell>
          <cell r="BO1013" t="str">
            <v/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T1013">
            <v>0</v>
          </cell>
          <cell r="BU1013" t="str">
            <v/>
          </cell>
          <cell r="BV1013">
            <v>0</v>
          </cell>
          <cell r="BW1013">
            <v>7</v>
          </cell>
          <cell r="BX1013" t="str">
            <v>DOWNGRADE</v>
          </cell>
          <cell r="BY1013" t="str">
            <v>RESET</v>
          </cell>
        </row>
        <row r="1014">
          <cell r="A1014" t="str">
            <v>A0244</v>
          </cell>
          <cell r="B1014" t="str">
            <v>Setyaningtyas Trinovitasari</v>
          </cell>
          <cell r="C1014" t="str">
            <v>TEMA C2</v>
          </cell>
          <cell r="D1014">
            <v>44839</v>
          </cell>
          <cell r="E1014" t="str">
            <v>Oct-22</v>
          </cell>
          <cell r="F1014" t="str">
            <v>REGULER</v>
          </cell>
          <cell r="G1014" t="str">
            <v>REGULER</v>
          </cell>
          <cell r="H1014" t="str">
            <v>REGULER</v>
          </cell>
          <cell r="I1014" t="str">
            <v>REGULER</v>
          </cell>
          <cell r="J1014" t="str">
            <v>REGULER</v>
          </cell>
          <cell r="K1014" t="str">
            <v>REGULER</v>
          </cell>
          <cell r="L1014" t="str">
            <v>REGULER</v>
          </cell>
          <cell r="M1014">
            <v>16</v>
          </cell>
          <cell r="N1014">
            <v>29</v>
          </cell>
          <cell r="O1014">
            <v>25</v>
          </cell>
          <cell r="P1014">
            <v>25</v>
          </cell>
          <cell r="Q1014">
            <v>17</v>
          </cell>
          <cell r="R1014">
            <v>17</v>
          </cell>
          <cell r="S1014">
            <v>9</v>
          </cell>
          <cell r="T1014">
            <v>138</v>
          </cell>
          <cell r="U1014">
            <v>16</v>
          </cell>
          <cell r="V1014">
            <v>29</v>
          </cell>
          <cell r="W1014">
            <v>25</v>
          </cell>
          <cell r="X1014">
            <v>25</v>
          </cell>
          <cell r="Y1014">
            <v>17</v>
          </cell>
          <cell r="Z1014">
            <v>17</v>
          </cell>
          <cell r="AA1014">
            <v>9</v>
          </cell>
          <cell r="AB1014">
            <v>138</v>
          </cell>
          <cell r="AC1014">
            <v>0</v>
          </cell>
          <cell r="AD1014" t="str">
            <v>TIDAK</v>
          </cell>
          <cell r="AE1014" t="str">
            <v>TIDAK</v>
          </cell>
          <cell r="AF1014">
            <v>138</v>
          </cell>
          <cell r="AG1014">
            <v>2</v>
          </cell>
          <cell r="AH1014" t="str">
            <v>SAPHIRE</v>
          </cell>
          <cell r="AI1014">
            <v>0</v>
          </cell>
          <cell r="AJ1014" t="str">
            <v>Y</v>
          </cell>
          <cell r="AK1014">
            <v>0</v>
          </cell>
          <cell r="AL1014">
            <v>45261</v>
          </cell>
          <cell r="AM1014">
            <v>45701</v>
          </cell>
          <cell r="AN1014">
            <v>1</v>
          </cell>
          <cell r="AO1014">
            <v>138</v>
          </cell>
          <cell r="AP1014" t="str">
            <v>-</v>
          </cell>
          <cell r="AQ1014" t="str">
            <v>-</v>
          </cell>
          <cell r="AR1014" t="str">
            <v>REGULER</v>
          </cell>
          <cell r="AS1014" t="str">
            <v>REGULER</v>
          </cell>
          <cell r="AT1014" t="str">
            <v>REGULER</v>
          </cell>
          <cell r="AU1014" t="str">
            <v>REGULER</v>
          </cell>
          <cell r="AV1014" t="str">
            <v/>
          </cell>
          <cell r="AW1014">
            <v>25</v>
          </cell>
          <cell r="AX1014">
            <v>29</v>
          </cell>
          <cell r="AY1014">
            <v>23</v>
          </cell>
          <cell r="AZ1014">
            <v>26</v>
          </cell>
          <cell r="BA1014">
            <v>18</v>
          </cell>
          <cell r="BB1014">
            <v>25</v>
          </cell>
          <cell r="BC1014">
            <v>29</v>
          </cell>
          <cell r="BD1014">
            <v>23</v>
          </cell>
          <cell r="BE1014">
            <v>26</v>
          </cell>
          <cell r="BF1014">
            <v>18</v>
          </cell>
          <cell r="BG1014">
            <v>12</v>
          </cell>
          <cell r="BH1014">
            <v>25</v>
          </cell>
          <cell r="BI1014">
            <v>29</v>
          </cell>
          <cell r="BJ1014">
            <v>23</v>
          </cell>
          <cell r="BK1014">
            <v>26</v>
          </cell>
          <cell r="BL1014">
            <v>18</v>
          </cell>
          <cell r="BM1014">
            <v>12</v>
          </cell>
          <cell r="BN1014">
            <v>145</v>
          </cell>
          <cell r="BO1014">
            <v>12</v>
          </cell>
          <cell r="BP1014">
            <v>25</v>
          </cell>
          <cell r="BQ1014">
            <v>29</v>
          </cell>
          <cell r="BR1014">
            <v>23</v>
          </cell>
          <cell r="BS1014">
            <v>26</v>
          </cell>
          <cell r="BT1014">
            <v>18</v>
          </cell>
          <cell r="BU1014">
            <v>12</v>
          </cell>
          <cell r="BV1014">
            <v>145</v>
          </cell>
          <cell r="BW1014">
            <v>0</v>
          </cell>
          <cell r="BX1014" t="str">
            <v>TIDAK</v>
          </cell>
          <cell r="BY1014" t="str">
            <v>TIDAK</v>
          </cell>
        </row>
        <row r="1015">
          <cell r="A1015" t="str">
            <v>A3962</v>
          </cell>
          <cell r="B1015" t="str">
            <v>Shiddiqi Diqi</v>
          </cell>
          <cell r="C1015" t="str">
            <v>TEMA C2</v>
          </cell>
          <cell r="D1015">
            <v>45383</v>
          </cell>
          <cell r="E1015" t="str">
            <v>Apr-24</v>
          </cell>
          <cell r="F1015" t="str">
            <v>-</v>
          </cell>
          <cell r="G1015" t="str">
            <v>-</v>
          </cell>
          <cell r="H1015" t="str">
            <v>-</v>
          </cell>
          <cell r="I1015" t="str">
            <v>-</v>
          </cell>
          <cell r="J1015" t="str">
            <v>REGULER</v>
          </cell>
          <cell r="K1015" t="str">
            <v>REGULER</v>
          </cell>
          <cell r="L1015" t="str">
            <v>REGULER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19</v>
          </cell>
          <cell r="R1015">
            <v>35</v>
          </cell>
          <cell r="S1015">
            <v>20</v>
          </cell>
          <cell r="T1015">
            <v>74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19</v>
          </cell>
          <cell r="Z1015">
            <v>35</v>
          </cell>
          <cell r="AA1015">
            <v>20</v>
          </cell>
          <cell r="AB1015">
            <v>74</v>
          </cell>
          <cell r="AC1015">
            <v>0</v>
          </cell>
          <cell r="AD1015" t="str">
            <v>TIDAK</v>
          </cell>
          <cell r="AE1015" t="str">
            <v>TIDAK</v>
          </cell>
          <cell r="AF1015">
            <v>74</v>
          </cell>
          <cell r="AG1015">
            <v>1</v>
          </cell>
          <cell r="AH1015" t="str">
            <v>SAPHIRE</v>
          </cell>
          <cell r="AI1015">
            <v>0</v>
          </cell>
          <cell r="AJ1015" t="str">
            <v>Y</v>
          </cell>
          <cell r="AK1015">
            <v>0</v>
          </cell>
          <cell r="AL1015">
            <v>45261</v>
          </cell>
          <cell r="AM1015">
            <v>45701</v>
          </cell>
          <cell r="AN1015">
            <v>1</v>
          </cell>
          <cell r="AO1015">
            <v>74</v>
          </cell>
          <cell r="AP1015" t="str">
            <v>-</v>
          </cell>
          <cell r="AQ1015" t="str">
            <v>-</v>
          </cell>
          <cell r="AR1015" t="str">
            <v>EKSKLUSIF</v>
          </cell>
          <cell r="AS1015" t="str">
            <v>EKSKLUSIF</v>
          </cell>
          <cell r="AT1015" t="str">
            <v>EKSKLUSIF</v>
          </cell>
          <cell r="AU1015" t="str">
            <v>REGULER</v>
          </cell>
          <cell r="AV1015" t="str">
            <v/>
          </cell>
          <cell r="AW1015">
            <v>47</v>
          </cell>
          <cell r="AX1015">
            <v>46</v>
          </cell>
          <cell r="AY1015">
            <v>42</v>
          </cell>
          <cell r="AZ1015">
            <v>50</v>
          </cell>
          <cell r="BA1015">
            <v>35</v>
          </cell>
          <cell r="BB1015">
            <v>47</v>
          </cell>
          <cell r="BC1015">
            <v>46</v>
          </cell>
          <cell r="BD1015">
            <v>42</v>
          </cell>
          <cell r="BE1015">
            <v>50</v>
          </cell>
          <cell r="BF1015">
            <v>35</v>
          </cell>
          <cell r="BG1015">
            <v>17</v>
          </cell>
          <cell r="BH1015">
            <v>47</v>
          </cell>
          <cell r="BI1015">
            <v>46</v>
          </cell>
          <cell r="BJ1015">
            <v>42</v>
          </cell>
          <cell r="BK1015">
            <v>50</v>
          </cell>
          <cell r="BL1015">
            <v>35</v>
          </cell>
          <cell r="BM1015">
            <v>22</v>
          </cell>
          <cell r="BN1015">
            <v>259</v>
          </cell>
          <cell r="BO1015">
            <v>17</v>
          </cell>
          <cell r="BP1015">
            <v>47</v>
          </cell>
          <cell r="BQ1015">
            <v>0</v>
          </cell>
          <cell r="BR1015">
            <v>0</v>
          </cell>
          <cell r="BS1015">
            <v>0</v>
          </cell>
          <cell r="BT1015">
            <v>35</v>
          </cell>
          <cell r="BU1015">
            <v>22</v>
          </cell>
          <cell r="BV1015">
            <v>121</v>
          </cell>
          <cell r="BW1015">
            <v>0</v>
          </cell>
          <cell r="BX1015" t="str">
            <v>TIDAK</v>
          </cell>
          <cell r="BY1015" t="str">
            <v>TIDAK</v>
          </cell>
        </row>
        <row r="1016">
          <cell r="A1016" t="str">
            <v>A1244</v>
          </cell>
          <cell r="B1016" t="str">
            <v>Shofia Novianti</v>
          </cell>
          <cell r="C1016" t="str">
            <v>TEMA C2</v>
          </cell>
          <cell r="D1016">
            <v>44942</v>
          </cell>
          <cell r="E1016" t="str">
            <v>Jan-23</v>
          </cell>
          <cell r="F1016" t="str">
            <v>EKSKLUSIF</v>
          </cell>
          <cell r="G1016" t="str">
            <v>EKSKLUSIF</v>
          </cell>
          <cell r="H1016" t="str">
            <v>EKSKLUSIF</v>
          </cell>
          <cell r="I1016" t="str">
            <v>EKSKLUSIF</v>
          </cell>
          <cell r="J1016" t="str">
            <v>EKSKLUSIF</v>
          </cell>
          <cell r="K1016" t="str">
            <v>EKSKLUSIF</v>
          </cell>
          <cell r="L1016" t="str">
            <v>EKSKLUSIF</v>
          </cell>
          <cell r="M1016">
            <v>21</v>
          </cell>
          <cell r="N1016">
            <v>47</v>
          </cell>
          <cell r="O1016">
            <v>40</v>
          </cell>
          <cell r="P1016">
            <v>41</v>
          </cell>
          <cell r="Q1016">
            <v>38</v>
          </cell>
          <cell r="R1016">
            <v>43</v>
          </cell>
          <cell r="S1016">
            <v>21</v>
          </cell>
          <cell r="T1016">
            <v>251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 t="str">
            <v>TIDAK</v>
          </cell>
          <cell r="AE1016" t="str">
            <v>TIDAK</v>
          </cell>
          <cell r="AF1016">
            <v>0</v>
          </cell>
          <cell r="AG1016">
            <v>2</v>
          </cell>
          <cell r="AH1016" t="str">
            <v>SAPHIRE</v>
          </cell>
          <cell r="AI1016">
            <v>0</v>
          </cell>
          <cell r="AJ1016" t="str">
            <v>FALSE</v>
          </cell>
          <cell r="AK1016">
            <v>0</v>
          </cell>
          <cell r="AL1016">
            <v>45261</v>
          </cell>
          <cell r="AM1016">
            <v>45701</v>
          </cell>
          <cell r="AN1016">
            <v>1</v>
          </cell>
          <cell r="AO1016">
            <v>0</v>
          </cell>
          <cell r="AP1016" t="str">
            <v>EKSKLUSIF</v>
          </cell>
          <cell r="AQ1016" t="str">
            <v>-</v>
          </cell>
          <cell r="AR1016" t="str">
            <v>EKSKLUSIF</v>
          </cell>
          <cell r="AS1016" t="str">
            <v>EKSKLUSIF</v>
          </cell>
          <cell r="AT1016" t="str">
            <v>EKSKLUSIF</v>
          </cell>
          <cell r="AU1016" t="str">
            <v>EKSKLUSIF</v>
          </cell>
          <cell r="AV1016" t="str">
            <v/>
          </cell>
          <cell r="AW1016">
            <v>46</v>
          </cell>
          <cell r="AX1016">
            <v>45</v>
          </cell>
          <cell r="AY1016">
            <v>43</v>
          </cell>
          <cell r="AZ1016">
            <v>47</v>
          </cell>
          <cell r="BA1016">
            <v>43</v>
          </cell>
          <cell r="BB1016">
            <v>46</v>
          </cell>
          <cell r="BC1016">
            <v>45</v>
          </cell>
          <cell r="BD1016">
            <v>43</v>
          </cell>
          <cell r="BE1016">
            <v>47</v>
          </cell>
          <cell r="BF1016">
            <v>43</v>
          </cell>
          <cell r="BG1016">
            <v>18</v>
          </cell>
          <cell r="BH1016">
            <v>46</v>
          </cell>
          <cell r="BI1016">
            <v>45</v>
          </cell>
          <cell r="BJ1016">
            <v>43</v>
          </cell>
          <cell r="BK1016">
            <v>47</v>
          </cell>
          <cell r="BL1016">
            <v>43</v>
          </cell>
          <cell r="BM1016">
            <v>21</v>
          </cell>
          <cell r="BN1016">
            <v>263</v>
          </cell>
          <cell r="BO1016">
            <v>0</v>
          </cell>
          <cell r="BP1016">
            <v>46</v>
          </cell>
          <cell r="BQ1016">
            <v>0</v>
          </cell>
          <cell r="BR1016">
            <v>0</v>
          </cell>
          <cell r="BS1016">
            <v>0</v>
          </cell>
          <cell r="BT1016">
            <v>0</v>
          </cell>
          <cell r="BU1016">
            <v>21</v>
          </cell>
          <cell r="BV1016">
            <v>67</v>
          </cell>
          <cell r="BW1016">
            <v>0</v>
          </cell>
          <cell r="BX1016" t="str">
            <v>TIDAK</v>
          </cell>
          <cell r="BY1016" t="str">
            <v>TIDAK</v>
          </cell>
        </row>
        <row r="1017">
          <cell r="A1017" t="str">
            <v>A3593</v>
          </cell>
          <cell r="B1017" t="str">
            <v>Shufia Ulinnadwa</v>
          </cell>
          <cell r="C1017" t="str">
            <v>TEMA C2</v>
          </cell>
          <cell r="D1017">
            <v>45331</v>
          </cell>
          <cell r="E1017" t="str">
            <v>Feb-24</v>
          </cell>
          <cell r="F1017" t="str">
            <v>-</v>
          </cell>
          <cell r="G1017" t="str">
            <v>-</v>
          </cell>
          <cell r="H1017" t="str">
            <v>REGULER</v>
          </cell>
          <cell r="I1017" t="str">
            <v>-</v>
          </cell>
          <cell r="J1017" t="str">
            <v>-</v>
          </cell>
          <cell r="K1017" t="str">
            <v>-</v>
          </cell>
          <cell r="L1017" t="str">
            <v>-</v>
          </cell>
          <cell r="M1017">
            <v>0</v>
          </cell>
          <cell r="N1017">
            <v>0</v>
          </cell>
          <cell r="O1017">
            <v>2</v>
          </cell>
          <cell r="P1017">
            <v>0</v>
          </cell>
          <cell r="Q1017">
            <v>0</v>
          </cell>
          <cell r="R1017">
            <v>0</v>
          </cell>
          <cell r="S1017" t="str">
            <v/>
          </cell>
          <cell r="T1017">
            <v>2</v>
          </cell>
          <cell r="U1017">
            <v>0</v>
          </cell>
          <cell r="V1017">
            <v>0</v>
          </cell>
          <cell r="W1017">
            <v>2</v>
          </cell>
          <cell r="X1017">
            <v>0</v>
          </cell>
          <cell r="Y1017">
            <v>0</v>
          </cell>
          <cell r="Z1017">
            <v>0</v>
          </cell>
          <cell r="AA1017" t="str">
            <v/>
          </cell>
          <cell r="AB1017">
            <v>2</v>
          </cell>
          <cell r="AC1017">
            <v>4</v>
          </cell>
          <cell r="AD1017" t="str">
            <v>DOWNGRADE</v>
          </cell>
          <cell r="AE1017" t="str">
            <v>RESET</v>
          </cell>
          <cell r="AF1017">
            <v>0</v>
          </cell>
          <cell r="AG1017">
            <v>1</v>
          </cell>
          <cell r="AH1017" t="str">
            <v>SAPHIRE</v>
          </cell>
          <cell r="AI1017">
            <v>0</v>
          </cell>
          <cell r="AJ1017" t="str">
            <v>FALSE</v>
          </cell>
          <cell r="AK1017">
            <v>0</v>
          </cell>
          <cell r="AL1017">
            <v>45261</v>
          </cell>
          <cell r="AM1017">
            <v>45701</v>
          </cell>
          <cell r="AN1017">
            <v>1</v>
          </cell>
          <cell r="AO1017">
            <v>0</v>
          </cell>
          <cell r="AP1017" t="str">
            <v>-</v>
          </cell>
          <cell r="AQ1017" t="str">
            <v>-</v>
          </cell>
          <cell r="AR1017" t="str">
            <v>-</v>
          </cell>
          <cell r="AS1017" t="str">
            <v>-</v>
          </cell>
          <cell r="AT1017" t="str">
            <v>-</v>
          </cell>
          <cell r="AU1017" t="str">
            <v>-</v>
          </cell>
          <cell r="AV1017" t="str">
            <v/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 t="str">
            <v/>
          </cell>
          <cell r="BH1017">
            <v>0</v>
          </cell>
          <cell r="BI1017">
            <v>0</v>
          </cell>
          <cell r="BJ1017">
            <v>0</v>
          </cell>
          <cell r="BK1017">
            <v>0</v>
          </cell>
          <cell r="BL1017">
            <v>0</v>
          </cell>
          <cell r="BM1017" t="str">
            <v/>
          </cell>
          <cell r="BN1017">
            <v>0</v>
          </cell>
          <cell r="BO1017" t="str">
            <v/>
          </cell>
          <cell r="BP1017">
            <v>0</v>
          </cell>
          <cell r="BQ1017">
            <v>0</v>
          </cell>
          <cell r="BR1017">
            <v>0</v>
          </cell>
          <cell r="BS1017">
            <v>0</v>
          </cell>
          <cell r="BT1017">
            <v>0</v>
          </cell>
          <cell r="BU1017" t="str">
            <v/>
          </cell>
          <cell r="BV1017">
            <v>0</v>
          </cell>
          <cell r="BW1017">
            <v>7</v>
          </cell>
          <cell r="BX1017" t="str">
            <v>DOWNGRADE</v>
          </cell>
          <cell r="BY1017" t="str">
            <v>RESET</v>
          </cell>
        </row>
        <row r="1018">
          <cell r="A1018" t="str">
            <v>A2627</v>
          </cell>
          <cell r="B1018" t="str">
            <v>Silvia Sri Oktarini</v>
          </cell>
          <cell r="C1018" t="str">
            <v>TEMA C2</v>
          </cell>
          <cell r="D1018">
            <v>45115</v>
          </cell>
          <cell r="E1018" t="str">
            <v>Jul-23</v>
          </cell>
          <cell r="F1018" t="str">
            <v>REGULER</v>
          </cell>
          <cell r="G1018" t="str">
            <v>REGULER</v>
          </cell>
          <cell r="H1018" t="str">
            <v>-</v>
          </cell>
          <cell r="I1018" t="str">
            <v>-</v>
          </cell>
          <cell r="J1018" t="str">
            <v>-</v>
          </cell>
          <cell r="K1018" t="str">
            <v>-</v>
          </cell>
          <cell r="L1018" t="str">
            <v>-</v>
          </cell>
          <cell r="M1018">
            <v>11</v>
          </cell>
          <cell r="N1018">
            <v>11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 t="str">
            <v/>
          </cell>
          <cell r="T1018">
            <v>22</v>
          </cell>
          <cell r="U1018">
            <v>11</v>
          </cell>
          <cell r="V1018">
            <v>11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 t="str">
            <v/>
          </cell>
          <cell r="AB1018">
            <v>22</v>
          </cell>
          <cell r="AC1018">
            <v>5</v>
          </cell>
          <cell r="AD1018" t="str">
            <v>DOWNGRADE</v>
          </cell>
          <cell r="AE1018" t="str">
            <v>RESET</v>
          </cell>
          <cell r="AF1018">
            <v>0</v>
          </cell>
          <cell r="AG1018">
            <v>6</v>
          </cell>
          <cell r="AH1018" t="str">
            <v>SAPHIRE</v>
          </cell>
          <cell r="AI1018">
            <v>0</v>
          </cell>
          <cell r="AJ1018" t="str">
            <v>FALSE</v>
          </cell>
          <cell r="AK1018">
            <v>0</v>
          </cell>
          <cell r="AL1018">
            <v>45261</v>
          </cell>
          <cell r="AM1018">
            <v>45701</v>
          </cell>
          <cell r="AN1018">
            <v>1</v>
          </cell>
          <cell r="AO1018">
            <v>0</v>
          </cell>
          <cell r="AP1018" t="str">
            <v>-</v>
          </cell>
          <cell r="AQ1018" t="str">
            <v>-</v>
          </cell>
          <cell r="AR1018" t="str">
            <v>-</v>
          </cell>
          <cell r="AS1018" t="str">
            <v>-</v>
          </cell>
          <cell r="AT1018" t="str">
            <v>-</v>
          </cell>
          <cell r="AU1018" t="str">
            <v>-</v>
          </cell>
          <cell r="AV1018" t="str">
            <v/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 t="str">
            <v/>
          </cell>
          <cell r="BH1018">
            <v>0</v>
          </cell>
          <cell r="BI1018">
            <v>0</v>
          </cell>
          <cell r="BJ1018">
            <v>0</v>
          </cell>
          <cell r="BK1018">
            <v>0</v>
          </cell>
          <cell r="BL1018">
            <v>0</v>
          </cell>
          <cell r="BM1018" t="str">
            <v/>
          </cell>
          <cell r="BN1018">
            <v>0</v>
          </cell>
          <cell r="BO1018" t="str">
            <v/>
          </cell>
          <cell r="BP1018">
            <v>0</v>
          </cell>
          <cell r="BQ1018">
            <v>0</v>
          </cell>
          <cell r="BR1018">
            <v>0</v>
          </cell>
          <cell r="BS1018">
            <v>0</v>
          </cell>
          <cell r="BT1018">
            <v>0</v>
          </cell>
          <cell r="BU1018" t="str">
            <v/>
          </cell>
          <cell r="BV1018">
            <v>0</v>
          </cell>
          <cell r="BW1018">
            <v>7</v>
          </cell>
          <cell r="BX1018" t="str">
            <v>DOWNGRADE</v>
          </cell>
          <cell r="BY1018" t="str">
            <v>RESET</v>
          </cell>
        </row>
        <row r="1019">
          <cell r="A1019" t="str">
            <v>A3662</v>
          </cell>
          <cell r="B1019" t="str">
            <v>Syafira Pratistha</v>
          </cell>
          <cell r="C1019" t="str">
            <v>TEMA C2</v>
          </cell>
          <cell r="D1019">
            <v>45315</v>
          </cell>
          <cell r="E1019" t="str">
            <v>Jan-24</v>
          </cell>
          <cell r="F1019" t="str">
            <v>-</v>
          </cell>
          <cell r="G1019" t="str">
            <v>REGULER</v>
          </cell>
          <cell r="H1019" t="str">
            <v>REGULER</v>
          </cell>
          <cell r="I1019" t="str">
            <v>-</v>
          </cell>
          <cell r="J1019" t="str">
            <v>REGULER</v>
          </cell>
          <cell r="K1019" t="str">
            <v>-</v>
          </cell>
          <cell r="L1019" t="str">
            <v>-</v>
          </cell>
          <cell r="M1019">
            <v>0</v>
          </cell>
          <cell r="N1019">
            <v>2</v>
          </cell>
          <cell r="O1019">
            <v>6</v>
          </cell>
          <cell r="P1019">
            <v>0</v>
          </cell>
          <cell r="Q1019">
            <v>1</v>
          </cell>
          <cell r="R1019">
            <v>0</v>
          </cell>
          <cell r="S1019" t="str">
            <v/>
          </cell>
          <cell r="T1019">
            <v>9</v>
          </cell>
          <cell r="U1019">
            <v>0</v>
          </cell>
          <cell r="V1019">
            <v>2</v>
          </cell>
          <cell r="W1019">
            <v>6</v>
          </cell>
          <cell r="X1019">
            <v>0</v>
          </cell>
          <cell r="Y1019">
            <v>1</v>
          </cell>
          <cell r="Z1019">
            <v>0</v>
          </cell>
          <cell r="AA1019" t="str">
            <v/>
          </cell>
          <cell r="AB1019">
            <v>9</v>
          </cell>
          <cell r="AC1019">
            <v>3</v>
          </cell>
          <cell r="AD1019" t="str">
            <v>DOWNGRADE</v>
          </cell>
          <cell r="AE1019" t="str">
            <v>TIDAK</v>
          </cell>
          <cell r="AF1019">
            <v>4.5</v>
          </cell>
          <cell r="AG1019">
            <v>1</v>
          </cell>
          <cell r="AH1019" t="str">
            <v>SAPHIRE</v>
          </cell>
          <cell r="AI1019">
            <v>0</v>
          </cell>
          <cell r="AJ1019" t="str">
            <v>FALSE</v>
          </cell>
          <cell r="AK1019">
            <v>0</v>
          </cell>
          <cell r="AL1019">
            <v>45261</v>
          </cell>
          <cell r="AM1019">
            <v>45701</v>
          </cell>
          <cell r="AN1019">
            <v>1</v>
          </cell>
          <cell r="AO1019">
            <v>4.5</v>
          </cell>
          <cell r="AP1019" t="str">
            <v>-</v>
          </cell>
          <cell r="AQ1019" t="str">
            <v>-</v>
          </cell>
          <cell r="AR1019" t="str">
            <v>-</v>
          </cell>
          <cell r="AS1019" t="str">
            <v>-</v>
          </cell>
          <cell r="AT1019" t="str">
            <v>-</v>
          </cell>
          <cell r="AU1019" t="str">
            <v>-</v>
          </cell>
          <cell r="AV1019" t="str">
            <v/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 t="str">
            <v/>
          </cell>
          <cell r="BH1019">
            <v>0</v>
          </cell>
          <cell r="BI1019">
            <v>0</v>
          </cell>
          <cell r="BJ1019">
            <v>0</v>
          </cell>
          <cell r="BK1019">
            <v>0</v>
          </cell>
          <cell r="BL1019">
            <v>0</v>
          </cell>
          <cell r="BM1019" t="str">
            <v/>
          </cell>
          <cell r="BN1019">
            <v>0</v>
          </cell>
          <cell r="BO1019" t="str">
            <v/>
          </cell>
          <cell r="BP1019">
            <v>0</v>
          </cell>
          <cell r="BQ1019">
            <v>0</v>
          </cell>
          <cell r="BR1019">
            <v>0</v>
          </cell>
          <cell r="BS1019">
            <v>0</v>
          </cell>
          <cell r="BT1019">
            <v>0</v>
          </cell>
          <cell r="BU1019" t="str">
            <v/>
          </cell>
          <cell r="BV1019">
            <v>0</v>
          </cell>
          <cell r="BW1019">
            <v>7</v>
          </cell>
          <cell r="BX1019" t="str">
            <v>DOWNGRADE</v>
          </cell>
          <cell r="BY1019" t="str">
            <v>RESET</v>
          </cell>
        </row>
        <row r="1020">
          <cell r="A1020" t="str">
            <v>A3987</v>
          </cell>
          <cell r="B1020" t="str">
            <v>Sylvester Sandro Novergio</v>
          </cell>
          <cell r="C1020" t="str">
            <v>TEMA C2</v>
          </cell>
          <cell r="D1020">
            <v>45407</v>
          </cell>
          <cell r="E1020" t="str">
            <v>Apr-24</v>
          </cell>
          <cell r="F1020" t="str">
            <v>-</v>
          </cell>
          <cell r="G1020" t="str">
            <v>-</v>
          </cell>
          <cell r="H1020" t="str">
            <v>-</v>
          </cell>
          <cell r="I1020" t="str">
            <v>-</v>
          </cell>
          <cell r="J1020" t="str">
            <v>REGULER</v>
          </cell>
          <cell r="K1020" t="str">
            <v>-</v>
          </cell>
          <cell r="L1020" t="str">
            <v>-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1</v>
          </cell>
          <cell r="R1020">
            <v>0</v>
          </cell>
          <cell r="S1020" t="str">
            <v/>
          </cell>
          <cell r="T1020">
            <v>1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1</v>
          </cell>
          <cell r="Z1020">
            <v>0</v>
          </cell>
          <cell r="AA1020" t="str">
            <v/>
          </cell>
          <cell r="AB1020">
            <v>1</v>
          </cell>
          <cell r="AC1020">
            <v>2</v>
          </cell>
          <cell r="AD1020" t="str">
            <v>TIDAK</v>
          </cell>
          <cell r="AE1020" t="str">
            <v>TIDAK</v>
          </cell>
          <cell r="AF1020">
            <v>1</v>
          </cell>
          <cell r="AG1020">
            <v>1</v>
          </cell>
          <cell r="AH1020" t="str">
            <v>SAPHIRE</v>
          </cell>
          <cell r="AI1020">
            <v>0</v>
          </cell>
          <cell r="AJ1020" t="str">
            <v>FALSE</v>
          </cell>
          <cell r="AK1020">
            <v>0</v>
          </cell>
          <cell r="AL1020">
            <v>45261</v>
          </cell>
          <cell r="AM1020">
            <v>45701</v>
          </cell>
          <cell r="AN1020">
            <v>1</v>
          </cell>
          <cell r="AO1020">
            <v>1</v>
          </cell>
          <cell r="AP1020" t="str">
            <v>-</v>
          </cell>
          <cell r="AQ1020" t="str">
            <v>-</v>
          </cell>
          <cell r="AR1020" t="str">
            <v>-</v>
          </cell>
          <cell r="AS1020" t="str">
            <v>-</v>
          </cell>
          <cell r="AT1020" t="str">
            <v>-</v>
          </cell>
          <cell r="AU1020" t="str">
            <v>-</v>
          </cell>
          <cell r="AV1020" t="str">
            <v/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 t="str">
            <v/>
          </cell>
          <cell r="BH1020">
            <v>0</v>
          </cell>
          <cell r="BI1020">
            <v>0</v>
          </cell>
          <cell r="BJ1020">
            <v>0</v>
          </cell>
          <cell r="BK1020">
            <v>0</v>
          </cell>
          <cell r="BL1020">
            <v>0</v>
          </cell>
          <cell r="BM1020" t="str">
            <v/>
          </cell>
          <cell r="BN1020">
            <v>0</v>
          </cell>
          <cell r="BO1020" t="str">
            <v/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T1020">
            <v>0</v>
          </cell>
          <cell r="BU1020" t="str">
            <v/>
          </cell>
          <cell r="BV1020">
            <v>0</v>
          </cell>
          <cell r="BW1020">
            <v>7</v>
          </cell>
          <cell r="BX1020" t="str">
            <v>DOWNGRADE</v>
          </cell>
          <cell r="BY1020" t="str">
            <v>RESET</v>
          </cell>
        </row>
        <row r="1021">
          <cell r="A1021" t="str">
            <v>A2619</v>
          </cell>
          <cell r="B1021" t="str">
            <v>Tedi Afriyanto</v>
          </cell>
          <cell r="C1021" t="str">
            <v>TEMA C2</v>
          </cell>
          <cell r="D1021">
            <v>45115</v>
          </cell>
          <cell r="E1021" t="str">
            <v>Jul-23</v>
          </cell>
          <cell r="F1021" t="str">
            <v>REGULER</v>
          </cell>
          <cell r="G1021" t="str">
            <v>REGULER</v>
          </cell>
          <cell r="H1021" t="str">
            <v>REGULER</v>
          </cell>
          <cell r="I1021" t="str">
            <v>REGULER</v>
          </cell>
          <cell r="J1021" t="str">
            <v>REGULER</v>
          </cell>
          <cell r="K1021" t="str">
            <v>REGULER</v>
          </cell>
          <cell r="L1021" t="str">
            <v>REGULER</v>
          </cell>
          <cell r="M1021">
            <v>20</v>
          </cell>
          <cell r="N1021">
            <v>11</v>
          </cell>
          <cell r="O1021">
            <v>2</v>
          </cell>
          <cell r="P1021">
            <v>5</v>
          </cell>
          <cell r="Q1021">
            <v>11</v>
          </cell>
          <cell r="R1021">
            <v>32</v>
          </cell>
          <cell r="S1021">
            <v>15</v>
          </cell>
          <cell r="T1021">
            <v>96</v>
          </cell>
          <cell r="U1021">
            <v>20</v>
          </cell>
          <cell r="V1021">
            <v>11</v>
          </cell>
          <cell r="W1021">
            <v>2</v>
          </cell>
          <cell r="X1021">
            <v>5</v>
          </cell>
          <cell r="Y1021">
            <v>11</v>
          </cell>
          <cell r="Z1021">
            <v>32</v>
          </cell>
          <cell r="AA1021">
            <v>15</v>
          </cell>
          <cell r="AB1021">
            <v>96</v>
          </cell>
          <cell r="AC1021">
            <v>0</v>
          </cell>
          <cell r="AD1021" t="str">
            <v>TIDAK</v>
          </cell>
          <cell r="AE1021" t="str">
            <v>TIDAK</v>
          </cell>
          <cell r="AF1021">
            <v>96</v>
          </cell>
          <cell r="AG1021">
            <v>1</v>
          </cell>
          <cell r="AH1021" t="str">
            <v>SAPHIRE</v>
          </cell>
          <cell r="AI1021">
            <v>65</v>
          </cell>
          <cell r="AJ1021" t="str">
            <v>Y</v>
          </cell>
          <cell r="AK1021">
            <v>0</v>
          </cell>
          <cell r="AL1021">
            <v>45261</v>
          </cell>
          <cell r="AM1021">
            <v>45701</v>
          </cell>
          <cell r="AN1021">
            <v>1</v>
          </cell>
          <cell r="AO1021">
            <v>31</v>
          </cell>
          <cell r="AP1021" t="str">
            <v>-</v>
          </cell>
          <cell r="AQ1021" t="str">
            <v>-</v>
          </cell>
          <cell r="AR1021" t="str">
            <v>REGULER</v>
          </cell>
          <cell r="AS1021" t="str">
            <v>-</v>
          </cell>
          <cell r="AT1021" t="str">
            <v>REGULER</v>
          </cell>
          <cell r="AU1021" t="str">
            <v>REGULER</v>
          </cell>
          <cell r="AV1021" t="str">
            <v/>
          </cell>
          <cell r="AW1021">
            <v>19</v>
          </cell>
          <cell r="AX1021">
            <v>1</v>
          </cell>
          <cell r="AY1021">
            <v>0</v>
          </cell>
          <cell r="AZ1021">
            <v>12</v>
          </cell>
          <cell r="BA1021">
            <v>37</v>
          </cell>
          <cell r="BB1021">
            <v>19</v>
          </cell>
          <cell r="BC1021">
            <v>1</v>
          </cell>
          <cell r="BD1021">
            <v>0</v>
          </cell>
          <cell r="BE1021">
            <v>12</v>
          </cell>
          <cell r="BF1021">
            <v>37</v>
          </cell>
          <cell r="BG1021">
            <v>11</v>
          </cell>
          <cell r="BH1021">
            <v>19</v>
          </cell>
          <cell r="BI1021">
            <v>1</v>
          </cell>
          <cell r="BJ1021">
            <v>0</v>
          </cell>
          <cell r="BK1021">
            <v>12</v>
          </cell>
          <cell r="BL1021">
            <v>37</v>
          </cell>
          <cell r="BM1021">
            <v>20</v>
          </cell>
          <cell r="BN1021">
            <v>100</v>
          </cell>
          <cell r="BO1021">
            <v>11</v>
          </cell>
          <cell r="BP1021">
            <v>19</v>
          </cell>
          <cell r="BQ1021">
            <v>1</v>
          </cell>
          <cell r="BR1021">
            <v>0</v>
          </cell>
          <cell r="BS1021">
            <v>12</v>
          </cell>
          <cell r="BT1021">
            <v>37</v>
          </cell>
          <cell r="BU1021">
            <v>20</v>
          </cell>
          <cell r="BV1021">
            <v>100</v>
          </cell>
          <cell r="BW1021">
            <v>1</v>
          </cell>
          <cell r="BX1021" t="str">
            <v>TIDAK</v>
          </cell>
          <cell r="BY1021" t="str">
            <v>TIDAK</v>
          </cell>
        </row>
        <row r="1022">
          <cell r="A1022" t="str">
            <v>A2538</v>
          </cell>
          <cell r="B1022" t="str">
            <v>Tegar Ari Prasetyo</v>
          </cell>
          <cell r="C1022" t="str">
            <v>TEMA C2</v>
          </cell>
          <cell r="D1022">
            <v>45093</v>
          </cell>
          <cell r="E1022" t="str">
            <v>Jun-23</v>
          </cell>
          <cell r="F1022" t="str">
            <v>-</v>
          </cell>
          <cell r="G1022" t="str">
            <v>REGULER</v>
          </cell>
          <cell r="H1022" t="str">
            <v>-</v>
          </cell>
          <cell r="I1022" t="str">
            <v>-</v>
          </cell>
          <cell r="J1022" t="str">
            <v>-</v>
          </cell>
          <cell r="K1022" t="str">
            <v>-</v>
          </cell>
          <cell r="L1022" t="str">
            <v>-</v>
          </cell>
          <cell r="M1022">
            <v>0</v>
          </cell>
          <cell r="N1022">
            <v>2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 t="str">
            <v/>
          </cell>
          <cell r="T1022">
            <v>2</v>
          </cell>
          <cell r="U1022">
            <v>0</v>
          </cell>
          <cell r="V1022">
            <v>2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 t="str">
            <v/>
          </cell>
          <cell r="AB1022">
            <v>2</v>
          </cell>
          <cell r="AC1022">
            <v>6</v>
          </cell>
          <cell r="AD1022" t="str">
            <v>DOWNGRADE</v>
          </cell>
          <cell r="AE1022" t="str">
            <v>RESET</v>
          </cell>
          <cell r="AF1022">
            <v>0</v>
          </cell>
          <cell r="AG1022">
            <v>1</v>
          </cell>
          <cell r="AH1022" t="str">
            <v>SAPHIRE</v>
          </cell>
          <cell r="AI1022">
            <v>0</v>
          </cell>
          <cell r="AJ1022" t="str">
            <v>FALSE</v>
          </cell>
          <cell r="AK1022">
            <v>0</v>
          </cell>
          <cell r="AL1022">
            <v>45261</v>
          </cell>
          <cell r="AM1022">
            <v>45701</v>
          </cell>
          <cell r="AN1022">
            <v>1</v>
          </cell>
          <cell r="AO1022">
            <v>0</v>
          </cell>
          <cell r="AP1022" t="str">
            <v>-</v>
          </cell>
          <cell r="AQ1022" t="str">
            <v>-</v>
          </cell>
          <cell r="AR1022" t="str">
            <v>-</v>
          </cell>
          <cell r="AS1022" t="str">
            <v>-</v>
          </cell>
          <cell r="AT1022" t="str">
            <v>-</v>
          </cell>
          <cell r="AU1022" t="str">
            <v>-</v>
          </cell>
          <cell r="AV1022" t="str">
            <v/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 t="str">
            <v/>
          </cell>
          <cell r="BH1022">
            <v>0</v>
          </cell>
          <cell r="BI1022">
            <v>0</v>
          </cell>
          <cell r="BJ1022">
            <v>0</v>
          </cell>
          <cell r="BK1022">
            <v>0</v>
          </cell>
          <cell r="BL1022">
            <v>0</v>
          </cell>
          <cell r="BM1022" t="str">
            <v/>
          </cell>
          <cell r="BN1022">
            <v>0</v>
          </cell>
          <cell r="BO1022" t="str">
            <v/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T1022">
            <v>0</v>
          </cell>
          <cell r="BU1022" t="str">
            <v/>
          </cell>
          <cell r="BV1022">
            <v>0</v>
          </cell>
          <cell r="BW1022">
            <v>7</v>
          </cell>
          <cell r="BX1022" t="str">
            <v>DOWNGRADE</v>
          </cell>
          <cell r="BY1022" t="str">
            <v>RESET</v>
          </cell>
        </row>
        <row r="1023">
          <cell r="A1023" t="str">
            <v>A4022</v>
          </cell>
          <cell r="B1023" t="str">
            <v>THEODORA RAESITA</v>
          </cell>
          <cell r="C1023" t="str">
            <v>TEMA C2</v>
          </cell>
          <cell r="D1023">
            <v>45415</v>
          </cell>
          <cell r="E1023" t="str">
            <v>May-24</v>
          </cell>
          <cell r="F1023" t="str">
            <v>-</v>
          </cell>
          <cell r="G1023" t="str">
            <v>-</v>
          </cell>
          <cell r="H1023" t="str">
            <v>-</v>
          </cell>
          <cell r="I1023" t="str">
            <v>-</v>
          </cell>
          <cell r="J1023" t="str">
            <v>-</v>
          </cell>
          <cell r="K1023" t="str">
            <v>REGULER</v>
          </cell>
          <cell r="L1023" t="str">
            <v>REGULER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34</v>
          </cell>
          <cell r="S1023">
            <v>13</v>
          </cell>
          <cell r="T1023">
            <v>47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34</v>
          </cell>
          <cell r="AA1023">
            <v>13</v>
          </cell>
          <cell r="AB1023">
            <v>47</v>
          </cell>
          <cell r="AC1023">
            <v>0</v>
          </cell>
          <cell r="AD1023" t="str">
            <v>TIDAK</v>
          </cell>
          <cell r="AE1023" t="str">
            <v>TIDAK</v>
          </cell>
          <cell r="AF1023">
            <v>47</v>
          </cell>
          <cell r="AG1023">
            <v>1</v>
          </cell>
          <cell r="AH1023" t="str">
            <v>SAPHIRE</v>
          </cell>
          <cell r="AI1023">
            <v>0</v>
          </cell>
          <cell r="AJ1023" t="str">
            <v>FALSE</v>
          </cell>
          <cell r="AK1023">
            <v>0</v>
          </cell>
          <cell r="AL1023">
            <v>45261</v>
          </cell>
          <cell r="AM1023">
            <v>45701</v>
          </cell>
          <cell r="AN1023">
            <v>1</v>
          </cell>
          <cell r="AO1023">
            <v>47</v>
          </cell>
          <cell r="AP1023" t="str">
            <v>-</v>
          </cell>
          <cell r="AQ1023" t="str">
            <v>-</v>
          </cell>
          <cell r="AR1023" t="str">
            <v>REGULER</v>
          </cell>
          <cell r="AS1023" t="str">
            <v>-</v>
          </cell>
          <cell r="AT1023" t="str">
            <v>-</v>
          </cell>
          <cell r="AU1023" t="str">
            <v>-</v>
          </cell>
          <cell r="AV1023" t="str">
            <v/>
          </cell>
          <cell r="AW1023">
            <v>26</v>
          </cell>
          <cell r="AX1023">
            <v>31</v>
          </cell>
          <cell r="AY1023">
            <v>0</v>
          </cell>
          <cell r="AZ1023">
            <v>0</v>
          </cell>
          <cell r="BA1023">
            <v>0</v>
          </cell>
          <cell r="BB1023">
            <v>26</v>
          </cell>
          <cell r="BC1023">
            <v>31</v>
          </cell>
          <cell r="BD1023">
            <v>0</v>
          </cell>
          <cell r="BE1023">
            <v>0</v>
          </cell>
          <cell r="BF1023">
            <v>0</v>
          </cell>
          <cell r="BG1023">
            <v>15</v>
          </cell>
          <cell r="BH1023">
            <v>26</v>
          </cell>
          <cell r="BI1023">
            <v>31</v>
          </cell>
          <cell r="BJ1023">
            <v>0</v>
          </cell>
          <cell r="BK1023">
            <v>0</v>
          </cell>
          <cell r="BL1023">
            <v>0</v>
          </cell>
          <cell r="BM1023" t="str">
            <v/>
          </cell>
          <cell r="BN1023">
            <v>72</v>
          </cell>
          <cell r="BO1023">
            <v>15</v>
          </cell>
          <cell r="BP1023">
            <v>26</v>
          </cell>
          <cell r="BQ1023">
            <v>31</v>
          </cell>
          <cell r="BR1023">
            <v>0</v>
          </cell>
          <cell r="BS1023">
            <v>0</v>
          </cell>
          <cell r="BT1023">
            <v>0</v>
          </cell>
          <cell r="BU1023" t="str">
            <v/>
          </cell>
          <cell r="BV1023">
            <v>72</v>
          </cell>
          <cell r="BW1023">
            <v>4</v>
          </cell>
          <cell r="BX1023" t="str">
            <v>DOWNGRADE</v>
          </cell>
          <cell r="BY1023" t="str">
            <v>RESET</v>
          </cell>
        </row>
        <row r="1024">
          <cell r="A1024" t="str">
            <v>A4026</v>
          </cell>
          <cell r="B1024" t="str">
            <v>THEONA PUTRI INTIZANY</v>
          </cell>
          <cell r="C1024" t="str">
            <v>TEMA C2</v>
          </cell>
          <cell r="D1024">
            <v>45418</v>
          </cell>
          <cell r="E1024" t="str">
            <v>May-24</v>
          </cell>
          <cell r="F1024" t="str">
            <v>-</v>
          </cell>
          <cell r="G1024" t="str">
            <v>-</v>
          </cell>
          <cell r="H1024" t="str">
            <v>-</v>
          </cell>
          <cell r="I1024" t="str">
            <v>-</v>
          </cell>
          <cell r="J1024" t="str">
            <v>-</v>
          </cell>
          <cell r="K1024" t="str">
            <v>REGULER</v>
          </cell>
          <cell r="L1024" t="str">
            <v>-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14</v>
          </cell>
          <cell r="S1024" t="str">
            <v/>
          </cell>
          <cell r="T1024">
            <v>14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14</v>
          </cell>
          <cell r="AA1024" t="str">
            <v/>
          </cell>
          <cell r="AB1024">
            <v>14</v>
          </cell>
          <cell r="AC1024">
            <v>1</v>
          </cell>
          <cell r="AD1024" t="str">
            <v>TIDAK</v>
          </cell>
          <cell r="AE1024" t="str">
            <v>TIDAK</v>
          </cell>
          <cell r="AF1024">
            <v>14</v>
          </cell>
          <cell r="AG1024">
            <v>1</v>
          </cell>
          <cell r="AH1024" t="str">
            <v>SAPHIRE</v>
          </cell>
          <cell r="AI1024">
            <v>0</v>
          </cell>
          <cell r="AJ1024" t="str">
            <v>FALSE</v>
          </cell>
          <cell r="AK1024">
            <v>0</v>
          </cell>
          <cell r="AL1024">
            <v>45261</v>
          </cell>
          <cell r="AM1024">
            <v>45701</v>
          </cell>
          <cell r="AN1024">
            <v>1</v>
          </cell>
          <cell r="AO1024">
            <v>14</v>
          </cell>
          <cell r="AP1024" t="str">
            <v>-</v>
          </cell>
          <cell r="AQ1024" t="str">
            <v>-</v>
          </cell>
          <cell r="AR1024" t="str">
            <v>-</v>
          </cell>
          <cell r="AS1024" t="str">
            <v>-</v>
          </cell>
          <cell r="AT1024" t="str">
            <v>-</v>
          </cell>
          <cell r="AU1024" t="str">
            <v>-</v>
          </cell>
          <cell r="AV1024" t="str">
            <v/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 t="str">
            <v/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 t="str">
            <v/>
          </cell>
          <cell r="BN1024">
            <v>0</v>
          </cell>
          <cell r="BO1024" t="str">
            <v/>
          </cell>
          <cell r="BP1024">
            <v>0</v>
          </cell>
          <cell r="BQ1024">
            <v>0</v>
          </cell>
          <cell r="BR1024">
            <v>0</v>
          </cell>
          <cell r="BS1024">
            <v>0</v>
          </cell>
          <cell r="BT1024">
            <v>0</v>
          </cell>
          <cell r="BU1024" t="str">
            <v/>
          </cell>
          <cell r="BV1024">
            <v>0</v>
          </cell>
          <cell r="BW1024">
            <v>7</v>
          </cell>
          <cell r="BX1024" t="str">
            <v>DOWNGRADE</v>
          </cell>
          <cell r="BY1024" t="str">
            <v>RESET</v>
          </cell>
        </row>
        <row r="1025">
          <cell r="A1025" t="str">
            <v>A3081</v>
          </cell>
          <cell r="B1025" t="str">
            <v>Tiara Ayu Wening Sekar Langit</v>
          </cell>
          <cell r="C1025" t="str">
            <v>TEMA C2</v>
          </cell>
          <cell r="D1025">
            <v>45212</v>
          </cell>
          <cell r="E1025" t="str">
            <v>Oct-23</v>
          </cell>
          <cell r="F1025" t="str">
            <v>REGULER</v>
          </cell>
          <cell r="G1025" t="str">
            <v>REGULER</v>
          </cell>
          <cell r="H1025" t="str">
            <v>-</v>
          </cell>
          <cell r="I1025" t="str">
            <v>-</v>
          </cell>
          <cell r="J1025" t="str">
            <v>-</v>
          </cell>
          <cell r="K1025" t="str">
            <v>-</v>
          </cell>
          <cell r="L1025" t="str">
            <v>-</v>
          </cell>
          <cell r="M1025">
            <v>12</v>
          </cell>
          <cell r="N1025">
            <v>20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 t="str">
            <v/>
          </cell>
          <cell r="T1025">
            <v>32</v>
          </cell>
          <cell r="U1025">
            <v>12</v>
          </cell>
          <cell r="V1025">
            <v>20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 t="str">
            <v/>
          </cell>
          <cell r="AB1025">
            <v>32</v>
          </cell>
          <cell r="AC1025">
            <v>5</v>
          </cell>
          <cell r="AD1025" t="str">
            <v>DOWNGRADE</v>
          </cell>
          <cell r="AE1025" t="str">
            <v>RESET</v>
          </cell>
          <cell r="AF1025">
            <v>0</v>
          </cell>
          <cell r="AG1025">
            <v>1</v>
          </cell>
          <cell r="AH1025" t="str">
            <v>SAPHIRE</v>
          </cell>
          <cell r="AI1025">
            <v>0</v>
          </cell>
          <cell r="AJ1025" t="str">
            <v>FALSE</v>
          </cell>
          <cell r="AK1025">
            <v>0</v>
          </cell>
          <cell r="AL1025">
            <v>45261</v>
          </cell>
          <cell r="AM1025">
            <v>45701</v>
          </cell>
          <cell r="AN1025">
            <v>1</v>
          </cell>
          <cell r="AO1025">
            <v>0</v>
          </cell>
          <cell r="AP1025" t="str">
            <v>-</v>
          </cell>
          <cell r="AQ1025" t="str">
            <v>-</v>
          </cell>
          <cell r="AR1025" t="str">
            <v>-</v>
          </cell>
          <cell r="AS1025" t="str">
            <v>-</v>
          </cell>
          <cell r="AT1025" t="str">
            <v>-</v>
          </cell>
          <cell r="AU1025" t="str">
            <v>-</v>
          </cell>
          <cell r="AV1025" t="str">
            <v/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 t="str">
            <v/>
          </cell>
          <cell r="BH1025">
            <v>0</v>
          </cell>
          <cell r="BI1025">
            <v>0</v>
          </cell>
          <cell r="BJ1025">
            <v>0</v>
          </cell>
          <cell r="BK1025">
            <v>0</v>
          </cell>
          <cell r="BL1025">
            <v>0</v>
          </cell>
          <cell r="BM1025" t="str">
            <v/>
          </cell>
          <cell r="BN1025">
            <v>0</v>
          </cell>
          <cell r="BO1025" t="str">
            <v/>
          </cell>
          <cell r="BP1025">
            <v>0</v>
          </cell>
          <cell r="BQ1025">
            <v>0</v>
          </cell>
          <cell r="BR1025">
            <v>0</v>
          </cell>
          <cell r="BS1025">
            <v>0</v>
          </cell>
          <cell r="BT1025">
            <v>0</v>
          </cell>
          <cell r="BU1025" t="str">
            <v/>
          </cell>
          <cell r="BV1025">
            <v>0</v>
          </cell>
          <cell r="BW1025">
            <v>7</v>
          </cell>
          <cell r="BX1025" t="str">
            <v>DOWNGRADE</v>
          </cell>
          <cell r="BY1025" t="str">
            <v>RESET</v>
          </cell>
        </row>
        <row r="1026">
          <cell r="A1026" t="str">
            <v>A2450</v>
          </cell>
          <cell r="B1026" t="str">
            <v xml:space="preserve">Tiara Liyan Kusuma </v>
          </cell>
          <cell r="C1026" t="str">
            <v>TEMA C2</v>
          </cell>
          <cell r="D1026">
            <v>45079</v>
          </cell>
          <cell r="E1026" t="str">
            <v>Jun-23</v>
          </cell>
          <cell r="F1026" t="str">
            <v>REGULER</v>
          </cell>
          <cell r="G1026" t="str">
            <v>REGULER</v>
          </cell>
          <cell r="H1026" t="str">
            <v>-</v>
          </cell>
          <cell r="I1026" t="str">
            <v>-</v>
          </cell>
          <cell r="J1026" t="str">
            <v>-</v>
          </cell>
          <cell r="K1026" t="str">
            <v>-</v>
          </cell>
          <cell r="L1026" t="str">
            <v>-</v>
          </cell>
          <cell r="M1026">
            <v>0</v>
          </cell>
          <cell r="N1026">
            <v>1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 t="str">
            <v/>
          </cell>
          <cell r="T1026">
            <v>1</v>
          </cell>
          <cell r="U1026">
            <v>0</v>
          </cell>
          <cell r="V1026">
            <v>1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 t="str">
            <v/>
          </cell>
          <cell r="AB1026">
            <v>1</v>
          </cell>
          <cell r="AC1026">
            <v>6</v>
          </cell>
          <cell r="AD1026" t="str">
            <v>DOWNGRADE</v>
          </cell>
          <cell r="AE1026" t="str">
            <v>RESET</v>
          </cell>
          <cell r="AF1026">
            <v>0</v>
          </cell>
          <cell r="AG1026">
            <v>1</v>
          </cell>
          <cell r="AH1026" t="str">
            <v>SAPHIRE</v>
          </cell>
          <cell r="AI1026">
            <v>0</v>
          </cell>
          <cell r="AJ1026" t="str">
            <v>FALSE</v>
          </cell>
          <cell r="AK1026">
            <v>0</v>
          </cell>
          <cell r="AL1026">
            <v>45261</v>
          </cell>
          <cell r="AM1026">
            <v>45701</v>
          </cell>
          <cell r="AN1026">
            <v>1</v>
          </cell>
          <cell r="AO1026">
            <v>0</v>
          </cell>
          <cell r="AP1026" t="str">
            <v>-</v>
          </cell>
          <cell r="AQ1026" t="str">
            <v>-</v>
          </cell>
          <cell r="AR1026" t="str">
            <v>-</v>
          </cell>
          <cell r="AS1026" t="str">
            <v>-</v>
          </cell>
          <cell r="AT1026" t="str">
            <v>-</v>
          </cell>
          <cell r="AU1026" t="str">
            <v>-</v>
          </cell>
          <cell r="AV1026" t="str">
            <v/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 t="str">
            <v/>
          </cell>
          <cell r="BH1026">
            <v>0</v>
          </cell>
          <cell r="BI1026">
            <v>0</v>
          </cell>
          <cell r="BJ1026">
            <v>0</v>
          </cell>
          <cell r="BK1026">
            <v>0</v>
          </cell>
          <cell r="BL1026">
            <v>0</v>
          </cell>
          <cell r="BM1026" t="str">
            <v/>
          </cell>
          <cell r="BN1026">
            <v>0</v>
          </cell>
          <cell r="BO1026" t="str">
            <v/>
          </cell>
          <cell r="BP1026">
            <v>0</v>
          </cell>
          <cell r="BQ1026">
            <v>0</v>
          </cell>
          <cell r="BR1026">
            <v>0</v>
          </cell>
          <cell r="BS1026">
            <v>0</v>
          </cell>
          <cell r="BT1026">
            <v>0</v>
          </cell>
          <cell r="BU1026" t="str">
            <v/>
          </cell>
          <cell r="BV1026">
            <v>0</v>
          </cell>
          <cell r="BW1026">
            <v>7</v>
          </cell>
          <cell r="BX1026" t="str">
            <v>DOWNGRADE</v>
          </cell>
          <cell r="BY1026" t="str">
            <v>RESET</v>
          </cell>
        </row>
        <row r="1027">
          <cell r="A1027" t="str">
            <v>A3890</v>
          </cell>
          <cell r="B1027" t="str">
            <v>Tiur Valentina Siregar</v>
          </cell>
          <cell r="C1027" t="str">
            <v>TEMA C2</v>
          </cell>
          <cell r="D1027">
            <v>45350</v>
          </cell>
          <cell r="E1027" t="str">
            <v>Feb-24</v>
          </cell>
          <cell r="F1027" t="str">
            <v>-</v>
          </cell>
          <cell r="G1027" t="str">
            <v>-</v>
          </cell>
          <cell r="H1027" t="str">
            <v>REGULER</v>
          </cell>
          <cell r="I1027" t="str">
            <v>REGULER</v>
          </cell>
          <cell r="J1027" t="str">
            <v>REGULER</v>
          </cell>
          <cell r="K1027" t="str">
            <v>REGULER</v>
          </cell>
          <cell r="L1027" t="str">
            <v>REGULER</v>
          </cell>
          <cell r="M1027">
            <v>0</v>
          </cell>
          <cell r="N1027">
            <v>0</v>
          </cell>
          <cell r="O1027">
            <v>2</v>
          </cell>
          <cell r="P1027">
            <v>22</v>
          </cell>
          <cell r="Q1027">
            <v>9</v>
          </cell>
          <cell r="R1027">
            <v>14</v>
          </cell>
          <cell r="S1027">
            <v>3</v>
          </cell>
          <cell r="T1027">
            <v>50</v>
          </cell>
          <cell r="U1027">
            <v>0</v>
          </cell>
          <cell r="V1027">
            <v>0</v>
          </cell>
          <cell r="W1027">
            <v>2</v>
          </cell>
          <cell r="X1027">
            <v>22</v>
          </cell>
          <cell r="Y1027">
            <v>9</v>
          </cell>
          <cell r="Z1027">
            <v>14</v>
          </cell>
          <cell r="AA1027">
            <v>3</v>
          </cell>
          <cell r="AB1027">
            <v>50</v>
          </cell>
          <cell r="AC1027">
            <v>0</v>
          </cell>
          <cell r="AD1027" t="str">
            <v>TIDAK</v>
          </cell>
          <cell r="AE1027" t="str">
            <v>TIDAK</v>
          </cell>
          <cell r="AF1027">
            <v>50</v>
          </cell>
          <cell r="AG1027">
            <v>1</v>
          </cell>
          <cell r="AH1027" t="str">
            <v>SAPHIRE</v>
          </cell>
          <cell r="AI1027">
            <v>0</v>
          </cell>
          <cell r="AJ1027" t="str">
            <v>FALSE</v>
          </cell>
          <cell r="AK1027">
            <v>0</v>
          </cell>
          <cell r="AL1027">
            <v>45261</v>
          </cell>
          <cell r="AM1027">
            <v>45701</v>
          </cell>
          <cell r="AN1027">
            <v>1</v>
          </cell>
          <cell r="AO1027">
            <v>50</v>
          </cell>
          <cell r="AP1027" t="str">
            <v>-</v>
          </cell>
          <cell r="AQ1027" t="str">
            <v>-</v>
          </cell>
          <cell r="AR1027" t="str">
            <v>-</v>
          </cell>
          <cell r="AS1027" t="str">
            <v>-</v>
          </cell>
          <cell r="AT1027" t="str">
            <v>-</v>
          </cell>
          <cell r="AU1027" t="str">
            <v>-</v>
          </cell>
          <cell r="AV1027" t="str">
            <v/>
          </cell>
          <cell r="AW1027">
            <v>10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10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2</v>
          </cell>
          <cell r="BH1027">
            <v>10</v>
          </cell>
          <cell r="BI1027">
            <v>0</v>
          </cell>
          <cell r="BJ1027">
            <v>0</v>
          </cell>
          <cell r="BK1027">
            <v>0</v>
          </cell>
          <cell r="BL1027">
            <v>0</v>
          </cell>
          <cell r="BM1027" t="str">
            <v/>
          </cell>
          <cell r="BN1027">
            <v>12</v>
          </cell>
          <cell r="BO1027">
            <v>2</v>
          </cell>
          <cell r="BP1027">
            <v>10</v>
          </cell>
          <cell r="BQ1027">
            <v>0</v>
          </cell>
          <cell r="BR1027">
            <v>0</v>
          </cell>
          <cell r="BS1027">
            <v>0</v>
          </cell>
          <cell r="BT1027">
            <v>0</v>
          </cell>
          <cell r="BU1027" t="str">
            <v/>
          </cell>
          <cell r="BV1027">
            <v>12</v>
          </cell>
          <cell r="BW1027">
            <v>5</v>
          </cell>
          <cell r="BX1027" t="str">
            <v>DOWNGRADE</v>
          </cell>
          <cell r="BY1027" t="str">
            <v>RESET</v>
          </cell>
        </row>
        <row r="1028">
          <cell r="A1028" t="str">
            <v>A2983</v>
          </cell>
          <cell r="B1028" t="str">
            <v>Tri Diana</v>
          </cell>
          <cell r="C1028" t="str">
            <v>TEMA C2</v>
          </cell>
          <cell r="D1028">
            <v>45201</v>
          </cell>
          <cell r="E1028" t="str">
            <v>Oct-23</v>
          </cell>
          <cell r="F1028" t="str">
            <v>REGULER</v>
          </cell>
          <cell r="G1028" t="str">
            <v>REGULER</v>
          </cell>
          <cell r="H1028" t="str">
            <v>REGULER</v>
          </cell>
          <cell r="I1028" t="str">
            <v>REGULER</v>
          </cell>
          <cell r="J1028" t="str">
            <v>REGULER</v>
          </cell>
          <cell r="K1028" t="str">
            <v>EKSKLUSIF</v>
          </cell>
          <cell r="L1028" t="str">
            <v>EKSKLUSIF</v>
          </cell>
          <cell r="M1028">
            <v>19</v>
          </cell>
          <cell r="N1028">
            <v>39</v>
          </cell>
          <cell r="O1028">
            <v>38</v>
          </cell>
          <cell r="P1028">
            <v>39</v>
          </cell>
          <cell r="Q1028">
            <v>38</v>
          </cell>
          <cell r="R1028">
            <v>41</v>
          </cell>
          <cell r="S1028">
            <v>21</v>
          </cell>
          <cell r="T1028">
            <v>235</v>
          </cell>
          <cell r="U1028">
            <v>19</v>
          </cell>
          <cell r="V1028">
            <v>39</v>
          </cell>
          <cell r="W1028">
            <v>38</v>
          </cell>
          <cell r="X1028">
            <v>39</v>
          </cell>
          <cell r="Y1028">
            <v>38</v>
          </cell>
          <cell r="Z1028">
            <v>0</v>
          </cell>
          <cell r="AA1028">
            <v>0</v>
          </cell>
          <cell r="AB1028">
            <v>173</v>
          </cell>
          <cell r="AC1028">
            <v>0</v>
          </cell>
          <cell r="AD1028" t="str">
            <v>TIDAK</v>
          </cell>
          <cell r="AE1028" t="str">
            <v>TIDAK</v>
          </cell>
          <cell r="AF1028">
            <v>173</v>
          </cell>
          <cell r="AG1028">
            <v>3</v>
          </cell>
          <cell r="AH1028" t="str">
            <v>SAPHIRE</v>
          </cell>
          <cell r="AI1028">
            <v>0</v>
          </cell>
          <cell r="AJ1028" t="str">
            <v>Y</v>
          </cell>
          <cell r="AK1028">
            <v>0</v>
          </cell>
          <cell r="AL1028">
            <v>45261</v>
          </cell>
          <cell r="AM1028">
            <v>45701</v>
          </cell>
          <cell r="AN1028">
            <v>1</v>
          </cell>
          <cell r="AO1028">
            <v>173</v>
          </cell>
          <cell r="AP1028" t="str">
            <v>EKSKLUSIF</v>
          </cell>
          <cell r="AQ1028" t="str">
            <v>-</v>
          </cell>
          <cell r="AR1028" t="str">
            <v>EKSKLUSIF</v>
          </cell>
          <cell r="AS1028" t="str">
            <v>EKSKLUSIF</v>
          </cell>
          <cell r="AT1028" t="str">
            <v>-</v>
          </cell>
          <cell r="AU1028" t="str">
            <v>-</v>
          </cell>
          <cell r="AV1028" t="str">
            <v/>
          </cell>
          <cell r="AW1028">
            <v>49</v>
          </cell>
          <cell r="AX1028">
            <v>46</v>
          </cell>
          <cell r="AY1028">
            <v>23</v>
          </cell>
          <cell r="AZ1028">
            <v>0</v>
          </cell>
          <cell r="BA1028">
            <v>0</v>
          </cell>
          <cell r="BB1028">
            <v>49</v>
          </cell>
          <cell r="BC1028">
            <v>46</v>
          </cell>
          <cell r="BD1028">
            <v>23</v>
          </cell>
          <cell r="BE1028">
            <v>0</v>
          </cell>
          <cell r="BF1028">
            <v>0</v>
          </cell>
          <cell r="BG1028">
            <v>20</v>
          </cell>
          <cell r="BH1028">
            <v>49</v>
          </cell>
          <cell r="BI1028">
            <v>46</v>
          </cell>
          <cell r="BJ1028">
            <v>23</v>
          </cell>
          <cell r="BK1028">
            <v>0</v>
          </cell>
          <cell r="BL1028">
            <v>0</v>
          </cell>
          <cell r="BM1028" t="str">
            <v/>
          </cell>
          <cell r="BN1028">
            <v>138</v>
          </cell>
          <cell r="BO1028">
            <v>0</v>
          </cell>
          <cell r="BP1028">
            <v>49</v>
          </cell>
          <cell r="BQ1028">
            <v>0</v>
          </cell>
          <cell r="BR1028">
            <v>0</v>
          </cell>
          <cell r="BS1028">
            <v>0</v>
          </cell>
          <cell r="BT1028">
            <v>0</v>
          </cell>
          <cell r="BU1028" t="str">
            <v/>
          </cell>
          <cell r="BV1028">
            <v>49</v>
          </cell>
          <cell r="BW1028">
            <v>3</v>
          </cell>
          <cell r="BX1028" t="str">
            <v>DOWNGRADE</v>
          </cell>
          <cell r="BY1028" t="str">
            <v>RESET</v>
          </cell>
        </row>
        <row r="1029">
          <cell r="A1029" t="str">
            <v>A3765</v>
          </cell>
          <cell r="B1029" t="str">
            <v>Tri Laura Tresia Sinaga</v>
          </cell>
          <cell r="C1029" t="str">
            <v>TEMA C2</v>
          </cell>
          <cell r="D1029">
            <v>45343</v>
          </cell>
          <cell r="E1029" t="str">
            <v>Feb-24</v>
          </cell>
          <cell r="F1029" t="str">
            <v>-</v>
          </cell>
          <cell r="G1029" t="str">
            <v>-</v>
          </cell>
          <cell r="H1029" t="str">
            <v>REGULER</v>
          </cell>
          <cell r="I1029" t="str">
            <v>REGULER</v>
          </cell>
          <cell r="J1029" t="str">
            <v>-</v>
          </cell>
          <cell r="K1029" t="str">
            <v>-</v>
          </cell>
          <cell r="L1029" t="str">
            <v>-</v>
          </cell>
          <cell r="M1029">
            <v>0</v>
          </cell>
          <cell r="N1029">
            <v>0</v>
          </cell>
          <cell r="O1029">
            <v>0</v>
          </cell>
          <cell r="P1029">
            <v>4</v>
          </cell>
          <cell r="Q1029">
            <v>0</v>
          </cell>
          <cell r="R1029">
            <v>0</v>
          </cell>
          <cell r="S1029" t="str">
            <v/>
          </cell>
          <cell r="T1029">
            <v>4</v>
          </cell>
          <cell r="U1029">
            <v>0</v>
          </cell>
          <cell r="V1029">
            <v>0</v>
          </cell>
          <cell r="W1029">
            <v>0</v>
          </cell>
          <cell r="X1029">
            <v>4</v>
          </cell>
          <cell r="Y1029">
            <v>0</v>
          </cell>
          <cell r="Z1029">
            <v>0</v>
          </cell>
          <cell r="AA1029" t="str">
            <v/>
          </cell>
          <cell r="AB1029">
            <v>4</v>
          </cell>
          <cell r="AC1029">
            <v>4</v>
          </cell>
          <cell r="AD1029" t="str">
            <v>DOWNGRADE</v>
          </cell>
          <cell r="AE1029" t="str">
            <v>RESET</v>
          </cell>
          <cell r="AF1029">
            <v>0</v>
          </cell>
          <cell r="AG1029">
            <v>1</v>
          </cell>
          <cell r="AH1029" t="str">
            <v>SAPHIRE</v>
          </cell>
          <cell r="AI1029">
            <v>0</v>
          </cell>
          <cell r="AJ1029" t="str">
            <v>FALSE</v>
          </cell>
          <cell r="AK1029">
            <v>0</v>
          </cell>
          <cell r="AL1029">
            <v>45261</v>
          </cell>
          <cell r="AM1029">
            <v>45701</v>
          </cell>
          <cell r="AN1029">
            <v>1</v>
          </cell>
          <cell r="AO1029">
            <v>0</v>
          </cell>
          <cell r="AP1029" t="str">
            <v>-</v>
          </cell>
          <cell r="AQ1029" t="str">
            <v>-</v>
          </cell>
          <cell r="AR1029" t="str">
            <v>-</v>
          </cell>
          <cell r="AS1029" t="str">
            <v>-</v>
          </cell>
          <cell r="AT1029" t="str">
            <v>-</v>
          </cell>
          <cell r="AU1029" t="str">
            <v>-</v>
          </cell>
          <cell r="AV1029" t="str">
            <v/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 t="str">
            <v/>
          </cell>
          <cell r="BH1029">
            <v>0</v>
          </cell>
          <cell r="BI1029">
            <v>0</v>
          </cell>
          <cell r="BJ1029">
            <v>0</v>
          </cell>
          <cell r="BK1029">
            <v>0</v>
          </cell>
          <cell r="BL1029">
            <v>0</v>
          </cell>
          <cell r="BM1029" t="str">
            <v/>
          </cell>
          <cell r="BN1029">
            <v>0</v>
          </cell>
          <cell r="BO1029" t="str">
            <v/>
          </cell>
          <cell r="BP1029">
            <v>0</v>
          </cell>
          <cell r="BQ1029">
            <v>0</v>
          </cell>
          <cell r="BR1029">
            <v>0</v>
          </cell>
          <cell r="BS1029">
            <v>0</v>
          </cell>
          <cell r="BT1029">
            <v>0</v>
          </cell>
          <cell r="BU1029" t="str">
            <v/>
          </cell>
          <cell r="BV1029">
            <v>0</v>
          </cell>
          <cell r="BW1029">
            <v>7</v>
          </cell>
          <cell r="BX1029" t="str">
            <v>DOWNGRADE</v>
          </cell>
          <cell r="BY1029" t="str">
            <v>RESET</v>
          </cell>
        </row>
        <row r="1030">
          <cell r="A1030" t="str">
            <v>A3386</v>
          </cell>
          <cell r="B1030" t="str">
            <v>Tsabita Rafidati</v>
          </cell>
          <cell r="C1030" t="str">
            <v>TEMA C2</v>
          </cell>
          <cell r="D1030">
            <v>45262</v>
          </cell>
          <cell r="E1030" t="str">
            <v>Dec-23</v>
          </cell>
          <cell r="F1030" t="str">
            <v>REGULER</v>
          </cell>
          <cell r="G1030" t="str">
            <v>-</v>
          </cell>
          <cell r="H1030" t="str">
            <v>-</v>
          </cell>
          <cell r="I1030" t="str">
            <v>-</v>
          </cell>
          <cell r="J1030" t="str">
            <v>-</v>
          </cell>
          <cell r="K1030" t="str">
            <v>-</v>
          </cell>
          <cell r="L1030" t="str">
            <v>-</v>
          </cell>
          <cell r="M1030">
            <v>1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1</v>
          </cell>
          <cell r="U1030">
            <v>1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1</v>
          </cell>
          <cell r="AC1030">
            <v>6</v>
          </cell>
          <cell r="AD1030" t="str">
            <v>DOWNGRADE</v>
          </cell>
          <cell r="AE1030" t="str">
            <v>RESET</v>
          </cell>
          <cell r="AF1030">
            <v>0</v>
          </cell>
          <cell r="AG1030">
            <v>1</v>
          </cell>
          <cell r="AH1030" t="str">
            <v>SAPHIRE</v>
          </cell>
          <cell r="AI1030">
            <v>0</v>
          </cell>
          <cell r="AJ1030" t="str">
            <v>FALSE</v>
          </cell>
          <cell r="AK1030">
            <v>0</v>
          </cell>
          <cell r="AL1030">
            <v>45261</v>
          </cell>
          <cell r="AM1030">
            <v>45701</v>
          </cell>
          <cell r="AN1030">
            <v>1</v>
          </cell>
          <cell r="AO1030">
            <v>0</v>
          </cell>
          <cell r="AP1030" t="str">
            <v>-</v>
          </cell>
          <cell r="AQ1030" t="str">
            <v>-</v>
          </cell>
          <cell r="AR1030" t="str">
            <v>-</v>
          </cell>
          <cell r="AS1030" t="str">
            <v>-</v>
          </cell>
          <cell r="AT1030" t="str">
            <v>-</v>
          </cell>
          <cell r="AU1030" t="str">
            <v>-</v>
          </cell>
          <cell r="AV1030" t="str">
            <v/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 t="str">
            <v/>
          </cell>
          <cell r="BH1030">
            <v>0</v>
          </cell>
          <cell r="BI1030">
            <v>0</v>
          </cell>
          <cell r="BJ1030">
            <v>0</v>
          </cell>
          <cell r="BK1030">
            <v>0</v>
          </cell>
          <cell r="BL1030">
            <v>0</v>
          </cell>
          <cell r="BM1030" t="str">
            <v/>
          </cell>
          <cell r="BN1030">
            <v>0</v>
          </cell>
          <cell r="BO1030" t="str">
            <v/>
          </cell>
          <cell r="BP1030">
            <v>0</v>
          </cell>
          <cell r="BQ1030">
            <v>0</v>
          </cell>
          <cell r="BR1030">
            <v>0</v>
          </cell>
          <cell r="BS1030">
            <v>0</v>
          </cell>
          <cell r="BT1030">
            <v>0</v>
          </cell>
          <cell r="BU1030" t="str">
            <v/>
          </cell>
          <cell r="BV1030">
            <v>0</v>
          </cell>
          <cell r="BW1030">
            <v>7</v>
          </cell>
          <cell r="BX1030" t="str">
            <v>DOWNGRADE</v>
          </cell>
          <cell r="BY1030" t="str">
            <v>RESET</v>
          </cell>
        </row>
        <row r="1031">
          <cell r="A1031" t="str">
            <v>A4112</v>
          </cell>
          <cell r="B1031" t="str">
            <v>VENY SIPAYUNG</v>
          </cell>
          <cell r="C1031" t="str">
            <v>TEMA C2</v>
          </cell>
          <cell r="D1031">
            <v>45456</v>
          </cell>
          <cell r="E1031" t="str">
            <v>Jun-24</v>
          </cell>
          <cell r="F1031" t="str">
            <v>-</v>
          </cell>
          <cell r="G1031" t="str">
            <v>-</v>
          </cell>
          <cell r="H1031" t="str">
            <v>-</v>
          </cell>
          <cell r="I1031" t="str">
            <v>-</v>
          </cell>
          <cell r="J1031" t="str">
            <v>-</v>
          </cell>
          <cell r="K1031" t="str">
            <v>-</v>
          </cell>
          <cell r="L1031" t="str">
            <v>REGULER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3</v>
          </cell>
          <cell r="T1031">
            <v>3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3</v>
          </cell>
          <cell r="AB1031">
            <v>3</v>
          </cell>
          <cell r="AC1031">
            <v>0</v>
          </cell>
          <cell r="AD1031" t="str">
            <v>TIDAK</v>
          </cell>
          <cell r="AE1031" t="str">
            <v>TIDAK</v>
          </cell>
          <cell r="AF1031">
            <v>3</v>
          </cell>
          <cell r="AG1031">
            <v>1</v>
          </cell>
          <cell r="AH1031" t="str">
            <v>SAPHIRE</v>
          </cell>
          <cell r="AI1031">
            <v>0</v>
          </cell>
          <cell r="AJ1031" t="str">
            <v>FALSE</v>
          </cell>
          <cell r="AK1031">
            <v>0</v>
          </cell>
          <cell r="AL1031">
            <v>45261</v>
          </cell>
          <cell r="AM1031">
            <v>45701</v>
          </cell>
          <cell r="AN1031">
            <v>1</v>
          </cell>
          <cell r="AO1031">
            <v>3</v>
          </cell>
          <cell r="AP1031" t="str">
            <v>-</v>
          </cell>
          <cell r="AQ1031" t="str">
            <v>-</v>
          </cell>
          <cell r="AR1031" t="str">
            <v>REGULER</v>
          </cell>
          <cell r="AS1031" t="str">
            <v>REGULER</v>
          </cell>
          <cell r="AT1031" t="str">
            <v>REGULER</v>
          </cell>
          <cell r="AU1031" t="str">
            <v>REGULER</v>
          </cell>
          <cell r="AV1031" t="str">
            <v/>
          </cell>
          <cell r="AW1031">
            <v>35</v>
          </cell>
          <cell r="AX1031">
            <v>20</v>
          </cell>
          <cell r="AY1031">
            <v>18</v>
          </cell>
          <cell r="AZ1031">
            <v>26</v>
          </cell>
          <cell r="BA1031">
            <v>15</v>
          </cell>
          <cell r="BB1031">
            <v>35</v>
          </cell>
          <cell r="BC1031">
            <v>20</v>
          </cell>
          <cell r="BD1031">
            <v>18</v>
          </cell>
          <cell r="BE1031">
            <v>26</v>
          </cell>
          <cell r="BF1031">
            <v>15</v>
          </cell>
          <cell r="BG1031">
            <v>17</v>
          </cell>
          <cell r="BH1031">
            <v>35</v>
          </cell>
          <cell r="BI1031">
            <v>20</v>
          </cell>
          <cell r="BJ1031">
            <v>18</v>
          </cell>
          <cell r="BK1031">
            <v>26</v>
          </cell>
          <cell r="BL1031">
            <v>15</v>
          </cell>
          <cell r="BM1031">
            <v>12</v>
          </cell>
          <cell r="BN1031">
            <v>143</v>
          </cell>
          <cell r="BO1031">
            <v>17</v>
          </cell>
          <cell r="BP1031">
            <v>35</v>
          </cell>
          <cell r="BQ1031">
            <v>20</v>
          </cell>
          <cell r="BR1031">
            <v>18</v>
          </cell>
          <cell r="BS1031">
            <v>26</v>
          </cell>
          <cell r="BT1031">
            <v>15</v>
          </cell>
          <cell r="BU1031">
            <v>12</v>
          </cell>
          <cell r="BV1031">
            <v>143</v>
          </cell>
          <cell r="BW1031">
            <v>0</v>
          </cell>
          <cell r="BX1031" t="str">
            <v>TIDAK</v>
          </cell>
          <cell r="BY1031" t="str">
            <v>TIDAK</v>
          </cell>
        </row>
        <row r="1032">
          <cell r="A1032" t="str">
            <v>A3232</v>
          </cell>
          <cell r="B1032" t="str">
            <v>Verena Raning Krismisita</v>
          </cell>
          <cell r="C1032" t="str">
            <v>TEMA C2</v>
          </cell>
          <cell r="D1032">
            <v>45240</v>
          </cell>
          <cell r="E1032" t="str">
            <v>Nov-23</v>
          </cell>
          <cell r="F1032" t="str">
            <v>REGULER</v>
          </cell>
          <cell r="G1032" t="str">
            <v>REGULER</v>
          </cell>
          <cell r="H1032" t="str">
            <v>-</v>
          </cell>
          <cell r="I1032" t="str">
            <v>-</v>
          </cell>
          <cell r="J1032" t="str">
            <v>-</v>
          </cell>
          <cell r="K1032" t="str">
            <v>-</v>
          </cell>
          <cell r="L1032" t="str">
            <v>-</v>
          </cell>
          <cell r="M1032">
            <v>0</v>
          </cell>
          <cell r="N1032">
            <v>1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 t="str">
            <v/>
          </cell>
          <cell r="T1032">
            <v>1</v>
          </cell>
          <cell r="U1032">
            <v>0</v>
          </cell>
          <cell r="V1032">
            <v>1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 t="str">
            <v/>
          </cell>
          <cell r="AB1032">
            <v>1</v>
          </cell>
          <cell r="AC1032">
            <v>6</v>
          </cell>
          <cell r="AD1032" t="str">
            <v>DOWNGRADE</v>
          </cell>
          <cell r="AE1032" t="str">
            <v>RESET</v>
          </cell>
          <cell r="AF1032">
            <v>0</v>
          </cell>
          <cell r="AG1032">
            <v>1</v>
          </cell>
          <cell r="AH1032" t="str">
            <v>SAPHIRE</v>
          </cell>
          <cell r="AI1032">
            <v>0</v>
          </cell>
          <cell r="AJ1032" t="str">
            <v>FALSE</v>
          </cell>
          <cell r="AK1032">
            <v>0</v>
          </cell>
          <cell r="AL1032">
            <v>45261</v>
          </cell>
          <cell r="AM1032">
            <v>45701</v>
          </cell>
          <cell r="AN1032">
            <v>1</v>
          </cell>
          <cell r="AO1032">
            <v>0</v>
          </cell>
          <cell r="AP1032" t="str">
            <v>-</v>
          </cell>
          <cell r="AQ1032" t="str">
            <v>-</v>
          </cell>
          <cell r="AR1032" t="str">
            <v>-</v>
          </cell>
          <cell r="AS1032" t="str">
            <v>-</v>
          </cell>
          <cell r="AT1032" t="str">
            <v>-</v>
          </cell>
          <cell r="AU1032" t="str">
            <v>-</v>
          </cell>
          <cell r="AV1032" t="str">
            <v/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 t="str">
            <v/>
          </cell>
          <cell r="BH1032">
            <v>0</v>
          </cell>
          <cell r="BI1032">
            <v>0</v>
          </cell>
          <cell r="BJ1032">
            <v>0</v>
          </cell>
          <cell r="BK1032">
            <v>0</v>
          </cell>
          <cell r="BL1032">
            <v>0</v>
          </cell>
          <cell r="BM1032" t="str">
            <v/>
          </cell>
          <cell r="BN1032">
            <v>0</v>
          </cell>
          <cell r="BO1032" t="str">
            <v/>
          </cell>
          <cell r="BP1032">
            <v>0</v>
          </cell>
          <cell r="BQ1032">
            <v>0</v>
          </cell>
          <cell r="BR1032">
            <v>0</v>
          </cell>
          <cell r="BS1032">
            <v>0</v>
          </cell>
          <cell r="BT1032">
            <v>0</v>
          </cell>
          <cell r="BU1032" t="str">
            <v/>
          </cell>
          <cell r="BV1032">
            <v>0</v>
          </cell>
          <cell r="BW1032">
            <v>7</v>
          </cell>
          <cell r="BX1032" t="str">
            <v>DOWNGRADE</v>
          </cell>
          <cell r="BY1032" t="str">
            <v>RESET</v>
          </cell>
        </row>
        <row r="1033">
          <cell r="A1033" t="str">
            <v>A3085</v>
          </cell>
          <cell r="B1033" t="str">
            <v>Veronika Rismayanti</v>
          </cell>
          <cell r="C1033" t="str">
            <v>TEMA C2</v>
          </cell>
          <cell r="D1033">
            <v>45212</v>
          </cell>
          <cell r="E1033" t="str">
            <v>Oct-23</v>
          </cell>
          <cell r="F1033" t="str">
            <v>REGULER</v>
          </cell>
          <cell r="G1033" t="str">
            <v>REGULER</v>
          </cell>
          <cell r="H1033" t="str">
            <v>REGULER</v>
          </cell>
          <cell r="I1033" t="str">
            <v>REGULER</v>
          </cell>
          <cell r="J1033" t="str">
            <v>REGULER</v>
          </cell>
          <cell r="K1033" t="str">
            <v>REGULER</v>
          </cell>
          <cell r="L1033" t="str">
            <v>REGULER</v>
          </cell>
          <cell r="M1033">
            <v>5</v>
          </cell>
          <cell r="N1033">
            <v>42</v>
          </cell>
          <cell r="O1033">
            <v>23</v>
          </cell>
          <cell r="P1033">
            <v>10</v>
          </cell>
          <cell r="Q1033">
            <v>5</v>
          </cell>
          <cell r="R1033">
            <v>2</v>
          </cell>
          <cell r="S1033">
            <v>5</v>
          </cell>
          <cell r="T1033">
            <v>92</v>
          </cell>
          <cell r="U1033">
            <v>5</v>
          </cell>
          <cell r="V1033">
            <v>42</v>
          </cell>
          <cell r="W1033">
            <v>23</v>
          </cell>
          <cell r="X1033">
            <v>10</v>
          </cell>
          <cell r="Y1033">
            <v>5</v>
          </cell>
          <cell r="Z1033">
            <v>2</v>
          </cell>
          <cell r="AA1033">
            <v>5</v>
          </cell>
          <cell r="AB1033">
            <v>92</v>
          </cell>
          <cell r="AC1033">
            <v>0</v>
          </cell>
          <cell r="AD1033" t="str">
            <v>TIDAK</v>
          </cell>
          <cell r="AE1033" t="str">
            <v>TIDAK</v>
          </cell>
          <cell r="AF1033">
            <v>92</v>
          </cell>
          <cell r="AG1033">
            <v>2</v>
          </cell>
          <cell r="AH1033" t="str">
            <v>SAPHIRE</v>
          </cell>
          <cell r="AI1033">
            <v>0</v>
          </cell>
          <cell r="AJ1033" t="str">
            <v>Y</v>
          </cell>
          <cell r="AK1033">
            <v>0</v>
          </cell>
          <cell r="AL1033">
            <v>45261</v>
          </cell>
          <cell r="AM1033">
            <v>45701</v>
          </cell>
          <cell r="AN1033">
            <v>1</v>
          </cell>
          <cell r="AO1033">
            <v>92</v>
          </cell>
          <cell r="AP1033" t="str">
            <v>-</v>
          </cell>
          <cell r="AQ1033" t="str">
            <v>-</v>
          </cell>
          <cell r="AR1033" t="str">
            <v>REGULER</v>
          </cell>
          <cell r="AS1033" t="str">
            <v>-</v>
          </cell>
          <cell r="AT1033" t="str">
            <v>-</v>
          </cell>
          <cell r="AU1033" t="str">
            <v>-</v>
          </cell>
          <cell r="AV1033" t="str">
            <v/>
          </cell>
          <cell r="AW1033">
            <v>44</v>
          </cell>
          <cell r="AX1033">
            <v>30</v>
          </cell>
          <cell r="AY1033">
            <v>0</v>
          </cell>
          <cell r="AZ1033">
            <v>0</v>
          </cell>
          <cell r="BA1033">
            <v>0</v>
          </cell>
          <cell r="BB1033">
            <v>44</v>
          </cell>
          <cell r="BC1033">
            <v>30</v>
          </cell>
          <cell r="BD1033">
            <v>0</v>
          </cell>
          <cell r="BE1033">
            <v>0</v>
          </cell>
          <cell r="BF1033">
            <v>0</v>
          </cell>
          <cell r="BG1033">
            <v>14</v>
          </cell>
          <cell r="BH1033">
            <v>44</v>
          </cell>
          <cell r="BI1033">
            <v>30</v>
          </cell>
          <cell r="BJ1033">
            <v>0</v>
          </cell>
          <cell r="BK1033">
            <v>0</v>
          </cell>
          <cell r="BL1033">
            <v>0</v>
          </cell>
          <cell r="BM1033" t="str">
            <v/>
          </cell>
          <cell r="BN1033">
            <v>88</v>
          </cell>
          <cell r="BO1033">
            <v>14</v>
          </cell>
          <cell r="BP1033">
            <v>44</v>
          </cell>
          <cell r="BQ1033">
            <v>30</v>
          </cell>
          <cell r="BR1033">
            <v>0</v>
          </cell>
          <cell r="BS1033">
            <v>0</v>
          </cell>
          <cell r="BT1033">
            <v>0</v>
          </cell>
          <cell r="BU1033" t="str">
            <v/>
          </cell>
          <cell r="BV1033">
            <v>88</v>
          </cell>
          <cell r="BW1033">
            <v>4</v>
          </cell>
          <cell r="BX1033" t="str">
            <v>DOWNGRADE</v>
          </cell>
          <cell r="BY1033" t="str">
            <v>RESET</v>
          </cell>
        </row>
        <row r="1034">
          <cell r="A1034" t="str">
            <v>A3637</v>
          </cell>
          <cell r="B1034" t="str">
            <v>Viki Wijaya</v>
          </cell>
          <cell r="C1034" t="str">
            <v>TEMA C2</v>
          </cell>
          <cell r="D1034">
            <v>45323</v>
          </cell>
          <cell r="E1034" t="str">
            <v>Feb-24</v>
          </cell>
          <cell r="F1034" t="str">
            <v>-</v>
          </cell>
          <cell r="G1034" t="str">
            <v>-</v>
          </cell>
          <cell r="H1034" t="str">
            <v>REGULER</v>
          </cell>
          <cell r="I1034" t="str">
            <v>-</v>
          </cell>
          <cell r="J1034" t="str">
            <v>-</v>
          </cell>
          <cell r="K1034" t="str">
            <v>-</v>
          </cell>
          <cell r="L1034" t="str">
            <v>-</v>
          </cell>
          <cell r="M1034">
            <v>0</v>
          </cell>
          <cell r="N1034">
            <v>0</v>
          </cell>
          <cell r="O1034">
            <v>1</v>
          </cell>
          <cell r="P1034">
            <v>0</v>
          </cell>
          <cell r="Q1034">
            <v>0</v>
          </cell>
          <cell r="R1034">
            <v>0</v>
          </cell>
          <cell r="S1034" t="str">
            <v/>
          </cell>
          <cell r="T1034">
            <v>1</v>
          </cell>
          <cell r="U1034">
            <v>0</v>
          </cell>
          <cell r="V1034">
            <v>0</v>
          </cell>
          <cell r="W1034">
            <v>1</v>
          </cell>
          <cell r="X1034">
            <v>0</v>
          </cell>
          <cell r="Y1034">
            <v>0</v>
          </cell>
          <cell r="Z1034">
            <v>0</v>
          </cell>
          <cell r="AA1034" t="str">
            <v/>
          </cell>
          <cell r="AB1034">
            <v>1</v>
          </cell>
          <cell r="AC1034">
            <v>4</v>
          </cell>
          <cell r="AD1034" t="str">
            <v>DOWNGRADE</v>
          </cell>
          <cell r="AE1034" t="str">
            <v>RESET</v>
          </cell>
          <cell r="AF1034">
            <v>0</v>
          </cell>
          <cell r="AG1034">
            <v>1</v>
          </cell>
          <cell r="AH1034" t="str">
            <v>SAPHIRE</v>
          </cell>
          <cell r="AI1034">
            <v>0</v>
          </cell>
          <cell r="AJ1034" t="str">
            <v>FALSE</v>
          </cell>
          <cell r="AK1034">
            <v>0</v>
          </cell>
          <cell r="AL1034">
            <v>45261</v>
          </cell>
          <cell r="AM1034">
            <v>45701</v>
          </cell>
          <cell r="AN1034">
            <v>1</v>
          </cell>
          <cell r="AO1034">
            <v>0</v>
          </cell>
          <cell r="AP1034" t="str">
            <v>-</v>
          </cell>
          <cell r="AQ1034" t="str">
            <v>-</v>
          </cell>
          <cell r="AR1034" t="str">
            <v>-</v>
          </cell>
          <cell r="AS1034" t="str">
            <v>-</v>
          </cell>
          <cell r="AT1034" t="str">
            <v>-</v>
          </cell>
          <cell r="AU1034" t="str">
            <v>-</v>
          </cell>
          <cell r="AV1034" t="str">
            <v/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 t="str">
            <v/>
          </cell>
          <cell r="BH1034">
            <v>0</v>
          </cell>
          <cell r="BI1034">
            <v>0</v>
          </cell>
          <cell r="BJ1034">
            <v>0</v>
          </cell>
          <cell r="BK1034">
            <v>0</v>
          </cell>
          <cell r="BL1034">
            <v>0</v>
          </cell>
          <cell r="BM1034" t="str">
            <v/>
          </cell>
          <cell r="BN1034">
            <v>0</v>
          </cell>
          <cell r="BO1034" t="str">
            <v/>
          </cell>
          <cell r="BP1034">
            <v>0</v>
          </cell>
          <cell r="BQ1034">
            <v>0</v>
          </cell>
          <cell r="BR1034">
            <v>0</v>
          </cell>
          <cell r="BS1034">
            <v>0</v>
          </cell>
          <cell r="BT1034">
            <v>0</v>
          </cell>
          <cell r="BU1034" t="str">
            <v/>
          </cell>
          <cell r="BV1034">
            <v>0</v>
          </cell>
          <cell r="BW1034">
            <v>7</v>
          </cell>
          <cell r="BX1034" t="str">
            <v>DOWNGRADE</v>
          </cell>
          <cell r="BY1034" t="str">
            <v>RESET</v>
          </cell>
        </row>
        <row r="1035">
          <cell r="A1035" t="str">
            <v>A3590</v>
          </cell>
          <cell r="B1035" t="str">
            <v>Vira Ardani</v>
          </cell>
          <cell r="C1035" t="str">
            <v>TEMA C2</v>
          </cell>
          <cell r="D1035">
            <v>45307</v>
          </cell>
          <cell r="E1035" t="str">
            <v>Jan-24</v>
          </cell>
          <cell r="F1035" t="str">
            <v>-</v>
          </cell>
          <cell r="G1035" t="str">
            <v>REGULER</v>
          </cell>
          <cell r="H1035" t="str">
            <v>REGULER</v>
          </cell>
          <cell r="I1035" t="str">
            <v>REGULER</v>
          </cell>
          <cell r="J1035" t="str">
            <v>REGULER</v>
          </cell>
          <cell r="K1035" t="str">
            <v>-</v>
          </cell>
          <cell r="L1035" t="str">
            <v>-</v>
          </cell>
          <cell r="M1035">
            <v>0</v>
          </cell>
          <cell r="N1035">
            <v>22</v>
          </cell>
          <cell r="O1035">
            <v>25</v>
          </cell>
          <cell r="P1035">
            <v>27</v>
          </cell>
          <cell r="Q1035">
            <v>35</v>
          </cell>
          <cell r="R1035">
            <v>0</v>
          </cell>
          <cell r="S1035" t="str">
            <v/>
          </cell>
          <cell r="T1035">
            <v>109</v>
          </cell>
          <cell r="U1035">
            <v>0</v>
          </cell>
          <cell r="V1035">
            <v>22</v>
          </cell>
          <cell r="W1035">
            <v>25</v>
          </cell>
          <cell r="X1035">
            <v>27</v>
          </cell>
          <cell r="Y1035">
            <v>35</v>
          </cell>
          <cell r="Z1035">
            <v>0</v>
          </cell>
          <cell r="AA1035" t="str">
            <v/>
          </cell>
          <cell r="AB1035">
            <v>109</v>
          </cell>
          <cell r="AC1035">
            <v>2</v>
          </cell>
          <cell r="AD1035" t="str">
            <v>TIDAK</v>
          </cell>
          <cell r="AE1035" t="str">
            <v>TIDAK</v>
          </cell>
          <cell r="AF1035">
            <v>109</v>
          </cell>
          <cell r="AG1035">
            <v>2</v>
          </cell>
          <cell r="AH1035" t="str">
            <v>SAPHIRE</v>
          </cell>
          <cell r="AI1035">
            <v>0</v>
          </cell>
          <cell r="AJ1035" t="str">
            <v>Y</v>
          </cell>
          <cell r="AK1035">
            <v>0</v>
          </cell>
          <cell r="AL1035">
            <v>45261</v>
          </cell>
          <cell r="AM1035">
            <v>45701</v>
          </cell>
          <cell r="AN1035">
            <v>1</v>
          </cell>
          <cell r="AO1035">
            <v>109</v>
          </cell>
          <cell r="AP1035" t="str">
            <v>-</v>
          </cell>
          <cell r="AQ1035" t="str">
            <v>-</v>
          </cell>
          <cell r="AR1035" t="str">
            <v>REGULER</v>
          </cell>
          <cell r="AS1035" t="str">
            <v>REGULER</v>
          </cell>
          <cell r="AT1035" t="str">
            <v>REGULER</v>
          </cell>
          <cell r="AU1035" t="str">
            <v>-</v>
          </cell>
          <cell r="AV1035" t="str">
            <v/>
          </cell>
          <cell r="AW1035">
            <v>34</v>
          </cell>
          <cell r="AX1035">
            <v>31</v>
          </cell>
          <cell r="AY1035">
            <v>37</v>
          </cell>
          <cell r="AZ1035">
            <v>21</v>
          </cell>
          <cell r="BA1035">
            <v>0</v>
          </cell>
          <cell r="BB1035">
            <v>34</v>
          </cell>
          <cell r="BC1035">
            <v>31</v>
          </cell>
          <cell r="BD1035">
            <v>37</v>
          </cell>
          <cell r="BE1035">
            <v>21</v>
          </cell>
          <cell r="BF1035">
            <v>0</v>
          </cell>
          <cell r="BG1035">
            <v>9</v>
          </cell>
          <cell r="BH1035">
            <v>34</v>
          </cell>
          <cell r="BI1035">
            <v>31</v>
          </cell>
          <cell r="BJ1035">
            <v>37</v>
          </cell>
          <cell r="BK1035">
            <v>21</v>
          </cell>
          <cell r="BL1035">
            <v>0</v>
          </cell>
          <cell r="BM1035" t="str">
            <v/>
          </cell>
          <cell r="BN1035">
            <v>132</v>
          </cell>
          <cell r="BO1035">
            <v>9</v>
          </cell>
          <cell r="BP1035">
            <v>34</v>
          </cell>
          <cell r="BQ1035">
            <v>31</v>
          </cell>
          <cell r="BR1035">
            <v>37</v>
          </cell>
          <cell r="BS1035">
            <v>21</v>
          </cell>
          <cell r="BT1035">
            <v>0</v>
          </cell>
          <cell r="BU1035" t="str">
            <v/>
          </cell>
          <cell r="BV1035">
            <v>132</v>
          </cell>
          <cell r="BW1035">
            <v>2</v>
          </cell>
          <cell r="BX1035" t="str">
            <v>TIDAK</v>
          </cell>
          <cell r="BY1035" t="str">
            <v>TIDAK</v>
          </cell>
        </row>
        <row r="1036">
          <cell r="A1036" t="str">
            <v>A0479</v>
          </cell>
          <cell r="B1036" t="str">
            <v>Vita Listyana</v>
          </cell>
          <cell r="C1036" t="str">
            <v>TEMA C2</v>
          </cell>
          <cell r="D1036">
            <v>45231</v>
          </cell>
          <cell r="E1036" t="str">
            <v>Nov-23</v>
          </cell>
          <cell r="F1036" t="str">
            <v>REGULER</v>
          </cell>
          <cell r="G1036" t="str">
            <v>REGULER</v>
          </cell>
          <cell r="H1036" t="str">
            <v>REGULER</v>
          </cell>
          <cell r="I1036" t="str">
            <v>-</v>
          </cell>
          <cell r="J1036" t="str">
            <v>-</v>
          </cell>
          <cell r="K1036" t="str">
            <v>-</v>
          </cell>
          <cell r="L1036" t="str">
            <v>-</v>
          </cell>
          <cell r="M1036">
            <v>17</v>
          </cell>
          <cell r="N1036">
            <v>41</v>
          </cell>
          <cell r="O1036">
            <v>11</v>
          </cell>
          <cell r="P1036">
            <v>0</v>
          </cell>
          <cell r="Q1036">
            <v>0</v>
          </cell>
          <cell r="R1036">
            <v>0</v>
          </cell>
          <cell r="S1036" t="str">
            <v/>
          </cell>
          <cell r="T1036">
            <v>69</v>
          </cell>
          <cell r="U1036">
            <v>17</v>
          </cell>
          <cell r="V1036">
            <v>41</v>
          </cell>
          <cell r="W1036">
            <v>11</v>
          </cell>
          <cell r="X1036">
            <v>0</v>
          </cell>
          <cell r="Y1036">
            <v>0</v>
          </cell>
          <cell r="Z1036">
            <v>0</v>
          </cell>
          <cell r="AA1036" t="str">
            <v/>
          </cell>
          <cell r="AB1036">
            <v>69</v>
          </cell>
          <cell r="AC1036">
            <v>4</v>
          </cell>
          <cell r="AD1036" t="str">
            <v>DOWNGRADE</v>
          </cell>
          <cell r="AE1036" t="str">
            <v>RESET</v>
          </cell>
          <cell r="AF1036">
            <v>0</v>
          </cell>
          <cell r="AG1036">
            <v>3</v>
          </cell>
          <cell r="AH1036" t="str">
            <v>SAPHIRE</v>
          </cell>
          <cell r="AI1036">
            <v>0</v>
          </cell>
          <cell r="AJ1036" t="str">
            <v>FALSE</v>
          </cell>
          <cell r="AK1036">
            <v>0</v>
          </cell>
          <cell r="AL1036">
            <v>45261</v>
          </cell>
          <cell r="AM1036">
            <v>45701</v>
          </cell>
          <cell r="AN1036">
            <v>1</v>
          </cell>
          <cell r="AO1036">
            <v>0</v>
          </cell>
          <cell r="AP1036" t="str">
            <v>-</v>
          </cell>
          <cell r="AQ1036" t="str">
            <v>-</v>
          </cell>
          <cell r="AR1036" t="str">
            <v>-</v>
          </cell>
          <cell r="AS1036" t="str">
            <v>-</v>
          </cell>
          <cell r="AT1036" t="str">
            <v>-</v>
          </cell>
          <cell r="AU1036" t="str">
            <v>-</v>
          </cell>
          <cell r="AV1036" t="str">
            <v/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 t="str">
            <v/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 t="str">
            <v/>
          </cell>
          <cell r="BN1036">
            <v>0</v>
          </cell>
          <cell r="BO1036" t="str">
            <v/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  <cell r="BT1036">
            <v>0</v>
          </cell>
          <cell r="BU1036" t="str">
            <v/>
          </cell>
          <cell r="BV1036">
            <v>0</v>
          </cell>
          <cell r="BW1036">
            <v>7</v>
          </cell>
          <cell r="BX1036" t="str">
            <v>DOWNGRADE</v>
          </cell>
          <cell r="BY1036" t="str">
            <v>RESET</v>
          </cell>
        </row>
        <row r="1037">
          <cell r="A1037" t="str">
            <v>A2564</v>
          </cell>
          <cell r="B1037" t="str">
            <v>Wahyu Firnanda</v>
          </cell>
          <cell r="C1037" t="str">
            <v>TEMA C2</v>
          </cell>
          <cell r="D1037">
            <v>45170</v>
          </cell>
          <cell r="E1037" t="str">
            <v>Sep-23</v>
          </cell>
          <cell r="F1037" t="str">
            <v>REGULER</v>
          </cell>
          <cell r="G1037" t="str">
            <v>REGULER</v>
          </cell>
          <cell r="H1037" t="str">
            <v>REGULER</v>
          </cell>
          <cell r="I1037" t="str">
            <v>REGULER</v>
          </cell>
          <cell r="J1037" t="str">
            <v>REGULER</v>
          </cell>
          <cell r="K1037" t="str">
            <v>REGULER</v>
          </cell>
          <cell r="L1037" t="str">
            <v>REGULER</v>
          </cell>
          <cell r="M1037">
            <v>12</v>
          </cell>
          <cell r="N1037">
            <v>37</v>
          </cell>
          <cell r="O1037">
            <v>29</v>
          </cell>
          <cell r="P1037">
            <v>21</v>
          </cell>
          <cell r="Q1037">
            <v>2</v>
          </cell>
          <cell r="R1037">
            <v>18</v>
          </cell>
          <cell r="S1037">
            <v>9</v>
          </cell>
          <cell r="T1037">
            <v>128</v>
          </cell>
          <cell r="U1037">
            <v>12</v>
          </cell>
          <cell r="V1037">
            <v>37</v>
          </cell>
          <cell r="W1037">
            <v>29</v>
          </cell>
          <cell r="X1037">
            <v>21</v>
          </cell>
          <cell r="Y1037">
            <v>2</v>
          </cell>
          <cell r="Z1037">
            <v>18</v>
          </cell>
          <cell r="AA1037">
            <v>9</v>
          </cell>
          <cell r="AB1037">
            <v>128</v>
          </cell>
          <cell r="AC1037">
            <v>0</v>
          </cell>
          <cell r="AD1037" t="str">
            <v>TIDAK</v>
          </cell>
          <cell r="AE1037" t="str">
            <v>TIDAK</v>
          </cell>
          <cell r="AF1037">
            <v>128</v>
          </cell>
          <cell r="AG1037">
            <v>3</v>
          </cell>
          <cell r="AH1037" t="str">
            <v>SAPHIRE</v>
          </cell>
          <cell r="AI1037">
            <v>0</v>
          </cell>
          <cell r="AJ1037" t="str">
            <v>Y</v>
          </cell>
          <cell r="AK1037">
            <v>0</v>
          </cell>
          <cell r="AL1037">
            <v>45261</v>
          </cell>
          <cell r="AM1037">
            <v>45701</v>
          </cell>
          <cell r="AN1037">
            <v>1</v>
          </cell>
          <cell r="AO1037">
            <v>128</v>
          </cell>
          <cell r="AP1037" t="str">
            <v>-</v>
          </cell>
          <cell r="AQ1037" t="str">
            <v>-</v>
          </cell>
          <cell r="AR1037" t="str">
            <v>REGULER</v>
          </cell>
          <cell r="AS1037" t="str">
            <v>REGULER</v>
          </cell>
          <cell r="AT1037" t="str">
            <v>-</v>
          </cell>
          <cell r="AU1037" t="str">
            <v>-</v>
          </cell>
          <cell r="AV1037" t="str">
            <v/>
          </cell>
          <cell r="AW1037">
            <v>16</v>
          </cell>
          <cell r="AX1037">
            <v>24</v>
          </cell>
          <cell r="AY1037">
            <v>6</v>
          </cell>
          <cell r="AZ1037">
            <v>0</v>
          </cell>
          <cell r="BA1037">
            <v>0</v>
          </cell>
          <cell r="BB1037">
            <v>16</v>
          </cell>
          <cell r="BC1037">
            <v>24</v>
          </cell>
          <cell r="BD1037">
            <v>6</v>
          </cell>
          <cell r="BE1037">
            <v>0</v>
          </cell>
          <cell r="BF1037">
            <v>0</v>
          </cell>
          <cell r="BG1037">
            <v>5</v>
          </cell>
          <cell r="BH1037">
            <v>16</v>
          </cell>
          <cell r="BI1037">
            <v>24</v>
          </cell>
          <cell r="BJ1037">
            <v>6</v>
          </cell>
          <cell r="BK1037">
            <v>0</v>
          </cell>
          <cell r="BL1037">
            <v>0</v>
          </cell>
          <cell r="BM1037" t="str">
            <v/>
          </cell>
          <cell r="BN1037">
            <v>51</v>
          </cell>
          <cell r="BO1037">
            <v>5</v>
          </cell>
          <cell r="BP1037">
            <v>16</v>
          </cell>
          <cell r="BQ1037">
            <v>24</v>
          </cell>
          <cell r="BR1037">
            <v>6</v>
          </cell>
          <cell r="BS1037">
            <v>0</v>
          </cell>
          <cell r="BT1037">
            <v>0</v>
          </cell>
          <cell r="BU1037" t="str">
            <v/>
          </cell>
          <cell r="BV1037">
            <v>51</v>
          </cell>
          <cell r="BW1037">
            <v>3</v>
          </cell>
          <cell r="BX1037" t="str">
            <v>DOWNGRADE</v>
          </cell>
          <cell r="BY1037" t="str">
            <v>RESET</v>
          </cell>
        </row>
        <row r="1038">
          <cell r="A1038" t="str">
            <v>A3077</v>
          </cell>
          <cell r="B1038" t="str">
            <v>Wahyuni Handayani</v>
          </cell>
          <cell r="C1038" t="str">
            <v>TEMA C2</v>
          </cell>
          <cell r="D1038">
            <v>45217</v>
          </cell>
          <cell r="E1038" t="str">
            <v>Oct-23</v>
          </cell>
          <cell r="F1038" t="str">
            <v>REGULER</v>
          </cell>
          <cell r="G1038" t="str">
            <v>REGULER</v>
          </cell>
          <cell r="H1038" t="str">
            <v>REGULER</v>
          </cell>
          <cell r="I1038" t="str">
            <v>REGULER</v>
          </cell>
          <cell r="J1038" t="str">
            <v>REGULER</v>
          </cell>
          <cell r="K1038" t="str">
            <v>REGULER</v>
          </cell>
          <cell r="L1038" t="str">
            <v>-</v>
          </cell>
          <cell r="M1038">
            <v>15</v>
          </cell>
          <cell r="N1038">
            <v>14</v>
          </cell>
          <cell r="O1038">
            <v>28</v>
          </cell>
          <cell r="P1038">
            <v>22</v>
          </cell>
          <cell r="Q1038">
            <v>23</v>
          </cell>
          <cell r="R1038">
            <v>17</v>
          </cell>
          <cell r="S1038" t="str">
            <v/>
          </cell>
          <cell r="T1038">
            <v>119</v>
          </cell>
          <cell r="U1038">
            <v>15</v>
          </cell>
          <cell r="V1038">
            <v>14</v>
          </cell>
          <cell r="W1038">
            <v>28</v>
          </cell>
          <cell r="X1038">
            <v>22</v>
          </cell>
          <cell r="Y1038">
            <v>23</v>
          </cell>
          <cell r="Z1038">
            <v>17</v>
          </cell>
          <cell r="AA1038" t="str">
            <v/>
          </cell>
          <cell r="AB1038">
            <v>119</v>
          </cell>
          <cell r="AC1038">
            <v>1</v>
          </cell>
          <cell r="AD1038" t="str">
            <v>TIDAK</v>
          </cell>
          <cell r="AE1038" t="str">
            <v>TIDAK</v>
          </cell>
          <cell r="AF1038">
            <v>119</v>
          </cell>
          <cell r="AG1038">
            <v>1</v>
          </cell>
          <cell r="AH1038" t="str">
            <v>SAPHIRE</v>
          </cell>
          <cell r="AI1038">
            <v>0</v>
          </cell>
          <cell r="AJ1038" t="str">
            <v>Y</v>
          </cell>
          <cell r="AK1038">
            <v>0</v>
          </cell>
          <cell r="AL1038">
            <v>45261</v>
          </cell>
          <cell r="AM1038">
            <v>45701</v>
          </cell>
          <cell r="AN1038">
            <v>1</v>
          </cell>
          <cell r="AO1038">
            <v>119</v>
          </cell>
          <cell r="AP1038" t="str">
            <v>-</v>
          </cell>
          <cell r="AQ1038" t="str">
            <v>-</v>
          </cell>
          <cell r="AR1038" t="str">
            <v>-</v>
          </cell>
          <cell r="AS1038" t="str">
            <v>-</v>
          </cell>
          <cell r="AT1038" t="str">
            <v>-</v>
          </cell>
          <cell r="AU1038" t="str">
            <v>-</v>
          </cell>
          <cell r="AV1038" t="str">
            <v/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 t="str">
            <v/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 t="str">
            <v/>
          </cell>
          <cell r="BN1038">
            <v>0</v>
          </cell>
          <cell r="BO1038" t="str">
            <v/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  <cell r="BT1038">
            <v>0</v>
          </cell>
          <cell r="BU1038" t="str">
            <v/>
          </cell>
          <cell r="BV1038">
            <v>0</v>
          </cell>
          <cell r="BW1038">
            <v>7</v>
          </cell>
          <cell r="BX1038" t="str">
            <v>DOWNGRADE</v>
          </cell>
          <cell r="BY1038" t="str">
            <v>RESET</v>
          </cell>
        </row>
        <row r="1039">
          <cell r="A1039" t="str">
            <v>A0189</v>
          </cell>
          <cell r="B1039" t="str">
            <v>Wellant Leuwol</v>
          </cell>
          <cell r="C1039" t="str">
            <v>TEMA C2</v>
          </cell>
          <cell r="D1039">
            <v>44811</v>
          </cell>
          <cell r="E1039" t="str">
            <v>Sep-22</v>
          </cell>
          <cell r="F1039" t="str">
            <v>REGULER</v>
          </cell>
          <cell r="G1039" t="str">
            <v>REGULER</v>
          </cell>
          <cell r="H1039" t="str">
            <v>-</v>
          </cell>
          <cell r="I1039" t="str">
            <v>-</v>
          </cell>
          <cell r="J1039" t="str">
            <v>-</v>
          </cell>
          <cell r="K1039" t="str">
            <v>-</v>
          </cell>
          <cell r="L1039" t="str">
            <v>-</v>
          </cell>
          <cell r="M1039">
            <v>15</v>
          </cell>
          <cell r="N1039">
            <v>1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 t="str">
            <v/>
          </cell>
          <cell r="T1039">
            <v>16</v>
          </cell>
          <cell r="U1039">
            <v>15</v>
          </cell>
          <cell r="V1039">
            <v>1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 t="str">
            <v/>
          </cell>
          <cell r="AB1039">
            <v>16</v>
          </cell>
          <cell r="AC1039">
            <v>5</v>
          </cell>
          <cell r="AD1039" t="str">
            <v>DOWNGRADE</v>
          </cell>
          <cell r="AE1039" t="str">
            <v>RESET</v>
          </cell>
          <cell r="AF1039">
            <v>0</v>
          </cell>
          <cell r="AG1039">
            <v>1</v>
          </cell>
          <cell r="AH1039" t="str">
            <v>SAPHIRE</v>
          </cell>
          <cell r="AI1039">
            <v>0</v>
          </cell>
          <cell r="AJ1039" t="str">
            <v>FALSE</v>
          </cell>
          <cell r="AK1039">
            <v>0</v>
          </cell>
          <cell r="AL1039">
            <v>45261</v>
          </cell>
          <cell r="AM1039">
            <v>45701</v>
          </cell>
          <cell r="AN1039">
            <v>1</v>
          </cell>
          <cell r="AO1039">
            <v>0</v>
          </cell>
          <cell r="AP1039" t="str">
            <v>-</v>
          </cell>
          <cell r="AQ1039" t="str">
            <v>-</v>
          </cell>
          <cell r="AR1039" t="str">
            <v>-</v>
          </cell>
          <cell r="AS1039" t="str">
            <v>-</v>
          </cell>
          <cell r="AT1039" t="str">
            <v>-</v>
          </cell>
          <cell r="AU1039" t="str">
            <v>-</v>
          </cell>
          <cell r="AV1039" t="str">
            <v/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 t="str">
            <v/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 t="str">
            <v/>
          </cell>
          <cell r="BN1039">
            <v>0</v>
          </cell>
          <cell r="BO1039" t="str">
            <v/>
          </cell>
          <cell r="BP1039">
            <v>0</v>
          </cell>
          <cell r="BQ1039">
            <v>0</v>
          </cell>
          <cell r="BR1039">
            <v>0</v>
          </cell>
          <cell r="BS1039">
            <v>0</v>
          </cell>
          <cell r="BT1039">
            <v>0</v>
          </cell>
          <cell r="BU1039" t="str">
            <v/>
          </cell>
          <cell r="BV1039">
            <v>0</v>
          </cell>
          <cell r="BW1039">
            <v>7</v>
          </cell>
          <cell r="BX1039" t="str">
            <v>DOWNGRADE</v>
          </cell>
          <cell r="BY1039" t="str">
            <v>RESET</v>
          </cell>
        </row>
        <row r="1040">
          <cell r="A1040" t="str">
            <v>A3426</v>
          </cell>
          <cell r="B1040" t="str">
            <v>Weni Pramudita</v>
          </cell>
          <cell r="C1040" t="str">
            <v>TEMA C2</v>
          </cell>
          <cell r="D1040">
            <v>45295</v>
          </cell>
          <cell r="E1040" t="str">
            <v>Jan-24</v>
          </cell>
          <cell r="F1040" t="str">
            <v>-</v>
          </cell>
          <cell r="G1040" t="str">
            <v>REGULER</v>
          </cell>
          <cell r="H1040" t="str">
            <v>REGULER</v>
          </cell>
          <cell r="I1040" t="str">
            <v>REGULER</v>
          </cell>
          <cell r="J1040" t="str">
            <v>REGULER</v>
          </cell>
          <cell r="K1040" t="str">
            <v>-</v>
          </cell>
          <cell r="L1040" t="str">
            <v>-</v>
          </cell>
          <cell r="M1040">
            <v>0</v>
          </cell>
          <cell r="N1040">
            <v>6</v>
          </cell>
          <cell r="O1040">
            <v>6</v>
          </cell>
          <cell r="P1040">
            <v>7</v>
          </cell>
          <cell r="Q1040">
            <v>1</v>
          </cell>
          <cell r="R1040">
            <v>0</v>
          </cell>
          <cell r="S1040" t="str">
            <v/>
          </cell>
          <cell r="T1040">
            <v>20</v>
          </cell>
          <cell r="U1040">
            <v>0</v>
          </cell>
          <cell r="V1040">
            <v>6</v>
          </cell>
          <cell r="W1040">
            <v>6</v>
          </cell>
          <cell r="X1040">
            <v>7</v>
          </cell>
          <cell r="Y1040">
            <v>1</v>
          </cell>
          <cell r="Z1040">
            <v>0</v>
          </cell>
          <cell r="AA1040" t="str">
            <v/>
          </cell>
          <cell r="AB1040">
            <v>20</v>
          </cell>
          <cell r="AC1040">
            <v>2</v>
          </cell>
          <cell r="AD1040" t="str">
            <v>TIDAK</v>
          </cell>
          <cell r="AE1040" t="str">
            <v>TIDAK</v>
          </cell>
          <cell r="AF1040">
            <v>20</v>
          </cell>
          <cell r="AG1040">
            <v>1</v>
          </cell>
          <cell r="AH1040" t="str">
            <v>SAPHIRE</v>
          </cell>
          <cell r="AI1040">
            <v>0</v>
          </cell>
          <cell r="AJ1040" t="str">
            <v>FALSE</v>
          </cell>
          <cell r="AK1040">
            <v>0</v>
          </cell>
          <cell r="AL1040">
            <v>45261</v>
          </cell>
          <cell r="AM1040">
            <v>45701</v>
          </cell>
          <cell r="AN1040">
            <v>1</v>
          </cell>
          <cell r="AO1040">
            <v>20</v>
          </cell>
          <cell r="AP1040" t="str">
            <v>-</v>
          </cell>
          <cell r="AQ1040" t="str">
            <v>-</v>
          </cell>
          <cell r="AR1040" t="str">
            <v>-</v>
          </cell>
          <cell r="AS1040" t="str">
            <v>-</v>
          </cell>
          <cell r="AT1040" t="str">
            <v>-</v>
          </cell>
          <cell r="AU1040" t="str">
            <v>-</v>
          </cell>
          <cell r="AV1040" t="str">
            <v/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 t="str">
            <v/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 t="str">
            <v/>
          </cell>
          <cell r="BN1040">
            <v>0</v>
          </cell>
          <cell r="BO1040" t="str">
            <v/>
          </cell>
          <cell r="BP1040">
            <v>0</v>
          </cell>
          <cell r="BQ1040">
            <v>0</v>
          </cell>
          <cell r="BR1040">
            <v>0</v>
          </cell>
          <cell r="BS1040">
            <v>0</v>
          </cell>
          <cell r="BT1040">
            <v>0</v>
          </cell>
          <cell r="BU1040" t="str">
            <v/>
          </cell>
          <cell r="BV1040">
            <v>0</v>
          </cell>
          <cell r="BW1040">
            <v>7</v>
          </cell>
          <cell r="BX1040" t="str">
            <v>DOWNGRADE</v>
          </cell>
          <cell r="BY1040" t="str">
            <v>RESET</v>
          </cell>
        </row>
        <row r="1041">
          <cell r="A1041" t="str">
            <v>A2053</v>
          </cell>
          <cell r="B1041" t="str">
            <v>Wiartika Sisil Mukaromah</v>
          </cell>
          <cell r="C1041" t="str">
            <v>TEMA C2</v>
          </cell>
          <cell r="D1041">
            <v>45033</v>
          </cell>
          <cell r="E1041" t="str">
            <v>Apr-23</v>
          </cell>
          <cell r="F1041" t="str">
            <v>REGULER</v>
          </cell>
          <cell r="G1041" t="str">
            <v>EKSKLUSIF</v>
          </cell>
          <cell r="H1041" t="str">
            <v>EKSKLUSIF</v>
          </cell>
          <cell r="I1041" t="str">
            <v>EKSKLUSIF</v>
          </cell>
          <cell r="J1041" t="str">
            <v>EKSKLUSIF</v>
          </cell>
          <cell r="K1041" t="str">
            <v>EKSKLUSIF</v>
          </cell>
          <cell r="L1041" t="str">
            <v>EKSKLUSIF</v>
          </cell>
          <cell r="M1041">
            <v>17</v>
          </cell>
          <cell r="N1041">
            <v>45</v>
          </cell>
          <cell r="O1041">
            <v>37</v>
          </cell>
          <cell r="P1041">
            <v>43</v>
          </cell>
          <cell r="Q1041">
            <v>36</v>
          </cell>
          <cell r="R1041">
            <v>37</v>
          </cell>
          <cell r="S1041">
            <v>21</v>
          </cell>
          <cell r="T1041">
            <v>236</v>
          </cell>
          <cell r="U1041">
            <v>17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17</v>
          </cell>
          <cell r="AC1041">
            <v>0</v>
          </cell>
          <cell r="AD1041" t="str">
            <v>TIDAK</v>
          </cell>
          <cell r="AE1041" t="str">
            <v>TIDAK</v>
          </cell>
          <cell r="AF1041">
            <v>17</v>
          </cell>
          <cell r="AG1041">
            <v>3</v>
          </cell>
          <cell r="AH1041" t="str">
            <v>SAPHIRE</v>
          </cell>
          <cell r="AI1041">
            <v>0</v>
          </cell>
          <cell r="AJ1041" t="str">
            <v>FALSE</v>
          </cell>
          <cell r="AK1041">
            <v>0</v>
          </cell>
          <cell r="AL1041">
            <v>45261</v>
          </cell>
          <cell r="AM1041">
            <v>45701</v>
          </cell>
          <cell r="AN1041">
            <v>1</v>
          </cell>
          <cell r="AO1041">
            <v>17</v>
          </cell>
          <cell r="AP1041" t="str">
            <v>EKSKLUSIF</v>
          </cell>
          <cell r="AQ1041" t="str">
            <v>-</v>
          </cell>
          <cell r="AR1041" t="str">
            <v>EKSKLUSIF</v>
          </cell>
          <cell r="AS1041" t="str">
            <v>EKSKLUSIF</v>
          </cell>
          <cell r="AT1041" t="str">
            <v>REGULER</v>
          </cell>
          <cell r="AU1041" t="str">
            <v>-</v>
          </cell>
          <cell r="AV1041" t="str">
            <v/>
          </cell>
          <cell r="AW1041">
            <v>49</v>
          </cell>
          <cell r="AX1041">
            <v>48</v>
          </cell>
          <cell r="AY1041">
            <v>40</v>
          </cell>
          <cell r="AZ1041">
            <v>41</v>
          </cell>
          <cell r="BA1041">
            <v>0</v>
          </cell>
          <cell r="BB1041">
            <v>49</v>
          </cell>
          <cell r="BC1041">
            <v>48</v>
          </cell>
          <cell r="BD1041">
            <v>40</v>
          </cell>
          <cell r="BE1041">
            <v>41</v>
          </cell>
          <cell r="BF1041">
            <v>0</v>
          </cell>
          <cell r="BG1041">
            <v>20</v>
          </cell>
          <cell r="BH1041">
            <v>49</v>
          </cell>
          <cell r="BI1041">
            <v>48</v>
          </cell>
          <cell r="BJ1041">
            <v>40</v>
          </cell>
          <cell r="BK1041">
            <v>41</v>
          </cell>
          <cell r="BL1041">
            <v>0</v>
          </cell>
          <cell r="BM1041" t="str">
            <v/>
          </cell>
          <cell r="BN1041">
            <v>198</v>
          </cell>
          <cell r="BO1041">
            <v>0</v>
          </cell>
          <cell r="BP1041">
            <v>49</v>
          </cell>
          <cell r="BQ1041">
            <v>0</v>
          </cell>
          <cell r="BR1041">
            <v>0</v>
          </cell>
          <cell r="BS1041">
            <v>41</v>
          </cell>
          <cell r="BT1041">
            <v>0</v>
          </cell>
          <cell r="BU1041" t="str">
            <v/>
          </cell>
          <cell r="BV1041">
            <v>90</v>
          </cell>
          <cell r="BW1041">
            <v>2</v>
          </cell>
          <cell r="BX1041" t="str">
            <v>TIDAK</v>
          </cell>
          <cell r="BY1041" t="str">
            <v>TIDAK</v>
          </cell>
        </row>
        <row r="1042">
          <cell r="A1042" t="str">
            <v>A0713</v>
          </cell>
          <cell r="B1042" t="str">
            <v>Windu Presbi Wisudawati</v>
          </cell>
          <cell r="C1042" t="str">
            <v>TEMA C2</v>
          </cell>
          <cell r="D1042">
            <v>44879</v>
          </cell>
          <cell r="E1042" t="str">
            <v>Nov-22</v>
          </cell>
          <cell r="F1042" t="str">
            <v>REGULER</v>
          </cell>
          <cell r="G1042" t="str">
            <v>REGULER</v>
          </cell>
          <cell r="H1042" t="str">
            <v>REGULER</v>
          </cell>
          <cell r="I1042" t="str">
            <v>REGULER</v>
          </cell>
          <cell r="J1042" t="str">
            <v>-</v>
          </cell>
          <cell r="K1042" t="str">
            <v>-</v>
          </cell>
          <cell r="L1042" t="str">
            <v>-</v>
          </cell>
          <cell r="M1042">
            <v>18</v>
          </cell>
          <cell r="N1042">
            <v>39</v>
          </cell>
          <cell r="O1042">
            <v>33</v>
          </cell>
          <cell r="P1042">
            <v>32</v>
          </cell>
          <cell r="Q1042">
            <v>0</v>
          </cell>
          <cell r="R1042">
            <v>0</v>
          </cell>
          <cell r="S1042" t="str">
            <v/>
          </cell>
          <cell r="T1042">
            <v>122</v>
          </cell>
          <cell r="U1042">
            <v>18</v>
          </cell>
          <cell r="V1042">
            <v>39</v>
          </cell>
          <cell r="W1042">
            <v>33</v>
          </cell>
          <cell r="X1042">
            <v>32</v>
          </cell>
          <cell r="Y1042">
            <v>0</v>
          </cell>
          <cell r="Z1042">
            <v>0</v>
          </cell>
          <cell r="AA1042" t="str">
            <v/>
          </cell>
          <cell r="AB1042">
            <v>122</v>
          </cell>
          <cell r="AC1042">
            <v>3</v>
          </cell>
          <cell r="AD1042" t="str">
            <v>DOWNGRADE</v>
          </cell>
          <cell r="AE1042" t="str">
            <v>RESET</v>
          </cell>
          <cell r="AF1042">
            <v>0</v>
          </cell>
          <cell r="AG1042">
            <v>2</v>
          </cell>
          <cell r="AH1042" t="str">
            <v>SAPHIRE</v>
          </cell>
          <cell r="AI1042">
            <v>0</v>
          </cell>
          <cell r="AJ1042" t="str">
            <v>FALSE</v>
          </cell>
          <cell r="AK1042">
            <v>0</v>
          </cell>
          <cell r="AL1042">
            <v>45261</v>
          </cell>
          <cell r="AM1042">
            <v>45701</v>
          </cell>
          <cell r="AN1042">
            <v>1</v>
          </cell>
          <cell r="AO1042">
            <v>0</v>
          </cell>
          <cell r="AP1042" t="str">
            <v>-</v>
          </cell>
          <cell r="AQ1042" t="str">
            <v>-</v>
          </cell>
          <cell r="AR1042" t="str">
            <v>-</v>
          </cell>
          <cell r="AS1042" t="str">
            <v>-</v>
          </cell>
          <cell r="AT1042" t="str">
            <v>-</v>
          </cell>
          <cell r="AU1042" t="str">
            <v>-</v>
          </cell>
          <cell r="AV1042" t="str">
            <v/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 t="str">
            <v/>
          </cell>
          <cell r="BH1042">
            <v>0</v>
          </cell>
          <cell r="BI1042">
            <v>0</v>
          </cell>
          <cell r="BJ1042">
            <v>0</v>
          </cell>
          <cell r="BK1042">
            <v>0</v>
          </cell>
          <cell r="BL1042">
            <v>0</v>
          </cell>
          <cell r="BM1042" t="str">
            <v/>
          </cell>
          <cell r="BN1042">
            <v>0</v>
          </cell>
          <cell r="BO1042" t="str">
            <v/>
          </cell>
          <cell r="BP1042">
            <v>0</v>
          </cell>
          <cell r="BQ1042">
            <v>0</v>
          </cell>
          <cell r="BR1042">
            <v>0</v>
          </cell>
          <cell r="BS1042">
            <v>0</v>
          </cell>
          <cell r="BT1042">
            <v>0</v>
          </cell>
          <cell r="BU1042" t="str">
            <v/>
          </cell>
          <cell r="BV1042">
            <v>0</v>
          </cell>
          <cell r="BW1042">
            <v>7</v>
          </cell>
          <cell r="BX1042" t="str">
            <v>DOWNGRADE</v>
          </cell>
          <cell r="BY1042" t="str">
            <v>RESET</v>
          </cell>
        </row>
        <row r="1043">
          <cell r="A1043" t="str">
            <v>A0486</v>
          </cell>
          <cell r="B1043" t="str">
            <v>Yacinta Puspitasari</v>
          </cell>
          <cell r="C1043" t="str">
            <v>TEMA C2</v>
          </cell>
          <cell r="D1043">
            <v>44865</v>
          </cell>
          <cell r="E1043" t="str">
            <v>Oct-22</v>
          </cell>
          <cell r="F1043" t="str">
            <v>EKSKLUSIF</v>
          </cell>
          <cell r="G1043" t="str">
            <v>REGULER</v>
          </cell>
          <cell r="H1043" t="str">
            <v>EKSKLUSIF</v>
          </cell>
          <cell r="I1043" t="str">
            <v>EKSKLUSIF</v>
          </cell>
          <cell r="J1043" t="str">
            <v>EKSKLUSIF</v>
          </cell>
          <cell r="K1043" t="str">
            <v>REGULER</v>
          </cell>
          <cell r="L1043" t="str">
            <v>REGULER</v>
          </cell>
          <cell r="M1043">
            <v>19</v>
          </cell>
          <cell r="N1043">
            <v>36</v>
          </cell>
          <cell r="O1043">
            <v>39</v>
          </cell>
          <cell r="P1043">
            <v>39</v>
          </cell>
          <cell r="Q1043">
            <v>34</v>
          </cell>
          <cell r="R1043">
            <v>38</v>
          </cell>
          <cell r="S1043">
            <v>18</v>
          </cell>
          <cell r="T1043">
            <v>223</v>
          </cell>
          <cell r="U1043">
            <v>0</v>
          </cell>
          <cell r="V1043">
            <v>36</v>
          </cell>
          <cell r="W1043">
            <v>0</v>
          </cell>
          <cell r="X1043">
            <v>0</v>
          </cell>
          <cell r="Y1043">
            <v>0</v>
          </cell>
          <cell r="Z1043">
            <v>38</v>
          </cell>
          <cell r="AA1043">
            <v>18</v>
          </cell>
          <cell r="AB1043">
            <v>92</v>
          </cell>
          <cell r="AC1043">
            <v>0</v>
          </cell>
          <cell r="AD1043" t="str">
            <v>TIDAK</v>
          </cell>
          <cell r="AE1043" t="str">
            <v>TIDAK</v>
          </cell>
          <cell r="AF1043">
            <v>92</v>
          </cell>
          <cell r="AG1043">
            <v>3</v>
          </cell>
          <cell r="AH1043" t="str">
            <v>SAPHIRE</v>
          </cell>
          <cell r="AI1043">
            <v>0</v>
          </cell>
          <cell r="AJ1043" t="str">
            <v>Y</v>
          </cell>
          <cell r="AK1043">
            <v>0</v>
          </cell>
          <cell r="AL1043">
            <v>45261</v>
          </cell>
          <cell r="AM1043">
            <v>45701</v>
          </cell>
          <cell r="AN1043">
            <v>1</v>
          </cell>
          <cell r="AO1043">
            <v>92</v>
          </cell>
          <cell r="AP1043" t="str">
            <v>-</v>
          </cell>
          <cell r="AQ1043" t="str">
            <v>-</v>
          </cell>
          <cell r="AR1043" t="str">
            <v>REGULER</v>
          </cell>
          <cell r="AS1043" t="str">
            <v>-</v>
          </cell>
          <cell r="AT1043" t="str">
            <v>-</v>
          </cell>
          <cell r="AU1043" t="str">
            <v>REGULER</v>
          </cell>
          <cell r="AV1043" t="str">
            <v/>
          </cell>
          <cell r="AW1043">
            <v>40</v>
          </cell>
          <cell r="AX1043">
            <v>26</v>
          </cell>
          <cell r="AY1043">
            <v>0</v>
          </cell>
          <cell r="AZ1043">
            <v>0</v>
          </cell>
          <cell r="BA1043">
            <v>8</v>
          </cell>
          <cell r="BB1043">
            <v>40</v>
          </cell>
          <cell r="BC1043">
            <v>26</v>
          </cell>
          <cell r="BD1043">
            <v>0</v>
          </cell>
          <cell r="BE1043">
            <v>0</v>
          </cell>
          <cell r="BF1043">
            <v>8</v>
          </cell>
          <cell r="BG1043">
            <v>14</v>
          </cell>
          <cell r="BH1043">
            <v>40</v>
          </cell>
          <cell r="BI1043">
            <v>26</v>
          </cell>
          <cell r="BJ1043">
            <v>0</v>
          </cell>
          <cell r="BK1043">
            <v>0</v>
          </cell>
          <cell r="BL1043">
            <v>8</v>
          </cell>
          <cell r="BM1043">
            <v>15</v>
          </cell>
          <cell r="BN1043">
            <v>103</v>
          </cell>
          <cell r="BO1043">
            <v>14</v>
          </cell>
          <cell r="BP1043">
            <v>40</v>
          </cell>
          <cell r="BQ1043">
            <v>26</v>
          </cell>
          <cell r="BR1043">
            <v>0</v>
          </cell>
          <cell r="BS1043">
            <v>0</v>
          </cell>
          <cell r="BT1043">
            <v>8</v>
          </cell>
          <cell r="BU1043">
            <v>15</v>
          </cell>
          <cell r="BV1043">
            <v>103</v>
          </cell>
          <cell r="BW1043">
            <v>2</v>
          </cell>
          <cell r="BX1043" t="str">
            <v>TIDAK</v>
          </cell>
          <cell r="BY1043" t="str">
            <v>TIDAK</v>
          </cell>
        </row>
        <row r="1044">
          <cell r="A1044" t="str">
            <v>A3868</v>
          </cell>
          <cell r="B1044" t="str">
            <v>Yana Paulina</v>
          </cell>
          <cell r="C1044" t="str">
            <v>TEMA C2</v>
          </cell>
          <cell r="D1044">
            <v>45373</v>
          </cell>
          <cell r="E1044" t="str">
            <v>Mar-24</v>
          </cell>
          <cell r="F1044" t="str">
            <v>-</v>
          </cell>
          <cell r="G1044" t="str">
            <v>-</v>
          </cell>
          <cell r="H1044" t="str">
            <v>-</v>
          </cell>
          <cell r="I1044" t="str">
            <v>REGULER</v>
          </cell>
          <cell r="J1044" t="str">
            <v>REGULER</v>
          </cell>
          <cell r="K1044" t="str">
            <v>REGULER</v>
          </cell>
          <cell r="L1044" t="str">
            <v>REGULER</v>
          </cell>
          <cell r="M1044">
            <v>0</v>
          </cell>
          <cell r="N1044">
            <v>0</v>
          </cell>
          <cell r="O1044">
            <v>0</v>
          </cell>
          <cell r="P1044">
            <v>4</v>
          </cell>
          <cell r="Q1044">
            <v>24</v>
          </cell>
          <cell r="R1044">
            <v>25</v>
          </cell>
          <cell r="S1044">
            <v>15</v>
          </cell>
          <cell r="T1044">
            <v>68</v>
          </cell>
          <cell r="U1044">
            <v>0</v>
          </cell>
          <cell r="V1044">
            <v>0</v>
          </cell>
          <cell r="W1044">
            <v>0</v>
          </cell>
          <cell r="X1044">
            <v>4</v>
          </cell>
          <cell r="Y1044">
            <v>24</v>
          </cell>
          <cell r="Z1044">
            <v>25</v>
          </cell>
          <cell r="AA1044">
            <v>15</v>
          </cell>
          <cell r="AB1044">
            <v>68</v>
          </cell>
          <cell r="AC1044">
            <v>0</v>
          </cell>
          <cell r="AD1044" t="str">
            <v>TIDAK</v>
          </cell>
          <cell r="AE1044" t="str">
            <v>TIDAK</v>
          </cell>
          <cell r="AF1044">
            <v>68</v>
          </cell>
          <cell r="AG1044">
            <v>1</v>
          </cell>
          <cell r="AH1044" t="str">
            <v>SAPHIRE</v>
          </cell>
          <cell r="AI1044">
            <v>0</v>
          </cell>
          <cell r="AJ1044" t="str">
            <v>Y</v>
          </cell>
          <cell r="AK1044">
            <v>0</v>
          </cell>
          <cell r="AL1044">
            <v>45261</v>
          </cell>
          <cell r="AM1044">
            <v>45701</v>
          </cell>
          <cell r="AN1044">
            <v>1</v>
          </cell>
          <cell r="AO1044">
            <v>68</v>
          </cell>
          <cell r="AP1044" t="str">
            <v>-</v>
          </cell>
          <cell r="AQ1044" t="str">
            <v>-</v>
          </cell>
          <cell r="AR1044" t="str">
            <v>REGULER</v>
          </cell>
          <cell r="AS1044" t="str">
            <v>REGULER</v>
          </cell>
          <cell r="AT1044" t="str">
            <v>REGULER</v>
          </cell>
          <cell r="AU1044" t="str">
            <v>REGULER</v>
          </cell>
          <cell r="AV1044" t="str">
            <v/>
          </cell>
          <cell r="AW1044">
            <v>40</v>
          </cell>
          <cell r="AX1044">
            <v>38</v>
          </cell>
          <cell r="AY1044">
            <v>31</v>
          </cell>
          <cell r="AZ1044">
            <v>25</v>
          </cell>
          <cell r="BA1044">
            <v>24</v>
          </cell>
          <cell r="BB1044">
            <v>40</v>
          </cell>
          <cell r="BC1044">
            <v>38</v>
          </cell>
          <cell r="BD1044">
            <v>31</v>
          </cell>
          <cell r="BE1044">
            <v>25</v>
          </cell>
          <cell r="BF1044">
            <v>24</v>
          </cell>
          <cell r="BG1044">
            <v>17</v>
          </cell>
          <cell r="BH1044">
            <v>40</v>
          </cell>
          <cell r="BI1044">
            <v>38</v>
          </cell>
          <cell r="BJ1044">
            <v>31</v>
          </cell>
          <cell r="BK1044">
            <v>25</v>
          </cell>
          <cell r="BL1044">
            <v>24</v>
          </cell>
          <cell r="BM1044">
            <v>3</v>
          </cell>
          <cell r="BN1044">
            <v>178</v>
          </cell>
          <cell r="BO1044">
            <v>17</v>
          </cell>
          <cell r="BP1044">
            <v>40</v>
          </cell>
          <cell r="BQ1044">
            <v>38</v>
          </cell>
          <cell r="BR1044">
            <v>31</v>
          </cell>
          <cell r="BS1044">
            <v>25</v>
          </cell>
          <cell r="BT1044">
            <v>24</v>
          </cell>
          <cell r="BU1044">
            <v>3</v>
          </cell>
          <cell r="BV1044">
            <v>178</v>
          </cell>
          <cell r="BW1044">
            <v>0</v>
          </cell>
          <cell r="BX1044" t="str">
            <v>TIDAK</v>
          </cell>
          <cell r="BY1044" t="str">
            <v>TIDAK</v>
          </cell>
        </row>
        <row r="1045">
          <cell r="A1045" t="str">
            <v>A2208</v>
          </cell>
          <cell r="B1045" t="str">
            <v>Yanuar Pratama Lango Aran</v>
          </cell>
          <cell r="C1045" t="str">
            <v>TEMA C2</v>
          </cell>
          <cell r="D1045">
            <v>45054</v>
          </cell>
          <cell r="E1045" t="str">
            <v>May-23</v>
          </cell>
          <cell r="F1045" t="str">
            <v>REGULER</v>
          </cell>
          <cell r="G1045" t="str">
            <v>REGULER</v>
          </cell>
          <cell r="H1045" t="str">
            <v>REGULER</v>
          </cell>
          <cell r="I1045" t="str">
            <v>REGULER</v>
          </cell>
          <cell r="J1045" t="str">
            <v>REGULER</v>
          </cell>
          <cell r="K1045" t="str">
            <v>REGULER</v>
          </cell>
          <cell r="L1045" t="str">
            <v>REGULER</v>
          </cell>
          <cell r="M1045">
            <v>6</v>
          </cell>
          <cell r="N1045">
            <v>29</v>
          </cell>
          <cell r="O1045">
            <v>23</v>
          </cell>
          <cell r="P1045">
            <v>24</v>
          </cell>
          <cell r="Q1045">
            <v>26</v>
          </cell>
          <cell r="R1045">
            <v>23</v>
          </cell>
          <cell r="S1045">
            <v>11</v>
          </cell>
          <cell r="T1045">
            <v>142</v>
          </cell>
          <cell r="U1045">
            <v>6</v>
          </cell>
          <cell r="V1045">
            <v>29</v>
          </cell>
          <cell r="W1045">
            <v>23</v>
          </cell>
          <cell r="X1045">
            <v>24</v>
          </cell>
          <cell r="Y1045">
            <v>26</v>
          </cell>
          <cell r="Z1045">
            <v>23</v>
          </cell>
          <cell r="AA1045">
            <v>11</v>
          </cell>
          <cell r="AB1045">
            <v>142</v>
          </cell>
          <cell r="AC1045">
            <v>0</v>
          </cell>
          <cell r="AD1045" t="str">
            <v>TIDAK</v>
          </cell>
          <cell r="AE1045" t="str">
            <v>TIDAK</v>
          </cell>
          <cell r="AF1045">
            <v>142</v>
          </cell>
          <cell r="AG1045">
            <v>3</v>
          </cell>
          <cell r="AH1045" t="str">
            <v>SAPHIRE</v>
          </cell>
          <cell r="AI1045">
            <v>65</v>
          </cell>
          <cell r="AJ1045" t="str">
            <v>Y</v>
          </cell>
          <cell r="AK1045">
            <v>0</v>
          </cell>
          <cell r="AL1045">
            <v>45261</v>
          </cell>
          <cell r="AM1045">
            <v>45701</v>
          </cell>
          <cell r="AN1045">
            <v>1</v>
          </cell>
          <cell r="AO1045">
            <v>77</v>
          </cell>
          <cell r="AP1045" t="str">
            <v>-</v>
          </cell>
          <cell r="AQ1045" t="str">
            <v>-</v>
          </cell>
          <cell r="AR1045" t="str">
            <v>REGULER</v>
          </cell>
          <cell r="AS1045" t="str">
            <v>-</v>
          </cell>
          <cell r="AT1045" t="str">
            <v>-</v>
          </cell>
          <cell r="AU1045" t="str">
            <v>-</v>
          </cell>
          <cell r="AV1045" t="str">
            <v/>
          </cell>
          <cell r="AW1045">
            <v>18</v>
          </cell>
          <cell r="AX1045">
            <v>3</v>
          </cell>
          <cell r="AY1045">
            <v>0</v>
          </cell>
          <cell r="AZ1045">
            <v>0</v>
          </cell>
          <cell r="BA1045">
            <v>0</v>
          </cell>
          <cell r="BB1045">
            <v>18</v>
          </cell>
          <cell r="BC1045">
            <v>3</v>
          </cell>
          <cell r="BD1045">
            <v>0</v>
          </cell>
          <cell r="BE1045">
            <v>0</v>
          </cell>
          <cell r="BF1045">
            <v>0</v>
          </cell>
          <cell r="BG1045">
            <v>11</v>
          </cell>
          <cell r="BH1045">
            <v>18</v>
          </cell>
          <cell r="BI1045">
            <v>3</v>
          </cell>
          <cell r="BJ1045">
            <v>0</v>
          </cell>
          <cell r="BK1045">
            <v>0</v>
          </cell>
          <cell r="BL1045">
            <v>0</v>
          </cell>
          <cell r="BM1045" t="str">
            <v/>
          </cell>
          <cell r="BN1045">
            <v>32</v>
          </cell>
          <cell r="BO1045">
            <v>11</v>
          </cell>
          <cell r="BP1045">
            <v>18</v>
          </cell>
          <cell r="BQ1045">
            <v>3</v>
          </cell>
          <cell r="BR1045">
            <v>0</v>
          </cell>
          <cell r="BS1045">
            <v>0</v>
          </cell>
          <cell r="BT1045">
            <v>0</v>
          </cell>
          <cell r="BU1045" t="str">
            <v/>
          </cell>
          <cell r="BV1045">
            <v>32</v>
          </cell>
          <cell r="BW1045">
            <v>4</v>
          </cell>
          <cell r="BX1045" t="str">
            <v>DOWNGRADE</v>
          </cell>
          <cell r="BY1045" t="str">
            <v>RESET</v>
          </cell>
        </row>
        <row r="1046">
          <cell r="A1046" t="str">
            <v>A3395</v>
          </cell>
          <cell r="B1046" t="str">
            <v>Yeni Liani Sianipar</v>
          </cell>
          <cell r="C1046" t="str">
            <v>TEMA C2</v>
          </cell>
          <cell r="D1046">
            <v>45262</v>
          </cell>
          <cell r="E1046" t="str">
            <v>Dec-23</v>
          </cell>
          <cell r="F1046" t="str">
            <v>REGULER</v>
          </cell>
          <cell r="G1046" t="str">
            <v>REGULER</v>
          </cell>
          <cell r="H1046" t="str">
            <v>REGULER</v>
          </cell>
          <cell r="I1046" t="str">
            <v>REGULER</v>
          </cell>
          <cell r="J1046" t="str">
            <v>-</v>
          </cell>
          <cell r="K1046" t="str">
            <v>-</v>
          </cell>
          <cell r="L1046" t="str">
            <v>-</v>
          </cell>
          <cell r="M1046">
            <v>12</v>
          </cell>
          <cell r="N1046">
            <v>38</v>
          </cell>
          <cell r="O1046">
            <v>28</v>
          </cell>
          <cell r="P1046">
            <v>16</v>
          </cell>
          <cell r="Q1046">
            <v>0</v>
          </cell>
          <cell r="R1046">
            <v>0</v>
          </cell>
          <cell r="S1046" t="str">
            <v/>
          </cell>
          <cell r="T1046">
            <v>94</v>
          </cell>
          <cell r="U1046">
            <v>12</v>
          </cell>
          <cell r="V1046">
            <v>38</v>
          </cell>
          <cell r="W1046">
            <v>28</v>
          </cell>
          <cell r="X1046">
            <v>16</v>
          </cell>
          <cell r="Y1046">
            <v>0</v>
          </cell>
          <cell r="Z1046">
            <v>0</v>
          </cell>
          <cell r="AA1046" t="str">
            <v/>
          </cell>
          <cell r="AB1046">
            <v>94</v>
          </cell>
          <cell r="AC1046">
            <v>3</v>
          </cell>
          <cell r="AD1046" t="str">
            <v>DOWNGRADE</v>
          </cell>
          <cell r="AE1046" t="str">
            <v>RESET</v>
          </cell>
          <cell r="AF1046">
            <v>0</v>
          </cell>
          <cell r="AG1046">
            <v>1</v>
          </cell>
          <cell r="AH1046" t="str">
            <v>SAPHIRE</v>
          </cell>
          <cell r="AI1046">
            <v>0</v>
          </cell>
          <cell r="AJ1046" t="str">
            <v>FALSE</v>
          </cell>
          <cell r="AK1046">
            <v>0</v>
          </cell>
          <cell r="AL1046">
            <v>45261</v>
          </cell>
          <cell r="AM1046">
            <v>45701</v>
          </cell>
          <cell r="AN1046">
            <v>1</v>
          </cell>
          <cell r="AO1046">
            <v>0</v>
          </cell>
          <cell r="AP1046" t="str">
            <v>-</v>
          </cell>
          <cell r="AQ1046" t="str">
            <v>-</v>
          </cell>
          <cell r="AR1046" t="str">
            <v>-</v>
          </cell>
          <cell r="AS1046" t="str">
            <v>-</v>
          </cell>
          <cell r="AT1046" t="str">
            <v>-</v>
          </cell>
          <cell r="AU1046" t="str">
            <v>-</v>
          </cell>
          <cell r="AV1046" t="str">
            <v/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 t="str">
            <v/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 t="str">
            <v/>
          </cell>
          <cell r="BN1046">
            <v>0</v>
          </cell>
          <cell r="BO1046" t="str">
            <v/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 t="str">
            <v/>
          </cell>
          <cell r="BV1046">
            <v>0</v>
          </cell>
          <cell r="BW1046">
            <v>7</v>
          </cell>
          <cell r="BX1046" t="str">
            <v>DOWNGRADE</v>
          </cell>
          <cell r="BY1046" t="str">
            <v>RESET</v>
          </cell>
        </row>
        <row r="1047">
          <cell r="A1047" t="str">
            <v>A3588</v>
          </cell>
          <cell r="B1047" t="str">
            <v>Yesica Harnisiah</v>
          </cell>
          <cell r="C1047" t="str">
            <v>TEMA C2</v>
          </cell>
          <cell r="D1047">
            <v>45303</v>
          </cell>
          <cell r="E1047" t="str">
            <v>Jan-24</v>
          </cell>
          <cell r="F1047" t="str">
            <v>-</v>
          </cell>
          <cell r="G1047" t="str">
            <v>REGULER</v>
          </cell>
          <cell r="H1047" t="str">
            <v>REGULER</v>
          </cell>
          <cell r="I1047" t="str">
            <v>REGULER</v>
          </cell>
          <cell r="J1047" t="str">
            <v>REGULER</v>
          </cell>
          <cell r="K1047" t="str">
            <v>-</v>
          </cell>
          <cell r="L1047" t="str">
            <v>-</v>
          </cell>
          <cell r="M1047">
            <v>0</v>
          </cell>
          <cell r="N1047">
            <v>13</v>
          </cell>
          <cell r="O1047">
            <v>19</v>
          </cell>
          <cell r="P1047">
            <v>14</v>
          </cell>
          <cell r="Q1047">
            <v>2</v>
          </cell>
          <cell r="R1047">
            <v>0</v>
          </cell>
          <cell r="S1047" t="str">
            <v/>
          </cell>
          <cell r="T1047">
            <v>48</v>
          </cell>
          <cell r="U1047">
            <v>0</v>
          </cell>
          <cell r="V1047">
            <v>13</v>
          </cell>
          <cell r="W1047">
            <v>19</v>
          </cell>
          <cell r="X1047">
            <v>14</v>
          </cell>
          <cell r="Y1047">
            <v>2</v>
          </cell>
          <cell r="Z1047">
            <v>0</v>
          </cell>
          <cell r="AA1047" t="str">
            <v/>
          </cell>
          <cell r="AB1047">
            <v>48</v>
          </cell>
          <cell r="AC1047">
            <v>2</v>
          </cell>
          <cell r="AD1047" t="str">
            <v>TIDAK</v>
          </cell>
          <cell r="AE1047" t="str">
            <v>TIDAK</v>
          </cell>
          <cell r="AF1047">
            <v>48</v>
          </cell>
          <cell r="AG1047">
            <v>1</v>
          </cell>
          <cell r="AH1047" t="str">
            <v>SAPHIRE</v>
          </cell>
          <cell r="AI1047">
            <v>0</v>
          </cell>
          <cell r="AJ1047" t="str">
            <v>FALSE</v>
          </cell>
          <cell r="AK1047">
            <v>0</v>
          </cell>
          <cell r="AL1047">
            <v>45261</v>
          </cell>
          <cell r="AM1047">
            <v>45701</v>
          </cell>
          <cell r="AN1047">
            <v>1</v>
          </cell>
          <cell r="AO1047">
            <v>48</v>
          </cell>
          <cell r="AP1047" t="str">
            <v>-</v>
          </cell>
          <cell r="AQ1047" t="str">
            <v>-</v>
          </cell>
          <cell r="AR1047" t="str">
            <v>-</v>
          </cell>
          <cell r="AS1047" t="str">
            <v>-</v>
          </cell>
          <cell r="AT1047" t="str">
            <v>-</v>
          </cell>
          <cell r="AU1047" t="str">
            <v>-</v>
          </cell>
          <cell r="AV1047" t="str">
            <v/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 t="str">
            <v/>
          </cell>
          <cell r="BH1047">
            <v>0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 t="str">
            <v/>
          </cell>
          <cell r="BN1047">
            <v>0</v>
          </cell>
          <cell r="BO1047" t="str">
            <v/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 t="str">
            <v/>
          </cell>
          <cell r="BV1047">
            <v>0</v>
          </cell>
          <cell r="BW1047">
            <v>7</v>
          </cell>
          <cell r="BX1047" t="str">
            <v>DOWNGRADE</v>
          </cell>
          <cell r="BY1047" t="str">
            <v>RESET</v>
          </cell>
        </row>
        <row r="1048">
          <cell r="A1048" t="str">
            <v>A4053</v>
          </cell>
          <cell r="B1048" t="str">
            <v>YOHANA</v>
          </cell>
          <cell r="C1048" t="str">
            <v>TEMA C2</v>
          </cell>
          <cell r="D1048">
            <v>45441</v>
          </cell>
          <cell r="E1048" t="str">
            <v>May-24</v>
          </cell>
          <cell r="F1048" t="str">
            <v>-</v>
          </cell>
          <cell r="G1048" t="str">
            <v>-</v>
          </cell>
          <cell r="H1048" t="str">
            <v>-</v>
          </cell>
          <cell r="I1048" t="str">
            <v>-</v>
          </cell>
          <cell r="J1048" t="str">
            <v>-</v>
          </cell>
          <cell r="K1048" t="str">
            <v>REGULER</v>
          </cell>
          <cell r="L1048" t="str">
            <v>REGULER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6</v>
          </cell>
          <cell r="S1048">
            <v>2</v>
          </cell>
          <cell r="T1048">
            <v>8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6</v>
          </cell>
          <cell r="AA1048">
            <v>2</v>
          </cell>
          <cell r="AB1048">
            <v>8</v>
          </cell>
          <cell r="AC1048">
            <v>0</v>
          </cell>
          <cell r="AD1048" t="str">
            <v>TIDAK</v>
          </cell>
          <cell r="AE1048" t="str">
            <v>TIDAK</v>
          </cell>
          <cell r="AF1048">
            <v>8</v>
          </cell>
          <cell r="AG1048">
            <v>1</v>
          </cell>
          <cell r="AH1048" t="str">
            <v>SAPHIRE</v>
          </cell>
          <cell r="AI1048">
            <v>0</v>
          </cell>
          <cell r="AJ1048" t="str">
            <v>FALSE</v>
          </cell>
          <cell r="AK1048">
            <v>0</v>
          </cell>
          <cell r="AL1048">
            <v>45261</v>
          </cell>
          <cell r="AM1048">
            <v>45701</v>
          </cell>
          <cell r="AN1048">
            <v>1</v>
          </cell>
          <cell r="AO1048">
            <v>8</v>
          </cell>
          <cell r="AP1048" t="str">
            <v>-</v>
          </cell>
          <cell r="AQ1048" t="str">
            <v>-</v>
          </cell>
          <cell r="AR1048" t="str">
            <v>-</v>
          </cell>
          <cell r="AS1048" t="str">
            <v>-</v>
          </cell>
          <cell r="AT1048" t="str">
            <v>-</v>
          </cell>
          <cell r="AU1048" t="str">
            <v>-</v>
          </cell>
          <cell r="AV1048" t="str">
            <v/>
          </cell>
          <cell r="AW1048">
            <v>29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29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10</v>
          </cell>
          <cell r="BH1048">
            <v>29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 t="str">
            <v/>
          </cell>
          <cell r="BN1048">
            <v>39</v>
          </cell>
          <cell r="BO1048">
            <v>10</v>
          </cell>
          <cell r="BP1048">
            <v>29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 t="str">
            <v/>
          </cell>
          <cell r="BV1048">
            <v>39</v>
          </cell>
          <cell r="BW1048">
            <v>5</v>
          </cell>
          <cell r="BX1048" t="str">
            <v>DOWNGRADE</v>
          </cell>
          <cell r="BY1048" t="str">
            <v>RESET</v>
          </cell>
        </row>
        <row r="1049">
          <cell r="A1049" t="str">
            <v>A3178</v>
          </cell>
          <cell r="B1049" t="str">
            <v>Yohana Aventi Aninditha</v>
          </cell>
          <cell r="C1049" t="str">
            <v>TEMA C2</v>
          </cell>
          <cell r="D1049">
            <v>45222</v>
          </cell>
          <cell r="E1049" t="str">
            <v>Oct-23</v>
          </cell>
          <cell r="F1049" t="str">
            <v>REGULER</v>
          </cell>
          <cell r="G1049" t="str">
            <v>REGULER</v>
          </cell>
          <cell r="H1049" t="str">
            <v>-</v>
          </cell>
          <cell r="I1049" t="str">
            <v>-</v>
          </cell>
          <cell r="J1049" t="str">
            <v>-</v>
          </cell>
          <cell r="K1049" t="str">
            <v>-</v>
          </cell>
          <cell r="L1049" t="str">
            <v>-</v>
          </cell>
          <cell r="M1049">
            <v>8</v>
          </cell>
          <cell r="N1049">
            <v>24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 t="str">
            <v/>
          </cell>
          <cell r="T1049">
            <v>32</v>
          </cell>
          <cell r="U1049">
            <v>8</v>
          </cell>
          <cell r="V1049">
            <v>24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 t="str">
            <v/>
          </cell>
          <cell r="AB1049">
            <v>32</v>
          </cell>
          <cell r="AC1049">
            <v>5</v>
          </cell>
          <cell r="AD1049" t="str">
            <v>DOWNGRADE</v>
          </cell>
          <cell r="AE1049" t="str">
            <v>RESET</v>
          </cell>
          <cell r="AF1049">
            <v>0</v>
          </cell>
          <cell r="AG1049">
            <v>1</v>
          </cell>
          <cell r="AH1049" t="str">
            <v>SAPHIRE</v>
          </cell>
          <cell r="AI1049">
            <v>0</v>
          </cell>
          <cell r="AJ1049" t="str">
            <v>FALSE</v>
          </cell>
          <cell r="AK1049">
            <v>0</v>
          </cell>
          <cell r="AL1049">
            <v>45261</v>
          </cell>
          <cell r="AM1049">
            <v>45701</v>
          </cell>
          <cell r="AN1049">
            <v>1</v>
          </cell>
          <cell r="AO1049">
            <v>0</v>
          </cell>
          <cell r="AP1049" t="str">
            <v>-</v>
          </cell>
          <cell r="AQ1049" t="str">
            <v>-</v>
          </cell>
          <cell r="AR1049" t="str">
            <v>-</v>
          </cell>
          <cell r="AS1049" t="str">
            <v>-</v>
          </cell>
          <cell r="AT1049" t="str">
            <v>-</v>
          </cell>
          <cell r="AU1049" t="str">
            <v>-</v>
          </cell>
          <cell r="AV1049" t="str">
            <v/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 t="str">
            <v/>
          </cell>
          <cell r="BH1049">
            <v>0</v>
          </cell>
          <cell r="BI1049">
            <v>0</v>
          </cell>
          <cell r="BJ1049">
            <v>0</v>
          </cell>
          <cell r="BK1049">
            <v>0</v>
          </cell>
          <cell r="BL1049">
            <v>0</v>
          </cell>
          <cell r="BM1049" t="str">
            <v/>
          </cell>
          <cell r="BN1049">
            <v>0</v>
          </cell>
          <cell r="BO1049" t="str">
            <v/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  <cell r="BT1049">
            <v>0</v>
          </cell>
          <cell r="BU1049" t="str">
            <v/>
          </cell>
          <cell r="BV1049">
            <v>0</v>
          </cell>
          <cell r="BW1049">
            <v>7</v>
          </cell>
          <cell r="BX1049" t="str">
            <v>DOWNGRADE</v>
          </cell>
          <cell r="BY1049" t="str">
            <v>RESET</v>
          </cell>
        </row>
        <row r="1050">
          <cell r="A1050" t="str">
            <v>A3891</v>
          </cell>
          <cell r="B1050" t="str">
            <v>Yohanes Baptisa Wasi Wangu</v>
          </cell>
          <cell r="C1050" t="str">
            <v>TEMA C2</v>
          </cell>
          <cell r="D1050">
            <v>45349</v>
          </cell>
          <cell r="E1050" t="str">
            <v>Feb-24</v>
          </cell>
          <cell r="F1050" t="str">
            <v>-</v>
          </cell>
          <cell r="G1050" t="str">
            <v>-</v>
          </cell>
          <cell r="H1050" t="str">
            <v>REGULER</v>
          </cell>
          <cell r="I1050" t="str">
            <v>REGULER</v>
          </cell>
          <cell r="J1050" t="str">
            <v>REGULER</v>
          </cell>
          <cell r="K1050" t="str">
            <v>REGULER</v>
          </cell>
          <cell r="L1050" t="str">
            <v>-</v>
          </cell>
          <cell r="M1050">
            <v>0</v>
          </cell>
          <cell r="N1050">
            <v>0</v>
          </cell>
          <cell r="O1050">
            <v>2</v>
          </cell>
          <cell r="P1050">
            <v>21</v>
          </cell>
          <cell r="Q1050">
            <v>12</v>
          </cell>
          <cell r="R1050">
            <v>6</v>
          </cell>
          <cell r="S1050" t="str">
            <v/>
          </cell>
          <cell r="T1050">
            <v>41</v>
          </cell>
          <cell r="U1050">
            <v>0</v>
          </cell>
          <cell r="V1050">
            <v>0</v>
          </cell>
          <cell r="W1050">
            <v>2</v>
          </cell>
          <cell r="X1050">
            <v>21</v>
          </cell>
          <cell r="Y1050">
            <v>12</v>
          </cell>
          <cell r="Z1050">
            <v>6</v>
          </cell>
          <cell r="AA1050" t="str">
            <v/>
          </cell>
          <cell r="AB1050">
            <v>41</v>
          </cell>
          <cell r="AC1050">
            <v>1</v>
          </cell>
          <cell r="AD1050" t="str">
            <v>TIDAK</v>
          </cell>
          <cell r="AE1050" t="str">
            <v>TIDAK</v>
          </cell>
          <cell r="AF1050">
            <v>41</v>
          </cell>
          <cell r="AG1050">
            <v>1</v>
          </cell>
          <cell r="AH1050" t="str">
            <v>SAPHIRE</v>
          </cell>
          <cell r="AI1050">
            <v>0</v>
          </cell>
          <cell r="AJ1050" t="str">
            <v>FALSE</v>
          </cell>
          <cell r="AK1050">
            <v>0</v>
          </cell>
          <cell r="AL1050">
            <v>45261</v>
          </cell>
          <cell r="AM1050">
            <v>45701</v>
          </cell>
          <cell r="AN1050">
            <v>1</v>
          </cell>
          <cell r="AO1050">
            <v>41</v>
          </cell>
          <cell r="AP1050" t="str">
            <v>-</v>
          </cell>
          <cell r="AQ1050" t="str">
            <v>-</v>
          </cell>
          <cell r="AR1050" t="str">
            <v>-</v>
          </cell>
          <cell r="AS1050" t="str">
            <v>-</v>
          </cell>
          <cell r="AT1050" t="str">
            <v>-</v>
          </cell>
          <cell r="AU1050" t="str">
            <v>-</v>
          </cell>
          <cell r="AV1050" t="str">
            <v/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 t="str">
            <v/>
          </cell>
          <cell r="BH1050">
            <v>0</v>
          </cell>
          <cell r="BI1050">
            <v>0</v>
          </cell>
          <cell r="BJ1050">
            <v>0</v>
          </cell>
          <cell r="BK1050">
            <v>0</v>
          </cell>
          <cell r="BL1050">
            <v>0</v>
          </cell>
          <cell r="BM1050" t="str">
            <v/>
          </cell>
          <cell r="BN1050">
            <v>0</v>
          </cell>
          <cell r="BO1050" t="str">
            <v/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  <cell r="BT1050">
            <v>0</v>
          </cell>
          <cell r="BU1050" t="str">
            <v/>
          </cell>
          <cell r="BV1050">
            <v>0</v>
          </cell>
          <cell r="BW1050">
            <v>7</v>
          </cell>
          <cell r="BX1050" t="str">
            <v>DOWNGRADE</v>
          </cell>
          <cell r="BY1050" t="str">
            <v>RESET</v>
          </cell>
        </row>
        <row r="1051">
          <cell r="A1051" t="str">
            <v>A2046</v>
          </cell>
          <cell r="B1051" t="str">
            <v>Yolania Alifah</v>
          </cell>
          <cell r="C1051" t="str">
            <v>TEMA C2</v>
          </cell>
          <cell r="D1051">
            <v>45062</v>
          </cell>
          <cell r="E1051" t="str">
            <v>May-23</v>
          </cell>
          <cell r="F1051" t="str">
            <v>REGULER</v>
          </cell>
          <cell r="G1051" t="str">
            <v>REGULER</v>
          </cell>
          <cell r="H1051" t="str">
            <v>-</v>
          </cell>
          <cell r="I1051" t="str">
            <v>-</v>
          </cell>
          <cell r="J1051" t="str">
            <v>-</v>
          </cell>
          <cell r="K1051" t="str">
            <v>-</v>
          </cell>
          <cell r="L1051" t="str">
            <v>-</v>
          </cell>
          <cell r="M1051">
            <v>19</v>
          </cell>
          <cell r="N1051">
            <v>37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 t="str">
            <v/>
          </cell>
          <cell r="T1051">
            <v>56</v>
          </cell>
          <cell r="U1051">
            <v>19</v>
          </cell>
          <cell r="V1051">
            <v>37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 t="str">
            <v/>
          </cell>
          <cell r="AB1051">
            <v>56</v>
          </cell>
          <cell r="AC1051">
            <v>5</v>
          </cell>
          <cell r="AD1051" t="str">
            <v>DOWNGRADE</v>
          </cell>
          <cell r="AE1051" t="str">
            <v>RESET</v>
          </cell>
          <cell r="AF1051">
            <v>0</v>
          </cell>
          <cell r="AG1051">
            <v>2</v>
          </cell>
          <cell r="AH1051" t="str">
            <v>SAPHIRE</v>
          </cell>
          <cell r="AI1051">
            <v>0</v>
          </cell>
          <cell r="AJ1051" t="str">
            <v>FALSE</v>
          </cell>
          <cell r="AK1051">
            <v>0</v>
          </cell>
          <cell r="AL1051">
            <v>45261</v>
          </cell>
          <cell r="AM1051">
            <v>45701</v>
          </cell>
          <cell r="AN1051">
            <v>1</v>
          </cell>
          <cell r="AO1051">
            <v>0</v>
          </cell>
          <cell r="AP1051" t="str">
            <v>-</v>
          </cell>
          <cell r="AQ1051" t="str">
            <v>-</v>
          </cell>
          <cell r="AR1051" t="str">
            <v>-</v>
          </cell>
          <cell r="AS1051" t="str">
            <v>-</v>
          </cell>
          <cell r="AT1051" t="str">
            <v>-</v>
          </cell>
          <cell r="AU1051" t="str">
            <v>-</v>
          </cell>
          <cell r="AV1051" t="str">
            <v/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 t="str">
            <v/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 t="str">
            <v/>
          </cell>
          <cell r="BN1051">
            <v>0</v>
          </cell>
          <cell r="BO1051" t="str">
            <v/>
          </cell>
          <cell r="BP1051">
            <v>0</v>
          </cell>
          <cell r="BQ1051">
            <v>0</v>
          </cell>
          <cell r="BR1051">
            <v>0</v>
          </cell>
          <cell r="BS1051">
            <v>0</v>
          </cell>
          <cell r="BT1051">
            <v>0</v>
          </cell>
          <cell r="BU1051" t="str">
            <v/>
          </cell>
          <cell r="BV1051">
            <v>0</v>
          </cell>
          <cell r="BW1051">
            <v>7</v>
          </cell>
          <cell r="BX1051" t="str">
            <v>DOWNGRADE</v>
          </cell>
          <cell r="BY1051" t="str">
            <v>RESET</v>
          </cell>
        </row>
        <row r="1052">
          <cell r="A1052" t="str">
            <v>A3033</v>
          </cell>
          <cell r="B1052" t="str">
            <v>Yolin Putri</v>
          </cell>
          <cell r="C1052" t="str">
            <v>TEMA C2</v>
          </cell>
          <cell r="D1052">
            <v>45201</v>
          </cell>
          <cell r="E1052" t="str">
            <v>Oct-23</v>
          </cell>
          <cell r="F1052" t="str">
            <v>REGULER</v>
          </cell>
          <cell r="G1052" t="str">
            <v>REGULER</v>
          </cell>
          <cell r="H1052" t="str">
            <v>REGULER</v>
          </cell>
          <cell r="I1052" t="str">
            <v>REGULER</v>
          </cell>
          <cell r="J1052" t="str">
            <v>REGULER</v>
          </cell>
          <cell r="K1052" t="str">
            <v>REGULER</v>
          </cell>
          <cell r="L1052" t="str">
            <v>REGULER</v>
          </cell>
          <cell r="M1052">
            <v>11</v>
          </cell>
          <cell r="N1052">
            <v>36</v>
          </cell>
          <cell r="O1052">
            <v>30</v>
          </cell>
          <cell r="P1052">
            <v>31</v>
          </cell>
          <cell r="Q1052">
            <v>38</v>
          </cell>
          <cell r="R1052">
            <v>31</v>
          </cell>
          <cell r="S1052">
            <v>10</v>
          </cell>
          <cell r="T1052">
            <v>187</v>
          </cell>
          <cell r="U1052">
            <v>11</v>
          </cell>
          <cell r="V1052">
            <v>36</v>
          </cell>
          <cell r="W1052">
            <v>30</v>
          </cell>
          <cell r="X1052">
            <v>31</v>
          </cell>
          <cell r="Y1052">
            <v>38</v>
          </cell>
          <cell r="Z1052">
            <v>31</v>
          </cell>
          <cell r="AA1052">
            <v>10</v>
          </cell>
          <cell r="AB1052">
            <v>187</v>
          </cell>
          <cell r="AC1052">
            <v>0</v>
          </cell>
          <cell r="AD1052" t="str">
            <v>TIDAK</v>
          </cell>
          <cell r="AE1052" t="str">
            <v>TIDAK</v>
          </cell>
          <cell r="AF1052">
            <v>187</v>
          </cell>
          <cell r="AG1052">
            <v>2</v>
          </cell>
          <cell r="AH1052" t="str">
            <v>SAPHIRE</v>
          </cell>
          <cell r="AI1052">
            <v>0</v>
          </cell>
          <cell r="AJ1052" t="str">
            <v>Y</v>
          </cell>
          <cell r="AK1052">
            <v>0</v>
          </cell>
          <cell r="AL1052">
            <v>45261</v>
          </cell>
          <cell r="AM1052">
            <v>45701</v>
          </cell>
          <cell r="AN1052">
            <v>1</v>
          </cell>
          <cell r="AO1052">
            <v>187</v>
          </cell>
          <cell r="AP1052" t="str">
            <v>-</v>
          </cell>
          <cell r="AQ1052" t="str">
            <v>-</v>
          </cell>
          <cell r="AR1052" t="str">
            <v>REGULER</v>
          </cell>
          <cell r="AS1052" t="str">
            <v>REGULER</v>
          </cell>
          <cell r="AT1052" t="str">
            <v>-</v>
          </cell>
          <cell r="AU1052" t="str">
            <v>-</v>
          </cell>
          <cell r="AV1052" t="str">
            <v/>
          </cell>
          <cell r="AW1052">
            <v>26</v>
          </cell>
          <cell r="AX1052">
            <v>25</v>
          </cell>
          <cell r="AY1052">
            <v>20</v>
          </cell>
          <cell r="AZ1052">
            <v>0</v>
          </cell>
          <cell r="BA1052">
            <v>0</v>
          </cell>
          <cell r="BB1052">
            <v>26</v>
          </cell>
          <cell r="BC1052">
            <v>25</v>
          </cell>
          <cell r="BD1052">
            <v>20</v>
          </cell>
          <cell r="BE1052">
            <v>0</v>
          </cell>
          <cell r="BF1052">
            <v>0</v>
          </cell>
          <cell r="BG1052">
            <v>10</v>
          </cell>
          <cell r="BH1052">
            <v>26</v>
          </cell>
          <cell r="BI1052">
            <v>25</v>
          </cell>
          <cell r="BJ1052">
            <v>20</v>
          </cell>
          <cell r="BK1052">
            <v>0</v>
          </cell>
          <cell r="BL1052">
            <v>0</v>
          </cell>
          <cell r="BM1052" t="str">
            <v/>
          </cell>
          <cell r="BN1052">
            <v>81</v>
          </cell>
          <cell r="BO1052">
            <v>10</v>
          </cell>
          <cell r="BP1052">
            <v>26</v>
          </cell>
          <cell r="BQ1052">
            <v>25</v>
          </cell>
          <cell r="BR1052">
            <v>20</v>
          </cell>
          <cell r="BS1052">
            <v>0</v>
          </cell>
          <cell r="BT1052">
            <v>0</v>
          </cell>
          <cell r="BU1052" t="str">
            <v/>
          </cell>
          <cell r="BV1052">
            <v>81</v>
          </cell>
          <cell r="BW1052">
            <v>3</v>
          </cell>
          <cell r="BX1052" t="str">
            <v>DOWNGRADE</v>
          </cell>
          <cell r="BY1052" t="str">
            <v>RESET</v>
          </cell>
        </row>
        <row r="1053">
          <cell r="A1053" t="str">
            <v>A1409</v>
          </cell>
          <cell r="B1053" t="str">
            <v>Yuli Ana</v>
          </cell>
          <cell r="C1053" t="str">
            <v>TEMA C2</v>
          </cell>
          <cell r="D1053">
            <v>45089</v>
          </cell>
          <cell r="E1053" t="str">
            <v>Jun-23</v>
          </cell>
          <cell r="F1053" t="str">
            <v>EKSKLUSIF</v>
          </cell>
          <cell r="G1053" t="str">
            <v>EKSKLUSIF</v>
          </cell>
          <cell r="H1053" t="str">
            <v>EKSKLUSIF</v>
          </cell>
          <cell r="I1053" t="str">
            <v>EKSKLUSIF</v>
          </cell>
          <cell r="J1053" t="str">
            <v>REGULER</v>
          </cell>
          <cell r="K1053" t="str">
            <v>EKSKLUSIF</v>
          </cell>
          <cell r="L1053" t="str">
            <v>EKSKLUSIF</v>
          </cell>
          <cell r="M1053">
            <v>19</v>
          </cell>
          <cell r="N1053">
            <v>46</v>
          </cell>
          <cell r="O1053">
            <v>39</v>
          </cell>
          <cell r="P1053">
            <v>39</v>
          </cell>
          <cell r="Q1053">
            <v>37</v>
          </cell>
          <cell r="R1053">
            <v>37</v>
          </cell>
          <cell r="S1053">
            <v>20</v>
          </cell>
          <cell r="T1053">
            <v>237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37</v>
          </cell>
          <cell r="Z1053">
            <v>0</v>
          </cell>
          <cell r="AA1053">
            <v>0</v>
          </cell>
          <cell r="AB1053">
            <v>37</v>
          </cell>
          <cell r="AC1053">
            <v>0</v>
          </cell>
          <cell r="AD1053" t="str">
            <v>TIDAK</v>
          </cell>
          <cell r="AE1053" t="str">
            <v>TIDAK</v>
          </cell>
          <cell r="AF1053">
            <v>37</v>
          </cell>
          <cell r="AG1053">
            <v>2</v>
          </cell>
          <cell r="AH1053" t="str">
            <v>SAPHIRE</v>
          </cell>
          <cell r="AI1053">
            <v>0</v>
          </cell>
          <cell r="AJ1053" t="str">
            <v>FALSE</v>
          </cell>
          <cell r="AK1053">
            <v>0</v>
          </cell>
          <cell r="AL1053">
            <v>45261</v>
          </cell>
          <cell r="AM1053">
            <v>45701</v>
          </cell>
          <cell r="AN1053">
            <v>1</v>
          </cell>
          <cell r="AO1053">
            <v>37</v>
          </cell>
          <cell r="AP1053" t="str">
            <v>EKSKLUSIF</v>
          </cell>
          <cell r="AQ1053" t="str">
            <v>-</v>
          </cell>
          <cell r="AR1053" t="str">
            <v>EKSKLUSIF</v>
          </cell>
          <cell r="AS1053" t="str">
            <v>EKSKLUSIF</v>
          </cell>
          <cell r="AT1053" t="str">
            <v>EKSKLUSIF</v>
          </cell>
          <cell r="AU1053" t="str">
            <v>REGULER</v>
          </cell>
          <cell r="AV1053" t="str">
            <v/>
          </cell>
          <cell r="AW1053">
            <v>45</v>
          </cell>
          <cell r="AX1053">
            <v>43</v>
          </cell>
          <cell r="AY1053">
            <v>40</v>
          </cell>
          <cell r="AZ1053">
            <v>48</v>
          </cell>
          <cell r="BA1053">
            <v>35</v>
          </cell>
          <cell r="BB1053">
            <v>45</v>
          </cell>
          <cell r="BC1053">
            <v>43</v>
          </cell>
          <cell r="BD1053">
            <v>40</v>
          </cell>
          <cell r="BE1053">
            <v>48</v>
          </cell>
          <cell r="BF1053">
            <v>35</v>
          </cell>
          <cell r="BG1053">
            <v>19</v>
          </cell>
          <cell r="BH1053">
            <v>45</v>
          </cell>
          <cell r="BI1053">
            <v>43</v>
          </cell>
          <cell r="BJ1053">
            <v>40</v>
          </cell>
          <cell r="BK1053">
            <v>48</v>
          </cell>
          <cell r="BL1053">
            <v>35</v>
          </cell>
          <cell r="BM1053">
            <v>16</v>
          </cell>
          <cell r="BN1053">
            <v>246</v>
          </cell>
          <cell r="BO1053">
            <v>0</v>
          </cell>
          <cell r="BP1053">
            <v>45</v>
          </cell>
          <cell r="BQ1053">
            <v>0</v>
          </cell>
          <cell r="BR1053">
            <v>0</v>
          </cell>
          <cell r="BS1053">
            <v>0</v>
          </cell>
          <cell r="BT1053">
            <v>35</v>
          </cell>
          <cell r="BU1053">
            <v>16</v>
          </cell>
          <cell r="BV1053">
            <v>96</v>
          </cell>
          <cell r="BW1053">
            <v>0</v>
          </cell>
          <cell r="BX1053" t="str">
            <v>TIDAK</v>
          </cell>
          <cell r="BY1053" t="str">
            <v>TIDAK</v>
          </cell>
        </row>
        <row r="1054">
          <cell r="A1054" t="str">
            <v>A3573</v>
          </cell>
          <cell r="B1054" t="str">
            <v>Yulia Salsa Nurgatu Madya Ratri</v>
          </cell>
          <cell r="C1054" t="str">
            <v>TEMA C2</v>
          </cell>
          <cell r="D1054">
            <v>45307</v>
          </cell>
          <cell r="E1054" t="str">
            <v>Jan-24</v>
          </cell>
          <cell r="F1054" t="str">
            <v>-</v>
          </cell>
          <cell r="G1054" t="str">
            <v>REGULER</v>
          </cell>
          <cell r="H1054" t="str">
            <v>REGULER</v>
          </cell>
          <cell r="I1054" t="str">
            <v>REGULER</v>
          </cell>
          <cell r="J1054" t="str">
            <v>-</v>
          </cell>
          <cell r="K1054" t="str">
            <v>-</v>
          </cell>
          <cell r="L1054" t="str">
            <v>-</v>
          </cell>
          <cell r="M1054">
            <v>0</v>
          </cell>
          <cell r="N1054">
            <v>19</v>
          </cell>
          <cell r="O1054">
            <v>27</v>
          </cell>
          <cell r="P1054">
            <v>6</v>
          </cell>
          <cell r="Q1054">
            <v>0</v>
          </cell>
          <cell r="R1054">
            <v>0</v>
          </cell>
          <cell r="S1054" t="str">
            <v/>
          </cell>
          <cell r="T1054">
            <v>52</v>
          </cell>
          <cell r="U1054">
            <v>0</v>
          </cell>
          <cell r="V1054">
            <v>19</v>
          </cell>
          <cell r="W1054">
            <v>27</v>
          </cell>
          <cell r="X1054">
            <v>6</v>
          </cell>
          <cell r="Y1054">
            <v>0</v>
          </cell>
          <cell r="Z1054">
            <v>0</v>
          </cell>
          <cell r="AA1054" t="str">
            <v/>
          </cell>
          <cell r="AB1054">
            <v>52</v>
          </cell>
          <cell r="AC1054">
            <v>3</v>
          </cell>
          <cell r="AD1054" t="str">
            <v>DOWNGRADE</v>
          </cell>
          <cell r="AE1054" t="str">
            <v>RESET</v>
          </cell>
          <cell r="AF1054">
            <v>0</v>
          </cell>
          <cell r="AG1054">
            <v>3</v>
          </cell>
          <cell r="AH1054" t="str">
            <v>SAPHIRE</v>
          </cell>
          <cell r="AI1054">
            <v>0</v>
          </cell>
          <cell r="AJ1054" t="str">
            <v>FALSE</v>
          </cell>
          <cell r="AK1054">
            <v>0</v>
          </cell>
          <cell r="AL1054">
            <v>45261</v>
          </cell>
          <cell r="AM1054">
            <v>45701</v>
          </cell>
          <cell r="AN1054">
            <v>1</v>
          </cell>
          <cell r="AO1054">
            <v>0</v>
          </cell>
          <cell r="AP1054" t="str">
            <v>-</v>
          </cell>
          <cell r="AQ1054" t="str">
            <v>-</v>
          </cell>
          <cell r="AR1054" t="str">
            <v>-</v>
          </cell>
          <cell r="AS1054" t="str">
            <v>-</v>
          </cell>
          <cell r="AT1054" t="str">
            <v>-</v>
          </cell>
          <cell r="AU1054" t="str">
            <v>-</v>
          </cell>
          <cell r="AV1054" t="str">
            <v/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 t="str">
            <v/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 t="str">
            <v/>
          </cell>
          <cell r="BN1054">
            <v>0</v>
          </cell>
          <cell r="BO1054" t="str">
            <v/>
          </cell>
          <cell r="BP1054">
            <v>0</v>
          </cell>
          <cell r="BQ1054">
            <v>0</v>
          </cell>
          <cell r="BR1054">
            <v>0</v>
          </cell>
          <cell r="BS1054">
            <v>0</v>
          </cell>
          <cell r="BT1054">
            <v>0</v>
          </cell>
          <cell r="BU1054" t="str">
            <v/>
          </cell>
          <cell r="BV1054">
            <v>0</v>
          </cell>
          <cell r="BW1054">
            <v>7</v>
          </cell>
          <cell r="BX1054" t="str">
            <v>DOWNGRADE</v>
          </cell>
          <cell r="BY1054" t="str">
            <v>RESET</v>
          </cell>
        </row>
        <row r="1055">
          <cell r="A1055" t="str">
            <v>A3388</v>
          </cell>
          <cell r="B1055" t="str">
            <v>Yulianto Hari Adi Putra Hartawan</v>
          </cell>
          <cell r="C1055" t="str">
            <v>TEMA C2</v>
          </cell>
          <cell r="D1055">
            <v>45262</v>
          </cell>
          <cell r="E1055" t="str">
            <v>Dec-23</v>
          </cell>
          <cell r="F1055" t="str">
            <v>REGULER</v>
          </cell>
          <cell r="G1055" t="str">
            <v>REGULER</v>
          </cell>
          <cell r="H1055" t="str">
            <v>REGULER</v>
          </cell>
          <cell r="I1055" t="str">
            <v>REGULER</v>
          </cell>
          <cell r="J1055" t="str">
            <v>REGULER</v>
          </cell>
          <cell r="K1055" t="str">
            <v>-</v>
          </cell>
          <cell r="L1055" t="str">
            <v>-</v>
          </cell>
          <cell r="M1055">
            <v>20</v>
          </cell>
          <cell r="N1055">
            <v>44</v>
          </cell>
          <cell r="O1055">
            <v>35</v>
          </cell>
          <cell r="P1055">
            <v>19</v>
          </cell>
          <cell r="Q1055">
            <v>3</v>
          </cell>
          <cell r="R1055">
            <v>0</v>
          </cell>
          <cell r="S1055" t="str">
            <v/>
          </cell>
          <cell r="T1055">
            <v>121</v>
          </cell>
          <cell r="U1055">
            <v>20</v>
          </cell>
          <cell r="V1055">
            <v>44</v>
          </cell>
          <cell r="W1055">
            <v>35</v>
          </cell>
          <cell r="X1055">
            <v>19</v>
          </cell>
          <cell r="Y1055">
            <v>3</v>
          </cell>
          <cell r="Z1055">
            <v>0</v>
          </cell>
          <cell r="AA1055" t="str">
            <v/>
          </cell>
          <cell r="AB1055">
            <v>121</v>
          </cell>
          <cell r="AC1055">
            <v>2</v>
          </cell>
          <cell r="AD1055" t="str">
            <v>TIDAK</v>
          </cell>
          <cell r="AE1055" t="str">
            <v>TIDAK</v>
          </cell>
          <cell r="AF1055">
            <v>121</v>
          </cell>
          <cell r="AG1055">
            <v>1</v>
          </cell>
          <cell r="AH1055" t="str">
            <v>SAPHIRE</v>
          </cell>
          <cell r="AI1055">
            <v>0</v>
          </cell>
          <cell r="AJ1055" t="str">
            <v>Y</v>
          </cell>
          <cell r="AK1055">
            <v>0</v>
          </cell>
          <cell r="AL1055">
            <v>45261</v>
          </cell>
          <cell r="AM1055">
            <v>45701</v>
          </cell>
          <cell r="AN1055">
            <v>1</v>
          </cell>
          <cell r="AO1055">
            <v>121</v>
          </cell>
          <cell r="AP1055" t="str">
            <v>-</v>
          </cell>
          <cell r="AQ1055" t="str">
            <v>-</v>
          </cell>
          <cell r="AR1055" t="str">
            <v>-</v>
          </cell>
          <cell r="AS1055" t="str">
            <v>-</v>
          </cell>
          <cell r="AT1055" t="str">
            <v>-</v>
          </cell>
          <cell r="AU1055" t="str">
            <v>-</v>
          </cell>
          <cell r="AV1055" t="str">
            <v/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 t="str">
            <v/>
          </cell>
          <cell r="BH1055">
            <v>0</v>
          </cell>
          <cell r="BI1055">
            <v>0</v>
          </cell>
          <cell r="BJ1055">
            <v>0</v>
          </cell>
          <cell r="BK1055">
            <v>0</v>
          </cell>
          <cell r="BL1055">
            <v>0</v>
          </cell>
          <cell r="BM1055" t="str">
            <v/>
          </cell>
          <cell r="BN1055">
            <v>0</v>
          </cell>
          <cell r="BO1055" t="str">
            <v/>
          </cell>
          <cell r="BP1055">
            <v>0</v>
          </cell>
          <cell r="BQ1055">
            <v>0</v>
          </cell>
          <cell r="BR1055">
            <v>0</v>
          </cell>
          <cell r="BS1055">
            <v>0</v>
          </cell>
          <cell r="BT1055">
            <v>0</v>
          </cell>
          <cell r="BU1055" t="str">
            <v/>
          </cell>
          <cell r="BV1055">
            <v>0</v>
          </cell>
          <cell r="BW1055">
            <v>7</v>
          </cell>
          <cell r="BX1055" t="str">
            <v>DOWNGRADE</v>
          </cell>
          <cell r="BY1055" t="str">
            <v>RESET</v>
          </cell>
        </row>
        <row r="1056">
          <cell r="A1056" t="str">
            <v>A3491</v>
          </cell>
          <cell r="B1056" t="str">
            <v>Yulvina Muftiulani</v>
          </cell>
          <cell r="C1056" t="str">
            <v>TEMA C2</v>
          </cell>
          <cell r="D1056">
            <v>45315</v>
          </cell>
          <cell r="E1056" t="str">
            <v>Jan-24</v>
          </cell>
          <cell r="F1056" t="str">
            <v>-</v>
          </cell>
          <cell r="G1056" t="str">
            <v>REGULER</v>
          </cell>
          <cell r="H1056" t="str">
            <v>-</v>
          </cell>
          <cell r="I1056" t="str">
            <v>-</v>
          </cell>
          <cell r="J1056" t="str">
            <v>-</v>
          </cell>
          <cell r="K1056" t="str">
            <v>-</v>
          </cell>
          <cell r="L1056" t="str">
            <v>-</v>
          </cell>
          <cell r="M1056">
            <v>0</v>
          </cell>
          <cell r="N1056">
            <v>1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 t="str">
            <v/>
          </cell>
          <cell r="T1056">
            <v>1</v>
          </cell>
          <cell r="U1056">
            <v>0</v>
          </cell>
          <cell r="V1056">
            <v>1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 t="str">
            <v/>
          </cell>
          <cell r="AB1056">
            <v>1</v>
          </cell>
          <cell r="AC1056">
            <v>5</v>
          </cell>
          <cell r="AD1056" t="str">
            <v>DOWNGRADE</v>
          </cell>
          <cell r="AE1056" t="str">
            <v>RESET</v>
          </cell>
          <cell r="AF1056">
            <v>0</v>
          </cell>
          <cell r="AG1056">
            <v>1</v>
          </cell>
          <cell r="AH1056" t="str">
            <v>SAPHIRE</v>
          </cell>
          <cell r="AI1056">
            <v>0</v>
          </cell>
          <cell r="AJ1056" t="str">
            <v>FALSE</v>
          </cell>
          <cell r="AK1056">
            <v>0</v>
          </cell>
          <cell r="AL1056">
            <v>45261</v>
          </cell>
          <cell r="AM1056">
            <v>45701</v>
          </cell>
          <cell r="AN1056">
            <v>1</v>
          </cell>
          <cell r="AO1056">
            <v>0</v>
          </cell>
          <cell r="AP1056" t="str">
            <v>-</v>
          </cell>
          <cell r="AQ1056" t="str">
            <v>-</v>
          </cell>
          <cell r="AR1056" t="str">
            <v>-</v>
          </cell>
          <cell r="AS1056" t="str">
            <v>-</v>
          </cell>
          <cell r="AT1056" t="str">
            <v>-</v>
          </cell>
          <cell r="AU1056" t="str">
            <v>-</v>
          </cell>
          <cell r="AV1056" t="str">
            <v/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 t="str">
            <v/>
          </cell>
          <cell r="BH1056">
            <v>0</v>
          </cell>
          <cell r="BI1056">
            <v>0</v>
          </cell>
          <cell r="BJ1056">
            <v>0</v>
          </cell>
          <cell r="BK1056">
            <v>0</v>
          </cell>
          <cell r="BL1056">
            <v>0</v>
          </cell>
          <cell r="BM1056" t="str">
            <v/>
          </cell>
          <cell r="BN1056">
            <v>0</v>
          </cell>
          <cell r="BO1056" t="str">
            <v/>
          </cell>
          <cell r="BP1056">
            <v>0</v>
          </cell>
          <cell r="BQ1056">
            <v>0</v>
          </cell>
          <cell r="BR1056">
            <v>0</v>
          </cell>
          <cell r="BS1056">
            <v>0</v>
          </cell>
          <cell r="BT1056">
            <v>0</v>
          </cell>
          <cell r="BU1056" t="str">
            <v/>
          </cell>
          <cell r="BV1056">
            <v>0</v>
          </cell>
          <cell r="BW1056">
            <v>7</v>
          </cell>
          <cell r="BX1056" t="str">
            <v>DOWNGRADE</v>
          </cell>
          <cell r="BY1056" t="str">
            <v>RESET</v>
          </cell>
        </row>
        <row r="1057">
          <cell r="A1057" t="str">
            <v>A2604</v>
          </cell>
          <cell r="B1057" t="str">
            <v>Yusridah Lubis</v>
          </cell>
          <cell r="C1057" t="str">
            <v>TEMA C2</v>
          </cell>
          <cell r="D1057">
            <v>45310</v>
          </cell>
          <cell r="E1057" t="str">
            <v>Jan-24</v>
          </cell>
          <cell r="F1057" t="str">
            <v>-</v>
          </cell>
          <cell r="G1057" t="str">
            <v>REGULER</v>
          </cell>
          <cell r="H1057" t="str">
            <v>REGULER</v>
          </cell>
          <cell r="I1057" t="str">
            <v>REGULER</v>
          </cell>
          <cell r="J1057" t="str">
            <v>REGULER</v>
          </cell>
          <cell r="K1057" t="str">
            <v>REGULER</v>
          </cell>
          <cell r="L1057" t="str">
            <v>REGULER</v>
          </cell>
          <cell r="M1057">
            <v>0</v>
          </cell>
          <cell r="N1057">
            <v>9</v>
          </cell>
          <cell r="O1057">
            <v>39</v>
          </cell>
          <cell r="P1057">
            <v>38</v>
          </cell>
          <cell r="Q1057">
            <v>36</v>
          </cell>
          <cell r="R1057">
            <v>41</v>
          </cell>
          <cell r="S1057">
            <v>16</v>
          </cell>
          <cell r="T1057">
            <v>179</v>
          </cell>
          <cell r="U1057">
            <v>0</v>
          </cell>
          <cell r="V1057">
            <v>9</v>
          </cell>
          <cell r="W1057">
            <v>39</v>
          </cell>
          <cell r="X1057">
            <v>38</v>
          </cell>
          <cell r="Y1057">
            <v>36</v>
          </cell>
          <cell r="Z1057">
            <v>41</v>
          </cell>
          <cell r="AA1057">
            <v>16</v>
          </cell>
          <cell r="AB1057">
            <v>179</v>
          </cell>
          <cell r="AC1057">
            <v>0</v>
          </cell>
          <cell r="AD1057" t="str">
            <v>TIDAK</v>
          </cell>
          <cell r="AE1057" t="str">
            <v>TIDAK</v>
          </cell>
          <cell r="AF1057">
            <v>179</v>
          </cell>
          <cell r="AG1057">
            <v>2</v>
          </cell>
          <cell r="AH1057" t="str">
            <v>SAPHIRE</v>
          </cell>
          <cell r="AI1057">
            <v>135</v>
          </cell>
          <cell r="AJ1057" t="str">
            <v>Y</v>
          </cell>
          <cell r="AK1057">
            <v>0</v>
          </cell>
          <cell r="AL1057">
            <v>45261</v>
          </cell>
          <cell r="AM1057">
            <v>45701</v>
          </cell>
          <cell r="AN1057">
            <v>1</v>
          </cell>
          <cell r="AO1057">
            <v>44</v>
          </cell>
          <cell r="AP1057" t="str">
            <v>-</v>
          </cell>
          <cell r="AQ1057" t="str">
            <v>-</v>
          </cell>
          <cell r="AR1057" t="str">
            <v>REGULER</v>
          </cell>
          <cell r="AS1057" t="str">
            <v>REGULER</v>
          </cell>
          <cell r="AT1057" t="str">
            <v>EKSKLUSIF</v>
          </cell>
          <cell r="AU1057" t="str">
            <v>EKSKLUSIF</v>
          </cell>
          <cell r="AV1057" t="str">
            <v/>
          </cell>
          <cell r="AW1057">
            <v>48</v>
          </cell>
          <cell r="AX1057">
            <v>39</v>
          </cell>
          <cell r="AY1057">
            <v>21</v>
          </cell>
          <cell r="AZ1057">
            <v>50</v>
          </cell>
          <cell r="BA1057">
            <v>45</v>
          </cell>
          <cell r="BB1057">
            <v>48</v>
          </cell>
          <cell r="BC1057">
            <v>39</v>
          </cell>
          <cell r="BD1057">
            <v>21</v>
          </cell>
          <cell r="BE1057">
            <v>50</v>
          </cell>
          <cell r="BF1057">
            <v>45</v>
          </cell>
          <cell r="BG1057">
            <v>17</v>
          </cell>
          <cell r="BH1057">
            <v>48</v>
          </cell>
          <cell r="BI1057">
            <v>39</v>
          </cell>
          <cell r="BJ1057">
            <v>21</v>
          </cell>
          <cell r="BK1057">
            <v>50</v>
          </cell>
          <cell r="BL1057">
            <v>45</v>
          </cell>
          <cell r="BM1057">
            <v>21</v>
          </cell>
          <cell r="BN1057">
            <v>241</v>
          </cell>
          <cell r="BO1057">
            <v>17</v>
          </cell>
          <cell r="BP1057">
            <v>48</v>
          </cell>
          <cell r="BQ1057">
            <v>39</v>
          </cell>
          <cell r="BR1057">
            <v>21</v>
          </cell>
          <cell r="BS1057">
            <v>0</v>
          </cell>
          <cell r="BT1057">
            <v>0</v>
          </cell>
          <cell r="BU1057">
            <v>21</v>
          </cell>
          <cell r="BV1057">
            <v>146</v>
          </cell>
          <cell r="BW1057">
            <v>0</v>
          </cell>
          <cell r="BX1057" t="str">
            <v>TIDAK</v>
          </cell>
          <cell r="BY1057" t="str">
            <v>TIDAK</v>
          </cell>
        </row>
        <row r="1058">
          <cell r="A1058" t="str">
            <v>A0217</v>
          </cell>
          <cell r="B1058" t="str">
            <v>Yusril Rama Mahendra</v>
          </cell>
          <cell r="C1058" t="str">
            <v>TEMA C2</v>
          </cell>
          <cell r="D1058">
            <v>44819</v>
          </cell>
          <cell r="E1058" t="str">
            <v>Sep-22</v>
          </cell>
          <cell r="F1058" t="str">
            <v>-</v>
          </cell>
          <cell r="G1058" t="str">
            <v>REGULER</v>
          </cell>
          <cell r="H1058" t="str">
            <v>EKSKLUSIF</v>
          </cell>
          <cell r="I1058" t="str">
            <v>EKSKLUSIF</v>
          </cell>
          <cell r="J1058" t="str">
            <v>EKSKLUSIF</v>
          </cell>
          <cell r="K1058" t="str">
            <v>EKSKLUSIF</v>
          </cell>
          <cell r="L1058" t="str">
            <v>EKSKLUSIF</v>
          </cell>
          <cell r="M1058">
            <v>0</v>
          </cell>
          <cell r="N1058">
            <v>42</v>
          </cell>
          <cell r="O1058">
            <v>41</v>
          </cell>
          <cell r="P1058">
            <v>39</v>
          </cell>
          <cell r="Q1058">
            <v>34</v>
          </cell>
          <cell r="R1058">
            <v>41</v>
          </cell>
          <cell r="S1058">
            <v>20</v>
          </cell>
          <cell r="T1058">
            <v>217</v>
          </cell>
          <cell r="U1058">
            <v>0</v>
          </cell>
          <cell r="V1058">
            <v>42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42</v>
          </cell>
          <cell r="AC1058">
            <v>1</v>
          </cell>
          <cell r="AD1058" t="str">
            <v>TIDAK</v>
          </cell>
          <cell r="AE1058" t="str">
            <v>TIDAK</v>
          </cell>
          <cell r="AF1058">
            <v>42</v>
          </cell>
          <cell r="AG1058">
            <v>2</v>
          </cell>
          <cell r="AH1058" t="str">
            <v>SAPHIRE</v>
          </cell>
          <cell r="AI1058">
            <v>0</v>
          </cell>
          <cell r="AJ1058" t="str">
            <v>FALSE</v>
          </cell>
          <cell r="AK1058">
            <v>0</v>
          </cell>
          <cell r="AL1058">
            <v>45261</v>
          </cell>
          <cell r="AM1058">
            <v>45701</v>
          </cell>
          <cell r="AN1058">
            <v>1</v>
          </cell>
          <cell r="AO1058">
            <v>42</v>
          </cell>
          <cell r="AP1058" t="str">
            <v>EKSKLUSIF</v>
          </cell>
          <cell r="AQ1058" t="str">
            <v>-</v>
          </cell>
          <cell r="AR1058" t="str">
            <v>REGULER</v>
          </cell>
          <cell r="AS1058" t="str">
            <v>REGULER</v>
          </cell>
          <cell r="AT1058" t="str">
            <v>EKSKLUSIF</v>
          </cell>
          <cell r="AU1058" t="str">
            <v>EKSKLUSIF</v>
          </cell>
          <cell r="AV1058" t="str">
            <v/>
          </cell>
          <cell r="AW1058">
            <v>45</v>
          </cell>
          <cell r="AX1058">
            <v>29</v>
          </cell>
          <cell r="AY1058">
            <v>33</v>
          </cell>
          <cell r="AZ1058">
            <v>45</v>
          </cell>
          <cell r="BA1058">
            <v>39</v>
          </cell>
          <cell r="BB1058">
            <v>45</v>
          </cell>
          <cell r="BC1058">
            <v>29</v>
          </cell>
          <cell r="BD1058">
            <v>33</v>
          </cell>
          <cell r="BE1058">
            <v>45</v>
          </cell>
          <cell r="BF1058">
            <v>39</v>
          </cell>
          <cell r="BG1058">
            <v>16</v>
          </cell>
          <cell r="BH1058">
            <v>45</v>
          </cell>
          <cell r="BI1058">
            <v>29</v>
          </cell>
          <cell r="BJ1058">
            <v>33</v>
          </cell>
          <cell r="BK1058">
            <v>45</v>
          </cell>
          <cell r="BL1058">
            <v>39</v>
          </cell>
          <cell r="BM1058">
            <v>16</v>
          </cell>
          <cell r="BN1058">
            <v>223</v>
          </cell>
          <cell r="BO1058">
            <v>0</v>
          </cell>
          <cell r="BP1058">
            <v>45</v>
          </cell>
          <cell r="BQ1058">
            <v>29</v>
          </cell>
          <cell r="BR1058">
            <v>33</v>
          </cell>
          <cell r="BS1058">
            <v>0</v>
          </cell>
          <cell r="BT1058">
            <v>0</v>
          </cell>
          <cell r="BU1058">
            <v>16</v>
          </cell>
          <cell r="BV1058">
            <v>123</v>
          </cell>
          <cell r="BW1058">
            <v>0</v>
          </cell>
          <cell r="BX1058" t="str">
            <v>TIDAK</v>
          </cell>
          <cell r="BY1058" t="str">
            <v>TIDAK</v>
          </cell>
        </row>
        <row r="1059">
          <cell r="A1059" t="str">
            <v>A3737</v>
          </cell>
          <cell r="B1059" t="str">
            <v>Yustina Wedia Sabda Putri</v>
          </cell>
          <cell r="C1059" t="str">
            <v>TEMA C2</v>
          </cell>
          <cell r="D1059">
            <v>45335</v>
          </cell>
          <cell r="E1059" t="str">
            <v>Feb-24</v>
          </cell>
          <cell r="F1059" t="str">
            <v>-</v>
          </cell>
          <cell r="G1059" t="str">
            <v>-</v>
          </cell>
          <cell r="H1059" t="str">
            <v>REGULER</v>
          </cell>
          <cell r="I1059" t="str">
            <v>REGULER</v>
          </cell>
          <cell r="J1059" t="str">
            <v>REGULER</v>
          </cell>
          <cell r="K1059" t="str">
            <v>REGULER</v>
          </cell>
          <cell r="L1059" t="str">
            <v>-</v>
          </cell>
          <cell r="M1059">
            <v>0</v>
          </cell>
          <cell r="N1059">
            <v>0</v>
          </cell>
          <cell r="O1059">
            <v>23</v>
          </cell>
          <cell r="P1059">
            <v>39</v>
          </cell>
          <cell r="Q1059">
            <v>32</v>
          </cell>
          <cell r="R1059">
            <v>10</v>
          </cell>
          <cell r="S1059" t="str">
            <v/>
          </cell>
          <cell r="T1059">
            <v>104</v>
          </cell>
          <cell r="U1059">
            <v>0</v>
          </cell>
          <cell r="V1059">
            <v>0</v>
          </cell>
          <cell r="W1059">
            <v>23</v>
          </cell>
          <cell r="X1059">
            <v>39</v>
          </cell>
          <cell r="Y1059">
            <v>32</v>
          </cell>
          <cell r="Z1059">
            <v>10</v>
          </cell>
          <cell r="AA1059" t="str">
            <v/>
          </cell>
          <cell r="AB1059">
            <v>104</v>
          </cell>
          <cell r="AC1059">
            <v>1</v>
          </cell>
          <cell r="AD1059" t="str">
            <v>TIDAK</v>
          </cell>
          <cell r="AE1059" t="str">
            <v>TIDAK</v>
          </cell>
          <cell r="AF1059">
            <v>104</v>
          </cell>
          <cell r="AG1059">
            <v>2</v>
          </cell>
          <cell r="AH1059" t="str">
            <v>SAPHIRE</v>
          </cell>
          <cell r="AI1059">
            <v>0</v>
          </cell>
          <cell r="AJ1059" t="str">
            <v>Y</v>
          </cell>
          <cell r="AK1059">
            <v>0</v>
          </cell>
          <cell r="AL1059">
            <v>45261</v>
          </cell>
          <cell r="AM1059">
            <v>45701</v>
          </cell>
          <cell r="AN1059">
            <v>1</v>
          </cell>
          <cell r="AO1059">
            <v>104</v>
          </cell>
          <cell r="AP1059" t="str">
            <v>-</v>
          </cell>
          <cell r="AQ1059" t="str">
            <v>-</v>
          </cell>
          <cell r="AR1059">
            <v>0</v>
          </cell>
          <cell r="AS1059" t="str">
            <v>-</v>
          </cell>
          <cell r="AT1059" t="str">
            <v>-</v>
          </cell>
          <cell r="AU1059" t="str">
            <v>-</v>
          </cell>
          <cell r="AV1059" t="str">
            <v/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 t="str">
            <v/>
          </cell>
          <cell r="BH1059">
            <v>0</v>
          </cell>
          <cell r="BI1059">
            <v>0</v>
          </cell>
          <cell r="BJ1059">
            <v>0</v>
          </cell>
          <cell r="BK1059">
            <v>0</v>
          </cell>
          <cell r="BL1059">
            <v>0</v>
          </cell>
          <cell r="BM1059" t="str">
            <v/>
          </cell>
          <cell r="BN1059">
            <v>0</v>
          </cell>
          <cell r="BO1059" t="str">
            <v/>
          </cell>
          <cell r="BP1059">
            <v>0</v>
          </cell>
          <cell r="BQ1059">
            <v>0</v>
          </cell>
          <cell r="BR1059">
            <v>0</v>
          </cell>
          <cell r="BS1059">
            <v>0</v>
          </cell>
          <cell r="BT1059">
            <v>0</v>
          </cell>
          <cell r="BU1059" t="str">
            <v/>
          </cell>
          <cell r="BV1059">
            <v>0</v>
          </cell>
          <cell r="BW1059">
            <v>7</v>
          </cell>
          <cell r="BX1059" t="str">
            <v>DOWNGRADE</v>
          </cell>
          <cell r="BY1059" t="str">
            <v>RESET</v>
          </cell>
        </row>
        <row r="1060">
          <cell r="A1060" t="str">
            <v>A3981</v>
          </cell>
          <cell r="B1060" t="str">
            <v>Yuvita Narista</v>
          </cell>
          <cell r="C1060" t="str">
            <v>TEMA C2</v>
          </cell>
          <cell r="D1060">
            <v>45395</v>
          </cell>
          <cell r="E1060" t="str">
            <v>Apr-24</v>
          </cell>
          <cell r="F1060" t="str">
            <v>-</v>
          </cell>
          <cell r="G1060" t="str">
            <v>-</v>
          </cell>
          <cell r="H1060" t="str">
            <v>-</v>
          </cell>
          <cell r="I1060" t="str">
            <v>-</v>
          </cell>
          <cell r="J1060" t="str">
            <v>REGULER</v>
          </cell>
          <cell r="K1060" t="str">
            <v>REGULER</v>
          </cell>
          <cell r="L1060" t="str">
            <v>REGULER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11</v>
          </cell>
          <cell r="R1060">
            <v>9</v>
          </cell>
          <cell r="S1060">
            <v>2</v>
          </cell>
          <cell r="T1060">
            <v>22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11</v>
          </cell>
          <cell r="Z1060">
            <v>9</v>
          </cell>
          <cell r="AA1060">
            <v>2</v>
          </cell>
          <cell r="AB1060">
            <v>22</v>
          </cell>
          <cell r="AC1060">
            <v>0</v>
          </cell>
          <cell r="AD1060" t="str">
            <v>TIDAK</v>
          </cell>
          <cell r="AE1060" t="str">
            <v>TIDAK</v>
          </cell>
          <cell r="AF1060">
            <v>22</v>
          </cell>
          <cell r="AG1060">
            <v>1</v>
          </cell>
          <cell r="AH1060" t="str">
            <v>SAPHIRE</v>
          </cell>
          <cell r="AI1060">
            <v>0</v>
          </cell>
          <cell r="AJ1060" t="str">
            <v>FALSE</v>
          </cell>
          <cell r="AK1060">
            <v>0</v>
          </cell>
          <cell r="AL1060">
            <v>45261</v>
          </cell>
          <cell r="AM1060">
            <v>45701</v>
          </cell>
          <cell r="AN1060">
            <v>1</v>
          </cell>
          <cell r="AO1060">
            <v>22</v>
          </cell>
          <cell r="AP1060" t="str">
            <v>-</v>
          </cell>
          <cell r="AQ1060" t="str">
            <v>-</v>
          </cell>
          <cell r="AR1060" t="str">
            <v>-</v>
          </cell>
          <cell r="AS1060" t="str">
            <v>-</v>
          </cell>
          <cell r="AT1060" t="str">
            <v>-</v>
          </cell>
          <cell r="AU1060" t="str">
            <v>-</v>
          </cell>
          <cell r="AV1060" t="str">
            <v/>
          </cell>
          <cell r="AW1060">
            <v>3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3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 t="str">
            <v/>
          </cell>
          <cell r="BH1060">
            <v>3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 t="str">
            <v/>
          </cell>
          <cell r="BN1060">
            <v>3</v>
          </cell>
          <cell r="BO1060" t="str">
            <v/>
          </cell>
          <cell r="BP1060">
            <v>3</v>
          </cell>
          <cell r="BQ1060">
            <v>0</v>
          </cell>
          <cell r="BR1060">
            <v>0</v>
          </cell>
          <cell r="BS1060">
            <v>0</v>
          </cell>
          <cell r="BT1060">
            <v>0</v>
          </cell>
          <cell r="BU1060" t="str">
            <v/>
          </cell>
          <cell r="BV1060">
            <v>3</v>
          </cell>
          <cell r="BW1060">
            <v>6</v>
          </cell>
          <cell r="BX1060" t="str">
            <v>DOWNGRADE</v>
          </cell>
          <cell r="BY1060" t="str">
            <v>RESET</v>
          </cell>
        </row>
        <row r="1061">
          <cell r="A1061" t="str">
            <v>A3333</v>
          </cell>
          <cell r="B1061" t="str">
            <v>Zefanya Noviana Hehamahua</v>
          </cell>
          <cell r="C1061" t="str">
            <v>TEMA C2</v>
          </cell>
          <cell r="D1061">
            <v>45248</v>
          </cell>
          <cell r="E1061" t="str">
            <v>Nov-23</v>
          </cell>
          <cell r="F1061" t="str">
            <v>REGULER</v>
          </cell>
          <cell r="G1061" t="str">
            <v>REGULER</v>
          </cell>
          <cell r="H1061" t="str">
            <v>REGULER</v>
          </cell>
          <cell r="I1061" t="str">
            <v>REGULER</v>
          </cell>
          <cell r="J1061" t="str">
            <v>REGULER</v>
          </cell>
          <cell r="K1061" t="str">
            <v>REGULER</v>
          </cell>
          <cell r="L1061" t="str">
            <v>REGULER</v>
          </cell>
          <cell r="M1061">
            <v>0</v>
          </cell>
          <cell r="N1061">
            <v>16</v>
          </cell>
          <cell r="O1061">
            <v>15</v>
          </cell>
          <cell r="P1061">
            <v>30</v>
          </cell>
          <cell r="Q1061">
            <v>37</v>
          </cell>
          <cell r="R1061">
            <v>36</v>
          </cell>
          <cell r="S1061">
            <v>20</v>
          </cell>
          <cell r="T1061">
            <v>154</v>
          </cell>
          <cell r="U1061">
            <v>0</v>
          </cell>
          <cell r="V1061">
            <v>16</v>
          </cell>
          <cell r="W1061">
            <v>15</v>
          </cell>
          <cell r="X1061">
            <v>30</v>
          </cell>
          <cell r="Y1061">
            <v>37</v>
          </cell>
          <cell r="Z1061">
            <v>36</v>
          </cell>
          <cell r="AA1061">
            <v>20</v>
          </cell>
          <cell r="AB1061">
            <v>154</v>
          </cell>
          <cell r="AC1061">
            <v>1</v>
          </cell>
          <cell r="AD1061" t="str">
            <v>TIDAK</v>
          </cell>
          <cell r="AE1061" t="str">
            <v>TIDAK</v>
          </cell>
          <cell r="AF1061">
            <v>154</v>
          </cell>
          <cell r="AG1061">
            <v>3</v>
          </cell>
          <cell r="AH1061" t="str">
            <v>SAPHIRE</v>
          </cell>
          <cell r="AI1061">
            <v>0</v>
          </cell>
          <cell r="AJ1061" t="str">
            <v>Y</v>
          </cell>
          <cell r="AK1061">
            <v>0</v>
          </cell>
          <cell r="AL1061">
            <v>45261</v>
          </cell>
          <cell r="AM1061">
            <v>45701</v>
          </cell>
          <cell r="AN1061">
            <v>1</v>
          </cell>
          <cell r="AO1061">
            <v>154</v>
          </cell>
          <cell r="AP1061" t="str">
            <v>-</v>
          </cell>
          <cell r="AQ1061" t="str">
            <v>-</v>
          </cell>
          <cell r="AR1061" t="str">
            <v>REGULER</v>
          </cell>
          <cell r="AS1061" t="str">
            <v>REGULER</v>
          </cell>
          <cell r="AT1061" t="str">
            <v>REGULER</v>
          </cell>
          <cell r="AU1061" t="str">
            <v>REGULER</v>
          </cell>
          <cell r="AV1061" t="str">
            <v/>
          </cell>
          <cell r="AW1061">
            <v>44</v>
          </cell>
          <cell r="AX1061">
            <v>40</v>
          </cell>
          <cell r="AY1061">
            <v>20</v>
          </cell>
          <cell r="AZ1061">
            <v>39</v>
          </cell>
          <cell r="BA1061">
            <v>37</v>
          </cell>
          <cell r="BB1061">
            <v>44</v>
          </cell>
          <cell r="BC1061">
            <v>40</v>
          </cell>
          <cell r="BD1061">
            <v>20</v>
          </cell>
          <cell r="BE1061">
            <v>39</v>
          </cell>
          <cell r="BF1061">
            <v>37</v>
          </cell>
          <cell r="BG1061">
            <v>19</v>
          </cell>
          <cell r="BH1061">
            <v>44</v>
          </cell>
          <cell r="BI1061">
            <v>40</v>
          </cell>
          <cell r="BJ1061">
            <v>20</v>
          </cell>
          <cell r="BK1061">
            <v>39</v>
          </cell>
          <cell r="BL1061">
            <v>37</v>
          </cell>
          <cell r="BM1061">
            <v>15</v>
          </cell>
          <cell r="BN1061">
            <v>214</v>
          </cell>
          <cell r="BO1061">
            <v>19</v>
          </cell>
          <cell r="BP1061">
            <v>44</v>
          </cell>
          <cell r="BQ1061">
            <v>40</v>
          </cell>
          <cell r="BR1061">
            <v>20</v>
          </cell>
          <cell r="BS1061">
            <v>39</v>
          </cell>
          <cell r="BT1061">
            <v>37</v>
          </cell>
          <cell r="BU1061">
            <v>15</v>
          </cell>
          <cell r="BV1061">
            <v>214</v>
          </cell>
          <cell r="BW1061">
            <v>0</v>
          </cell>
          <cell r="BX1061" t="str">
            <v>TIDAK</v>
          </cell>
          <cell r="BY1061" t="str">
            <v>TIDAK</v>
          </cell>
        </row>
        <row r="1062">
          <cell r="A1062" t="str">
            <v>A4047</v>
          </cell>
          <cell r="B1062" t="str">
            <v>ZURA FAJRI RAHMADANI</v>
          </cell>
          <cell r="C1062" t="str">
            <v>TEMA C2</v>
          </cell>
          <cell r="D1062">
            <v>45436</v>
          </cell>
          <cell r="E1062" t="str">
            <v>May-24</v>
          </cell>
          <cell r="F1062" t="str">
            <v>-</v>
          </cell>
          <cell r="G1062" t="str">
            <v>-</v>
          </cell>
          <cell r="H1062" t="str">
            <v>-</v>
          </cell>
          <cell r="I1062" t="str">
            <v>-</v>
          </cell>
          <cell r="J1062" t="str">
            <v>-</v>
          </cell>
          <cell r="K1062" t="str">
            <v>REGULER</v>
          </cell>
          <cell r="L1062" t="str">
            <v>REGULER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11</v>
          </cell>
          <cell r="S1062">
            <v>2</v>
          </cell>
          <cell r="T1062">
            <v>13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11</v>
          </cell>
          <cell r="AA1062">
            <v>2</v>
          </cell>
          <cell r="AB1062">
            <v>13</v>
          </cell>
          <cell r="AC1062">
            <v>0</v>
          </cell>
          <cell r="AD1062" t="str">
            <v>TIDAK</v>
          </cell>
          <cell r="AE1062" t="str">
            <v>TIDAK</v>
          </cell>
          <cell r="AF1062">
            <v>13</v>
          </cell>
          <cell r="AG1062">
            <v>1</v>
          </cell>
          <cell r="AH1062" t="str">
            <v>SAPHIRE</v>
          </cell>
          <cell r="AI1062">
            <v>0</v>
          </cell>
          <cell r="AJ1062" t="str">
            <v>FALSE</v>
          </cell>
          <cell r="AK1062">
            <v>0</v>
          </cell>
          <cell r="AL1062">
            <v>45261</v>
          </cell>
          <cell r="AM1062">
            <v>45701</v>
          </cell>
          <cell r="AN1062">
            <v>1</v>
          </cell>
          <cell r="AO1062">
            <v>13</v>
          </cell>
          <cell r="AP1062" t="str">
            <v>-</v>
          </cell>
          <cell r="AQ1062" t="str">
            <v>-</v>
          </cell>
          <cell r="AR1062" t="str">
            <v>REGULER</v>
          </cell>
          <cell r="AS1062" t="str">
            <v>-</v>
          </cell>
          <cell r="AT1062" t="str">
            <v>-</v>
          </cell>
          <cell r="AU1062" t="str">
            <v>-</v>
          </cell>
          <cell r="AV1062" t="str">
            <v/>
          </cell>
          <cell r="AW1062">
            <v>32</v>
          </cell>
          <cell r="AX1062">
            <v>4</v>
          </cell>
          <cell r="AY1062">
            <v>0</v>
          </cell>
          <cell r="AZ1062">
            <v>0</v>
          </cell>
          <cell r="BA1062">
            <v>0</v>
          </cell>
          <cell r="BB1062">
            <v>32</v>
          </cell>
          <cell r="BC1062">
            <v>4</v>
          </cell>
          <cell r="BD1062">
            <v>0</v>
          </cell>
          <cell r="BE1062">
            <v>0</v>
          </cell>
          <cell r="BF1062">
            <v>0</v>
          </cell>
          <cell r="BG1062">
            <v>10</v>
          </cell>
          <cell r="BH1062">
            <v>32</v>
          </cell>
          <cell r="BI1062">
            <v>4</v>
          </cell>
          <cell r="BJ1062">
            <v>0</v>
          </cell>
          <cell r="BK1062">
            <v>0</v>
          </cell>
          <cell r="BL1062">
            <v>0</v>
          </cell>
          <cell r="BM1062" t="str">
            <v/>
          </cell>
          <cell r="BN1062">
            <v>46</v>
          </cell>
          <cell r="BO1062">
            <v>10</v>
          </cell>
          <cell r="BP1062">
            <v>32</v>
          </cell>
          <cell r="BQ1062">
            <v>4</v>
          </cell>
          <cell r="BR1062">
            <v>0</v>
          </cell>
          <cell r="BS1062">
            <v>0</v>
          </cell>
          <cell r="BT1062">
            <v>0</v>
          </cell>
          <cell r="BU1062" t="str">
            <v/>
          </cell>
          <cell r="BV1062">
            <v>46</v>
          </cell>
          <cell r="BW1062">
            <v>4</v>
          </cell>
          <cell r="BX1062" t="str">
            <v>DOWNGRADE</v>
          </cell>
          <cell r="BY1062" t="str">
            <v>RESET</v>
          </cell>
        </row>
        <row r="1063">
          <cell r="A1063" t="str">
            <v>A0723</v>
          </cell>
          <cell r="B1063" t="str">
            <v>Fransisca Ayu Puspita Sari</v>
          </cell>
          <cell r="C1063" t="str">
            <v>TEMA C2</v>
          </cell>
          <cell r="D1063">
            <v>44881</v>
          </cell>
          <cell r="E1063" t="str">
            <v>Nov-22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 t="str">
            <v>-</v>
          </cell>
          <cell r="AQ1063" t="str">
            <v>-</v>
          </cell>
          <cell r="AR1063" t="str">
            <v>REGULER</v>
          </cell>
          <cell r="AS1063" t="str">
            <v>REGULER</v>
          </cell>
          <cell r="AT1063" t="str">
            <v>REGULER</v>
          </cell>
          <cell r="AU1063" t="str">
            <v>REGULER</v>
          </cell>
          <cell r="AV1063" t="str">
            <v/>
          </cell>
          <cell r="AW1063">
            <v>38</v>
          </cell>
          <cell r="AX1063">
            <v>32</v>
          </cell>
          <cell r="AY1063">
            <v>25</v>
          </cell>
          <cell r="AZ1063">
            <v>39</v>
          </cell>
          <cell r="BA1063">
            <v>17</v>
          </cell>
          <cell r="BB1063">
            <v>38</v>
          </cell>
          <cell r="BC1063">
            <v>32</v>
          </cell>
          <cell r="BD1063">
            <v>25</v>
          </cell>
          <cell r="BE1063">
            <v>39</v>
          </cell>
          <cell r="BF1063">
            <v>17</v>
          </cell>
          <cell r="BG1063">
            <v>13</v>
          </cell>
          <cell r="BH1063">
            <v>38</v>
          </cell>
          <cell r="BI1063">
            <v>32</v>
          </cell>
          <cell r="BJ1063">
            <v>25</v>
          </cell>
          <cell r="BK1063">
            <v>39</v>
          </cell>
          <cell r="BL1063">
            <v>17</v>
          </cell>
          <cell r="BM1063">
            <v>10</v>
          </cell>
          <cell r="BN1063">
            <v>174</v>
          </cell>
          <cell r="BO1063">
            <v>13</v>
          </cell>
          <cell r="BP1063">
            <v>38</v>
          </cell>
          <cell r="BQ1063">
            <v>32</v>
          </cell>
          <cell r="BR1063">
            <v>25</v>
          </cell>
          <cell r="BS1063">
            <v>39</v>
          </cell>
          <cell r="BT1063">
            <v>17</v>
          </cell>
          <cell r="BU1063">
            <v>10</v>
          </cell>
          <cell r="BV1063">
            <v>174</v>
          </cell>
          <cell r="BW1063">
            <v>0</v>
          </cell>
          <cell r="BX1063" t="str">
            <v>TIDAK</v>
          </cell>
          <cell r="BY1063" t="str">
            <v>TIDAK</v>
          </cell>
        </row>
        <row r="1064">
          <cell r="A1064" t="str">
            <v>A0908</v>
          </cell>
          <cell r="B1064" t="str">
            <v>APRILLIA NARWENDAH</v>
          </cell>
          <cell r="C1064" t="str">
            <v>TEMA C2</v>
          </cell>
          <cell r="D1064">
            <v>44911</v>
          </cell>
          <cell r="E1064" t="str">
            <v>Dec-22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 t="str">
            <v xml:space="preserve"> 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 t="str">
            <v>-</v>
          </cell>
          <cell r="AQ1064" t="str">
            <v>-</v>
          </cell>
          <cell r="AR1064" t="str">
            <v>-</v>
          </cell>
          <cell r="AS1064" t="str">
            <v>-</v>
          </cell>
          <cell r="AT1064" t="str">
            <v>-</v>
          </cell>
          <cell r="AU1064" t="str">
            <v>-</v>
          </cell>
          <cell r="AV1064" t="str">
            <v/>
          </cell>
          <cell r="AW1064">
            <v>29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29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14</v>
          </cell>
          <cell r="BH1064">
            <v>29</v>
          </cell>
          <cell r="BI1064">
            <v>0</v>
          </cell>
          <cell r="BJ1064">
            <v>0</v>
          </cell>
          <cell r="BK1064">
            <v>0</v>
          </cell>
          <cell r="BL1064">
            <v>0</v>
          </cell>
          <cell r="BM1064" t="str">
            <v/>
          </cell>
          <cell r="BN1064">
            <v>43</v>
          </cell>
          <cell r="BO1064">
            <v>14</v>
          </cell>
          <cell r="BP1064">
            <v>29</v>
          </cell>
          <cell r="BQ1064">
            <v>0</v>
          </cell>
          <cell r="BR1064">
            <v>0</v>
          </cell>
          <cell r="BS1064">
            <v>0</v>
          </cell>
          <cell r="BT1064">
            <v>0</v>
          </cell>
          <cell r="BU1064" t="str">
            <v/>
          </cell>
          <cell r="BV1064">
            <v>43</v>
          </cell>
          <cell r="BW1064">
            <v>5</v>
          </cell>
          <cell r="BX1064" t="str">
            <v>DOWNGRADE</v>
          </cell>
          <cell r="BY1064" t="str">
            <v>RESET</v>
          </cell>
        </row>
        <row r="1065">
          <cell r="A1065">
            <v>92118</v>
          </cell>
          <cell r="B1065" t="str">
            <v>AMELIA JINGGA</v>
          </cell>
          <cell r="C1065" t="str">
            <v>TEMA C2</v>
          </cell>
          <cell r="D1065">
            <v>45464</v>
          </cell>
          <cell r="E1065" t="str">
            <v>Jun-24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 t="str">
            <v>-</v>
          </cell>
          <cell r="AQ1065" t="str">
            <v>-</v>
          </cell>
          <cell r="AR1065" t="str">
            <v>-</v>
          </cell>
          <cell r="AS1065" t="str">
            <v>-</v>
          </cell>
          <cell r="AT1065" t="str">
            <v>-</v>
          </cell>
          <cell r="AU1065" t="str">
            <v>-</v>
          </cell>
          <cell r="AV1065" t="str">
            <v/>
          </cell>
          <cell r="AW1065">
            <v>4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4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12</v>
          </cell>
          <cell r="BH1065">
            <v>4</v>
          </cell>
          <cell r="BI1065">
            <v>0</v>
          </cell>
          <cell r="BJ1065">
            <v>0</v>
          </cell>
          <cell r="BK1065">
            <v>0</v>
          </cell>
          <cell r="BL1065">
            <v>0</v>
          </cell>
          <cell r="BM1065" t="str">
            <v/>
          </cell>
          <cell r="BN1065">
            <v>16</v>
          </cell>
          <cell r="BO1065">
            <v>12</v>
          </cell>
          <cell r="BP1065">
            <v>4</v>
          </cell>
          <cell r="BQ1065">
            <v>0</v>
          </cell>
          <cell r="BR1065">
            <v>0</v>
          </cell>
          <cell r="BS1065">
            <v>0</v>
          </cell>
          <cell r="BT1065">
            <v>0</v>
          </cell>
          <cell r="BU1065" t="str">
            <v/>
          </cell>
          <cell r="BV1065">
            <v>16</v>
          </cell>
          <cell r="BW1065">
            <v>5</v>
          </cell>
          <cell r="BX1065" t="str">
            <v>DOWNGRADE</v>
          </cell>
          <cell r="BY1065" t="str">
            <v>RESET</v>
          </cell>
        </row>
        <row r="1066">
          <cell r="A1066" t="str">
            <v>A2366</v>
          </cell>
          <cell r="B1066" t="str">
            <v>FERIAN IHZA FAHREZI</v>
          </cell>
          <cell r="C1066" t="str">
            <v>TEMA C2</v>
          </cell>
          <cell r="D1066">
            <v>45464</v>
          </cell>
          <cell r="E1066" t="str">
            <v>Jun-24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 t="str">
            <v>-</v>
          </cell>
          <cell r="AQ1066" t="str">
            <v>-</v>
          </cell>
          <cell r="AR1066" t="str">
            <v>-</v>
          </cell>
          <cell r="AS1066" t="str">
            <v>-</v>
          </cell>
          <cell r="AT1066" t="str">
            <v>-</v>
          </cell>
          <cell r="AU1066" t="str">
            <v>-</v>
          </cell>
          <cell r="AV1066" t="str">
            <v/>
          </cell>
          <cell r="AW1066">
            <v>8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8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14</v>
          </cell>
          <cell r="BH1066">
            <v>8</v>
          </cell>
          <cell r="BI1066">
            <v>0</v>
          </cell>
          <cell r="BJ1066">
            <v>0</v>
          </cell>
          <cell r="BK1066">
            <v>0</v>
          </cell>
          <cell r="BL1066">
            <v>0</v>
          </cell>
          <cell r="BM1066" t="str">
            <v/>
          </cell>
          <cell r="BN1066">
            <v>22</v>
          </cell>
          <cell r="BO1066">
            <v>14</v>
          </cell>
          <cell r="BP1066">
            <v>8</v>
          </cell>
          <cell r="BQ1066">
            <v>0</v>
          </cell>
          <cell r="BR1066">
            <v>0</v>
          </cell>
          <cell r="BS1066">
            <v>0</v>
          </cell>
          <cell r="BT1066">
            <v>0</v>
          </cell>
          <cell r="BU1066" t="str">
            <v/>
          </cell>
          <cell r="BV1066">
            <v>22</v>
          </cell>
          <cell r="BW1066">
            <v>5</v>
          </cell>
          <cell r="BX1066" t="str">
            <v>DOWNGRADE</v>
          </cell>
          <cell r="BY1066" t="str">
            <v>RESET</v>
          </cell>
        </row>
        <row r="1067">
          <cell r="A1067" t="str">
            <v>A4104</v>
          </cell>
          <cell r="B1067" t="str">
            <v>ALIF NOVIKA SARI</v>
          </cell>
          <cell r="C1067" t="str">
            <v>TEMA C2</v>
          </cell>
          <cell r="D1067">
            <v>45463</v>
          </cell>
          <cell r="E1067" t="str">
            <v>Jun-24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 t="str">
            <v>-</v>
          </cell>
          <cell r="AQ1067" t="str">
            <v>-</v>
          </cell>
          <cell r="AR1067" t="str">
            <v>-</v>
          </cell>
          <cell r="AS1067" t="str">
            <v>-</v>
          </cell>
          <cell r="AT1067" t="str">
            <v>-</v>
          </cell>
          <cell r="AU1067" t="str">
            <v>-</v>
          </cell>
          <cell r="AV1067" t="str">
            <v/>
          </cell>
          <cell r="AW1067">
            <v>19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19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8</v>
          </cell>
          <cell r="BH1067">
            <v>19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 t="str">
            <v/>
          </cell>
          <cell r="BN1067">
            <v>27</v>
          </cell>
          <cell r="BO1067">
            <v>8</v>
          </cell>
          <cell r="BP1067">
            <v>19</v>
          </cell>
          <cell r="BQ1067">
            <v>0</v>
          </cell>
          <cell r="BR1067">
            <v>0</v>
          </cell>
          <cell r="BS1067">
            <v>0</v>
          </cell>
          <cell r="BT1067">
            <v>0</v>
          </cell>
          <cell r="BU1067" t="str">
            <v/>
          </cell>
          <cell r="BV1067">
            <v>27</v>
          </cell>
          <cell r="BW1067">
            <v>5</v>
          </cell>
          <cell r="BX1067" t="str">
            <v>DOWNGRADE</v>
          </cell>
          <cell r="BY1067" t="str">
            <v>RESET</v>
          </cell>
        </row>
        <row r="1068">
          <cell r="A1068" t="str">
            <v>A4109</v>
          </cell>
          <cell r="B1068" t="str">
            <v>ZIDNA NUUR AIDA W</v>
          </cell>
          <cell r="C1068" t="str">
            <v>TEMA C2</v>
          </cell>
          <cell r="D1068">
            <v>45462</v>
          </cell>
          <cell r="E1068" t="str">
            <v>Jun-24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 t="str">
            <v>-</v>
          </cell>
          <cell r="AQ1068" t="str">
            <v>-</v>
          </cell>
          <cell r="AR1068" t="str">
            <v>-</v>
          </cell>
          <cell r="AS1068" t="str">
            <v>-</v>
          </cell>
          <cell r="AT1068" t="str">
            <v>-</v>
          </cell>
          <cell r="AU1068" t="str">
            <v>-</v>
          </cell>
          <cell r="AV1068" t="str">
            <v/>
          </cell>
          <cell r="AW1068">
            <v>12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12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6</v>
          </cell>
          <cell r="BH1068">
            <v>12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 t="str">
            <v/>
          </cell>
          <cell r="BN1068">
            <v>18</v>
          </cell>
          <cell r="BO1068">
            <v>6</v>
          </cell>
          <cell r="BP1068">
            <v>12</v>
          </cell>
          <cell r="BQ1068">
            <v>0</v>
          </cell>
          <cell r="BR1068">
            <v>0</v>
          </cell>
          <cell r="BS1068">
            <v>0</v>
          </cell>
          <cell r="BT1068">
            <v>0</v>
          </cell>
          <cell r="BU1068" t="str">
            <v/>
          </cell>
          <cell r="BV1068">
            <v>18</v>
          </cell>
          <cell r="BW1068">
            <v>5</v>
          </cell>
          <cell r="BX1068" t="str">
            <v>DOWNGRADE</v>
          </cell>
          <cell r="BY1068" t="str">
            <v>RESET</v>
          </cell>
        </row>
        <row r="1069">
          <cell r="A1069" t="str">
            <v>A4110</v>
          </cell>
          <cell r="B1069" t="str">
            <v>FAJAR YUDHA</v>
          </cell>
          <cell r="C1069" t="str">
            <v>TEMA C2</v>
          </cell>
          <cell r="D1069">
            <v>45461</v>
          </cell>
          <cell r="E1069" t="str">
            <v>Jun-24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 t="str">
            <v>-</v>
          </cell>
          <cell r="AQ1069" t="str">
            <v>-</v>
          </cell>
          <cell r="AR1069" t="str">
            <v>EKSKLUSIF</v>
          </cell>
          <cell r="AS1069" t="str">
            <v>EKSKLUSIF</v>
          </cell>
          <cell r="AT1069" t="str">
            <v>-</v>
          </cell>
          <cell r="AU1069" t="str">
            <v>-</v>
          </cell>
          <cell r="AV1069" t="str">
            <v/>
          </cell>
          <cell r="AW1069">
            <v>43</v>
          </cell>
          <cell r="AX1069">
            <v>43</v>
          </cell>
          <cell r="AY1069">
            <v>42</v>
          </cell>
          <cell r="AZ1069">
            <v>0</v>
          </cell>
          <cell r="BA1069">
            <v>0</v>
          </cell>
          <cell r="BB1069">
            <v>43</v>
          </cell>
          <cell r="BC1069">
            <v>43</v>
          </cell>
          <cell r="BD1069">
            <v>42</v>
          </cell>
          <cell r="BE1069">
            <v>0</v>
          </cell>
          <cell r="BF1069">
            <v>0</v>
          </cell>
          <cell r="BG1069">
            <v>17</v>
          </cell>
          <cell r="BH1069">
            <v>43</v>
          </cell>
          <cell r="BI1069">
            <v>43</v>
          </cell>
          <cell r="BJ1069">
            <v>42</v>
          </cell>
          <cell r="BK1069">
            <v>0</v>
          </cell>
          <cell r="BL1069">
            <v>0</v>
          </cell>
          <cell r="BM1069" t="str">
            <v/>
          </cell>
          <cell r="BN1069">
            <v>145</v>
          </cell>
          <cell r="BO1069">
            <v>17</v>
          </cell>
          <cell r="BP1069">
            <v>43</v>
          </cell>
          <cell r="BQ1069">
            <v>0</v>
          </cell>
          <cell r="BR1069">
            <v>0</v>
          </cell>
          <cell r="BS1069">
            <v>0</v>
          </cell>
          <cell r="BT1069">
            <v>0</v>
          </cell>
          <cell r="BU1069" t="str">
            <v/>
          </cell>
          <cell r="BV1069">
            <v>60</v>
          </cell>
          <cell r="BW1069">
            <v>3</v>
          </cell>
          <cell r="BX1069" t="str">
            <v>DOWNGRADE</v>
          </cell>
          <cell r="BY1069" t="str">
            <v>RESET</v>
          </cell>
        </row>
        <row r="1070">
          <cell r="A1070" t="str">
            <v>A4141</v>
          </cell>
          <cell r="B1070" t="str">
            <v>AILSA SHELEY</v>
          </cell>
          <cell r="C1070" t="str">
            <v>TEMA C2</v>
          </cell>
          <cell r="D1070">
            <v>45464</v>
          </cell>
          <cell r="E1070" t="str">
            <v>Jun-24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 t="str">
            <v>-</v>
          </cell>
          <cell r="AQ1070" t="str">
            <v>-</v>
          </cell>
          <cell r="AR1070" t="str">
            <v>REGULER</v>
          </cell>
          <cell r="AS1070" t="str">
            <v>REGULER</v>
          </cell>
          <cell r="AT1070" t="str">
            <v>REGULER</v>
          </cell>
          <cell r="AU1070" t="str">
            <v>REGULER</v>
          </cell>
          <cell r="AV1070" t="str">
            <v/>
          </cell>
          <cell r="AW1070">
            <v>45</v>
          </cell>
          <cell r="AX1070">
            <v>43</v>
          </cell>
          <cell r="AY1070">
            <v>38</v>
          </cell>
          <cell r="AZ1070">
            <v>46</v>
          </cell>
          <cell r="BA1070">
            <v>32</v>
          </cell>
          <cell r="BB1070">
            <v>45</v>
          </cell>
          <cell r="BC1070">
            <v>43</v>
          </cell>
          <cell r="BD1070">
            <v>38</v>
          </cell>
          <cell r="BE1070">
            <v>46</v>
          </cell>
          <cell r="BF1070">
            <v>32</v>
          </cell>
          <cell r="BG1070">
            <v>14</v>
          </cell>
          <cell r="BH1070">
            <v>45</v>
          </cell>
          <cell r="BI1070">
            <v>43</v>
          </cell>
          <cell r="BJ1070">
            <v>38</v>
          </cell>
          <cell r="BK1070">
            <v>46</v>
          </cell>
          <cell r="BL1070">
            <v>32</v>
          </cell>
          <cell r="BM1070">
            <v>18</v>
          </cell>
          <cell r="BN1070">
            <v>236</v>
          </cell>
          <cell r="BO1070">
            <v>14</v>
          </cell>
          <cell r="BP1070">
            <v>45</v>
          </cell>
          <cell r="BQ1070">
            <v>43</v>
          </cell>
          <cell r="BR1070">
            <v>38</v>
          </cell>
          <cell r="BS1070">
            <v>46</v>
          </cell>
          <cell r="BT1070">
            <v>32</v>
          </cell>
          <cell r="BU1070">
            <v>18</v>
          </cell>
          <cell r="BV1070">
            <v>236</v>
          </cell>
          <cell r="BW1070">
            <v>0</v>
          </cell>
          <cell r="BX1070" t="str">
            <v>TIDAK</v>
          </cell>
          <cell r="BY1070" t="str">
            <v>TIDAK</v>
          </cell>
        </row>
        <row r="1071">
          <cell r="A1071" t="str">
            <v>A4139</v>
          </cell>
          <cell r="B1071" t="str">
            <v>KEYLA REISA IARA</v>
          </cell>
          <cell r="C1071" t="str">
            <v>TEMA C2</v>
          </cell>
          <cell r="D1071">
            <v>45465</v>
          </cell>
          <cell r="E1071" t="str">
            <v>Jun-24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 t="str">
            <v>-</v>
          </cell>
          <cell r="AQ1071" t="str">
            <v>-</v>
          </cell>
          <cell r="AR1071" t="str">
            <v>REGULER</v>
          </cell>
          <cell r="AS1071" t="str">
            <v>REGULER</v>
          </cell>
          <cell r="AT1071" t="str">
            <v>REGULER</v>
          </cell>
          <cell r="AU1071" t="str">
            <v>EKSKLUSIF</v>
          </cell>
          <cell r="AV1071" t="str">
            <v/>
          </cell>
          <cell r="AW1071">
            <v>36</v>
          </cell>
          <cell r="AX1071">
            <v>36</v>
          </cell>
          <cell r="AY1071">
            <v>25</v>
          </cell>
          <cell r="AZ1071">
            <v>39</v>
          </cell>
          <cell r="BA1071">
            <v>45</v>
          </cell>
          <cell r="BB1071">
            <v>36</v>
          </cell>
          <cell r="BC1071">
            <v>36</v>
          </cell>
          <cell r="BD1071">
            <v>25</v>
          </cell>
          <cell r="BE1071">
            <v>39</v>
          </cell>
          <cell r="BF1071">
            <v>45</v>
          </cell>
          <cell r="BG1071">
            <v>10</v>
          </cell>
          <cell r="BH1071">
            <v>36</v>
          </cell>
          <cell r="BI1071">
            <v>36</v>
          </cell>
          <cell r="BJ1071">
            <v>25</v>
          </cell>
          <cell r="BK1071">
            <v>39</v>
          </cell>
          <cell r="BL1071">
            <v>45</v>
          </cell>
          <cell r="BM1071">
            <v>21</v>
          </cell>
          <cell r="BN1071">
            <v>212</v>
          </cell>
          <cell r="BO1071">
            <v>10</v>
          </cell>
          <cell r="BP1071">
            <v>36</v>
          </cell>
          <cell r="BQ1071">
            <v>36</v>
          </cell>
          <cell r="BR1071">
            <v>25</v>
          </cell>
          <cell r="BS1071">
            <v>39</v>
          </cell>
          <cell r="BT1071">
            <v>0</v>
          </cell>
          <cell r="BU1071">
            <v>21</v>
          </cell>
          <cell r="BV1071">
            <v>167</v>
          </cell>
          <cell r="BW1071">
            <v>0</v>
          </cell>
          <cell r="BX1071" t="str">
            <v>TIDAK</v>
          </cell>
          <cell r="BY1071" t="str">
            <v>TIDAK</v>
          </cell>
        </row>
        <row r="1072">
          <cell r="A1072" t="str">
            <v>A4142</v>
          </cell>
          <cell r="B1072" t="str">
            <v>SALSABILA NUR SYIFA</v>
          </cell>
          <cell r="C1072" t="str">
            <v>TEMA C2</v>
          </cell>
          <cell r="D1072">
            <v>45465</v>
          </cell>
          <cell r="E1072" t="str">
            <v>Jun-24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 t="str">
            <v>-</v>
          </cell>
          <cell r="AQ1072" t="str">
            <v>-</v>
          </cell>
          <cell r="AR1072" t="str">
            <v>-</v>
          </cell>
          <cell r="AS1072" t="str">
            <v>-</v>
          </cell>
          <cell r="AT1072" t="str">
            <v>-</v>
          </cell>
          <cell r="AU1072" t="str">
            <v>-</v>
          </cell>
          <cell r="AV1072" t="str">
            <v/>
          </cell>
          <cell r="AW1072">
            <v>10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10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7</v>
          </cell>
          <cell r="BH1072">
            <v>10</v>
          </cell>
          <cell r="BI1072">
            <v>0</v>
          </cell>
          <cell r="BJ1072">
            <v>0</v>
          </cell>
          <cell r="BK1072">
            <v>0</v>
          </cell>
          <cell r="BL1072">
            <v>0</v>
          </cell>
          <cell r="BM1072" t="str">
            <v/>
          </cell>
          <cell r="BN1072">
            <v>17</v>
          </cell>
          <cell r="BO1072">
            <v>7</v>
          </cell>
          <cell r="BP1072">
            <v>10</v>
          </cell>
          <cell r="BQ1072">
            <v>0</v>
          </cell>
          <cell r="BR1072">
            <v>0</v>
          </cell>
          <cell r="BS1072">
            <v>0</v>
          </cell>
          <cell r="BT1072">
            <v>0</v>
          </cell>
          <cell r="BU1072" t="str">
            <v/>
          </cell>
          <cell r="BV1072">
            <v>17</v>
          </cell>
          <cell r="BW1072">
            <v>5</v>
          </cell>
          <cell r="BX1072" t="str">
            <v>DOWNGRADE</v>
          </cell>
          <cell r="BY1072" t="str">
            <v>RESET</v>
          </cell>
        </row>
        <row r="1073">
          <cell r="A1073" t="str">
            <v>A4143</v>
          </cell>
          <cell r="B1073" t="str">
            <v>GREVLIANY JOURIEN NOYA</v>
          </cell>
          <cell r="C1073" t="str">
            <v>TEMA C2</v>
          </cell>
          <cell r="D1073">
            <v>45464</v>
          </cell>
          <cell r="E1073" t="str">
            <v>Jun-24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 t="str">
            <v>-</v>
          </cell>
          <cell r="AQ1073" t="str">
            <v>-</v>
          </cell>
          <cell r="AR1073" t="str">
            <v>REGULER</v>
          </cell>
          <cell r="AS1073" t="str">
            <v>REGULER</v>
          </cell>
          <cell r="AT1073" t="str">
            <v>REGULER</v>
          </cell>
          <cell r="AU1073" t="str">
            <v>REGULER</v>
          </cell>
          <cell r="AV1073" t="str">
            <v/>
          </cell>
          <cell r="AW1073">
            <v>34</v>
          </cell>
          <cell r="AX1073">
            <v>22</v>
          </cell>
          <cell r="AY1073">
            <v>24</v>
          </cell>
          <cell r="AZ1073">
            <v>17</v>
          </cell>
          <cell r="BA1073">
            <v>12</v>
          </cell>
          <cell r="BB1073">
            <v>34</v>
          </cell>
          <cell r="BC1073">
            <v>22</v>
          </cell>
          <cell r="BD1073">
            <v>24</v>
          </cell>
          <cell r="BE1073">
            <v>17</v>
          </cell>
          <cell r="BF1073">
            <v>12</v>
          </cell>
          <cell r="BG1073">
            <v>12</v>
          </cell>
          <cell r="BH1073">
            <v>34</v>
          </cell>
          <cell r="BI1073">
            <v>22</v>
          </cell>
          <cell r="BJ1073">
            <v>24</v>
          </cell>
          <cell r="BK1073">
            <v>17</v>
          </cell>
          <cell r="BL1073">
            <v>12</v>
          </cell>
          <cell r="BM1073">
            <v>6</v>
          </cell>
          <cell r="BN1073">
            <v>127</v>
          </cell>
          <cell r="BO1073">
            <v>12</v>
          </cell>
          <cell r="BP1073">
            <v>34</v>
          </cell>
          <cell r="BQ1073">
            <v>22</v>
          </cell>
          <cell r="BR1073">
            <v>24</v>
          </cell>
          <cell r="BS1073">
            <v>17</v>
          </cell>
          <cell r="BT1073">
            <v>12</v>
          </cell>
          <cell r="BU1073">
            <v>6</v>
          </cell>
          <cell r="BV1073">
            <v>127</v>
          </cell>
          <cell r="BW1073">
            <v>0</v>
          </cell>
          <cell r="BX1073" t="str">
            <v>TIDAK</v>
          </cell>
          <cell r="BY1073" t="str">
            <v>TIDAK</v>
          </cell>
        </row>
        <row r="1074">
          <cell r="A1074" t="str">
            <v>A4162</v>
          </cell>
          <cell r="B1074" t="str">
            <v>FATHUL MUBAROQ</v>
          </cell>
          <cell r="C1074" t="str">
            <v>TEMA C2</v>
          </cell>
          <cell r="D1074">
            <v>45477</v>
          </cell>
          <cell r="E1074" t="str">
            <v>Jul-24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 t="str">
            <v>-</v>
          </cell>
          <cell r="AQ1074" t="str">
            <v>-</v>
          </cell>
          <cell r="AR1074" t="str">
            <v>REGULER</v>
          </cell>
          <cell r="AS1074" t="str">
            <v>EKSKLUSIF</v>
          </cell>
          <cell r="AT1074" t="str">
            <v>EKSKLUSIF</v>
          </cell>
          <cell r="AU1074" t="str">
            <v>EKSKLUSIF</v>
          </cell>
          <cell r="AV1074" t="str">
            <v/>
          </cell>
          <cell r="AW1074">
            <v>26</v>
          </cell>
          <cell r="AX1074">
            <v>38</v>
          </cell>
          <cell r="AY1074">
            <v>35</v>
          </cell>
          <cell r="AZ1074">
            <v>49</v>
          </cell>
          <cell r="BA1074">
            <v>43</v>
          </cell>
          <cell r="BB1074">
            <v>26</v>
          </cell>
          <cell r="BC1074">
            <v>38</v>
          </cell>
          <cell r="BD1074">
            <v>35</v>
          </cell>
          <cell r="BE1074">
            <v>49</v>
          </cell>
          <cell r="BF1074">
            <v>43</v>
          </cell>
          <cell r="BG1074">
            <v>0</v>
          </cell>
          <cell r="BH1074">
            <v>26</v>
          </cell>
          <cell r="BI1074">
            <v>38</v>
          </cell>
          <cell r="BJ1074">
            <v>35</v>
          </cell>
          <cell r="BK1074">
            <v>49</v>
          </cell>
          <cell r="BL1074">
            <v>43</v>
          </cell>
          <cell r="BM1074">
            <v>21</v>
          </cell>
          <cell r="BN1074">
            <v>212</v>
          </cell>
          <cell r="BO1074">
            <v>0</v>
          </cell>
          <cell r="BP1074">
            <v>26</v>
          </cell>
          <cell r="BQ1074">
            <v>38</v>
          </cell>
          <cell r="BR1074">
            <v>0</v>
          </cell>
          <cell r="BS1074">
            <v>0</v>
          </cell>
          <cell r="BT1074">
            <v>0</v>
          </cell>
          <cell r="BU1074">
            <v>21</v>
          </cell>
          <cell r="BV1074">
            <v>85</v>
          </cell>
          <cell r="BW1074">
            <v>0</v>
          </cell>
          <cell r="BX1074" t="str">
            <v>TIDAK</v>
          </cell>
          <cell r="BY1074" t="str">
            <v>TIDAK</v>
          </cell>
        </row>
        <row r="1075">
          <cell r="A1075" t="str">
            <v>A4163</v>
          </cell>
          <cell r="B1075" t="str">
            <v>ARUM NOVIYATI</v>
          </cell>
          <cell r="C1075" t="str">
            <v>TEMA C2</v>
          </cell>
          <cell r="D1075">
            <v>45477</v>
          </cell>
          <cell r="E1075" t="str">
            <v>Jul-24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 t="str">
            <v>-</v>
          </cell>
          <cell r="AQ1075" t="str">
            <v>-</v>
          </cell>
          <cell r="AR1075" t="str">
            <v>-</v>
          </cell>
          <cell r="AS1075" t="str">
            <v>-</v>
          </cell>
          <cell r="AT1075" t="str">
            <v>-</v>
          </cell>
          <cell r="AU1075" t="str">
            <v>-</v>
          </cell>
          <cell r="AV1075" t="str">
            <v/>
          </cell>
          <cell r="AW1075">
            <v>13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13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13</v>
          </cell>
          <cell r="BI1075">
            <v>0</v>
          </cell>
          <cell r="BJ1075">
            <v>0</v>
          </cell>
          <cell r="BK1075">
            <v>0</v>
          </cell>
          <cell r="BL1075">
            <v>0</v>
          </cell>
          <cell r="BM1075" t="str">
            <v/>
          </cell>
          <cell r="BN1075">
            <v>13</v>
          </cell>
          <cell r="BO1075">
            <v>0</v>
          </cell>
          <cell r="BP1075">
            <v>13</v>
          </cell>
          <cell r="BQ1075">
            <v>0</v>
          </cell>
          <cell r="BR1075">
            <v>0</v>
          </cell>
          <cell r="BS1075">
            <v>0</v>
          </cell>
          <cell r="BT1075">
            <v>0</v>
          </cell>
          <cell r="BU1075" t="str">
            <v/>
          </cell>
          <cell r="BV1075">
            <v>13</v>
          </cell>
          <cell r="BW1075">
            <v>5</v>
          </cell>
          <cell r="BX1075" t="str">
            <v>DOWNGRADE</v>
          </cell>
          <cell r="BY1075" t="str">
            <v>RESET</v>
          </cell>
        </row>
        <row r="1076">
          <cell r="A1076" t="str">
            <v>A4164</v>
          </cell>
          <cell r="B1076" t="str">
            <v>AINI NINDYARESMI</v>
          </cell>
          <cell r="C1076" t="str">
            <v>TEMA C2</v>
          </cell>
          <cell r="D1076">
            <v>45477</v>
          </cell>
          <cell r="E1076" t="str">
            <v>Jul-24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 t="str">
            <v>-</v>
          </cell>
          <cell r="AQ1076" t="str">
            <v>-</v>
          </cell>
          <cell r="AR1076" t="str">
            <v>-</v>
          </cell>
          <cell r="AS1076" t="str">
            <v>-</v>
          </cell>
          <cell r="AT1076" t="str">
            <v>-</v>
          </cell>
          <cell r="AU1076" t="str">
            <v>-</v>
          </cell>
          <cell r="AV1076" t="str">
            <v/>
          </cell>
          <cell r="AW1076">
            <v>17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17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17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 t="str">
            <v/>
          </cell>
          <cell r="BN1076">
            <v>17</v>
          </cell>
          <cell r="BO1076">
            <v>0</v>
          </cell>
          <cell r="BP1076">
            <v>17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 t="str">
            <v/>
          </cell>
          <cell r="BV1076">
            <v>17</v>
          </cell>
          <cell r="BW1076">
            <v>5</v>
          </cell>
          <cell r="BX1076" t="str">
            <v>DOWNGRADE</v>
          </cell>
          <cell r="BY1076" t="str">
            <v>RESET</v>
          </cell>
        </row>
        <row r="1077">
          <cell r="A1077" t="str">
            <v>A4165</v>
          </cell>
          <cell r="B1077" t="str">
            <v>HANI ANJAR PANGESTI</v>
          </cell>
          <cell r="C1077" t="str">
            <v>TEMA C2</v>
          </cell>
          <cell r="D1077">
            <v>45481</v>
          </cell>
          <cell r="E1077" t="str">
            <v>Jul-24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 t="str">
            <v>-</v>
          </cell>
          <cell r="AQ1077" t="str">
            <v>-</v>
          </cell>
          <cell r="AR1077" t="str">
            <v>-</v>
          </cell>
          <cell r="AS1077" t="str">
            <v>-</v>
          </cell>
          <cell r="AT1077" t="str">
            <v>-</v>
          </cell>
          <cell r="AU1077" t="str">
            <v>-</v>
          </cell>
          <cell r="AV1077" t="str">
            <v/>
          </cell>
          <cell r="AW1077">
            <v>25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25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25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 t="str">
            <v/>
          </cell>
          <cell r="BN1077">
            <v>25</v>
          </cell>
          <cell r="BO1077">
            <v>0</v>
          </cell>
          <cell r="BP1077">
            <v>25</v>
          </cell>
          <cell r="BQ1077">
            <v>0</v>
          </cell>
          <cell r="BR1077">
            <v>0</v>
          </cell>
          <cell r="BS1077">
            <v>0</v>
          </cell>
          <cell r="BT1077">
            <v>0</v>
          </cell>
          <cell r="BU1077" t="str">
            <v/>
          </cell>
          <cell r="BV1077">
            <v>25</v>
          </cell>
          <cell r="BW1077">
            <v>5</v>
          </cell>
          <cell r="BX1077" t="str">
            <v>DOWNGRADE</v>
          </cell>
          <cell r="BY1077" t="str">
            <v>RESET</v>
          </cell>
        </row>
        <row r="1078">
          <cell r="A1078" t="str">
            <v>A4166</v>
          </cell>
          <cell r="B1078" t="str">
            <v>SATRIA SUCI NOVARISKA SIREGAR</v>
          </cell>
          <cell r="C1078" t="str">
            <v>TEMA C2</v>
          </cell>
          <cell r="D1078">
            <v>45477</v>
          </cell>
          <cell r="E1078" t="str">
            <v>Jul-24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 t="str">
            <v>-</v>
          </cell>
          <cell r="AQ1078" t="str">
            <v>-</v>
          </cell>
          <cell r="AR1078" t="str">
            <v>-</v>
          </cell>
          <cell r="AS1078" t="str">
            <v>-</v>
          </cell>
          <cell r="AT1078" t="str">
            <v>-</v>
          </cell>
          <cell r="AU1078" t="str">
            <v>-</v>
          </cell>
          <cell r="AV1078" t="str">
            <v/>
          </cell>
          <cell r="AW1078">
            <v>15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15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15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 t="str">
            <v/>
          </cell>
          <cell r="BN1078">
            <v>15</v>
          </cell>
          <cell r="BO1078">
            <v>0</v>
          </cell>
          <cell r="BP1078">
            <v>15</v>
          </cell>
          <cell r="BQ1078">
            <v>0</v>
          </cell>
          <cell r="BR1078">
            <v>0</v>
          </cell>
          <cell r="BS1078">
            <v>0</v>
          </cell>
          <cell r="BT1078">
            <v>0</v>
          </cell>
          <cell r="BU1078" t="str">
            <v/>
          </cell>
          <cell r="BV1078">
            <v>15</v>
          </cell>
          <cell r="BW1078">
            <v>5</v>
          </cell>
          <cell r="BX1078" t="str">
            <v>DOWNGRADE</v>
          </cell>
          <cell r="BY1078" t="str">
            <v>RESET</v>
          </cell>
        </row>
        <row r="1079">
          <cell r="A1079" t="str">
            <v>A4167</v>
          </cell>
          <cell r="B1079" t="str">
            <v>MOH GUMILANG TRY UDDANY</v>
          </cell>
          <cell r="C1079" t="str">
            <v>TEMA C2</v>
          </cell>
          <cell r="D1079">
            <v>45477</v>
          </cell>
          <cell r="E1079" t="str">
            <v>Jul-24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 t="str">
            <v>-</v>
          </cell>
          <cell r="AQ1079" t="str">
            <v>-</v>
          </cell>
          <cell r="AR1079" t="str">
            <v>REGULER</v>
          </cell>
          <cell r="AS1079" t="str">
            <v>REGULER</v>
          </cell>
          <cell r="AT1079" t="str">
            <v>-</v>
          </cell>
          <cell r="AU1079" t="str">
            <v>-</v>
          </cell>
          <cell r="AV1079" t="str">
            <v/>
          </cell>
          <cell r="AW1079">
            <v>32</v>
          </cell>
          <cell r="AX1079">
            <v>35</v>
          </cell>
          <cell r="AY1079">
            <v>25</v>
          </cell>
          <cell r="AZ1079">
            <v>0</v>
          </cell>
          <cell r="BA1079">
            <v>0</v>
          </cell>
          <cell r="BB1079">
            <v>32</v>
          </cell>
          <cell r="BC1079">
            <v>35</v>
          </cell>
          <cell r="BD1079">
            <v>25</v>
          </cell>
          <cell r="BE1079">
            <v>0</v>
          </cell>
          <cell r="BF1079">
            <v>0</v>
          </cell>
          <cell r="BG1079">
            <v>0</v>
          </cell>
          <cell r="BH1079">
            <v>32</v>
          </cell>
          <cell r="BI1079">
            <v>35</v>
          </cell>
          <cell r="BJ1079">
            <v>25</v>
          </cell>
          <cell r="BK1079">
            <v>0</v>
          </cell>
          <cell r="BL1079">
            <v>0</v>
          </cell>
          <cell r="BM1079" t="str">
            <v/>
          </cell>
          <cell r="BN1079">
            <v>92</v>
          </cell>
          <cell r="BO1079">
            <v>0</v>
          </cell>
          <cell r="BP1079">
            <v>32</v>
          </cell>
          <cell r="BQ1079">
            <v>35</v>
          </cell>
          <cell r="BR1079">
            <v>25</v>
          </cell>
          <cell r="BS1079">
            <v>0</v>
          </cell>
          <cell r="BT1079">
            <v>0</v>
          </cell>
          <cell r="BU1079" t="str">
            <v/>
          </cell>
          <cell r="BV1079">
            <v>92</v>
          </cell>
          <cell r="BW1079">
            <v>3</v>
          </cell>
          <cell r="BX1079" t="str">
            <v>DOWNGRADE</v>
          </cell>
          <cell r="BY1079" t="str">
            <v>RESET</v>
          </cell>
        </row>
        <row r="1080">
          <cell r="A1080" t="str">
            <v>A4189</v>
          </cell>
          <cell r="B1080" t="str">
            <v>ARTA APRILIA SRI ASTUTI</v>
          </cell>
          <cell r="C1080" t="str">
            <v>TEMA C2</v>
          </cell>
          <cell r="D1080">
            <v>45485</v>
          </cell>
          <cell r="E1080" t="str">
            <v>Jul-24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 t="str">
            <v>-</v>
          </cell>
          <cell r="AQ1080" t="str">
            <v>-</v>
          </cell>
          <cell r="AR1080" t="str">
            <v>REGULER</v>
          </cell>
          <cell r="AS1080" t="str">
            <v>REGULER</v>
          </cell>
          <cell r="AT1080" t="str">
            <v>REGULER</v>
          </cell>
          <cell r="AU1080" t="str">
            <v>REGULER</v>
          </cell>
          <cell r="AV1080" t="str">
            <v/>
          </cell>
          <cell r="AW1080">
            <v>26</v>
          </cell>
          <cell r="AX1080">
            <v>23</v>
          </cell>
          <cell r="AY1080">
            <v>19</v>
          </cell>
          <cell r="AZ1080">
            <v>34</v>
          </cell>
          <cell r="BA1080">
            <v>19</v>
          </cell>
          <cell r="BB1080">
            <v>26</v>
          </cell>
          <cell r="BC1080">
            <v>23</v>
          </cell>
          <cell r="BD1080">
            <v>19</v>
          </cell>
          <cell r="BE1080">
            <v>34</v>
          </cell>
          <cell r="BF1080">
            <v>19</v>
          </cell>
          <cell r="BG1080">
            <v>0</v>
          </cell>
          <cell r="BH1080">
            <v>26</v>
          </cell>
          <cell r="BI1080">
            <v>23</v>
          </cell>
          <cell r="BJ1080">
            <v>19</v>
          </cell>
          <cell r="BK1080">
            <v>34</v>
          </cell>
          <cell r="BL1080">
            <v>19</v>
          </cell>
          <cell r="BM1080" t="str">
            <v/>
          </cell>
          <cell r="BN1080">
            <v>121</v>
          </cell>
          <cell r="BO1080">
            <v>0</v>
          </cell>
          <cell r="BP1080">
            <v>26</v>
          </cell>
          <cell r="BQ1080">
            <v>23</v>
          </cell>
          <cell r="BR1080">
            <v>19</v>
          </cell>
          <cell r="BS1080">
            <v>34</v>
          </cell>
          <cell r="BT1080">
            <v>19</v>
          </cell>
          <cell r="BU1080" t="str">
            <v/>
          </cell>
          <cell r="BV1080">
            <v>121</v>
          </cell>
          <cell r="BW1080">
            <v>1</v>
          </cell>
          <cell r="BX1080" t="str">
            <v>TIDAK</v>
          </cell>
          <cell r="BY1080" t="str">
            <v>TIDAK</v>
          </cell>
        </row>
        <row r="1081">
          <cell r="A1081" t="str">
            <v>A4190</v>
          </cell>
          <cell r="B1081" t="str">
            <v>DHEVA DAYAT VITO INDRAJAKA</v>
          </cell>
          <cell r="C1081" t="str">
            <v>TEMA C2</v>
          </cell>
          <cell r="D1081">
            <v>45484</v>
          </cell>
          <cell r="E1081" t="str">
            <v>Jul-24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 t="str">
            <v>-</v>
          </cell>
          <cell r="AQ1081" t="str">
            <v>-</v>
          </cell>
          <cell r="AR1081" t="str">
            <v>REGULER</v>
          </cell>
          <cell r="AS1081" t="str">
            <v>-</v>
          </cell>
          <cell r="AT1081" t="str">
            <v>-</v>
          </cell>
          <cell r="AU1081" t="str">
            <v>-</v>
          </cell>
          <cell r="AV1081" t="str">
            <v/>
          </cell>
          <cell r="AW1081">
            <v>14</v>
          </cell>
          <cell r="AX1081">
            <v>8</v>
          </cell>
          <cell r="AY1081">
            <v>0</v>
          </cell>
          <cell r="AZ1081">
            <v>0</v>
          </cell>
          <cell r="BA1081">
            <v>0</v>
          </cell>
          <cell r="BB1081">
            <v>14</v>
          </cell>
          <cell r="BC1081">
            <v>8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14</v>
          </cell>
          <cell r="BI1081">
            <v>8</v>
          </cell>
          <cell r="BJ1081">
            <v>0</v>
          </cell>
          <cell r="BK1081">
            <v>0</v>
          </cell>
          <cell r="BL1081">
            <v>0</v>
          </cell>
          <cell r="BM1081" t="str">
            <v/>
          </cell>
          <cell r="BN1081">
            <v>22</v>
          </cell>
          <cell r="BO1081">
            <v>0</v>
          </cell>
          <cell r="BP1081">
            <v>14</v>
          </cell>
          <cell r="BQ1081">
            <v>8</v>
          </cell>
          <cell r="BR1081">
            <v>0</v>
          </cell>
          <cell r="BS1081">
            <v>0</v>
          </cell>
          <cell r="BT1081">
            <v>0</v>
          </cell>
          <cell r="BU1081" t="str">
            <v/>
          </cell>
          <cell r="BV1081">
            <v>22</v>
          </cell>
          <cell r="BW1081">
            <v>4</v>
          </cell>
          <cell r="BX1081" t="str">
            <v>DOWNGRADE</v>
          </cell>
          <cell r="BY1081" t="str">
            <v>RESET</v>
          </cell>
        </row>
        <row r="1082">
          <cell r="A1082" t="str">
            <v>A4191</v>
          </cell>
          <cell r="B1082" t="str">
            <v>FLORENTINA SRI RATNANINGRUM</v>
          </cell>
          <cell r="C1082" t="str">
            <v>TEMA C2</v>
          </cell>
          <cell r="D1082">
            <v>45484</v>
          </cell>
          <cell r="E1082" t="str">
            <v>Jul-24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 t="str">
            <v>-</v>
          </cell>
          <cell r="AQ1082" t="str">
            <v>-</v>
          </cell>
          <cell r="AR1082" t="str">
            <v>REGULER</v>
          </cell>
          <cell r="AS1082" t="str">
            <v>REGULER</v>
          </cell>
          <cell r="AT1082" t="str">
            <v>REGULER</v>
          </cell>
          <cell r="AU1082" t="str">
            <v>REGULER</v>
          </cell>
          <cell r="AV1082" t="str">
            <v/>
          </cell>
          <cell r="AW1082">
            <v>28</v>
          </cell>
          <cell r="AX1082">
            <v>26</v>
          </cell>
          <cell r="AY1082">
            <v>20</v>
          </cell>
          <cell r="AZ1082">
            <v>6</v>
          </cell>
          <cell r="BA1082">
            <v>4</v>
          </cell>
          <cell r="BB1082">
            <v>28</v>
          </cell>
          <cell r="BC1082">
            <v>26</v>
          </cell>
          <cell r="BD1082">
            <v>20</v>
          </cell>
          <cell r="BE1082">
            <v>6</v>
          </cell>
          <cell r="BF1082">
            <v>4</v>
          </cell>
          <cell r="BG1082">
            <v>0</v>
          </cell>
          <cell r="BH1082">
            <v>28</v>
          </cell>
          <cell r="BI1082">
            <v>26</v>
          </cell>
          <cell r="BJ1082">
            <v>20</v>
          </cell>
          <cell r="BK1082">
            <v>6</v>
          </cell>
          <cell r="BL1082">
            <v>4</v>
          </cell>
          <cell r="BM1082" t="str">
            <v/>
          </cell>
          <cell r="BN1082">
            <v>84</v>
          </cell>
          <cell r="BO1082">
            <v>0</v>
          </cell>
          <cell r="BP1082">
            <v>28</v>
          </cell>
          <cell r="BQ1082">
            <v>26</v>
          </cell>
          <cell r="BR1082">
            <v>20</v>
          </cell>
          <cell r="BS1082">
            <v>6</v>
          </cell>
          <cell r="BT1082">
            <v>4</v>
          </cell>
          <cell r="BU1082" t="str">
            <v/>
          </cell>
          <cell r="BV1082">
            <v>84</v>
          </cell>
          <cell r="BW1082">
            <v>1</v>
          </cell>
          <cell r="BX1082" t="str">
            <v>TIDAK</v>
          </cell>
          <cell r="BY1082" t="str">
            <v>TIDAK</v>
          </cell>
        </row>
        <row r="1083">
          <cell r="A1083" t="str">
            <v>A4192</v>
          </cell>
          <cell r="B1083" t="str">
            <v>YOHANA ISABEL SIMANJUNTAK</v>
          </cell>
          <cell r="C1083" t="str">
            <v>TEMA C2</v>
          </cell>
          <cell r="D1083">
            <v>45484</v>
          </cell>
          <cell r="E1083" t="str">
            <v>Jul-24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 t="str">
            <v>-</v>
          </cell>
          <cell r="AQ1083" t="str">
            <v>-</v>
          </cell>
          <cell r="AR1083" t="str">
            <v>REGULER</v>
          </cell>
          <cell r="AS1083" t="str">
            <v>REGULER</v>
          </cell>
          <cell r="AT1083" t="str">
            <v>-</v>
          </cell>
          <cell r="AU1083" t="str">
            <v>-</v>
          </cell>
          <cell r="AV1083" t="str">
            <v/>
          </cell>
          <cell r="AW1083">
            <v>26</v>
          </cell>
          <cell r="AX1083">
            <v>28</v>
          </cell>
          <cell r="AY1083">
            <v>7</v>
          </cell>
          <cell r="AZ1083">
            <v>0</v>
          </cell>
          <cell r="BA1083">
            <v>0</v>
          </cell>
          <cell r="BB1083">
            <v>26</v>
          </cell>
          <cell r="BC1083">
            <v>28</v>
          </cell>
          <cell r="BD1083">
            <v>7</v>
          </cell>
          <cell r="BE1083">
            <v>0</v>
          </cell>
          <cell r="BF1083">
            <v>0</v>
          </cell>
          <cell r="BG1083">
            <v>0</v>
          </cell>
          <cell r="BH1083">
            <v>26</v>
          </cell>
          <cell r="BI1083">
            <v>28</v>
          </cell>
          <cell r="BJ1083">
            <v>7</v>
          </cell>
          <cell r="BK1083">
            <v>0</v>
          </cell>
          <cell r="BL1083">
            <v>0</v>
          </cell>
          <cell r="BM1083" t="str">
            <v/>
          </cell>
          <cell r="BN1083">
            <v>61</v>
          </cell>
          <cell r="BO1083">
            <v>0</v>
          </cell>
          <cell r="BP1083">
            <v>26</v>
          </cell>
          <cell r="BQ1083">
            <v>28</v>
          </cell>
          <cell r="BR1083">
            <v>7</v>
          </cell>
          <cell r="BS1083">
            <v>0</v>
          </cell>
          <cell r="BT1083">
            <v>0</v>
          </cell>
          <cell r="BU1083" t="str">
            <v/>
          </cell>
          <cell r="BV1083">
            <v>61</v>
          </cell>
          <cell r="BW1083">
            <v>3</v>
          </cell>
          <cell r="BX1083" t="str">
            <v>DOWNGRADE</v>
          </cell>
          <cell r="BY1083" t="str">
            <v>RESET</v>
          </cell>
        </row>
        <row r="1084">
          <cell r="A1084" t="str">
            <v>A4202</v>
          </cell>
          <cell r="B1084" t="str">
            <v>HAIRUL TURUNGKU</v>
          </cell>
          <cell r="C1084" t="str">
            <v>TEMA C2</v>
          </cell>
          <cell r="D1084">
            <v>45498</v>
          </cell>
          <cell r="E1084" t="str">
            <v>Jul-24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 t="str">
            <v>-</v>
          </cell>
          <cell r="AQ1084" t="str">
            <v>-</v>
          </cell>
          <cell r="AR1084" t="str">
            <v>-</v>
          </cell>
          <cell r="AS1084" t="str">
            <v>-</v>
          </cell>
          <cell r="AT1084" t="str">
            <v>-</v>
          </cell>
          <cell r="AU1084" t="str">
            <v>-</v>
          </cell>
          <cell r="AV1084" t="str">
            <v/>
          </cell>
          <cell r="AW1084">
            <v>5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5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5</v>
          </cell>
          <cell r="BI1084">
            <v>0</v>
          </cell>
          <cell r="BJ1084">
            <v>0</v>
          </cell>
          <cell r="BK1084">
            <v>0</v>
          </cell>
          <cell r="BL1084">
            <v>0</v>
          </cell>
          <cell r="BM1084" t="str">
            <v/>
          </cell>
          <cell r="BN1084">
            <v>5</v>
          </cell>
          <cell r="BO1084">
            <v>0</v>
          </cell>
          <cell r="BP1084">
            <v>5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 t="str">
            <v/>
          </cell>
          <cell r="BV1084">
            <v>5</v>
          </cell>
          <cell r="BW1084">
            <v>5</v>
          </cell>
          <cell r="BX1084" t="str">
            <v>DOWNGRADE</v>
          </cell>
          <cell r="BY1084" t="str">
            <v>RESET</v>
          </cell>
        </row>
        <row r="1085">
          <cell r="A1085" t="str">
            <v>A4204</v>
          </cell>
          <cell r="B1085" t="str">
            <v>MEZA DEWANGGA</v>
          </cell>
          <cell r="C1085" t="str">
            <v>TEMA C2</v>
          </cell>
          <cell r="D1085">
            <v>45498</v>
          </cell>
          <cell r="E1085" t="str">
            <v>Jul-24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 t="str">
            <v>-</v>
          </cell>
          <cell r="AQ1085" t="str">
            <v>-</v>
          </cell>
          <cell r="AR1085" t="str">
            <v>REGULER</v>
          </cell>
          <cell r="AS1085" t="str">
            <v>REGULER</v>
          </cell>
          <cell r="AT1085" t="str">
            <v>REGULER</v>
          </cell>
          <cell r="AU1085" t="str">
            <v>REGULER</v>
          </cell>
          <cell r="AV1085" t="str">
            <v/>
          </cell>
          <cell r="AW1085">
            <v>9</v>
          </cell>
          <cell r="AX1085">
            <v>27</v>
          </cell>
          <cell r="AY1085">
            <v>9</v>
          </cell>
          <cell r="AZ1085">
            <v>19</v>
          </cell>
          <cell r="BA1085">
            <v>7</v>
          </cell>
          <cell r="BB1085">
            <v>9</v>
          </cell>
          <cell r="BC1085">
            <v>27</v>
          </cell>
          <cell r="BD1085">
            <v>9</v>
          </cell>
          <cell r="BE1085">
            <v>19</v>
          </cell>
          <cell r="BF1085">
            <v>7</v>
          </cell>
          <cell r="BG1085">
            <v>0</v>
          </cell>
          <cell r="BH1085">
            <v>9</v>
          </cell>
          <cell r="BI1085">
            <v>27</v>
          </cell>
          <cell r="BJ1085">
            <v>9</v>
          </cell>
          <cell r="BK1085">
            <v>19</v>
          </cell>
          <cell r="BL1085">
            <v>7</v>
          </cell>
          <cell r="BM1085" t="str">
            <v/>
          </cell>
          <cell r="BN1085">
            <v>71</v>
          </cell>
          <cell r="BO1085">
            <v>0</v>
          </cell>
          <cell r="BP1085">
            <v>9</v>
          </cell>
          <cell r="BQ1085">
            <v>27</v>
          </cell>
          <cell r="BR1085">
            <v>9</v>
          </cell>
          <cell r="BS1085">
            <v>19</v>
          </cell>
          <cell r="BT1085">
            <v>7</v>
          </cell>
          <cell r="BU1085" t="str">
            <v/>
          </cell>
          <cell r="BV1085">
            <v>71</v>
          </cell>
          <cell r="BW1085">
            <v>1</v>
          </cell>
          <cell r="BX1085" t="str">
            <v>TIDAK</v>
          </cell>
          <cell r="BY1085" t="str">
            <v>TIDAK</v>
          </cell>
        </row>
        <row r="1086">
          <cell r="A1086" t="str">
            <v>A4205</v>
          </cell>
          <cell r="B1086" t="str">
            <v>ARIN ISNAENI FEBRIYANTI</v>
          </cell>
          <cell r="C1086" t="str">
            <v>TEMA C2</v>
          </cell>
          <cell r="D1086">
            <v>45498</v>
          </cell>
          <cell r="E1086" t="str">
            <v>Jul-24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 t="str">
            <v>-</v>
          </cell>
          <cell r="AQ1086" t="str">
            <v>-</v>
          </cell>
          <cell r="AR1086" t="str">
            <v>REGULER</v>
          </cell>
          <cell r="AS1086" t="str">
            <v>REGULER</v>
          </cell>
          <cell r="AT1086" t="str">
            <v>REGULER</v>
          </cell>
          <cell r="AU1086" t="str">
            <v>REGULER</v>
          </cell>
          <cell r="AV1086" t="str">
            <v/>
          </cell>
          <cell r="AW1086">
            <v>10</v>
          </cell>
          <cell r="AX1086">
            <v>31</v>
          </cell>
          <cell r="AY1086">
            <v>8</v>
          </cell>
          <cell r="AZ1086">
            <v>11</v>
          </cell>
          <cell r="BA1086">
            <v>11</v>
          </cell>
          <cell r="BB1086">
            <v>10</v>
          </cell>
          <cell r="BC1086">
            <v>31</v>
          </cell>
          <cell r="BD1086">
            <v>8</v>
          </cell>
          <cell r="BE1086">
            <v>11</v>
          </cell>
          <cell r="BF1086">
            <v>11</v>
          </cell>
          <cell r="BG1086">
            <v>0</v>
          </cell>
          <cell r="BH1086">
            <v>10</v>
          </cell>
          <cell r="BI1086">
            <v>31</v>
          </cell>
          <cell r="BJ1086">
            <v>8</v>
          </cell>
          <cell r="BK1086">
            <v>11</v>
          </cell>
          <cell r="BL1086">
            <v>11</v>
          </cell>
          <cell r="BM1086">
            <v>3</v>
          </cell>
          <cell r="BN1086">
            <v>74</v>
          </cell>
          <cell r="BO1086">
            <v>0</v>
          </cell>
          <cell r="BP1086">
            <v>10</v>
          </cell>
          <cell r="BQ1086">
            <v>31</v>
          </cell>
          <cell r="BR1086">
            <v>8</v>
          </cell>
          <cell r="BS1086">
            <v>11</v>
          </cell>
          <cell r="BT1086">
            <v>11</v>
          </cell>
          <cell r="BU1086">
            <v>3</v>
          </cell>
          <cell r="BV1086">
            <v>74</v>
          </cell>
          <cell r="BW1086">
            <v>0</v>
          </cell>
          <cell r="BX1086" t="str">
            <v>TIDAK</v>
          </cell>
          <cell r="BY1086" t="str">
            <v>TIDAK</v>
          </cell>
        </row>
        <row r="1087">
          <cell r="A1087" t="str">
            <v>A4206</v>
          </cell>
          <cell r="B1087" t="str">
            <v>JOE ALEX</v>
          </cell>
          <cell r="C1087" t="str">
            <v>TEMA C2</v>
          </cell>
          <cell r="D1087">
            <v>45498</v>
          </cell>
          <cell r="E1087" t="str">
            <v>Jul-24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 t="str">
            <v>-</v>
          </cell>
          <cell r="AQ1087" t="str">
            <v>-</v>
          </cell>
          <cell r="AR1087" t="str">
            <v>REGULER</v>
          </cell>
          <cell r="AS1087" t="str">
            <v>REGULER</v>
          </cell>
          <cell r="AT1087" t="str">
            <v>-</v>
          </cell>
          <cell r="AU1087" t="str">
            <v>-</v>
          </cell>
          <cell r="AV1087" t="str">
            <v/>
          </cell>
          <cell r="AW1087">
            <v>9</v>
          </cell>
          <cell r="AX1087">
            <v>31</v>
          </cell>
          <cell r="AY1087">
            <v>15</v>
          </cell>
          <cell r="AZ1087">
            <v>0</v>
          </cell>
          <cell r="BA1087">
            <v>0</v>
          </cell>
          <cell r="BB1087">
            <v>9</v>
          </cell>
          <cell r="BC1087">
            <v>31</v>
          </cell>
          <cell r="BD1087">
            <v>15</v>
          </cell>
          <cell r="BE1087">
            <v>0</v>
          </cell>
          <cell r="BF1087">
            <v>0</v>
          </cell>
          <cell r="BG1087">
            <v>0</v>
          </cell>
          <cell r="BH1087">
            <v>9</v>
          </cell>
          <cell r="BI1087">
            <v>31</v>
          </cell>
          <cell r="BJ1087">
            <v>15</v>
          </cell>
          <cell r="BK1087">
            <v>0</v>
          </cell>
          <cell r="BL1087">
            <v>0</v>
          </cell>
          <cell r="BM1087" t="str">
            <v/>
          </cell>
          <cell r="BN1087">
            <v>55</v>
          </cell>
          <cell r="BO1087">
            <v>0</v>
          </cell>
          <cell r="BP1087">
            <v>9</v>
          </cell>
          <cell r="BQ1087">
            <v>31</v>
          </cell>
          <cell r="BR1087">
            <v>15</v>
          </cell>
          <cell r="BS1087">
            <v>0</v>
          </cell>
          <cell r="BT1087">
            <v>0</v>
          </cell>
          <cell r="BU1087" t="str">
            <v/>
          </cell>
          <cell r="BV1087">
            <v>55</v>
          </cell>
          <cell r="BW1087">
            <v>3</v>
          </cell>
          <cell r="BX1087" t="str">
            <v>DOWNGRADE</v>
          </cell>
          <cell r="BY1087" t="str">
            <v>RESET</v>
          </cell>
        </row>
        <row r="1088">
          <cell r="A1088" t="str">
            <v>A4207</v>
          </cell>
          <cell r="B1088" t="str">
            <v>RISTI NINGSIH</v>
          </cell>
          <cell r="C1088" t="str">
            <v>TEMA C2</v>
          </cell>
          <cell r="D1088">
            <v>45505</v>
          </cell>
          <cell r="E1088" t="str">
            <v>Aug-24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 t="str">
            <v>-</v>
          </cell>
          <cell r="AQ1088" t="str">
            <v>-</v>
          </cell>
          <cell r="AR1088" t="str">
            <v>REGULER</v>
          </cell>
          <cell r="AS1088" t="str">
            <v>-</v>
          </cell>
          <cell r="AT1088" t="str">
            <v>-</v>
          </cell>
          <cell r="AU1088" t="str">
            <v>-</v>
          </cell>
          <cell r="AV1088" t="str">
            <v/>
          </cell>
          <cell r="AW1088">
            <v>0</v>
          </cell>
          <cell r="AX1088">
            <v>20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20</v>
          </cell>
          <cell r="BD1088">
            <v>0</v>
          </cell>
          <cell r="BE1088">
            <v>0</v>
          </cell>
          <cell r="BF1088">
            <v>0</v>
          </cell>
          <cell r="BG1088" t="str">
            <v/>
          </cell>
          <cell r="BH1088">
            <v>0</v>
          </cell>
          <cell r="BI1088">
            <v>20</v>
          </cell>
          <cell r="BJ1088">
            <v>0</v>
          </cell>
          <cell r="BK1088">
            <v>0</v>
          </cell>
          <cell r="BL1088">
            <v>0</v>
          </cell>
          <cell r="BM1088" t="str">
            <v/>
          </cell>
          <cell r="BN1088">
            <v>20</v>
          </cell>
          <cell r="BO1088" t="str">
            <v/>
          </cell>
          <cell r="BP1088">
            <v>0</v>
          </cell>
          <cell r="BQ1088">
            <v>20</v>
          </cell>
          <cell r="BR1088">
            <v>0</v>
          </cell>
          <cell r="BS1088">
            <v>0</v>
          </cell>
          <cell r="BT1088">
            <v>0</v>
          </cell>
          <cell r="BU1088" t="str">
            <v/>
          </cell>
          <cell r="BV1088">
            <v>20</v>
          </cell>
          <cell r="BW1088">
            <v>4</v>
          </cell>
          <cell r="BX1088" t="str">
            <v>DOWNGRADE</v>
          </cell>
          <cell r="BY1088" t="str">
            <v>RESET</v>
          </cell>
        </row>
        <row r="1089">
          <cell r="A1089" t="str">
            <v>A4222</v>
          </cell>
          <cell r="B1089" t="str">
            <v>RAKHMAT TRIANTORO</v>
          </cell>
          <cell r="C1089" t="str">
            <v>TEMA C2</v>
          </cell>
          <cell r="D1089">
            <v>45505</v>
          </cell>
          <cell r="E1089" t="str">
            <v>Aug-24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 t="str">
            <v>-</v>
          </cell>
          <cell r="AQ1089" t="str">
            <v>-</v>
          </cell>
          <cell r="AR1089" t="str">
            <v>REGULER</v>
          </cell>
          <cell r="AS1089" t="str">
            <v>-</v>
          </cell>
          <cell r="AT1089" t="str">
            <v>-</v>
          </cell>
          <cell r="AU1089" t="str">
            <v>-</v>
          </cell>
          <cell r="AV1089" t="str">
            <v/>
          </cell>
          <cell r="AW1089">
            <v>0</v>
          </cell>
          <cell r="AX1089">
            <v>18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18</v>
          </cell>
          <cell r="BD1089">
            <v>0</v>
          </cell>
          <cell r="BE1089">
            <v>0</v>
          </cell>
          <cell r="BF1089">
            <v>0</v>
          </cell>
          <cell r="BG1089" t="str">
            <v/>
          </cell>
          <cell r="BH1089">
            <v>0</v>
          </cell>
          <cell r="BI1089">
            <v>18</v>
          </cell>
          <cell r="BJ1089">
            <v>0</v>
          </cell>
          <cell r="BK1089">
            <v>0</v>
          </cell>
          <cell r="BL1089">
            <v>0</v>
          </cell>
          <cell r="BM1089" t="str">
            <v/>
          </cell>
          <cell r="BN1089">
            <v>18</v>
          </cell>
          <cell r="BO1089" t="str">
            <v/>
          </cell>
          <cell r="BP1089">
            <v>0</v>
          </cell>
          <cell r="BQ1089">
            <v>18</v>
          </cell>
          <cell r="BR1089">
            <v>0</v>
          </cell>
          <cell r="BS1089">
            <v>0</v>
          </cell>
          <cell r="BT1089">
            <v>0</v>
          </cell>
          <cell r="BU1089" t="str">
            <v/>
          </cell>
          <cell r="BV1089">
            <v>18</v>
          </cell>
          <cell r="BW1089">
            <v>4</v>
          </cell>
          <cell r="BX1089" t="str">
            <v>DOWNGRADE</v>
          </cell>
          <cell r="BY1089" t="str">
            <v>RESET</v>
          </cell>
        </row>
        <row r="1090">
          <cell r="A1090" t="str">
            <v>A4223</v>
          </cell>
          <cell r="B1090" t="str">
            <v>ZALMA RALFANNI</v>
          </cell>
          <cell r="C1090" t="str">
            <v>TEMA C2</v>
          </cell>
          <cell r="D1090">
            <v>45505</v>
          </cell>
          <cell r="E1090" t="str">
            <v>Aug-24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 t="str">
            <v>-</v>
          </cell>
          <cell r="AQ1090" t="str">
            <v>-</v>
          </cell>
          <cell r="AR1090" t="str">
            <v>REGULER</v>
          </cell>
          <cell r="AS1090" t="str">
            <v>-</v>
          </cell>
          <cell r="AT1090" t="str">
            <v>-</v>
          </cell>
          <cell r="AU1090" t="str">
            <v>-</v>
          </cell>
          <cell r="AV1090" t="str">
            <v/>
          </cell>
          <cell r="AW1090">
            <v>0</v>
          </cell>
          <cell r="AX1090">
            <v>31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31</v>
          </cell>
          <cell r="BD1090">
            <v>0</v>
          </cell>
          <cell r="BE1090">
            <v>0</v>
          </cell>
          <cell r="BF1090">
            <v>0</v>
          </cell>
          <cell r="BG1090" t="str">
            <v/>
          </cell>
          <cell r="BH1090">
            <v>0</v>
          </cell>
          <cell r="BI1090">
            <v>31</v>
          </cell>
          <cell r="BJ1090">
            <v>0</v>
          </cell>
          <cell r="BK1090">
            <v>0</v>
          </cell>
          <cell r="BL1090">
            <v>0</v>
          </cell>
          <cell r="BM1090" t="str">
            <v/>
          </cell>
          <cell r="BN1090">
            <v>31</v>
          </cell>
          <cell r="BO1090" t="str">
            <v/>
          </cell>
          <cell r="BP1090">
            <v>0</v>
          </cell>
          <cell r="BQ1090">
            <v>31</v>
          </cell>
          <cell r="BR1090">
            <v>0</v>
          </cell>
          <cell r="BS1090">
            <v>0</v>
          </cell>
          <cell r="BT1090">
            <v>0</v>
          </cell>
          <cell r="BU1090" t="str">
            <v/>
          </cell>
          <cell r="BV1090">
            <v>31</v>
          </cell>
          <cell r="BW1090">
            <v>4</v>
          </cell>
          <cell r="BX1090" t="str">
            <v>DOWNGRADE</v>
          </cell>
          <cell r="BY1090" t="str">
            <v>RESET</v>
          </cell>
        </row>
        <row r="1091">
          <cell r="A1091" t="str">
            <v>A4224</v>
          </cell>
          <cell r="B1091" t="str">
            <v>FRANSISCA LISA DWI PUSPA RINI</v>
          </cell>
          <cell r="C1091" t="str">
            <v>TEMA C2</v>
          </cell>
          <cell r="D1091">
            <v>45505</v>
          </cell>
          <cell r="E1091" t="str">
            <v>Aug-24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 t="str">
            <v>-</v>
          </cell>
          <cell r="AQ1091" t="str">
            <v>-</v>
          </cell>
          <cell r="AR1091" t="str">
            <v>REGULER</v>
          </cell>
          <cell r="AS1091" t="str">
            <v>REGULER</v>
          </cell>
          <cell r="AT1091" t="str">
            <v>REGULER</v>
          </cell>
          <cell r="AU1091" t="str">
            <v>-</v>
          </cell>
          <cell r="AV1091" t="str">
            <v/>
          </cell>
          <cell r="AW1091">
            <v>0</v>
          </cell>
          <cell r="AX1091">
            <v>41</v>
          </cell>
          <cell r="AY1091">
            <v>28</v>
          </cell>
          <cell r="AZ1091">
            <v>25</v>
          </cell>
          <cell r="BA1091">
            <v>0</v>
          </cell>
          <cell r="BB1091">
            <v>0</v>
          </cell>
          <cell r="BC1091">
            <v>41</v>
          </cell>
          <cell r="BD1091">
            <v>28</v>
          </cell>
          <cell r="BE1091">
            <v>25</v>
          </cell>
          <cell r="BF1091">
            <v>0</v>
          </cell>
          <cell r="BG1091" t="str">
            <v/>
          </cell>
          <cell r="BH1091">
            <v>0</v>
          </cell>
          <cell r="BI1091">
            <v>41</v>
          </cell>
          <cell r="BJ1091">
            <v>28</v>
          </cell>
          <cell r="BK1091">
            <v>25</v>
          </cell>
          <cell r="BL1091">
            <v>0</v>
          </cell>
          <cell r="BM1091" t="str">
            <v/>
          </cell>
          <cell r="BN1091">
            <v>94</v>
          </cell>
          <cell r="BO1091" t="str">
            <v/>
          </cell>
          <cell r="BP1091">
            <v>0</v>
          </cell>
          <cell r="BQ1091">
            <v>41</v>
          </cell>
          <cell r="BR1091">
            <v>28</v>
          </cell>
          <cell r="BS1091">
            <v>25</v>
          </cell>
          <cell r="BT1091">
            <v>0</v>
          </cell>
          <cell r="BU1091" t="str">
            <v/>
          </cell>
          <cell r="BV1091">
            <v>94</v>
          </cell>
          <cell r="BW1091">
            <v>2</v>
          </cell>
          <cell r="BX1091" t="str">
            <v>TIDAK</v>
          </cell>
          <cell r="BY1091" t="str">
            <v>TIDAK</v>
          </cell>
        </row>
        <row r="1092">
          <cell r="A1092" t="str">
            <v>A4225</v>
          </cell>
          <cell r="B1092" t="str">
            <v>TOPAN JIWODEWO</v>
          </cell>
          <cell r="C1092" t="str">
            <v>TEMA C2</v>
          </cell>
          <cell r="D1092">
            <v>45505</v>
          </cell>
          <cell r="E1092" t="str">
            <v>Aug-24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 t="str">
            <v>-</v>
          </cell>
          <cell r="AQ1092" t="str">
            <v>-</v>
          </cell>
          <cell r="AR1092" t="str">
            <v>REGULER</v>
          </cell>
          <cell r="AS1092" t="str">
            <v>REGULER</v>
          </cell>
          <cell r="AT1092" t="str">
            <v>REGULER</v>
          </cell>
          <cell r="AU1092" t="str">
            <v>REGULER</v>
          </cell>
          <cell r="AV1092" t="str">
            <v/>
          </cell>
          <cell r="AW1092">
            <v>0</v>
          </cell>
          <cell r="AX1092">
            <v>33</v>
          </cell>
          <cell r="AY1092">
            <v>37</v>
          </cell>
          <cell r="AZ1092">
            <v>34</v>
          </cell>
          <cell r="BA1092">
            <v>22</v>
          </cell>
          <cell r="BB1092">
            <v>0</v>
          </cell>
          <cell r="BC1092">
            <v>33</v>
          </cell>
          <cell r="BD1092">
            <v>37</v>
          </cell>
          <cell r="BE1092">
            <v>34</v>
          </cell>
          <cell r="BF1092">
            <v>22</v>
          </cell>
          <cell r="BG1092" t="str">
            <v/>
          </cell>
          <cell r="BH1092">
            <v>0</v>
          </cell>
          <cell r="BI1092">
            <v>33</v>
          </cell>
          <cell r="BJ1092">
            <v>37</v>
          </cell>
          <cell r="BK1092">
            <v>34</v>
          </cell>
          <cell r="BL1092">
            <v>22</v>
          </cell>
          <cell r="BM1092">
            <v>9</v>
          </cell>
          <cell r="BN1092">
            <v>135</v>
          </cell>
          <cell r="BO1092" t="str">
            <v/>
          </cell>
          <cell r="BP1092">
            <v>0</v>
          </cell>
          <cell r="BQ1092">
            <v>33</v>
          </cell>
          <cell r="BR1092">
            <v>37</v>
          </cell>
          <cell r="BS1092">
            <v>34</v>
          </cell>
          <cell r="BT1092">
            <v>22</v>
          </cell>
          <cell r="BU1092">
            <v>9</v>
          </cell>
          <cell r="BV1092">
            <v>135</v>
          </cell>
          <cell r="BW1092">
            <v>0</v>
          </cell>
          <cell r="BX1092" t="str">
            <v>TIDAK</v>
          </cell>
          <cell r="BY1092" t="str">
            <v>TIDAK</v>
          </cell>
        </row>
        <row r="1093">
          <cell r="A1093" t="str">
            <v>A4226</v>
          </cell>
          <cell r="B1093" t="str">
            <v>MALECITA SINGGIH</v>
          </cell>
          <cell r="C1093" t="str">
            <v>TEMA C2</v>
          </cell>
          <cell r="D1093">
            <v>45505</v>
          </cell>
          <cell r="E1093" t="str">
            <v>Aug-24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 t="str">
            <v>-</v>
          </cell>
          <cell r="AQ1093" t="str">
            <v>-</v>
          </cell>
          <cell r="AR1093" t="str">
            <v>REGULER</v>
          </cell>
          <cell r="AS1093" t="str">
            <v>-</v>
          </cell>
          <cell r="AT1093" t="str">
            <v>-</v>
          </cell>
          <cell r="AU1093" t="str">
            <v>-</v>
          </cell>
          <cell r="AV1093" t="str">
            <v/>
          </cell>
          <cell r="AW1093">
            <v>0</v>
          </cell>
          <cell r="AX1093">
            <v>23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23</v>
          </cell>
          <cell r="BD1093">
            <v>0</v>
          </cell>
          <cell r="BE1093">
            <v>0</v>
          </cell>
          <cell r="BF1093">
            <v>0</v>
          </cell>
          <cell r="BG1093" t="str">
            <v/>
          </cell>
          <cell r="BH1093">
            <v>0</v>
          </cell>
          <cell r="BI1093">
            <v>23</v>
          </cell>
          <cell r="BJ1093">
            <v>0</v>
          </cell>
          <cell r="BK1093">
            <v>0</v>
          </cell>
          <cell r="BL1093">
            <v>0</v>
          </cell>
          <cell r="BM1093" t="str">
            <v/>
          </cell>
          <cell r="BN1093">
            <v>23</v>
          </cell>
          <cell r="BO1093" t="str">
            <v/>
          </cell>
          <cell r="BP1093">
            <v>0</v>
          </cell>
          <cell r="BQ1093">
            <v>23</v>
          </cell>
          <cell r="BR1093">
            <v>0</v>
          </cell>
          <cell r="BS1093">
            <v>0</v>
          </cell>
          <cell r="BT1093">
            <v>0</v>
          </cell>
          <cell r="BU1093" t="str">
            <v/>
          </cell>
          <cell r="BV1093">
            <v>23</v>
          </cell>
          <cell r="BW1093">
            <v>4</v>
          </cell>
          <cell r="BX1093" t="str">
            <v>DOWNGRADE</v>
          </cell>
          <cell r="BY1093" t="str">
            <v>RESET</v>
          </cell>
        </row>
        <row r="1094">
          <cell r="A1094" t="str">
            <v>A4227</v>
          </cell>
          <cell r="B1094" t="str">
            <v>TESSALONIKA KRISNAWIRANTO</v>
          </cell>
          <cell r="C1094" t="str">
            <v>TEMA C2</v>
          </cell>
          <cell r="D1094">
            <v>45505</v>
          </cell>
          <cell r="E1094" t="str">
            <v>Aug-24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 t="str">
            <v>-</v>
          </cell>
          <cell r="AQ1094" t="str">
            <v>-</v>
          </cell>
          <cell r="AR1094" t="str">
            <v>REGULER</v>
          </cell>
          <cell r="AS1094" t="str">
            <v>REGULER</v>
          </cell>
          <cell r="AT1094" t="str">
            <v>REGULER</v>
          </cell>
          <cell r="AU1094" t="str">
            <v>REGULER</v>
          </cell>
          <cell r="AV1094" t="str">
            <v/>
          </cell>
          <cell r="AW1094">
            <v>0</v>
          </cell>
          <cell r="AX1094">
            <v>46</v>
          </cell>
          <cell r="AY1094">
            <v>28</v>
          </cell>
          <cell r="AZ1094">
            <v>42</v>
          </cell>
          <cell r="BA1094">
            <v>40</v>
          </cell>
          <cell r="BB1094">
            <v>0</v>
          </cell>
          <cell r="BC1094">
            <v>46</v>
          </cell>
          <cell r="BD1094">
            <v>28</v>
          </cell>
          <cell r="BE1094">
            <v>42</v>
          </cell>
          <cell r="BF1094">
            <v>40</v>
          </cell>
          <cell r="BG1094" t="str">
            <v/>
          </cell>
          <cell r="BH1094">
            <v>0</v>
          </cell>
          <cell r="BI1094">
            <v>46</v>
          </cell>
          <cell r="BJ1094">
            <v>28</v>
          </cell>
          <cell r="BK1094">
            <v>42</v>
          </cell>
          <cell r="BL1094">
            <v>40</v>
          </cell>
          <cell r="BM1094" t="str">
            <v/>
          </cell>
          <cell r="BN1094">
            <v>156</v>
          </cell>
          <cell r="BO1094" t="str">
            <v/>
          </cell>
          <cell r="BP1094">
            <v>0</v>
          </cell>
          <cell r="BQ1094">
            <v>46</v>
          </cell>
          <cell r="BR1094">
            <v>28</v>
          </cell>
          <cell r="BS1094">
            <v>42</v>
          </cell>
          <cell r="BT1094">
            <v>40</v>
          </cell>
          <cell r="BU1094" t="str">
            <v/>
          </cell>
          <cell r="BV1094">
            <v>156</v>
          </cell>
          <cell r="BW1094">
            <v>1</v>
          </cell>
          <cell r="BX1094" t="str">
            <v>TIDAK</v>
          </cell>
          <cell r="BY1094" t="str">
            <v>TIDAK</v>
          </cell>
        </row>
        <row r="1095">
          <cell r="A1095" t="str">
            <v>A4228</v>
          </cell>
          <cell r="B1095" t="str">
            <v>OKTARIA PUSPITA</v>
          </cell>
          <cell r="C1095" t="str">
            <v>TEMA C2</v>
          </cell>
          <cell r="D1095">
            <v>45505</v>
          </cell>
          <cell r="E1095" t="str">
            <v>Aug-24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 t="str">
            <v>-</v>
          </cell>
          <cell r="AQ1095" t="str">
            <v>-</v>
          </cell>
          <cell r="AR1095" t="str">
            <v>REGULER</v>
          </cell>
          <cell r="AS1095" t="str">
            <v>-</v>
          </cell>
          <cell r="AT1095" t="str">
            <v>-</v>
          </cell>
          <cell r="AU1095" t="str">
            <v>-</v>
          </cell>
          <cell r="AV1095" t="str">
            <v/>
          </cell>
          <cell r="AW1095">
            <v>0</v>
          </cell>
          <cell r="AX1095">
            <v>11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11</v>
          </cell>
          <cell r="BD1095">
            <v>0</v>
          </cell>
          <cell r="BE1095">
            <v>0</v>
          </cell>
          <cell r="BF1095">
            <v>0</v>
          </cell>
          <cell r="BG1095" t="str">
            <v/>
          </cell>
          <cell r="BH1095">
            <v>0</v>
          </cell>
          <cell r="BI1095">
            <v>11</v>
          </cell>
          <cell r="BJ1095">
            <v>0</v>
          </cell>
          <cell r="BK1095">
            <v>0</v>
          </cell>
          <cell r="BL1095">
            <v>0</v>
          </cell>
          <cell r="BM1095" t="str">
            <v/>
          </cell>
          <cell r="BN1095">
            <v>11</v>
          </cell>
          <cell r="BO1095" t="str">
            <v/>
          </cell>
          <cell r="BP1095">
            <v>0</v>
          </cell>
          <cell r="BQ1095">
            <v>11</v>
          </cell>
          <cell r="BR1095">
            <v>0</v>
          </cell>
          <cell r="BS1095">
            <v>0</v>
          </cell>
          <cell r="BT1095">
            <v>0</v>
          </cell>
          <cell r="BU1095" t="str">
            <v/>
          </cell>
          <cell r="BV1095">
            <v>11</v>
          </cell>
          <cell r="BW1095">
            <v>4</v>
          </cell>
          <cell r="BX1095" t="str">
            <v>DOWNGRADE</v>
          </cell>
          <cell r="BY1095" t="str">
            <v>RESET</v>
          </cell>
        </row>
        <row r="1096">
          <cell r="A1096" t="str">
            <v>A4229</v>
          </cell>
          <cell r="B1096" t="str">
            <v>KHOERUNNISSA</v>
          </cell>
          <cell r="C1096" t="str">
            <v>TEMA C2</v>
          </cell>
          <cell r="D1096">
            <v>45505</v>
          </cell>
          <cell r="E1096" t="str">
            <v>Aug-24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 t="str">
            <v>-</v>
          </cell>
          <cell r="AQ1096" t="str">
            <v>-</v>
          </cell>
          <cell r="AR1096" t="str">
            <v>REGULER</v>
          </cell>
          <cell r="AS1096" t="str">
            <v>REGULER</v>
          </cell>
          <cell r="AT1096" t="str">
            <v>-</v>
          </cell>
          <cell r="AU1096" t="str">
            <v>-</v>
          </cell>
          <cell r="AV1096" t="str">
            <v/>
          </cell>
          <cell r="AW1096">
            <v>0</v>
          </cell>
          <cell r="AX1096">
            <v>41</v>
          </cell>
          <cell r="AY1096">
            <v>31</v>
          </cell>
          <cell r="AZ1096">
            <v>0</v>
          </cell>
          <cell r="BA1096">
            <v>0</v>
          </cell>
          <cell r="BB1096">
            <v>0</v>
          </cell>
          <cell r="BC1096">
            <v>41</v>
          </cell>
          <cell r="BD1096">
            <v>31</v>
          </cell>
          <cell r="BE1096">
            <v>0</v>
          </cell>
          <cell r="BF1096">
            <v>0</v>
          </cell>
          <cell r="BG1096" t="str">
            <v/>
          </cell>
          <cell r="BH1096">
            <v>0</v>
          </cell>
          <cell r="BI1096">
            <v>41</v>
          </cell>
          <cell r="BJ1096">
            <v>31</v>
          </cell>
          <cell r="BK1096">
            <v>0</v>
          </cell>
          <cell r="BL1096">
            <v>0</v>
          </cell>
          <cell r="BM1096" t="str">
            <v/>
          </cell>
          <cell r="BN1096">
            <v>72</v>
          </cell>
          <cell r="BO1096" t="str">
            <v/>
          </cell>
          <cell r="BP1096">
            <v>0</v>
          </cell>
          <cell r="BQ1096">
            <v>41</v>
          </cell>
          <cell r="BR1096">
            <v>31</v>
          </cell>
          <cell r="BS1096">
            <v>0</v>
          </cell>
          <cell r="BT1096">
            <v>0</v>
          </cell>
          <cell r="BU1096" t="str">
            <v/>
          </cell>
          <cell r="BV1096">
            <v>72</v>
          </cell>
          <cell r="BW1096">
            <v>3</v>
          </cell>
          <cell r="BX1096" t="str">
            <v>DOWNGRADE</v>
          </cell>
          <cell r="BY1096" t="str">
            <v>RESET</v>
          </cell>
        </row>
        <row r="1097">
          <cell r="A1097" t="str">
            <v>A4235</v>
          </cell>
          <cell r="B1097" t="str">
            <v>SEKAR LARASATI MULYONO</v>
          </cell>
          <cell r="C1097" t="str">
            <v>TEMA C2</v>
          </cell>
          <cell r="D1097">
            <v>45516</v>
          </cell>
          <cell r="E1097" t="str">
            <v>Aug-24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 t="str">
            <v>-</v>
          </cell>
          <cell r="AQ1097" t="str">
            <v>-</v>
          </cell>
          <cell r="AR1097" t="str">
            <v>REGULER</v>
          </cell>
          <cell r="AS1097" t="str">
            <v>REGULER</v>
          </cell>
          <cell r="AT1097" t="str">
            <v>REGULER</v>
          </cell>
          <cell r="AU1097" t="str">
            <v>-</v>
          </cell>
          <cell r="AV1097" t="str">
            <v/>
          </cell>
          <cell r="AW1097">
            <v>0</v>
          </cell>
          <cell r="AX1097">
            <v>30</v>
          </cell>
          <cell r="AY1097">
            <v>29</v>
          </cell>
          <cell r="AZ1097">
            <v>8</v>
          </cell>
          <cell r="BA1097">
            <v>0</v>
          </cell>
          <cell r="BB1097">
            <v>0</v>
          </cell>
          <cell r="BC1097">
            <v>30</v>
          </cell>
          <cell r="BD1097">
            <v>29</v>
          </cell>
          <cell r="BE1097">
            <v>8</v>
          </cell>
          <cell r="BF1097">
            <v>0</v>
          </cell>
          <cell r="BG1097" t="str">
            <v/>
          </cell>
          <cell r="BH1097">
            <v>0</v>
          </cell>
          <cell r="BI1097">
            <v>30</v>
          </cell>
          <cell r="BJ1097">
            <v>29</v>
          </cell>
          <cell r="BK1097">
            <v>8</v>
          </cell>
          <cell r="BL1097">
            <v>0</v>
          </cell>
          <cell r="BM1097" t="str">
            <v/>
          </cell>
          <cell r="BN1097">
            <v>67</v>
          </cell>
          <cell r="BO1097" t="str">
            <v/>
          </cell>
          <cell r="BP1097">
            <v>0</v>
          </cell>
          <cell r="BQ1097">
            <v>30</v>
          </cell>
          <cell r="BR1097">
            <v>29</v>
          </cell>
          <cell r="BS1097">
            <v>8</v>
          </cell>
          <cell r="BT1097">
            <v>0</v>
          </cell>
          <cell r="BU1097" t="str">
            <v/>
          </cell>
          <cell r="BV1097">
            <v>67</v>
          </cell>
          <cell r="BW1097">
            <v>2</v>
          </cell>
          <cell r="BX1097" t="str">
            <v>TIDAK</v>
          </cell>
          <cell r="BY1097" t="str">
            <v>TIDAK</v>
          </cell>
        </row>
        <row r="1098">
          <cell r="A1098" t="str">
            <v>A4236</v>
          </cell>
          <cell r="B1098" t="str">
            <v>IRENE CONSTALITA</v>
          </cell>
          <cell r="C1098" t="str">
            <v>TEMA C2</v>
          </cell>
          <cell r="D1098">
            <v>45516</v>
          </cell>
          <cell r="E1098" t="str">
            <v>Aug-24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 t="str">
            <v>-</v>
          </cell>
          <cell r="AQ1098" t="str">
            <v>-</v>
          </cell>
          <cell r="AR1098" t="str">
            <v>REGULER</v>
          </cell>
          <cell r="AS1098" t="str">
            <v>-</v>
          </cell>
          <cell r="AT1098" t="str">
            <v>-</v>
          </cell>
          <cell r="AU1098" t="str">
            <v>-</v>
          </cell>
          <cell r="AV1098" t="str">
            <v/>
          </cell>
          <cell r="AW1098">
            <v>0</v>
          </cell>
          <cell r="AX1098">
            <v>19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19</v>
          </cell>
          <cell r="BD1098">
            <v>0</v>
          </cell>
          <cell r="BE1098">
            <v>0</v>
          </cell>
          <cell r="BF1098">
            <v>0</v>
          </cell>
          <cell r="BG1098" t="str">
            <v/>
          </cell>
          <cell r="BH1098">
            <v>0</v>
          </cell>
          <cell r="BI1098">
            <v>19</v>
          </cell>
          <cell r="BJ1098">
            <v>0</v>
          </cell>
          <cell r="BK1098">
            <v>0</v>
          </cell>
          <cell r="BL1098">
            <v>0</v>
          </cell>
          <cell r="BM1098" t="str">
            <v/>
          </cell>
          <cell r="BN1098">
            <v>19</v>
          </cell>
          <cell r="BO1098" t="str">
            <v/>
          </cell>
          <cell r="BP1098">
            <v>0</v>
          </cell>
          <cell r="BQ1098">
            <v>19</v>
          </cell>
          <cell r="BR1098">
            <v>0</v>
          </cell>
          <cell r="BS1098">
            <v>0</v>
          </cell>
          <cell r="BT1098">
            <v>0</v>
          </cell>
          <cell r="BU1098" t="str">
            <v/>
          </cell>
          <cell r="BV1098">
            <v>19</v>
          </cell>
          <cell r="BW1098">
            <v>4</v>
          </cell>
          <cell r="BX1098" t="str">
            <v>DOWNGRADE</v>
          </cell>
          <cell r="BY1098" t="str">
            <v>RESET</v>
          </cell>
        </row>
        <row r="1099">
          <cell r="A1099" t="str">
            <v>A4238</v>
          </cell>
          <cell r="B1099" t="str">
            <v>HANIK ULVA</v>
          </cell>
          <cell r="C1099" t="str">
            <v>TEMA C2</v>
          </cell>
          <cell r="D1099">
            <v>45516</v>
          </cell>
          <cell r="E1099" t="str">
            <v>Aug-24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 t="str">
            <v>-</v>
          </cell>
          <cell r="AQ1099" t="str">
            <v>-</v>
          </cell>
          <cell r="AR1099" t="str">
            <v>REGULER</v>
          </cell>
          <cell r="AS1099" t="str">
            <v>REGULER</v>
          </cell>
          <cell r="AT1099" t="str">
            <v>REGULER</v>
          </cell>
          <cell r="AU1099" t="str">
            <v>-</v>
          </cell>
          <cell r="AV1099" t="str">
            <v/>
          </cell>
          <cell r="AW1099">
            <v>0</v>
          </cell>
          <cell r="AX1099">
            <v>22</v>
          </cell>
          <cell r="AY1099">
            <v>25</v>
          </cell>
          <cell r="AZ1099">
            <v>3</v>
          </cell>
          <cell r="BA1099">
            <v>0</v>
          </cell>
          <cell r="BB1099">
            <v>0</v>
          </cell>
          <cell r="BC1099">
            <v>22</v>
          </cell>
          <cell r="BD1099">
            <v>25</v>
          </cell>
          <cell r="BE1099">
            <v>3</v>
          </cell>
          <cell r="BF1099">
            <v>0</v>
          </cell>
          <cell r="BG1099" t="str">
            <v/>
          </cell>
          <cell r="BH1099">
            <v>0</v>
          </cell>
          <cell r="BI1099">
            <v>22</v>
          </cell>
          <cell r="BJ1099">
            <v>25</v>
          </cell>
          <cell r="BK1099">
            <v>3</v>
          </cell>
          <cell r="BL1099">
            <v>0</v>
          </cell>
          <cell r="BM1099" t="str">
            <v/>
          </cell>
          <cell r="BN1099">
            <v>50</v>
          </cell>
          <cell r="BO1099" t="str">
            <v/>
          </cell>
          <cell r="BP1099">
            <v>0</v>
          </cell>
          <cell r="BQ1099">
            <v>22</v>
          </cell>
          <cell r="BR1099">
            <v>25</v>
          </cell>
          <cell r="BS1099">
            <v>3</v>
          </cell>
          <cell r="BT1099">
            <v>0</v>
          </cell>
          <cell r="BU1099" t="str">
            <v/>
          </cell>
          <cell r="BV1099">
            <v>50</v>
          </cell>
          <cell r="BW1099">
            <v>2</v>
          </cell>
          <cell r="BX1099" t="str">
            <v>TIDAK</v>
          </cell>
          <cell r="BY1099" t="str">
            <v>TIDAK</v>
          </cell>
        </row>
        <row r="1100">
          <cell r="A1100" t="str">
            <v>A4239</v>
          </cell>
          <cell r="B1100" t="str">
            <v>IDA MAULIDIA</v>
          </cell>
          <cell r="C1100" t="str">
            <v>TEMA C2</v>
          </cell>
          <cell r="D1100">
            <v>45516</v>
          </cell>
          <cell r="E1100" t="str">
            <v>Aug-24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 t="str">
            <v>-</v>
          </cell>
          <cell r="AQ1100" t="str">
            <v>-</v>
          </cell>
          <cell r="AR1100" t="str">
            <v>REGULER</v>
          </cell>
          <cell r="AS1100" t="str">
            <v>REGULER</v>
          </cell>
          <cell r="AT1100" t="str">
            <v>REGULER</v>
          </cell>
          <cell r="AU1100" t="str">
            <v>REGULER</v>
          </cell>
          <cell r="AV1100" t="str">
            <v/>
          </cell>
          <cell r="AW1100">
            <v>0</v>
          </cell>
          <cell r="AX1100">
            <v>23</v>
          </cell>
          <cell r="AY1100">
            <v>13</v>
          </cell>
          <cell r="AZ1100">
            <v>9</v>
          </cell>
          <cell r="BA1100">
            <v>7</v>
          </cell>
          <cell r="BB1100">
            <v>0</v>
          </cell>
          <cell r="BC1100">
            <v>23</v>
          </cell>
          <cell r="BD1100">
            <v>13</v>
          </cell>
          <cell r="BE1100">
            <v>9</v>
          </cell>
          <cell r="BF1100">
            <v>7</v>
          </cell>
          <cell r="BG1100" t="str">
            <v/>
          </cell>
          <cell r="BH1100">
            <v>0</v>
          </cell>
          <cell r="BI1100">
            <v>23</v>
          </cell>
          <cell r="BJ1100">
            <v>13</v>
          </cell>
          <cell r="BK1100">
            <v>9</v>
          </cell>
          <cell r="BL1100">
            <v>7</v>
          </cell>
          <cell r="BM1100" t="str">
            <v/>
          </cell>
          <cell r="BN1100">
            <v>52</v>
          </cell>
          <cell r="BO1100" t="str">
            <v/>
          </cell>
          <cell r="BP1100">
            <v>0</v>
          </cell>
          <cell r="BQ1100">
            <v>23</v>
          </cell>
          <cell r="BR1100">
            <v>13</v>
          </cell>
          <cell r="BS1100">
            <v>9</v>
          </cell>
          <cell r="BT1100">
            <v>7</v>
          </cell>
          <cell r="BU1100" t="str">
            <v/>
          </cell>
          <cell r="BV1100">
            <v>52</v>
          </cell>
          <cell r="BW1100">
            <v>1</v>
          </cell>
          <cell r="BX1100" t="str">
            <v>TIDAK</v>
          </cell>
          <cell r="BY1100" t="str">
            <v>TIDAK</v>
          </cell>
        </row>
        <row r="1101">
          <cell r="A1101" t="str">
            <v>A4240</v>
          </cell>
          <cell r="B1101" t="str">
            <v>ALIA FEBRIANTI YUHANDARI</v>
          </cell>
          <cell r="C1101" t="str">
            <v>TEMA C2</v>
          </cell>
          <cell r="D1101">
            <v>45516</v>
          </cell>
          <cell r="E1101" t="str">
            <v>Aug-24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 t="str">
            <v>-</v>
          </cell>
          <cell r="AQ1101" t="str">
            <v>-</v>
          </cell>
          <cell r="AR1101" t="str">
            <v>REGULER</v>
          </cell>
          <cell r="AS1101" t="str">
            <v>-</v>
          </cell>
          <cell r="AT1101" t="str">
            <v>-</v>
          </cell>
          <cell r="AU1101" t="str">
            <v>-</v>
          </cell>
          <cell r="AV1101" t="str">
            <v/>
          </cell>
          <cell r="AW1101">
            <v>0</v>
          </cell>
          <cell r="AX1101">
            <v>29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29</v>
          </cell>
          <cell r="BD1101">
            <v>0</v>
          </cell>
          <cell r="BE1101">
            <v>0</v>
          </cell>
          <cell r="BF1101">
            <v>0</v>
          </cell>
          <cell r="BG1101" t="str">
            <v/>
          </cell>
          <cell r="BH1101">
            <v>0</v>
          </cell>
          <cell r="BI1101">
            <v>29</v>
          </cell>
          <cell r="BJ1101">
            <v>0</v>
          </cell>
          <cell r="BK1101">
            <v>0</v>
          </cell>
          <cell r="BL1101">
            <v>0</v>
          </cell>
          <cell r="BM1101" t="str">
            <v/>
          </cell>
          <cell r="BN1101">
            <v>29</v>
          </cell>
          <cell r="BO1101" t="str">
            <v/>
          </cell>
          <cell r="BP1101">
            <v>0</v>
          </cell>
          <cell r="BQ1101">
            <v>29</v>
          </cell>
          <cell r="BR1101">
            <v>0</v>
          </cell>
          <cell r="BS1101">
            <v>0</v>
          </cell>
          <cell r="BT1101">
            <v>0</v>
          </cell>
          <cell r="BU1101" t="str">
            <v/>
          </cell>
          <cell r="BV1101">
            <v>29</v>
          </cell>
          <cell r="BW1101">
            <v>4</v>
          </cell>
          <cell r="BX1101" t="str">
            <v>DOWNGRADE</v>
          </cell>
          <cell r="BY1101" t="str">
            <v>RESET</v>
          </cell>
        </row>
        <row r="1102">
          <cell r="A1102" t="str">
            <v>A4241</v>
          </cell>
          <cell r="B1102" t="str">
            <v>NIA KARTIKA PUTRI</v>
          </cell>
          <cell r="C1102" t="str">
            <v>TEMA C2</v>
          </cell>
          <cell r="D1102">
            <v>45516</v>
          </cell>
          <cell r="E1102" t="str">
            <v>Aug-24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 t="str">
            <v>-</v>
          </cell>
          <cell r="AQ1102" t="str">
            <v>-</v>
          </cell>
          <cell r="AR1102" t="str">
            <v>REGULER</v>
          </cell>
          <cell r="AS1102" t="str">
            <v>REGULER</v>
          </cell>
          <cell r="AT1102" t="str">
            <v>-</v>
          </cell>
          <cell r="AU1102" t="str">
            <v>-</v>
          </cell>
          <cell r="AV1102" t="str">
            <v/>
          </cell>
          <cell r="AW1102">
            <v>0</v>
          </cell>
          <cell r="AX1102">
            <v>26</v>
          </cell>
          <cell r="AY1102">
            <v>8</v>
          </cell>
          <cell r="AZ1102">
            <v>0</v>
          </cell>
          <cell r="BA1102">
            <v>0</v>
          </cell>
          <cell r="BB1102">
            <v>0</v>
          </cell>
          <cell r="BC1102">
            <v>26</v>
          </cell>
          <cell r="BD1102">
            <v>8</v>
          </cell>
          <cell r="BE1102">
            <v>0</v>
          </cell>
          <cell r="BF1102">
            <v>0</v>
          </cell>
          <cell r="BG1102" t="str">
            <v/>
          </cell>
          <cell r="BH1102">
            <v>0</v>
          </cell>
          <cell r="BI1102">
            <v>26</v>
          </cell>
          <cell r="BJ1102">
            <v>8</v>
          </cell>
          <cell r="BK1102">
            <v>0</v>
          </cell>
          <cell r="BL1102">
            <v>0</v>
          </cell>
          <cell r="BM1102" t="str">
            <v/>
          </cell>
          <cell r="BN1102">
            <v>34</v>
          </cell>
          <cell r="BO1102" t="str">
            <v/>
          </cell>
          <cell r="BP1102">
            <v>0</v>
          </cell>
          <cell r="BQ1102">
            <v>26</v>
          </cell>
          <cell r="BR1102">
            <v>8</v>
          </cell>
          <cell r="BS1102">
            <v>0</v>
          </cell>
          <cell r="BT1102">
            <v>0</v>
          </cell>
          <cell r="BU1102" t="str">
            <v/>
          </cell>
          <cell r="BV1102">
            <v>34</v>
          </cell>
          <cell r="BW1102">
            <v>3</v>
          </cell>
          <cell r="BX1102" t="str">
            <v>DOWNGRADE</v>
          </cell>
          <cell r="BY1102" t="str">
            <v>RESET</v>
          </cell>
        </row>
        <row r="1103">
          <cell r="A1103" t="str">
            <v>A4242</v>
          </cell>
          <cell r="B1103" t="str">
            <v>NI KADEK SUCIATI</v>
          </cell>
          <cell r="C1103" t="str">
            <v>TEMA C2</v>
          </cell>
          <cell r="D1103">
            <v>45516</v>
          </cell>
          <cell r="E1103" t="str">
            <v>Aug-24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 t="str">
            <v>-</v>
          </cell>
          <cell r="AQ1103" t="str">
            <v>-</v>
          </cell>
          <cell r="AR1103" t="str">
            <v>REGULER</v>
          </cell>
          <cell r="AS1103" t="str">
            <v>REGULER</v>
          </cell>
          <cell r="AT1103" t="str">
            <v>REGULER</v>
          </cell>
          <cell r="AU1103" t="str">
            <v>REGULER</v>
          </cell>
          <cell r="AV1103" t="str">
            <v/>
          </cell>
          <cell r="AW1103">
            <v>0</v>
          </cell>
          <cell r="AX1103">
            <v>23</v>
          </cell>
          <cell r="AY1103">
            <v>23</v>
          </cell>
          <cell r="AZ1103">
            <v>23</v>
          </cell>
          <cell r="BA1103">
            <v>35</v>
          </cell>
          <cell r="BB1103">
            <v>0</v>
          </cell>
          <cell r="BC1103">
            <v>23</v>
          </cell>
          <cell r="BD1103">
            <v>23</v>
          </cell>
          <cell r="BE1103">
            <v>23</v>
          </cell>
          <cell r="BF1103">
            <v>35</v>
          </cell>
          <cell r="BG1103" t="str">
            <v/>
          </cell>
          <cell r="BH1103">
            <v>0</v>
          </cell>
          <cell r="BI1103">
            <v>23</v>
          </cell>
          <cell r="BJ1103">
            <v>23</v>
          </cell>
          <cell r="BK1103">
            <v>23</v>
          </cell>
          <cell r="BL1103">
            <v>35</v>
          </cell>
          <cell r="BM1103">
            <v>12</v>
          </cell>
          <cell r="BN1103">
            <v>116</v>
          </cell>
          <cell r="BO1103" t="str">
            <v/>
          </cell>
          <cell r="BP1103">
            <v>0</v>
          </cell>
          <cell r="BQ1103">
            <v>23</v>
          </cell>
          <cell r="BR1103">
            <v>23</v>
          </cell>
          <cell r="BS1103">
            <v>23</v>
          </cell>
          <cell r="BT1103">
            <v>35</v>
          </cell>
          <cell r="BU1103">
            <v>12</v>
          </cell>
          <cell r="BV1103">
            <v>116</v>
          </cell>
          <cell r="BW1103">
            <v>0</v>
          </cell>
          <cell r="BX1103" t="str">
            <v>TIDAK</v>
          </cell>
          <cell r="BY1103" t="str">
            <v>TIDAK</v>
          </cell>
        </row>
        <row r="1104">
          <cell r="A1104" t="str">
            <v>A4243</v>
          </cell>
          <cell r="B1104" t="str">
            <v>THERESIA FEBBY ANGGRAENI</v>
          </cell>
          <cell r="C1104" t="str">
            <v>TEMA C2</v>
          </cell>
          <cell r="D1104">
            <v>45516</v>
          </cell>
          <cell r="E1104" t="str">
            <v>Aug-24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 t="str">
            <v>-</v>
          </cell>
          <cell r="AQ1104" t="str">
            <v>-</v>
          </cell>
          <cell r="AR1104" t="str">
            <v>REGULER</v>
          </cell>
          <cell r="AS1104" t="str">
            <v>REGULER</v>
          </cell>
          <cell r="AT1104" t="str">
            <v>REGULER</v>
          </cell>
          <cell r="AU1104" t="str">
            <v>-</v>
          </cell>
          <cell r="AV1104" t="str">
            <v/>
          </cell>
          <cell r="AW1104">
            <v>0</v>
          </cell>
          <cell r="AX1104">
            <v>29</v>
          </cell>
          <cell r="AY1104">
            <v>19</v>
          </cell>
          <cell r="AZ1104">
            <v>1</v>
          </cell>
          <cell r="BA1104">
            <v>0</v>
          </cell>
          <cell r="BB1104">
            <v>0</v>
          </cell>
          <cell r="BC1104">
            <v>29</v>
          </cell>
          <cell r="BD1104">
            <v>19</v>
          </cell>
          <cell r="BE1104">
            <v>1</v>
          </cell>
          <cell r="BF1104">
            <v>0</v>
          </cell>
          <cell r="BG1104" t="str">
            <v/>
          </cell>
          <cell r="BH1104">
            <v>0</v>
          </cell>
          <cell r="BI1104">
            <v>29</v>
          </cell>
          <cell r="BJ1104">
            <v>19</v>
          </cell>
          <cell r="BK1104">
            <v>1</v>
          </cell>
          <cell r="BL1104">
            <v>0</v>
          </cell>
          <cell r="BM1104" t="str">
            <v/>
          </cell>
          <cell r="BN1104">
            <v>49</v>
          </cell>
          <cell r="BO1104" t="str">
            <v/>
          </cell>
          <cell r="BP1104">
            <v>0</v>
          </cell>
          <cell r="BQ1104">
            <v>29</v>
          </cell>
          <cell r="BR1104">
            <v>19</v>
          </cell>
          <cell r="BS1104">
            <v>1</v>
          </cell>
          <cell r="BT1104">
            <v>0</v>
          </cell>
          <cell r="BU1104" t="str">
            <v/>
          </cell>
          <cell r="BV1104">
            <v>49</v>
          </cell>
          <cell r="BW1104">
            <v>2</v>
          </cell>
          <cell r="BX1104" t="str">
            <v>TIDAK</v>
          </cell>
          <cell r="BY1104" t="str">
            <v>TIDAK</v>
          </cell>
        </row>
        <row r="1105">
          <cell r="A1105" t="str">
            <v>A3394</v>
          </cell>
          <cell r="B1105" t="str">
            <v>MIKAEL CALVIN</v>
          </cell>
          <cell r="C1105" t="str">
            <v>TEMA C2</v>
          </cell>
          <cell r="D1105">
            <v>45516</v>
          </cell>
          <cell r="E1105" t="str">
            <v>Aug-24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 t="str">
            <v>-</v>
          </cell>
          <cell r="AQ1105" t="str">
            <v>-</v>
          </cell>
          <cell r="AR1105" t="str">
            <v>REGULER</v>
          </cell>
          <cell r="AS1105" t="str">
            <v>REGULER</v>
          </cell>
          <cell r="AT1105" t="str">
            <v>-</v>
          </cell>
          <cell r="AU1105" t="str">
            <v>-</v>
          </cell>
          <cell r="AV1105" t="str">
            <v/>
          </cell>
          <cell r="AW1105">
            <v>0</v>
          </cell>
          <cell r="AX1105">
            <v>25</v>
          </cell>
          <cell r="AY1105">
            <v>10</v>
          </cell>
          <cell r="AZ1105">
            <v>0</v>
          </cell>
          <cell r="BA1105">
            <v>0</v>
          </cell>
          <cell r="BB1105">
            <v>0</v>
          </cell>
          <cell r="BC1105">
            <v>25</v>
          </cell>
          <cell r="BD1105">
            <v>10</v>
          </cell>
          <cell r="BE1105">
            <v>0</v>
          </cell>
          <cell r="BF1105">
            <v>0</v>
          </cell>
          <cell r="BG1105" t="str">
            <v/>
          </cell>
          <cell r="BH1105">
            <v>0</v>
          </cell>
          <cell r="BI1105">
            <v>25</v>
          </cell>
          <cell r="BJ1105">
            <v>10</v>
          </cell>
          <cell r="BK1105">
            <v>0</v>
          </cell>
          <cell r="BL1105">
            <v>0</v>
          </cell>
          <cell r="BM1105" t="str">
            <v/>
          </cell>
          <cell r="BN1105">
            <v>35</v>
          </cell>
          <cell r="BO1105" t="str">
            <v/>
          </cell>
          <cell r="BP1105">
            <v>0</v>
          </cell>
          <cell r="BQ1105">
            <v>25</v>
          </cell>
          <cell r="BR1105">
            <v>10</v>
          </cell>
          <cell r="BS1105">
            <v>0</v>
          </cell>
          <cell r="BT1105">
            <v>0</v>
          </cell>
          <cell r="BU1105" t="str">
            <v/>
          </cell>
          <cell r="BV1105">
            <v>35</v>
          </cell>
          <cell r="BW1105">
            <v>3</v>
          </cell>
          <cell r="BX1105" t="str">
            <v>DOWNGRADE</v>
          </cell>
          <cell r="BY1105" t="str">
            <v>RESET</v>
          </cell>
        </row>
        <row r="1106">
          <cell r="A1106" t="str">
            <v>A4245</v>
          </cell>
          <cell r="B1106" t="str">
            <v>ISMI FARIHATUN ZEIN</v>
          </cell>
          <cell r="C1106" t="str">
            <v>TEMA C2</v>
          </cell>
          <cell r="D1106">
            <v>45516</v>
          </cell>
          <cell r="E1106" t="str">
            <v>Aug-24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 t="str">
            <v>-</v>
          </cell>
          <cell r="AQ1106" t="str">
            <v>-</v>
          </cell>
          <cell r="AR1106" t="str">
            <v>REGULER</v>
          </cell>
          <cell r="AS1106" t="str">
            <v>-</v>
          </cell>
          <cell r="AT1106" t="str">
            <v>-</v>
          </cell>
          <cell r="AU1106" t="str">
            <v>-</v>
          </cell>
          <cell r="AV1106" t="str">
            <v/>
          </cell>
          <cell r="AW1106">
            <v>0</v>
          </cell>
          <cell r="AX1106">
            <v>4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4</v>
          </cell>
          <cell r="BD1106">
            <v>0</v>
          </cell>
          <cell r="BE1106">
            <v>0</v>
          </cell>
          <cell r="BF1106">
            <v>0</v>
          </cell>
          <cell r="BG1106" t="str">
            <v/>
          </cell>
          <cell r="BH1106">
            <v>0</v>
          </cell>
          <cell r="BI1106">
            <v>4</v>
          </cell>
          <cell r="BJ1106">
            <v>0</v>
          </cell>
          <cell r="BK1106">
            <v>0</v>
          </cell>
          <cell r="BL1106">
            <v>0</v>
          </cell>
          <cell r="BM1106" t="str">
            <v/>
          </cell>
          <cell r="BN1106">
            <v>4</v>
          </cell>
          <cell r="BO1106" t="str">
            <v/>
          </cell>
          <cell r="BP1106">
            <v>0</v>
          </cell>
          <cell r="BQ1106">
            <v>4</v>
          </cell>
          <cell r="BR1106">
            <v>0</v>
          </cell>
          <cell r="BS1106">
            <v>0</v>
          </cell>
          <cell r="BT1106">
            <v>0</v>
          </cell>
          <cell r="BU1106" t="str">
            <v/>
          </cell>
          <cell r="BV1106">
            <v>4</v>
          </cell>
          <cell r="BW1106">
            <v>4</v>
          </cell>
          <cell r="BX1106" t="str">
            <v>DOWNGRADE</v>
          </cell>
          <cell r="BY1106" t="str">
            <v>RESET</v>
          </cell>
        </row>
        <row r="1107">
          <cell r="A1107" t="str">
            <v>A4244</v>
          </cell>
          <cell r="B1107" t="str">
            <v>SITI FATIMATUZ ZAHROH</v>
          </cell>
          <cell r="C1107" t="str">
            <v>TEMA C2</v>
          </cell>
          <cell r="D1107">
            <v>45516</v>
          </cell>
          <cell r="E1107" t="str">
            <v>Aug-24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 t="str">
            <v>-</v>
          </cell>
          <cell r="AQ1107" t="str">
            <v>-</v>
          </cell>
          <cell r="AR1107" t="str">
            <v>REGULER</v>
          </cell>
          <cell r="AS1107" t="str">
            <v>REGULER</v>
          </cell>
          <cell r="AT1107" t="str">
            <v>EKSKLUSIF</v>
          </cell>
          <cell r="AU1107" t="str">
            <v>EKSKLUSIF</v>
          </cell>
          <cell r="AV1107" t="str">
            <v/>
          </cell>
          <cell r="AW1107">
            <v>0</v>
          </cell>
          <cell r="AX1107">
            <v>22</v>
          </cell>
          <cell r="AY1107">
            <v>27</v>
          </cell>
          <cell r="AZ1107">
            <v>41</v>
          </cell>
          <cell r="BA1107">
            <v>38</v>
          </cell>
          <cell r="BB1107">
            <v>0</v>
          </cell>
          <cell r="BC1107">
            <v>22</v>
          </cell>
          <cell r="BD1107">
            <v>27</v>
          </cell>
          <cell r="BE1107">
            <v>41</v>
          </cell>
          <cell r="BF1107">
            <v>38</v>
          </cell>
          <cell r="BG1107" t="str">
            <v/>
          </cell>
          <cell r="BH1107">
            <v>0</v>
          </cell>
          <cell r="BI1107">
            <v>22</v>
          </cell>
          <cell r="BJ1107">
            <v>27</v>
          </cell>
          <cell r="BK1107">
            <v>41</v>
          </cell>
          <cell r="BL1107">
            <v>38</v>
          </cell>
          <cell r="BM1107">
            <v>12</v>
          </cell>
          <cell r="BN1107">
            <v>140</v>
          </cell>
          <cell r="BO1107" t="str">
            <v/>
          </cell>
          <cell r="BP1107">
            <v>0</v>
          </cell>
          <cell r="BQ1107">
            <v>22</v>
          </cell>
          <cell r="BR1107">
            <v>27</v>
          </cell>
          <cell r="BS1107">
            <v>0</v>
          </cell>
          <cell r="BT1107">
            <v>0</v>
          </cell>
          <cell r="BU1107">
            <v>12</v>
          </cell>
          <cell r="BV1107">
            <v>61</v>
          </cell>
          <cell r="BW1107">
            <v>0</v>
          </cell>
          <cell r="BX1107" t="str">
            <v>TIDAK</v>
          </cell>
          <cell r="BY1107" t="str">
            <v>TIDAK</v>
          </cell>
        </row>
        <row r="1108">
          <cell r="A1108" t="str">
            <v>A4237</v>
          </cell>
          <cell r="B1108" t="str">
            <v>MEUTIA SYAFIRA</v>
          </cell>
          <cell r="C1108" t="str">
            <v>TEMA C2</v>
          </cell>
          <cell r="D1108">
            <v>45523</v>
          </cell>
          <cell r="E1108" t="str">
            <v>Aug-24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 t="str">
            <v>-</v>
          </cell>
          <cell r="AQ1108" t="str">
            <v>-</v>
          </cell>
          <cell r="AR1108" t="str">
            <v>REGULER</v>
          </cell>
          <cell r="AS1108" t="str">
            <v>REGULER</v>
          </cell>
          <cell r="AT1108" t="str">
            <v>REGULER</v>
          </cell>
          <cell r="AU1108" t="str">
            <v>-</v>
          </cell>
          <cell r="AV1108" t="str">
            <v/>
          </cell>
          <cell r="AW1108">
            <v>0</v>
          </cell>
          <cell r="AX1108">
            <v>13</v>
          </cell>
          <cell r="AY1108">
            <v>7</v>
          </cell>
          <cell r="AZ1108">
            <v>5</v>
          </cell>
          <cell r="BA1108">
            <v>0</v>
          </cell>
          <cell r="BB1108">
            <v>0</v>
          </cell>
          <cell r="BC1108">
            <v>13</v>
          </cell>
          <cell r="BD1108">
            <v>7</v>
          </cell>
          <cell r="BE1108">
            <v>5</v>
          </cell>
          <cell r="BF1108">
            <v>0</v>
          </cell>
          <cell r="BG1108" t="str">
            <v/>
          </cell>
          <cell r="BH1108">
            <v>0</v>
          </cell>
          <cell r="BI1108">
            <v>13</v>
          </cell>
          <cell r="BJ1108">
            <v>7</v>
          </cell>
          <cell r="BK1108">
            <v>5</v>
          </cell>
          <cell r="BL1108">
            <v>0</v>
          </cell>
          <cell r="BM1108" t="str">
            <v/>
          </cell>
          <cell r="BN1108">
            <v>25</v>
          </cell>
          <cell r="BO1108" t="str">
            <v/>
          </cell>
          <cell r="BP1108">
            <v>0</v>
          </cell>
          <cell r="BQ1108">
            <v>13</v>
          </cell>
          <cell r="BR1108">
            <v>7</v>
          </cell>
          <cell r="BS1108">
            <v>5</v>
          </cell>
          <cell r="BT1108">
            <v>0</v>
          </cell>
          <cell r="BU1108" t="str">
            <v/>
          </cell>
          <cell r="BV1108">
            <v>25</v>
          </cell>
          <cell r="BW1108">
            <v>2</v>
          </cell>
          <cell r="BX1108" t="str">
            <v>TIDAK</v>
          </cell>
          <cell r="BY1108" t="str">
            <v>TIDAK</v>
          </cell>
        </row>
        <row r="1109">
          <cell r="A1109" t="str">
            <v>A3157</v>
          </cell>
          <cell r="B1109" t="str">
            <v>ELEINA MAHNASARI ARDHAYULIANTO</v>
          </cell>
          <cell r="C1109" t="str">
            <v>TEMA C2</v>
          </cell>
          <cell r="D1109">
            <v>45523</v>
          </cell>
          <cell r="E1109" t="str">
            <v>Aug-24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 t="str">
            <v>-</v>
          </cell>
          <cell r="AQ1109" t="str">
            <v>-</v>
          </cell>
          <cell r="AR1109" t="str">
            <v>REGULER</v>
          </cell>
          <cell r="AS1109" t="str">
            <v>-</v>
          </cell>
          <cell r="AT1109" t="str">
            <v>-</v>
          </cell>
          <cell r="AU1109" t="str">
            <v>-</v>
          </cell>
          <cell r="AV1109" t="str">
            <v/>
          </cell>
          <cell r="AW1109">
            <v>0</v>
          </cell>
          <cell r="AX1109">
            <v>17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17</v>
          </cell>
          <cell r="BD1109">
            <v>0</v>
          </cell>
          <cell r="BE1109">
            <v>0</v>
          </cell>
          <cell r="BF1109">
            <v>0</v>
          </cell>
          <cell r="BG1109" t="str">
            <v/>
          </cell>
          <cell r="BH1109">
            <v>0</v>
          </cell>
          <cell r="BI1109">
            <v>17</v>
          </cell>
          <cell r="BJ1109">
            <v>0</v>
          </cell>
          <cell r="BK1109">
            <v>0</v>
          </cell>
          <cell r="BL1109">
            <v>0</v>
          </cell>
          <cell r="BM1109" t="str">
            <v/>
          </cell>
          <cell r="BN1109">
            <v>17</v>
          </cell>
          <cell r="BO1109" t="str">
            <v/>
          </cell>
          <cell r="BP1109">
            <v>0</v>
          </cell>
          <cell r="BQ1109">
            <v>17</v>
          </cell>
          <cell r="BR1109">
            <v>0</v>
          </cell>
          <cell r="BS1109">
            <v>0</v>
          </cell>
          <cell r="BT1109">
            <v>0</v>
          </cell>
          <cell r="BU1109" t="str">
            <v/>
          </cell>
          <cell r="BV1109">
            <v>17</v>
          </cell>
          <cell r="BW1109">
            <v>4</v>
          </cell>
          <cell r="BX1109" t="str">
            <v>DOWNGRADE</v>
          </cell>
          <cell r="BY1109" t="str">
            <v>RESET</v>
          </cell>
        </row>
        <row r="1110">
          <cell r="A1110" t="str">
            <v>A2813</v>
          </cell>
          <cell r="B1110" t="str">
            <v>RANTRI DEWI IRFANIYANTI NUGRAHA</v>
          </cell>
          <cell r="C1110" t="str">
            <v>TEMA C2</v>
          </cell>
          <cell r="D1110">
            <v>45524</v>
          </cell>
          <cell r="E1110" t="str">
            <v>Aug-24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 t="str">
            <v>-</v>
          </cell>
          <cell r="AQ1110" t="str">
            <v>-</v>
          </cell>
          <cell r="AR1110" t="str">
            <v>REGULER</v>
          </cell>
          <cell r="AS1110" t="str">
            <v>-</v>
          </cell>
          <cell r="AT1110" t="str">
            <v>-</v>
          </cell>
          <cell r="AU1110" t="str">
            <v>-</v>
          </cell>
          <cell r="AV1110" t="str">
            <v/>
          </cell>
          <cell r="AW1110">
            <v>0</v>
          </cell>
          <cell r="AX1110">
            <v>2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2</v>
          </cell>
          <cell r="BD1110">
            <v>0</v>
          </cell>
          <cell r="BE1110">
            <v>0</v>
          </cell>
          <cell r="BF1110">
            <v>0</v>
          </cell>
          <cell r="BG1110" t="str">
            <v/>
          </cell>
          <cell r="BH1110">
            <v>0</v>
          </cell>
          <cell r="BI1110">
            <v>2</v>
          </cell>
          <cell r="BJ1110">
            <v>0</v>
          </cell>
          <cell r="BK1110">
            <v>0</v>
          </cell>
          <cell r="BL1110">
            <v>0</v>
          </cell>
          <cell r="BM1110" t="str">
            <v/>
          </cell>
          <cell r="BN1110">
            <v>2</v>
          </cell>
          <cell r="BO1110" t="str">
            <v/>
          </cell>
          <cell r="BP1110">
            <v>0</v>
          </cell>
          <cell r="BQ1110">
            <v>2</v>
          </cell>
          <cell r="BR1110">
            <v>0</v>
          </cell>
          <cell r="BS1110">
            <v>0</v>
          </cell>
          <cell r="BT1110">
            <v>0</v>
          </cell>
          <cell r="BU1110" t="str">
            <v/>
          </cell>
          <cell r="BV1110">
            <v>2</v>
          </cell>
          <cell r="BW1110">
            <v>4</v>
          </cell>
          <cell r="BX1110" t="str">
            <v>DOWNGRADE</v>
          </cell>
          <cell r="BY1110" t="str">
            <v>RESET</v>
          </cell>
        </row>
        <row r="1111">
          <cell r="A1111" t="str">
            <v>A4253</v>
          </cell>
          <cell r="B1111" t="str">
            <v>YULI ASTUTI</v>
          </cell>
          <cell r="C1111" t="str">
            <v>TEMA C2</v>
          </cell>
          <cell r="D1111">
            <v>45523</v>
          </cell>
          <cell r="E1111" t="str">
            <v>Aug-24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 t="str">
            <v>-</v>
          </cell>
          <cell r="AQ1111" t="str">
            <v>-</v>
          </cell>
          <cell r="AR1111" t="str">
            <v>REGULER</v>
          </cell>
          <cell r="AS1111" t="str">
            <v>REGULER</v>
          </cell>
          <cell r="AT1111" t="str">
            <v>REGULER</v>
          </cell>
          <cell r="AU1111" t="str">
            <v>-</v>
          </cell>
          <cell r="AV1111" t="str">
            <v/>
          </cell>
          <cell r="AW1111">
            <v>0</v>
          </cell>
          <cell r="AX1111">
            <v>14</v>
          </cell>
          <cell r="AY1111">
            <v>5</v>
          </cell>
          <cell r="AZ1111">
            <v>5</v>
          </cell>
          <cell r="BA1111">
            <v>0</v>
          </cell>
          <cell r="BB1111">
            <v>0</v>
          </cell>
          <cell r="BC1111">
            <v>14</v>
          </cell>
          <cell r="BD1111">
            <v>5</v>
          </cell>
          <cell r="BE1111">
            <v>5</v>
          </cell>
          <cell r="BF1111">
            <v>0</v>
          </cell>
          <cell r="BG1111" t="str">
            <v/>
          </cell>
          <cell r="BH1111">
            <v>0</v>
          </cell>
          <cell r="BI1111">
            <v>14</v>
          </cell>
          <cell r="BJ1111">
            <v>5</v>
          </cell>
          <cell r="BK1111">
            <v>5</v>
          </cell>
          <cell r="BL1111">
            <v>0</v>
          </cell>
          <cell r="BM1111" t="str">
            <v/>
          </cell>
          <cell r="BN1111">
            <v>24</v>
          </cell>
          <cell r="BO1111" t="str">
            <v/>
          </cell>
          <cell r="BP1111">
            <v>0</v>
          </cell>
          <cell r="BQ1111">
            <v>14</v>
          </cell>
          <cell r="BR1111">
            <v>5</v>
          </cell>
          <cell r="BS1111">
            <v>5</v>
          </cell>
          <cell r="BT1111">
            <v>0</v>
          </cell>
          <cell r="BU1111" t="str">
            <v/>
          </cell>
          <cell r="BV1111">
            <v>24</v>
          </cell>
          <cell r="BW1111">
            <v>2</v>
          </cell>
          <cell r="BX1111" t="str">
            <v>TIDAK</v>
          </cell>
          <cell r="BY1111" t="str">
            <v>TIDAK</v>
          </cell>
        </row>
        <row r="1112">
          <cell r="A1112" t="str">
            <v>A4254</v>
          </cell>
          <cell r="B1112" t="str">
            <v>DIAN INDAH PRATIWI</v>
          </cell>
          <cell r="C1112" t="str">
            <v>TEMA C2</v>
          </cell>
          <cell r="D1112">
            <v>45523</v>
          </cell>
          <cell r="E1112" t="str">
            <v>Aug-24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 t="str">
            <v>-</v>
          </cell>
          <cell r="AQ1112" t="str">
            <v>-</v>
          </cell>
          <cell r="AR1112" t="str">
            <v>REGULER</v>
          </cell>
          <cell r="AS1112" t="str">
            <v>REGULER</v>
          </cell>
          <cell r="AT1112" t="str">
            <v>-</v>
          </cell>
          <cell r="AU1112" t="str">
            <v>-</v>
          </cell>
          <cell r="AV1112" t="str">
            <v/>
          </cell>
          <cell r="AW1112">
            <v>0</v>
          </cell>
          <cell r="AX1112">
            <v>17</v>
          </cell>
          <cell r="AY1112">
            <v>10</v>
          </cell>
          <cell r="AZ1112">
            <v>0</v>
          </cell>
          <cell r="BA1112">
            <v>0</v>
          </cell>
          <cell r="BB1112">
            <v>0</v>
          </cell>
          <cell r="BC1112">
            <v>17</v>
          </cell>
          <cell r="BD1112">
            <v>10</v>
          </cell>
          <cell r="BE1112">
            <v>0</v>
          </cell>
          <cell r="BF1112">
            <v>0</v>
          </cell>
          <cell r="BG1112" t="str">
            <v/>
          </cell>
          <cell r="BH1112">
            <v>0</v>
          </cell>
          <cell r="BI1112">
            <v>17</v>
          </cell>
          <cell r="BJ1112">
            <v>10</v>
          </cell>
          <cell r="BK1112">
            <v>0</v>
          </cell>
          <cell r="BL1112">
            <v>0</v>
          </cell>
          <cell r="BM1112" t="str">
            <v/>
          </cell>
          <cell r="BN1112">
            <v>27</v>
          </cell>
          <cell r="BO1112" t="str">
            <v/>
          </cell>
          <cell r="BP1112">
            <v>0</v>
          </cell>
          <cell r="BQ1112">
            <v>17</v>
          </cell>
          <cell r="BR1112">
            <v>10</v>
          </cell>
          <cell r="BS1112">
            <v>0</v>
          </cell>
          <cell r="BT1112">
            <v>0</v>
          </cell>
          <cell r="BU1112" t="str">
            <v/>
          </cell>
          <cell r="BV1112">
            <v>27</v>
          </cell>
          <cell r="BW1112">
            <v>3</v>
          </cell>
          <cell r="BX1112" t="str">
            <v>DOWNGRADE</v>
          </cell>
          <cell r="BY1112" t="str">
            <v>RESET</v>
          </cell>
        </row>
        <row r="1113">
          <cell r="A1113">
            <v>90118</v>
          </cell>
          <cell r="B1113" t="str">
            <v>AGRESITABELA PURNANINGRUM</v>
          </cell>
          <cell r="C1113" t="str">
            <v>TEMA C2</v>
          </cell>
          <cell r="D1113">
            <v>45537</v>
          </cell>
          <cell r="E1113" t="str">
            <v>Sep-24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 t="str">
            <v>-</v>
          </cell>
          <cell r="AQ1113" t="str">
            <v>-</v>
          </cell>
          <cell r="AR1113" t="str">
            <v>REGULER</v>
          </cell>
          <cell r="AS1113" t="str">
            <v>REGULER</v>
          </cell>
          <cell r="AT1113" t="str">
            <v>REGULER</v>
          </cell>
          <cell r="AU1113" t="str">
            <v>REGULER</v>
          </cell>
          <cell r="AV1113" t="str">
            <v/>
          </cell>
          <cell r="AW1113">
            <v>0</v>
          </cell>
          <cell r="AX1113">
            <v>18</v>
          </cell>
          <cell r="AY1113">
            <v>13</v>
          </cell>
          <cell r="AZ1113">
            <v>41</v>
          </cell>
          <cell r="BA1113">
            <v>34</v>
          </cell>
          <cell r="BB1113">
            <v>0</v>
          </cell>
          <cell r="BC1113">
            <v>18</v>
          </cell>
          <cell r="BD1113">
            <v>13</v>
          </cell>
          <cell r="BE1113">
            <v>41</v>
          </cell>
          <cell r="BF1113">
            <v>34</v>
          </cell>
          <cell r="BG1113" t="str">
            <v/>
          </cell>
          <cell r="BH1113">
            <v>0</v>
          </cell>
          <cell r="BI1113">
            <v>18</v>
          </cell>
          <cell r="BJ1113">
            <v>13</v>
          </cell>
          <cell r="BK1113">
            <v>41</v>
          </cell>
          <cell r="BL1113">
            <v>34</v>
          </cell>
          <cell r="BM1113">
            <v>17</v>
          </cell>
          <cell r="BN1113">
            <v>123</v>
          </cell>
          <cell r="BO1113" t="str">
            <v/>
          </cell>
          <cell r="BP1113">
            <v>0</v>
          </cell>
          <cell r="BQ1113">
            <v>18</v>
          </cell>
          <cell r="BR1113">
            <v>13</v>
          </cell>
          <cell r="BS1113">
            <v>41</v>
          </cell>
          <cell r="BT1113">
            <v>34</v>
          </cell>
          <cell r="BU1113">
            <v>17</v>
          </cell>
          <cell r="BV1113">
            <v>123</v>
          </cell>
          <cell r="BW1113">
            <v>0</v>
          </cell>
          <cell r="BX1113" t="str">
            <v>TIDAK</v>
          </cell>
          <cell r="BY1113" t="str">
            <v>TIDAK</v>
          </cell>
        </row>
        <row r="1114">
          <cell r="A1114" t="str">
            <v>A4255</v>
          </cell>
          <cell r="B1114" t="str">
            <v>DANU PRIANTO</v>
          </cell>
          <cell r="C1114" t="str">
            <v>TEMA C2</v>
          </cell>
          <cell r="D1114">
            <v>45527</v>
          </cell>
          <cell r="E1114" t="str">
            <v>Aug-24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 t="str">
            <v>-</v>
          </cell>
          <cell r="AQ1114" t="str">
            <v>-</v>
          </cell>
          <cell r="AR1114" t="str">
            <v>REGULER</v>
          </cell>
          <cell r="AS1114" t="str">
            <v>REGULER</v>
          </cell>
          <cell r="AT1114" t="str">
            <v>-</v>
          </cell>
          <cell r="AU1114" t="str">
            <v>-</v>
          </cell>
          <cell r="AV1114" t="str">
            <v/>
          </cell>
          <cell r="AW1114">
            <v>0</v>
          </cell>
          <cell r="AX1114">
            <v>11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11</v>
          </cell>
          <cell r="BD1114">
            <v>0</v>
          </cell>
          <cell r="BE1114">
            <v>0</v>
          </cell>
          <cell r="BF1114">
            <v>0</v>
          </cell>
          <cell r="BG1114" t="str">
            <v/>
          </cell>
          <cell r="BH1114">
            <v>0</v>
          </cell>
          <cell r="BI1114">
            <v>11</v>
          </cell>
          <cell r="BJ1114">
            <v>0</v>
          </cell>
          <cell r="BK1114">
            <v>0</v>
          </cell>
          <cell r="BL1114">
            <v>0</v>
          </cell>
          <cell r="BM1114" t="str">
            <v/>
          </cell>
          <cell r="BN1114">
            <v>11</v>
          </cell>
          <cell r="BO1114" t="str">
            <v/>
          </cell>
          <cell r="BP1114">
            <v>0</v>
          </cell>
          <cell r="BQ1114">
            <v>11</v>
          </cell>
          <cell r="BR1114">
            <v>0</v>
          </cell>
          <cell r="BS1114">
            <v>0</v>
          </cell>
          <cell r="BT1114">
            <v>0</v>
          </cell>
          <cell r="BU1114" t="str">
            <v/>
          </cell>
          <cell r="BV1114">
            <v>11</v>
          </cell>
          <cell r="BW1114">
            <v>4</v>
          </cell>
          <cell r="BX1114" t="str">
            <v>DOWNGRADE</v>
          </cell>
          <cell r="BY1114" t="str">
            <v>RESET</v>
          </cell>
        </row>
        <row r="1115">
          <cell r="A1115" t="str">
            <v>A0637</v>
          </cell>
          <cell r="B1115" t="str">
            <v>ADI SAPUTRO</v>
          </cell>
          <cell r="C1115" t="str">
            <v>TEMA C2</v>
          </cell>
          <cell r="D1115">
            <v>45527</v>
          </cell>
          <cell r="E1115" t="str">
            <v>Aug-24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 t="str">
            <v>-</v>
          </cell>
          <cell r="AQ1115" t="str">
            <v>-</v>
          </cell>
          <cell r="AR1115" t="str">
            <v>REGULER</v>
          </cell>
          <cell r="AS1115" t="str">
            <v>REGULER</v>
          </cell>
          <cell r="AT1115" t="str">
            <v>REGULER</v>
          </cell>
          <cell r="AU1115" t="str">
            <v>-</v>
          </cell>
          <cell r="AV1115" t="str">
            <v/>
          </cell>
          <cell r="AW1115">
            <v>0</v>
          </cell>
          <cell r="AX1115">
            <v>12</v>
          </cell>
          <cell r="AY1115">
            <v>26</v>
          </cell>
          <cell r="AZ1115">
            <v>20</v>
          </cell>
          <cell r="BA1115">
            <v>0</v>
          </cell>
          <cell r="BB1115">
            <v>0</v>
          </cell>
          <cell r="BC1115">
            <v>12</v>
          </cell>
          <cell r="BD1115">
            <v>26</v>
          </cell>
          <cell r="BE1115">
            <v>20</v>
          </cell>
          <cell r="BF1115">
            <v>0</v>
          </cell>
          <cell r="BG1115" t="str">
            <v/>
          </cell>
          <cell r="BH1115">
            <v>0</v>
          </cell>
          <cell r="BI1115">
            <v>12</v>
          </cell>
          <cell r="BJ1115">
            <v>26</v>
          </cell>
          <cell r="BK1115">
            <v>20</v>
          </cell>
          <cell r="BL1115">
            <v>0</v>
          </cell>
          <cell r="BM1115" t="str">
            <v/>
          </cell>
          <cell r="BN1115">
            <v>58</v>
          </cell>
          <cell r="BO1115" t="str">
            <v/>
          </cell>
          <cell r="BP1115">
            <v>0</v>
          </cell>
          <cell r="BQ1115">
            <v>12</v>
          </cell>
          <cell r="BR1115">
            <v>26</v>
          </cell>
          <cell r="BS1115">
            <v>20</v>
          </cell>
          <cell r="BT1115">
            <v>0</v>
          </cell>
          <cell r="BU1115" t="str">
            <v/>
          </cell>
          <cell r="BV1115">
            <v>58</v>
          </cell>
          <cell r="BW1115">
            <v>2</v>
          </cell>
          <cell r="BX1115" t="str">
            <v>TIDAK</v>
          </cell>
          <cell r="BY1115" t="str">
            <v>TIDAK</v>
          </cell>
        </row>
        <row r="1116">
          <cell r="A1116" t="str">
            <v>A4270</v>
          </cell>
          <cell r="B1116" t="str">
            <v>DELLA OXZA</v>
          </cell>
          <cell r="C1116" t="str">
            <v>TEMA C2</v>
          </cell>
          <cell r="D1116">
            <v>45533</v>
          </cell>
          <cell r="E1116" t="str">
            <v>Aug-24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 t="str">
            <v>-</v>
          </cell>
          <cell r="AQ1116" t="str">
            <v>-</v>
          </cell>
          <cell r="AR1116" t="str">
            <v>REGULER</v>
          </cell>
          <cell r="AS1116" t="str">
            <v>REGULER</v>
          </cell>
          <cell r="AT1116" t="str">
            <v>REGULER</v>
          </cell>
          <cell r="AU1116" t="str">
            <v>REGULER</v>
          </cell>
          <cell r="AV1116" t="str">
            <v/>
          </cell>
          <cell r="AW1116">
            <v>0</v>
          </cell>
          <cell r="AX1116">
            <v>4</v>
          </cell>
          <cell r="AY1116">
            <v>38</v>
          </cell>
          <cell r="AZ1116">
            <v>43</v>
          </cell>
          <cell r="BA1116">
            <v>39</v>
          </cell>
          <cell r="BB1116">
            <v>0</v>
          </cell>
          <cell r="BC1116">
            <v>4</v>
          </cell>
          <cell r="BD1116">
            <v>38</v>
          </cell>
          <cell r="BE1116">
            <v>43</v>
          </cell>
          <cell r="BF1116">
            <v>39</v>
          </cell>
          <cell r="BG1116" t="str">
            <v/>
          </cell>
          <cell r="BH1116">
            <v>0</v>
          </cell>
          <cell r="BI1116">
            <v>4</v>
          </cell>
          <cell r="BJ1116">
            <v>38</v>
          </cell>
          <cell r="BK1116">
            <v>43</v>
          </cell>
          <cell r="BL1116">
            <v>39</v>
          </cell>
          <cell r="BM1116">
            <v>22</v>
          </cell>
          <cell r="BN1116">
            <v>146</v>
          </cell>
          <cell r="BO1116" t="str">
            <v/>
          </cell>
          <cell r="BP1116">
            <v>0</v>
          </cell>
          <cell r="BQ1116">
            <v>4</v>
          </cell>
          <cell r="BR1116">
            <v>38</v>
          </cell>
          <cell r="BS1116">
            <v>43</v>
          </cell>
          <cell r="BT1116">
            <v>39</v>
          </cell>
          <cell r="BU1116">
            <v>22</v>
          </cell>
          <cell r="BV1116">
            <v>146</v>
          </cell>
          <cell r="BW1116">
            <v>0</v>
          </cell>
          <cell r="BX1116" t="str">
            <v>TIDAK</v>
          </cell>
          <cell r="BY1116" t="str">
            <v>TIDAK</v>
          </cell>
        </row>
        <row r="1117">
          <cell r="A1117" t="str">
            <v>A4271</v>
          </cell>
          <cell r="B1117" t="str">
            <v>LAKSMI DYAH</v>
          </cell>
          <cell r="C1117" t="str">
            <v>TEMA C2</v>
          </cell>
          <cell r="D1117">
            <v>45533</v>
          </cell>
          <cell r="E1117" t="str">
            <v>Aug-24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 t="str">
            <v>-</v>
          </cell>
          <cell r="AQ1117" t="str">
            <v>-</v>
          </cell>
          <cell r="AR1117" t="str">
            <v>REGULER</v>
          </cell>
          <cell r="AS1117" t="str">
            <v>REGULER</v>
          </cell>
          <cell r="AT1117" t="str">
            <v>REGULER</v>
          </cell>
          <cell r="AU1117" t="str">
            <v>REGULER</v>
          </cell>
          <cell r="AV1117" t="str">
            <v/>
          </cell>
          <cell r="AW1117">
            <v>0</v>
          </cell>
          <cell r="AX1117">
            <v>4</v>
          </cell>
          <cell r="AY1117">
            <v>30</v>
          </cell>
          <cell r="AZ1117">
            <v>15</v>
          </cell>
          <cell r="BA1117">
            <v>1</v>
          </cell>
          <cell r="BB1117">
            <v>0</v>
          </cell>
          <cell r="BC1117">
            <v>4</v>
          </cell>
          <cell r="BD1117">
            <v>30</v>
          </cell>
          <cell r="BE1117">
            <v>15</v>
          </cell>
          <cell r="BF1117">
            <v>1</v>
          </cell>
          <cell r="BG1117" t="str">
            <v/>
          </cell>
          <cell r="BH1117">
            <v>0</v>
          </cell>
          <cell r="BI1117">
            <v>4</v>
          </cell>
          <cell r="BJ1117">
            <v>30</v>
          </cell>
          <cell r="BK1117">
            <v>15</v>
          </cell>
          <cell r="BL1117">
            <v>1</v>
          </cell>
          <cell r="BM1117" t="str">
            <v/>
          </cell>
          <cell r="BN1117">
            <v>50</v>
          </cell>
          <cell r="BO1117" t="str">
            <v/>
          </cell>
          <cell r="BP1117">
            <v>0</v>
          </cell>
          <cell r="BQ1117">
            <v>4</v>
          </cell>
          <cell r="BR1117">
            <v>30</v>
          </cell>
          <cell r="BS1117">
            <v>15</v>
          </cell>
          <cell r="BT1117">
            <v>1</v>
          </cell>
          <cell r="BU1117" t="str">
            <v/>
          </cell>
          <cell r="BV1117">
            <v>50</v>
          </cell>
          <cell r="BW1117">
            <v>1</v>
          </cell>
          <cell r="BX1117" t="str">
            <v>TIDAK</v>
          </cell>
          <cell r="BY1117" t="str">
            <v>TIDAK</v>
          </cell>
        </row>
        <row r="1118">
          <cell r="A1118" t="str">
            <v>A4272</v>
          </cell>
          <cell r="B1118" t="str">
            <v>RINI SETYOWATI</v>
          </cell>
          <cell r="C1118" t="str">
            <v>TEMA C2</v>
          </cell>
          <cell r="D1118">
            <v>45533</v>
          </cell>
          <cell r="E1118" t="str">
            <v>Aug-24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 t="str">
            <v>-</v>
          </cell>
          <cell r="AQ1118" t="str">
            <v>-</v>
          </cell>
          <cell r="AR1118" t="str">
            <v>REGULER</v>
          </cell>
          <cell r="AS1118" t="str">
            <v>REGULER</v>
          </cell>
          <cell r="AT1118" t="str">
            <v>-</v>
          </cell>
          <cell r="AU1118" t="str">
            <v>-</v>
          </cell>
          <cell r="AV1118" t="str">
            <v/>
          </cell>
          <cell r="AW1118">
            <v>0</v>
          </cell>
          <cell r="AX1118">
            <v>5</v>
          </cell>
          <cell r="AY1118">
            <v>27</v>
          </cell>
          <cell r="AZ1118">
            <v>0</v>
          </cell>
          <cell r="BA1118">
            <v>0</v>
          </cell>
          <cell r="BB1118">
            <v>0</v>
          </cell>
          <cell r="BC1118">
            <v>5</v>
          </cell>
          <cell r="BD1118">
            <v>27</v>
          </cell>
          <cell r="BE1118">
            <v>0</v>
          </cell>
          <cell r="BF1118">
            <v>0</v>
          </cell>
          <cell r="BG1118" t="str">
            <v/>
          </cell>
          <cell r="BH1118">
            <v>0</v>
          </cell>
          <cell r="BI1118">
            <v>5</v>
          </cell>
          <cell r="BJ1118">
            <v>27</v>
          </cell>
          <cell r="BK1118">
            <v>0</v>
          </cell>
          <cell r="BL1118">
            <v>0</v>
          </cell>
          <cell r="BM1118" t="str">
            <v/>
          </cell>
          <cell r="BN1118">
            <v>32</v>
          </cell>
          <cell r="BO1118" t="str">
            <v/>
          </cell>
          <cell r="BP1118">
            <v>0</v>
          </cell>
          <cell r="BQ1118">
            <v>5</v>
          </cell>
          <cell r="BR1118">
            <v>27</v>
          </cell>
          <cell r="BS1118">
            <v>0</v>
          </cell>
          <cell r="BT1118">
            <v>0</v>
          </cell>
          <cell r="BU1118" t="str">
            <v/>
          </cell>
          <cell r="BV1118">
            <v>32</v>
          </cell>
          <cell r="BW1118">
            <v>3</v>
          </cell>
          <cell r="BX1118" t="str">
            <v>DOWNGRADE</v>
          </cell>
          <cell r="BY1118" t="str">
            <v>RESET</v>
          </cell>
        </row>
        <row r="1119">
          <cell r="A1119" t="str">
            <v>A4273</v>
          </cell>
          <cell r="B1119" t="str">
            <v>RUTH TRIS KRISTIANTI</v>
          </cell>
          <cell r="C1119" t="str">
            <v>TEMA C2</v>
          </cell>
          <cell r="D1119">
            <v>45533</v>
          </cell>
          <cell r="E1119" t="str">
            <v>Aug-24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 t="str">
            <v>-</v>
          </cell>
          <cell r="AQ1119" t="str">
            <v>-</v>
          </cell>
          <cell r="AR1119" t="str">
            <v>REGULER</v>
          </cell>
          <cell r="AS1119" t="str">
            <v>REGULER</v>
          </cell>
          <cell r="AT1119" t="str">
            <v>REGULER</v>
          </cell>
          <cell r="AU1119" t="str">
            <v>EKSKLUSIF</v>
          </cell>
          <cell r="AV1119" t="str">
            <v/>
          </cell>
          <cell r="AW1119">
            <v>0</v>
          </cell>
          <cell r="AX1119">
            <v>5</v>
          </cell>
          <cell r="AY1119">
            <v>39</v>
          </cell>
          <cell r="AZ1119">
            <v>45</v>
          </cell>
          <cell r="BA1119">
            <v>45</v>
          </cell>
          <cell r="BB1119">
            <v>0</v>
          </cell>
          <cell r="BC1119">
            <v>5</v>
          </cell>
          <cell r="BD1119">
            <v>39</v>
          </cell>
          <cell r="BE1119">
            <v>45</v>
          </cell>
          <cell r="BF1119">
            <v>45</v>
          </cell>
          <cell r="BG1119" t="str">
            <v/>
          </cell>
          <cell r="BH1119">
            <v>0</v>
          </cell>
          <cell r="BI1119">
            <v>5</v>
          </cell>
          <cell r="BJ1119">
            <v>39</v>
          </cell>
          <cell r="BK1119">
            <v>45</v>
          </cell>
          <cell r="BL1119">
            <v>45</v>
          </cell>
          <cell r="BM1119">
            <v>22</v>
          </cell>
          <cell r="BN1119">
            <v>156</v>
          </cell>
          <cell r="BO1119" t="str">
            <v/>
          </cell>
          <cell r="BP1119">
            <v>0</v>
          </cell>
          <cell r="BQ1119">
            <v>5</v>
          </cell>
          <cell r="BR1119">
            <v>39</v>
          </cell>
          <cell r="BS1119">
            <v>45</v>
          </cell>
          <cell r="BT1119">
            <v>0</v>
          </cell>
          <cell r="BU1119">
            <v>22</v>
          </cell>
          <cell r="BV1119">
            <v>111</v>
          </cell>
          <cell r="BW1119">
            <v>0</v>
          </cell>
          <cell r="BX1119" t="str">
            <v>TIDAK</v>
          </cell>
          <cell r="BY1119" t="str">
            <v>TIDAK</v>
          </cell>
        </row>
        <row r="1120">
          <cell r="A1120" t="str">
            <v>A4274</v>
          </cell>
          <cell r="B1120" t="str">
            <v>SONIA SISCABELLA</v>
          </cell>
          <cell r="C1120" t="str">
            <v>TEMA C2</v>
          </cell>
          <cell r="D1120">
            <v>45533</v>
          </cell>
          <cell r="E1120" t="str">
            <v>Aug-24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 t="str">
            <v>-</v>
          </cell>
          <cell r="AQ1120" t="str">
            <v>-</v>
          </cell>
          <cell r="AR1120" t="str">
            <v>REGULER</v>
          </cell>
          <cell r="AS1120" t="str">
            <v>REGULER</v>
          </cell>
          <cell r="AT1120" t="str">
            <v>REGULER</v>
          </cell>
          <cell r="AU1120" t="str">
            <v>REGULER</v>
          </cell>
          <cell r="AV1120" t="str">
            <v/>
          </cell>
          <cell r="AW1120">
            <v>0</v>
          </cell>
          <cell r="AX1120">
            <v>5</v>
          </cell>
          <cell r="AY1120">
            <v>9</v>
          </cell>
          <cell r="AZ1120">
            <v>15</v>
          </cell>
          <cell r="BA1120">
            <v>1</v>
          </cell>
          <cell r="BB1120">
            <v>0</v>
          </cell>
          <cell r="BC1120">
            <v>5</v>
          </cell>
          <cell r="BD1120">
            <v>9</v>
          </cell>
          <cell r="BE1120">
            <v>15</v>
          </cell>
          <cell r="BF1120">
            <v>1</v>
          </cell>
          <cell r="BG1120" t="str">
            <v/>
          </cell>
          <cell r="BH1120">
            <v>0</v>
          </cell>
          <cell r="BI1120">
            <v>5</v>
          </cell>
          <cell r="BJ1120">
            <v>9</v>
          </cell>
          <cell r="BK1120">
            <v>15</v>
          </cell>
          <cell r="BL1120">
            <v>1</v>
          </cell>
          <cell r="BM1120" t="str">
            <v/>
          </cell>
          <cell r="BN1120">
            <v>30</v>
          </cell>
          <cell r="BO1120" t="str">
            <v/>
          </cell>
          <cell r="BP1120">
            <v>0</v>
          </cell>
          <cell r="BQ1120">
            <v>5</v>
          </cell>
          <cell r="BR1120">
            <v>9</v>
          </cell>
          <cell r="BS1120">
            <v>15</v>
          </cell>
          <cell r="BT1120">
            <v>1</v>
          </cell>
          <cell r="BU1120" t="str">
            <v/>
          </cell>
          <cell r="BV1120">
            <v>30</v>
          </cell>
          <cell r="BW1120">
            <v>1</v>
          </cell>
          <cell r="BX1120" t="str">
            <v>TIDAK</v>
          </cell>
          <cell r="BY1120" t="str">
            <v>TIDAK</v>
          </cell>
        </row>
        <row r="1121">
          <cell r="A1121" t="str">
            <v>A4275</v>
          </cell>
          <cell r="B1121" t="str">
            <v>TYAS LARAS SATI</v>
          </cell>
          <cell r="C1121" t="str">
            <v>TEMA C2</v>
          </cell>
          <cell r="D1121">
            <v>45533</v>
          </cell>
          <cell r="E1121" t="str">
            <v>Aug-24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 t="str">
            <v>-</v>
          </cell>
          <cell r="AQ1121" t="str">
            <v>-</v>
          </cell>
          <cell r="AR1121" t="str">
            <v>REGULER</v>
          </cell>
          <cell r="AS1121" t="str">
            <v>REGULER</v>
          </cell>
          <cell r="AT1121" t="str">
            <v>REGULER</v>
          </cell>
          <cell r="AU1121" t="str">
            <v>REGULER</v>
          </cell>
          <cell r="AV1121" t="str">
            <v/>
          </cell>
          <cell r="AW1121">
            <v>0</v>
          </cell>
          <cell r="AX1121">
            <v>5</v>
          </cell>
          <cell r="AY1121">
            <v>33</v>
          </cell>
          <cell r="AZ1121">
            <v>35</v>
          </cell>
          <cell r="BA1121">
            <v>30</v>
          </cell>
          <cell r="BB1121">
            <v>0</v>
          </cell>
          <cell r="BC1121">
            <v>5</v>
          </cell>
          <cell r="BD1121">
            <v>33</v>
          </cell>
          <cell r="BE1121">
            <v>35</v>
          </cell>
          <cell r="BF1121">
            <v>30</v>
          </cell>
          <cell r="BG1121" t="str">
            <v/>
          </cell>
          <cell r="BH1121">
            <v>0</v>
          </cell>
          <cell r="BI1121">
            <v>5</v>
          </cell>
          <cell r="BJ1121">
            <v>33</v>
          </cell>
          <cell r="BK1121">
            <v>35</v>
          </cell>
          <cell r="BL1121">
            <v>30</v>
          </cell>
          <cell r="BM1121" t="str">
            <v/>
          </cell>
          <cell r="BN1121">
            <v>103</v>
          </cell>
          <cell r="BO1121" t="str">
            <v/>
          </cell>
          <cell r="BP1121">
            <v>0</v>
          </cell>
          <cell r="BQ1121">
            <v>5</v>
          </cell>
          <cell r="BR1121">
            <v>33</v>
          </cell>
          <cell r="BS1121">
            <v>35</v>
          </cell>
          <cell r="BT1121">
            <v>30</v>
          </cell>
          <cell r="BU1121" t="str">
            <v/>
          </cell>
          <cell r="BV1121">
            <v>103</v>
          </cell>
          <cell r="BW1121">
            <v>1</v>
          </cell>
          <cell r="BX1121" t="str">
            <v>TIDAK</v>
          </cell>
          <cell r="BY1121" t="str">
            <v>TIDAK</v>
          </cell>
        </row>
        <row r="1122">
          <cell r="A1122" t="str">
            <v>A4276</v>
          </cell>
          <cell r="B1122" t="str">
            <v>UMMI AISYATUL LATIFAH ASARO</v>
          </cell>
          <cell r="C1122" t="str">
            <v>TEMA C2</v>
          </cell>
          <cell r="D1122">
            <v>45533</v>
          </cell>
          <cell r="E1122" t="str">
            <v>Aug-24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 t="str">
            <v>-</v>
          </cell>
          <cell r="AQ1122" t="str">
            <v>-</v>
          </cell>
          <cell r="AR1122" t="str">
            <v>REGULER</v>
          </cell>
          <cell r="AS1122" t="str">
            <v>REGULER</v>
          </cell>
          <cell r="AT1122" t="str">
            <v>REGULER</v>
          </cell>
          <cell r="AU1122" t="str">
            <v>REGULER</v>
          </cell>
          <cell r="AV1122" t="str">
            <v/>
          </cell>
          <cell r="AW1122">
            <v>0</v>
          </cell>
          <cell r="AX1122">
            <v>4</v>
          </cell>
          <cell r="AY1122">
            <v>25</v>
          </cell>
          <cell r="AZ1122">
            <v>36</v>
          </cell>
          <cell r="BA1122">
            <v>39</v>
          </cell>
          <cell r="BB1122">
            <v>0</v>
          </cell>
          <cell r="BC1122">
            <v>4</v>
          </cell>
          <cell r="BD1122">
            <v>25</v>
          </cell>
          <cell r="BE1122">
            <v>36</v>
          </cell>
          <cell r="BF1122">
            <v>39</v>
          </cell>
          <cell r="BG1122" t="str">
            <v/>
          </cell>
          <cell r="BH1122">
            <v>0</v>
          </cell>
          <cell r="BI1122">
            <v>4</v>
          </cell>
          <cell r="BJ1122">
            <v>25</v>
          </cell>
          <cell r="BK1122">
            <v>36</v>
          </cell>
          <cell r="BL1122">
            <v>39</v>
          </cell>
          <cell r="BM1122">
            <v>20</v>
          </cell>
          <cell r="BN1122">
            <v>124</v>
          </cell>
          <cell r="BO1122" t="str">
            <v/>
          </cell>
          <cell r="BP1122">
            <v>0</v>
          </cell>
          <cell r="BQ1122">
            <v>4</v>
          </cell>
          <cell r="BR1122">
            <v>25</v>
          </cell>
          <cell r="BS1122">
            <v>36</v>
          </cell>
          <cell r="BT1122">
            <v>39</v>
          </cell>
          <cell r="BU1122">
            <v>20</v>
          </cell>
          <cell r="BV1122">
            <v>124</v>
          </cell>
          <cell r="BW1122">
            <v>0</v>
          </cell>
          <cell r="BX1122" t="str">
            <v>TIDAK</v>
          </cell>
          <cell r="BY1122" t="str">
            <v>TIDAK</v>
          </cell>
        </row>
        <row r="1123">
          <cell r="A1123" t="str">
            <v>A1057</v>
          </cell>
          <cell r="B1123" t="str">
            <v>AULIA RAHMADANI</v>
          </cell>
          <cell r="C1123" t="str">
            <v>TEMA C2</v>
          </cell>
          <cell r="D1123">
            <v>45541</v>
          </cell>
          <cell r="E1123" t="str">
            <v>Sep-24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 t="str">
            <v>-</v>
          </cell>
          <cell r="AQ1123" t="str">
            <v>-</v>
          </cell>
          <cell r="AR1123" t="str">
            <v>-</v>
          </cell>
          <cell r="AS1123" t="str">
            <v>REGULER</v>
          </cell>
          <cell r="AT1123" t="str">
            <v>-</v>
          </cell>
          <cell r="AU1123" t="str">
            <v>REGULER</v>
          </cell>
          <cell r="AV1123" t="str">
            <v/>
          </cell>
          <cell r="AW1123">
            <v>0</v>
          </cell>
          <cell r="AX1123">
            <v>0</v>
          </cell>
          <cell r="AY1123">
            <v>22</v>
          </cell>
          <cell r="AZ1123">
            <v>0</v>
          </cell>
          <cell r="BA1123">
            <v>5</v>
          </cell>
          <cell r="BB1123">
            <v>0</v>
          </cell>
          <cell r="BC1123">
            <v>0</v>
          </cell>
          <cell r="BD1123">
            <v>22</v>
          </cell>
          <cell r="BE1123">
            <v>0</v>
          </cell>
          <cell r="BF1123">
            <v>5</v>
          </cell>
          <cell r="BG1123" t="str">
            <v/>
          </cell>
          <cell r="BH1123">
            <v>0</v>
          </cell>
          <cell r="BI1123">
            <v>0</v>
          </cell>
          <cell r="BJ1123">
            <v>22</v>
          </cell>
          <cell r="BK1123">
            <v>0</v>
          </cell>
          <cell r="BL1123">
            <v>5</v>
          </cell>
          <cell r="BM1123" t="str">
            <v/>
          </cell>
          <cell r="BN1123">
            <v>27</v>
          </cell>
          <cell r="BO1123" t="str">
            <v/>
          </cell>
          <cell r="BP1123">
            <v>0</v>
          </cell>
          <cell r="BQ1123">
            <v>0</v>
          </cell>
          <cell r="BR1123">
            <v>22</v>
          </cell>
          <cell r="BS1123">
            <v>0</v>
          </cell>
          <cell r="BT1123">
            <v>5</v>
          </cell>
          <cell r="BU1123" t="str">
            <v/>
          </cell>
          <cell r="BV1123">
            <v>27</v>
          </cell>
          <cell r="BW1123">
            <v>2</v>
          </cell>
          <cell r="BX1123" t="str">
            <v>TIDAK</v>
          </cell>
          <cell r="BY1123" t="str">
            <v>TIDAK</v>
          </cell>
        </row>
        <row r="1124">
          <cell r="A1124" t="str">
            <v>A4286</v>
          </cell>
          <cell r="B1124" t="str">
            <v>BUKHORI BUKHORI</v>
          </cell>
          <cell r="C1124" t="str">
            <v>TEMA C2</v>
          </cell>
          <cell r="D1124">
            <v>45540</v>
          </cell>
          <cell r="E1124" t="str">
            <v>Sep-24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 t="str">
            <v>-</v>
          </cell>
          <cell r="AQ1124" t="str">
            <v>-</v>
          </cell>
          <cell r="AR1124" t="str">
            <v>-</v>
          </cell>
          <cell r="AS1124" t="str">
            <v>REGULER</v>
          </cell>
          <cell r="AT1124" t="str">
            <v>-</v>
          </cell>
          <cell r="AU1124" t="str">
            <v>-</v>
          </cell>
          <cell r="AV1124" t="str">
            <v/>
          </cell>
          <cell r="AW1124">
            <v>0</v>
          </cell>
          <cell r="AX1124">
            <v>0</v>
          </cell>
          <cell r="AY1124">
            <v>26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26</v>
          </cell>
          <cell r="BE1124">
            <v>0</v>
          </cell>
          <cell r="BF1124">
            <v>0</v>
          </cell>
          <cell r="BG1124" t="str">
            <v/>
          </cell>
          <cell r="BH1124">
            <v>0</v>
          </cell>
          <cell r="BI1124">
            <v>0</v>
          </cell>
          <cell r="BJ1124">
            <v>26</v>
          </cell>
          <cell r="BK1124">
            <v>0</v>
          </cell>
          <cell r="BL1124">
            <v>0</v>
          </cell>
          <cell r="BM1124" t="str">
            <v/>
          </cell>
          <cell r="BN1124">
            <v>26</v>
          </cell>
          <cell r="BO1124" t="str">
            <v/>
          </cell>
          <cell r="BP1124">
            <v>0</v>
          </cell>
          <cell r="BQ1124">
            <v>0</v>
          </cell>
          <cell r="BR1124">
            <v>26</v>
          </cell>
          <cell r="BS1124">
            <v>0</v>
          </cell>
          <cell r="BT1124">
            <v>0</v>
          </cell>
          <cell r="BU1124" t="str">
            <v/>
          </cell>
          <cell r="BV1124">
            <v>26</v>
          </cell>
          <cell r="BW1124">
            <v>3</v>
          </cell>
          <cell r="BX1124" t="str">
            <v>DOWNGRADE</v>
          </cell>
          <cell r="BY1124" t="str">
            <v>RESET</v>
          </cell>
        </row>
        <row r="1125">
          <cell r="A1125" t="str">
            <v>A4287</v>
          </cell>
          <cell r="B1125" t="str">
            <v>FARA DHIYA HASFANA</v>
          </cell>
          <cell r="C1125" t="str">
            <v>TEMA C2</v>
          </cell>
          <cell r="D1125">
            <v>45540</v>
          </cell>
          <cell r="E1125" t="str">
            <v>Sep-24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 t="str">
            <v>-</v>
          </cell>
          <cell r="AQ1125" t="str">
            <v>-</v>
          </cell>
          <cell r="AR1125" t="str">
            <v>-</v>
          </cell>
          <cell r="AS1125" t="str">
            <v>REGULER</v>
          </cell>
          <cell r="AT1125" t="str">
            <v>REGULER</v>
          </cell>
          <cell r="AU1125" t="str">
            <v>EKSKLUSIF</v>
          </cell>
          <cell r="AV1125" t="str">
            <v/>
          </cell>
          <cell r="AW1125">
            <v>0</v>
          </cell>
          <cell r="AX1125">
            <v>0</v>
          </cell>
          <cell r="AY1125">
            <v>28</v>
          </cell>
          <cell r="AZ1125">
            <v>45</v>
          </cell>
          <cell r="BA1125">
            <v>44</v>
          </cell>
          <cell r="BB1125">
            <v>0</v>
          </cell>
          <cell r="BC1125">
            <v>0</v>
          </cell>
          <cell r="BD1125">
            <v>28</v>
          </cell>
          <cell r="BE1125">
            <v>45</v>
          </cell>
          <cell r="BF1125">
            <v>44</v>
          </cell>
          <cell r="BG1125" t="str">
            <v/>
          </cell>
          <cell r="BH1125">
            <v>0</v>
          </cell>
          <cell r="BI1125">
            <v>0</v>
          </cell>
          <cell r="BJ1125">
            <v>28</v>
          </cell>
          <cell r="BK1125">
            <v>45</v>
          </cell>
          <cell r="BL1125">
            <v>44</v>
          </cell>
          <cell r="BM1125">
            <v>22</v>
          </cell>
          <cell r="BN1125">
            <v>139</v>
          </cell>
          <cell r="BO1125" t="str">
            <v/>
          </cell>
          <cell r="BP1125">
            <v>0</v>
          </cell>
          <cell r="BQ1125">
            <v>0</v>
          </cell>
          <cell r="BR1125">
            <v>28</v>
          </cell>
          <cell r="BS1125">
            <v>45</v>
          </cell>
          <cell r="BT1125">
            <v>0</v>
          </cell>
          <cell r="BU1125">
            <v>22</v>
          </cell>
          <cell r="BV1125">
            <v>95</v>
          </cell>
          <cell r="BW1125">
            <v>0</v>
          </cell>
          <cell r="BX1125" t="str">
            <v>TIDAK</v>
          </cell>
          <cell r="BY1125" t="str">
            <v>TIDAK</v>
          </cell>
        </row>
        <row r="1126">
          <cell r="A1126" t="str">
            <v>A2668</v>
          </cell>
          <cell r="B1126" t="str">
            <v>OKTAVIANUS YUDITIRA SADEWA</v>
          </cell>
          <cell r="C1126" t="str">
            <v>TEMA C2</v>
          </cell>
          <cell r="D1126">
            <v>45540</v>
          </cell>
          <cell r="E1126" t="str">
            <v>Sep-24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 t="str">
            <v>-</v>
          </cell>
          <cell r="AQ1126" t="str">
            <v>-</v>
          </cell>
          <cell r="AR1126" t="str">
            <v>-</v>
          </cell>
          <cell r="AS1126" t="str">
            <v>REGULER</v>
          </cell>
          <cell r="AT1126" t="str">
            <v>-</v>
          </cell>
          <cell r="AU1126" t="str">
            <v>-</v>
          </cell>
          <cell r="AV1126" t="str">
            <v/>
          </cell>
          <cell r="AW1126">
            <v>0</v>
          </cell>
          <cell r="AX1126">
            <v>0</v>
          </cell>
          <cell r="AY1126">
            <v>13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13</v>
          </cell>
          <cell r="BE1126">
            <v>0</v>
          </cell>
          <cell r="BF1126">
            <v>0</v>
          </cell>
          <cell r="BG1126" t="str">
            <v/>
          </cell>
          <cell r="BH1126">
            <v>0</v>
          </cell>
          <cell r="BI1126">
            <v>0</v>
          </cell>
          <cell r="BJ1126">
            <v>13</v>
          </cell>
          <cell r="BK1126">
            <v>0</v>
          </cell>
          <cell r="BL1126">
            <v>0</v>
          </cell>
          <cell r="BM1126" t="str">
            <v/>
          </cell>
          <cell r="BN1126">
            <v>13</v>
          </cell>
          <cell r="BO1126" t="str">
            <v/>
          </cell>
          <cell r="BP1126">
            <v>0</v>
          </cell>
          <cell r="BQ1126">
            <v>0</v>
          </cell>
          <cell r="BR1126">
            <v>13</v>
          </cell>
          <cell r="BS1126">
            <v>0</v>
          </cell>
          <cell r="BT1126">
            <v>0</v>
          </cell>
          <cell r="BU1126" t="str">
            <v/>
          </cell>
          <cell r="BV1126">
            <v>13</v>
          </cell>
          <cell r="BW1126">
            <v>3</v>
          </cell>
          <cell r="BX1126" t="str">
            <v>DOWNGRADE</v>
          </cell>
          <cell r="BY1126" t="str">
            <v>RESET</v>
          </cell>
        </row>
        <row r="1127">
          <cell r="A1127" t="str">
            <v>A4284</v>
          </cell>
          <cell r="B1127" t="str">
            <v>TANIA KASIH</v>
          </cell>
          <cell r="C1127" t="str">
            <v>TEMA C2</v>
          </cell>
          <cell r="D1127">
            <v>45540</v>
          </cell>
          <cell r="E1127" t="str">
            <v>Sep-24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 t="str">
            <v>-</v>
          </cell>
          <cell r="AQ1127" t="str">
            <v>-</v>
          </cell>
          <cell r="AR1127" t="str">
            <v>-</v>
          </cell>
          <cell r="AS1127" t="str">
            <v>REGULER</v>
          </cell>
          <cell r="AT1127" t="str">
            <v>REGULER</v>
          </cell>
          <cell r="AU1127" t="str">
            <v>REGULER</v>
          </cell>
          <cell r="AV1127" t="str">
            <v/>
          </cell>
          <cell r="AW1127">
            <v>0</v>
          </cell>
          <cell r="AX1127">
            <v>0</v>
          </cell>
          <cell r="AY1127">
            <v>32</v>
          </cell>
          <cell r="AZ1127">
            <v>29</v>
          </cell>
          <cell r="BA1127">
            <v>34</v>
          </cell>
          <cell r="BB1127">
            <v>0</v>
          </cell>
          <cell r="BC1127">
            <v>0</v>
          </cell>
          <cell r="BD1127">
            <v>32</v>
          </cell>
          <cell r="BE1127">
            <v>29</v>
          </cell>
          <cell r="BF1127">
            <v>34</v>
          </cell>
          <cell r="BG1127" t="str">
            <v/>
          </cell>
          <cell r="BH1127">
            <v>0</v>
          </cell>
          <cell r="BI1127">
            <v>0</v>
          </cell>
          <cell r="BJ1127">
            <v>32</v>
          </cell>
          <cell r="BK1127">
            <v>29</v>
          </cell>
          <cell r="BL1127">
            <v>34</v>
          </cell>
          <cell r="BM1127" t="str">
            <v/>
          </cell>
          <cell r="BN1127">
            <v>95</v>
          </cell>
          <cell r="BO1127" t="str">
            <v/>
          </cell>
          <cell r="BP1127">
            <v>0</v>
          </cell>
          <cell r="BQ1127">
            <v>0</v>
          </cell>
          <cell r="BR1127">
            <v>32</v>
          </cell>
          <cell r="BS1127">
            <v>29</v>
          </cell>
          <cell r="BT1127">
            <v>34</v>
          </cell>
          <cell r="BU1127" t="str">
            <v/>
          </cell>
          <cell r="BV1127">
            <v>95</v>
          </cell>
          <cell r="BW1127">
            <v>1</v>
          </cell>
          <cell r="BX1127" t="str">
            <v>TIDAK</v>
          </cell>
          <cell r="BY1127" t="str">
            <v>TIDAK</v>
          </cell>
        </row>
        <row r="1128">
          <cell r="A1128" t="str">
            <v>A4285</v>
          </cell>
          <cell r="B1128" t="str">
            <v>VINO MUJAHIDIN</v>
          </cell>
          <cell r="C1128" t="str">
            <v>TEMA C2</v>
          </cell>
          <cell r="D1128">
            <v>45540</v>
          </cell>
          <cell r="E1128" t="str">
            <v>Sep-24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 t="str">
            <v>-</v>
          </cell>
          <cell r="AQ1128" t="str">
            <v>-</v>
          </cell>
          <cell r="AR1128" t="str">
            <v>-</v>
          </cell>
          <cell r="AS1128" t="str">
            <v>REGULER</v>
          </cell>
          <cell r="AT1128" t="str">
            <v>REGULER</v>
          </cell>
          <cell r="AU1128" t="str">
            <v>EKSKLUSIF</v>
          </cell>
          <cell r="AV1128" t="str">
            <v/>
          </cell>
          <cell r="AW1128">
            <v>0</v>
          </cell>
          <cell r="AX1128">
            <v>0</v>
          </cell>
          <cell r="AY1128">
            <v>25</v>
          </cell>
          <cell r="AZ1128">
            <v>45</v>
          </cell>
          <cell r="BA1128">
            <v>43</v>
          </cell>
          <cell r="BB1128">
            <v>0</v>
          </cell>
          <cell r="BC1128">
            <v>0</v>
          </cell>
          <cell r="BD1128">
            <v>25</v>
          </cell>
          <cell r="BE1128">
            <v>45</v>
          </cell>
          <cell r="BF1128">
            <v>43</v>
          </cell>
          <cell r="BG1128" t="str">
            <v/>
          </cell>
          <cell r="BH1128">
            <v>0</v>
          </cell>
          <cell r="BI1128">
            <v>0</v>
          </cell>
          <cell r="BJ1128">
            <v>25</v>
          </cell>
          <cell r="BK1128">
            <v>45</v>
          </cell>
          <cell r="BL1128">
            <v>43</v>
          </cell>
          <cell r="BM1128">
            <v>22</v>
          </cell>
          <cell r="BN1128">
            <v>135</v>
          </cell>
          <cell r="BO1128" t="str">
            <v/>
          </cell>
          <cell r="BP1128">
            <v>0</v>
          </cell>
          <cell r="BQ1128">
            <v>0</v>
          </cell>
          <cell r="BR1128">
            <v>25</v>
          </cell>
          <cell r="BS1128">
            <v>45</v>
          </cell>
          <cell r="BT1128">
            <v>0</v>
          </cell>
          <cell r="BU1128">
            <v>22</v>
          </cell>
          <cell r="BV1128">
            <v>92</v>
          </cell>
          <cell r="BW1128">
            <v>0</v>
          </cell>
          <cell r="BX1128" t="str">
            <v>TIDAK</v>
          </cell>
          <cell r="BY1128" t="str">
            <v>TIDAK</v>
          </cell>
        </row>
        <row r="1129">
          <cell r="A1129" t="str">
            <v>A4319</v>
          </cell>
          <cell r="B1129" t="str">
            <v>FINA ARIMBI</v>
          </cell>
          <cell r="C1129" t="str">
            <v>TEMA C2</v>
          </cell>
          <cell r="D1129">
            <v>45553</v>
          </cell>
          <cell r="E1129" t="str">
            <v>Sep-24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 t="str">
            <v>-</v>
          </cell>
          <cell r="AQ1129" t="str">
            <v>-</v>
          </cell>
          <cell r="AR1129" t="str">
            <v>-</v>
          </cell>
          <cell r="AS1129" t="str">
            <v>REGULER</v>
          </cell>
          <cell r="AT1129" t="str">
            <v>REGULER</v>
          </cell>
          <cell r="AU1129" t="str">
            <v>REGULER</v>
          </cell>
          <cell r="AV1129" t="str">
            <v/>
          </cell>
          <cell r="AW1129">
            <v>0</v>
          </cell>
          <cell r="AX1129">
            <v>0</v>
          </cell>
          <cell r="AY1129">
            <v>12</v>
          </cell>
          <cell r="AZ1129">
            <v>31</v>
          </cell>
          <cell r="BA1129">
            <v>13</v>
          </cell>
          <cell r="BB1129">
            <v>0</v>
          </cell>
          <cell r="BC1129">
            <v>0</v>
          </cell>
          <cell r="BD1129">
            <v>12</v>
          </cell>
          <cell r="BE1129">
            <v>31</v>
          </cell>
          <cell r="BF1129">
            <v>13</v>
          </cell>
          <cell r="BG1129" t="str">
            <v/>
          </cell>
          <cell r="BH1129">
            <v>0</v>
          </cell>
          <cell r="BI1129">
            <v>0</v>
          </cell>
          <cell r="BJ1129">
            <v>12</v>
          </cell>
          <cell r="BK1129">
            <v>31</v>
          </cell>
          <cell r="BL1129">
            <v>13</v>
          </cell>
          <cell r="BM1129">
            <v>3</v>
          </cell>
          <cell r="BN1129">
            <v>59</v>
          </cell>
          <cell r="BO1129" t="str">
            <v/>
          </cell>
          <cell r="BP1129">
            <v>0</v>
          </cell>
          <cell r="BQ1129">
            <v>0</v>
          </cell>
          <cell r="BR1129">
            <v>12</v>
          </cell>
          <cell r="BS1129">
            <v>31</v>
          </cell>
          <cell r="BT1129">
            <v>13</v>
          </cell>
          <cell r="BU1129">
            <v>3</v>
          </cell>
          <cell r="BV1129">
            <v>59</v>
          </cell>
          <cell r="BW1129">
            <v>0</v>
          </cell>
          <cell r="BX1129" t="str">
            <v>TIDAK</v>
          </cell>
          <cell r="BY1129" t="str">
            <v>TIDAK</v>
          </cell>
        </row>
        <row r="1130">
          <cell r="A1130">
            <v>92259</v>
          </cell>
          <cell r="B1130" t="str">
            <v>Novi Anggraini</v>
          </cell>
          <cell r="C1130" t="str">
            <v>TEMA C2</v>
          </cell>
          <cell r="D1130">
            <v>45553</v>
          </cell>
          <cell r="E1130" t="str">
            <v>Sep-24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 t="str">
            <v>-</v>
          </cell>
          <cell r="AQ1130" t="str">
            <v>-</v>
          </cell>
          <cell r="AR1130" t="str">
            <v>-</v>
          </cell>
          <cell r="AS1130" t="str">
            <v>REGULER</v>
          </cell>
          <cell r="AT1130" t="str">
            <v>REGULER</v>
          </cell>
          <cell r="AU1130" t="str">
            <v>REGULER</v>
          </cell>
          <cell r="AV1130" t="str">
            <v/>
          </cell>
          <cell r="AW1130">
            <v>0</v>
          </cell>
          <cell r="AX1130">
            <v>0</v>
          </cell>
          <cell r="AY1130">
            <v>18</v>
          </cell>
          <cell r="AZ1130">
            <v>36</v>
          </cell>
          <cell r="BA1130">
            <v>39</v>
          </cell>
          <cell r="BB1130">
            <v>0</v>
          </cell>
          <cell r="BC1130">
            <v>0</v>
          </cell>
          <cell r="BD1130">
            <v>18</v>
          </cell>
          <cell r="BE1130">
            <v>36</v>
          </cell>
          <cell r="BF1130">
            <v>39</v>
          </cell>
          <cell r="BG1130" t="str">
            <v/>
          </cell>
          <cell r="BH1130">
            <v>0</v>
          </cell>
          <cell r="BI1130">
            <v>0</v>
          </cell>
          <cell r="BJ1130">
            <v>18</v>
          </cell>
          <cell r="BK1130">
            <v>36</v>
          </cell>
          <cell r="BL1130">
            <v>39</v>
          </cell>
          <cell r="BM1130">
            <v>18</v>
          </cell>
          <cell r="BN1130">
            <v>111</v>
          </cell>
          <cell r="BO1130" t="str">
            <v/>
          </cell>
          <cell r="BP1130">
            <v>0</v>
          </cell>
          <cell r="BQ1130">
            <v>0</v>
          </cell>
          <cell r="BR1130">
            <v>18</v>
          </cell>
          <cell r="BS1130">
            <v>36</v>
          </cell>
          <cell r="BT1130">
            <v>39</v>
          </cell>
          <cell r="BU1130">
            <v>18</v>
          </cell>
          <cell r="BV1130">
            <v>111</v>
          </cell>
          <cell r="BW1130">
            <v>0</v>
          </cell>
          <cell r="BX1130" t="str">
            <v>TIDAK</v>
          </cell>
          <cell r="BY1130" t="str">
            <v>TIDAK</v>
          </cell>
        </row>
        <row r="1131">
          <cell r="A1131" t="str">
            <v>A4320</v>
          </cell>
          <cell r="B1131" t="str">
            <v>CARINA MONIQ ANADELLA</v>
          </cell>
          <cell r="C1131" t="str">
            <v>TEMA C2</v>
          </cell>
          <cell r="D1131">
            <v>45553</v>
          </cell>
          <cell r="E1131" t="str">
            <v>Sep-24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 t="str">
            <v>-</v>
          </cell>
          <cell r="AQ1131" t="str">
            <v>-</v>
          </cell>
          <cell r="AR1131" t="str">
            <v>-</v>
          </cell>
          <cell r="AS1131" t="str">
            <v>REGULER</v>
          </cell>
          <cell r="AT1131" t="str">
            <v>REGULER</v>
          </cell>
          <cell r="AU1131" t="str">
            <v>REGULER</v>
          </cell>
          <cell r="AV1131" t="str">
            <v/>
          </cell>
          <cell r="AW1131">
            <v>0</v>
          </cell>
          <cell r="AX1131">
            <v>0</v>
          </cell>
          <cell r="AY1131">
            <v>15</v>
          </cell>
          <cell r="AZ1131">
            <v>40</v>
          </cell>
          <cell r="BA1131">
            <v>38</v>
          </cell>
          <cell r="BB1131">
            <v>0</v>
          </cell>
          <cell r="BC1131">
            <v>0</v>
          </cell>
          <cell r="BD1131">
            <v>15</v>
          </cell>
          <cell r="BE1131">
            <v>40</v>
          </cell>
          <cell r="BF1131">
            <v>38</v>
          </cell>
          <cell r="BG1131" t="str">
            <v/>
          </cell>
          <cell r="BH1131">
            <v>0</v>
          </cell>
          <cell r="BI1131">
            <v>0</v>
          </cell>
          <cell r="BJ1131">
            <v>15</v>
          </cell>
          <cell r="BK1131">
            <v>40</v>
          </cell>
          <cell r="BL1131">
            <v>38</v>
          </cell>
          <cell r="BM1131">
            <v>20</v>
          </cell>
          <cell r="BN1131">
            <v>113</v>
          </cell>
          <cell r="BO1131" t="str">
            <v/>
          </cell>
          <cell r="BP1131">
            <v>0</v>
          </cell>
          <cell r="BQ1131">
            <v>0</v>
          </cell>
          <cell r="BR1131">
            <v>15</v>
          </cell>
          <cell r="BS1131">
            <v>40</v>
          </cell>
          <cell r="BT1131">
            <v>38</v>
          </cell>
          <cell r="BU1131">
            <v>20</v>
          </cell>
          <cell r="BV1131">
            <v>113</v>
          </cell>
          <cell r="BW1131">
            <v>0</v>
          </cell>
          <cell r="BX1131" t="str">
            <v>TIDAK</v>
          </cell>
          <cell r="BY1131" t="str">
            <v>TIDAK</v>
          </cell>
        </row>
        <row r="1132">
          <cell r="A1132" t="str">
            <v>A4321</v>
          </cell>
          <cell r="B1132" t="str">
            <v>AULIA NUR AZIZAH</v>
          </cell>
          <cell r="C1132" t="str">
            <v>TEMA C2</v>
          </cell>
          <cell r="D1132">
            <v>45553</v>
          </cell>
          <cell r="E1132" t="str">
            <v>Sep-24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 t="str">
            <v>-</v>
          </cell>
          <cell r="AQ1132" t="str">
            <v>-</v>
          </cell>
          <cell r="AR1132" t="str">
            <v>-</v>
          </cell>
          <cell r="AS1132" t="str">
            <v>REGULER</v>
          </cell>
          <cell r="AT1132" t="str">
            <v>REGULER</v>
          </cell>
          <cell r="AU1132" t="str">
            <v>REGULER</v>
          </cell>
          <cell r="AV1132" t="str">
            <v/>
          </cell>
          <cell r="AW1132">
            <v>0</v>
          </cell>
          <cell r="AX1132">
            <v>0</v>
          </cell>
          <cell r="AY1132">
            <v>19</v>
          </cell>
          <cell r="AZ1132">
            <v>49</v>
          </cell>
          <cell r="BA1132">
            <v>45</v>
          </cell>
          <cell r="BB1132">
            <v>0</v>
          </cell>
          <cell r="BC1132">
            <v>0</v>
          </cell>
          <cell r="BD1132">
            <v>19</v>
          </cell>
          <cell r="BE1132">
            <v>49</v>
          </cell>
          <cell r="BF1132">
            <v>45</v>
          </cell>
          <cell r="BG1132" t="str">
            <v/>
          </cell>
          <cell r="BH1132">
            <v>0</v>
          </cell>
          <cell r="BI1132">
            <v>0</v>
          </cell>
          <cell r="BJ1132">
            <v>19</v>
          </cell>
          <cell r="BK1132">
            <v>49</v>
          </cell>
          <cell r="BL1132">
            <v>45</v>
          </cell>
          <cell r="BM1132">
            <v>22</v>
          </cell>
          <cell r="BN1132">
            <v>135</v>
          </cell>
          <cell r="BO1132" t="str">
            <v/>
          </cell>
          <cell r="BP1132">
            <v>0</v>
          </cell>
          <cell r="BQ1132">
            <v>0</v>
          </cell>
          <cell r="BR1132">
            <v>19</v>
          </cell>
          <cell r="BS1132">
            <v>49</v>
          </cell>
          <cell r="BT1132">
            <v>45</v>
          </cell>
          <cell r="BU1132">
            <v>22</v>
          </cell>
          <cell r="BV1132">
            <v>135</v>
          </cell>
          <cell r="BW1132">
            <v>0</v>
          </cell>
          <cell r="BX1132" t="str">
            <v>TIDAK</v>
          </cell>
          <cell r="BY1132" t="str">
            <v>TIDAK</v>
          </cell>
        </row>
        <row r="1133">
          <cell r="A1133" t="str">
            <v>A4322</v>
          </cell>
          <cell r="B1133" t="str">
            <v>AICO JUSU</v>
          </cell>
          <cell r="C1133" t="str">
            <v>TEMA C2</v>
          </cell>
          <cell r="D1133">
            <v>45553</v>
          </cell>
          <cell r="E1133" t="str">
            <v>Sep-24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 t="str">
            <v>-</v>
          </cell>
          <cell r="AQ1133" t="str">
            <v>-</v>
          </cell>
          <cell r="AR1133" t="str">
            <v>-</v>
          </cell>
          <cell r="AS1133" t="str">
            <v>REGULER</v>
          </cell>
          <cell r="AT1133" t="str">
            <v>REGULER</v>
          </cell>
          <cell r="AU1133" t="str">
            <v>REGULER</v>
          </cell>
          <cell r="AV1133" t="str">
            <v/>
          </cell>
          <cell r="AW1133">
            <v>0</v>
          </cell>
          <cell r="AX1133">
            <v>0</v>
          </cell>
          <cell r="AY1133">
            <v>19</v>
          </cell>
          <cell r="AZ1133">
            <v>49</v>
          </cell>
          <cell r="BA1133">
            <v>45</v>
          </cell>
          <cell r="BB1133">
            <v>0</v>
          </cell>
          <cell r="BC1133">
            <v>0</v>
          </cell>
          <cell r="BD1133">
            <v>19</v>
          </cell>
          <cell r="BE1133">
            <v>49</v>
          </cell>
          <cell r="BF1133">
            <v>45</v>
          </cell>
          <cell r="BG1133" t="str">
            <v/>
          </cell>
          <cell r="BH1133">
            <v>0</v>
          </cell>
          <cell r="BI1133">
            <v>0</v>
          </cell>
          <cell r="BJ1133">
            <v>19</v>
          </cell>
          <cell r="BK1133">
            <v>49</v>
          </cell>
          <cell r="BL1133">
            <v>45</v>
          </cell>
          <cell r="BM1133">
            <v>22</v>
          </cell>
          <cell r="BN1133">
            <v>135</v>
          </cell>
          <cell r="BO1133" t="str">
            <v/>
          </cell>
          <cell r="BP1133">
            <v>0</v>
          </cell>
          <cell r="BQ1133">
            <v>0</v>
          </cell>
          <cell r="BR1133">
            <v>19</v>
          </cell>
          <cell r="BS1133">
            <v>49</v>
          </cell>
          <cell r="BT1133">
            <v>45</v>
          </cell>
          <cell r="BU1133">
            <v>22</v>
          </cell>
          <cell r="BV1133">
            <v>135</v>
          </cell>
          <cell r="BW1133">
            <v>0</v>
          </cell>
          <cell r="BX1133" t="str">
            <v>TIDAK</v>
          </cell>
          <cell r="BY1133" t="str">
            <v>TIDAK</v>
          </cell>
        </row>
        <row r="1134">
          <cell r="A1134" t="str">
            <v>A4323</v>
          </cell>
          <cell r="B1134" t="str">
            <v>ROHEDI ANNISA WIJAYANTI</v>
          </cell>
          <cell r="C1134" t="str">
            <v>TEMA C2</v>
          </cell>
          <cell r="D1134">
            <v>45553</v>
          </cell>
          <cell r="E1134" t="str">
            <v>Sep-24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 t="str">
            <v>-</v>
          </cell>
          <cell r="AQ1134" t="str">
            <v>-</v>
          </cell>
          <cell r="AR1134" t="str">
            <v>-</v>
          </cell>
          <cell r="AS1134" t="str">
            <v>REGULER</v>
          </cell>
          <cell r="AT1134" t="str">
            <v>REGULER</v>
          </cell>
          <cell r="AU1134" t="str">
            <v>REGULER</v>
          </cell>
          <cell r="AV1134" t="str">
            <v/>
          </cell>
          <cell r="AW1134">
            <v>0</v>
          </cell>
          <cell r="AX1134">
            <v>0</v>
          </cell>
          <cell r="AY1134">
            <v>19</v>
          </cell>
          <cell r="AZ1134">
            <v>36</v>
          </cell>
          <cell r="BA1134">
            <v>41</v>
          </cell>
          <cell r="BB1134">
            <v>0</v>
          </cell>
          <cell r="BC1134">
            <v>0</v>
          </cell>
          <cell r="BD1134">
            <v>19</v>
          </cell>
          <cell r="BE1134">
            <v>36</v>
          </cell>
          <cell r="BF1134">
            <v>41</v>
          </cell>
          <cell r="BG1134" t="str">
            <v/>
          </cell>
          <cell r="BH1134">
            <v>0</v>
          </cell>
          <cell r="BI1134">
            <v>0</v>
          </cell>
          <cell r="BJ1134">
            <v>19</v>
          </cell>
          <cell r="BK1134">
            <v>36</v>
          </cell>
          <cell r="BL1134">
            <v>41</v>
          </cell>
          <cell r="BM1134">
            <v>20</v>
          </cell>
          <cell r="BN1134">
            <v>116</v>
          </cell>
          <cell r="BO1134" t="str">
            <v/>
          </cell>
          <cell r="BP1134">
            <v>0</v>
          </cell>
          <cell r="BQ1134">
            <v>0</v>
          </cell>
          <cell r="BR1134">
            <v>19</v>
          </cell>
          <cell r="BS1134">
            <v>36</v>
          </cell>
          <cell r="BT1134">
            <v>41</v>
          </cell>
          <cell r="BU1134">
            <v>20</v>
          </cell>
          <cell r="BV1134">
            <v>116</v>
          </cell>
          <cell r="BW1134">
            <v>0</v>
          </cell>
          <cell r="BX1134" t="str">
            <v>TIDAK</v>
          </cell>
          <cell r="BY1134" t="str">
            <v>TIDAK</v>
          </cell>
        </row>
        <row r="1135">
          <cell r="A1135" t="str">
            <v>A4324</v>
          </cell>
          <cell r="B1135" t="str">
            <v>MARIA CESHA PUTRIAWAN</v>
          </cell>
          <cell r="C1135" t="str">
            <v>TEMA C2</v>
          </cell>
          <cell r="D1135">
            <v>45553</v>
          </cell>
          <cell r="E1135" t="str">
            <v>Sep-24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 t="str">
            <v>-</v>
          </cell>
          <cell r="AQ1135" t="str">
            <v>-</v>
          </cell>
          <cell r="AR1135" t="str">
            <v>-</v>
          </cell>
          <cell r="AS1135" t="str">
            <v>REGULER</v>
          </cell>
          <cell r="AT1135" t="str">
            <v>REGULER</v>
          </cell>
          <cell r="AU1135" t="str">
            <v>REGULER</v>
          </cell>
          <cell r="AV1135" t="str">
            <v/>
          </cell>
          <cell r="AW1135">
            <v>0</v>
          </cell>
          <cell r="AX1135">
            <v>0</v>
          </cell>
          <cell r="AY1135">
            <v>19</v>
          </cell>
          <cell r="AZ1135">
            <v>40</v>
          </cell>
          <cell r="BA1135">
            <v>43</v>
          </cell>
          <cell r="BB1135">
            <v>0</v>
          </cell>
          <cell r="BC1135">
            <v>0</v>
          </cell>
          <cell r="BD1135">
            <v>19</v>
          </cell>
          <cell r="BE1135">
            <v>40</v>
          </cell>
          <cell r="BF1135">
            <v>43</v>
          </cell>
          <cell r="BG1135" t="str">
            <v/>
          </cell>
          <cell r="BH1135">
            <v>0</v>
          </cell>
          <cell r="BI1135">
            <v>0</v>
          </cell>
          <cell r="BJ1135">
            <v>19</v>
          </cell>
          <cell r="BK1135">
            <v>40</v>
          </cell>
          <cell r="BL1135">
            <v>43</v>
          </cell>
          <cell r="BM1135">
            <v>18</v>
          </cell>
          <cell r="BN1135">
            <v>120</v>
          </cell>
          <cell r="BO1135" t="str">
            <v/>
          </cell>
          <cell r="BP1135">
            <v>0</v>
          </cell>
          <cell r="BQ1135">
            <v>0</v>
          </cell>
          <cell r="BR1135">
            <v>19</v>
          </cell>
          <cell r="BS1135">
            <v>40</v>
          </cell>
          <cell r="BT1135">
            <v>43</v>
          </cell>
          <cell r="BU1135">
            <v>18</v>
          </cell>
          <cell r="BV1135">
            <v>120</v>
          </cell>
          <cell r="BW1135">
            <v>0</v>
          </cell>
          <cell r="BX1135" t="str">
            <v>TIDAK</v>
          </cell>
          <cell r="BY1135" t="str">
            <v>TIDAK</v>
          </cell>
        </row>
        <row r="1136">
          <cell r="A1136" t="str">
            <v>A4325</v>
          </cell>
          <cell r="B1136" t="str">
            <v>SHAFA KANDRAYU</v>
          </cell>
          <cell r="C1136" t="str">
            <v>TEMA C2</v>
          </cell>
          <cell r="D1136">
            <v>45553</v>
          </cell>
          <cell r="E1136" t="str">
            <v>Sep-24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 t="str">
            <v>-</v>
          </cell>
          <cell r="AQ1136" t="str">
            <v>-</v>
          </cell>
          <cell r="AR1136" t="str">
            <v>-</v>
          </cell>
          <cell r="AS1136" t="str">
            <v>REGULER</v>
          </cell>
          <cell r="AT1136" t="str">
            <v>REGULER</v>
          </cell>
          <cell r="AU1136" t="str">
            <v>REGULER</v>
          </cell>
          <cell r="AV1136" t="str">
            <v/>
          </cell>
          <cell r="AW1136">
            <v>0</v>
          </cell>
          <cell r="AX1136">
            <v>0</v>
          </cell>
          <cell r="AY1136">
            <v>19</v>
          </cell>
          <cell r="AZ1136">
            <v>36</v>
          </cell>
          <cell r="BA1136">
            <v>39</v>
          </cell>
          <cell r="BB1136">
            <v>0</v>
          </cell>
          <cell r="BC1136">
            <v>0</v>
          </cell>
          <cell r="BD1136">
            <v>19</v>
          </cell>
          <cell r="BE1136">
            <v>36</v>
          </cell>
          <cell r="BF1136">
            <v>39</v>
          </cell>
          <cell r="BG1136" t="str">
            <v/>
          </cell>
          <cell r="BH1136">
            <v>0</v>
          </cell>
          <cell r="BI1136">
            <v>0</v>
          </cell>
          <cell r="BJ1136">
            <v>19</v>
          </cell>
          <cell r="BK1136">
            <v>36</v>
          </cell>
          <cell r="BL1136">
            <v>39</v>
          </cell>
          <cell r="BM1136">
            <v>21</v>
          </cell>
          <cell r="BN1136">
            <v>115</v>
          </cell>
          <cell r="BO1136" t="str">
            <v/>
          </cell>
          <cell r="BP1136">
            <v>0</v>
          </cell>
          <cell r="BQ1136">
            <v>0</v>
          </cell>
          <cell r="BR1136">
            <v>19</v>
          </cell>
          <cell r="BS1136">
            <v>36</v>
          </cell>
          <cell r="BT1136">
            <v>39</v>
          </cell>
          <cell r="BU1136">
            <v>21</v>
          </cell>
          <cell r="BV1136">
            <v>115</v>
          </cell>
          <cell r="BW1136">
            <v>0</v>
          </cell>
          <cell r="BX1136" t="str">
            <v>TIDAK</v>
          </cell>
          <cell r="BY1136" t="str">
            <v>TIDAK</v>
          </cell>
        </row>
        <row r="1137">
          <cell r="A1137" t="str">
            <v>A4326</v>
          </cell>
          <cell r="B1137" t="str">
            <v>ASTIRA NOVANTARA</v>
          </cell>
          <cell r="C1137" t="str">
            <v>TEMA C2</v>
          </cell>
          <cell r="D1137">
            <v>45553</v>
          </cell>
          <cell r="E1137" t="str">
            <v>Sep-24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 t="str">
            <v>-</v>
          </cell>
          <cell r="AQ1137" t="str">
            <v>-</v>
          </cell>
          <cell r="AR1137" t="str">
            <v>-</v>
          </cell>
          <cell r="AS1137" t="str">
            <v>REGULER</v>
          </cell>
          <cell r="AT1137" t="str">
            <v>REGULER</v>
          </cell>
          <cell r="AU1137" t="str">
            <v>REGULER</v>
          </cell>
          <cell r="AV1137" t="str">
            <v/>
          </cell>
          <cell r="AW1137">
            <v>0</v>
          </cell>
          <cell r="AX1137">
            <v>0</v>
          </cell>
          <cell r="AY1137">
            <v>19</v>
          </cell>
          <cell r="AZ1137">
            <v>45</v>
          </cell>
          <cell r="BA1137">
            <v>44</v>
          </cell>
          <cell r="BB1137">
            <v>0</v>
          </cell>
          <cell r="BC1137">
            <v>0</v>
          </cell>
          <cell r="BD1137">
            <v>19</v>
          </cell>
          <cell r="BE1137">
            <v>45</v>
          </cell>
          <cell r="BF1137">
            <v>44</v>
          </cell>
          <cell r="BG1137" t="str">
            <v/>
          </cell>
          <cell r="BH1137">
            <v>0</v>
          </cell>
          <cell r="BI1137">
            <v>0</v>
          </cell>
          <cell r="BJ1137">
            <v>19</v>
          </cell>
          <cell r="BK1137">
            <v>45</v>
          </cell>
          <cell r="BL1137">
            <v>44</v>
          </cell>
          <cell r="BM1137">
            <v>21</v>
          </cell>
          <cell r="BN1137">
            <v>129</v>
          </cell>
          <cell r="BO1137" t="str">
            <v/>
          </cell>
          <cell r="BP1137">
            <v>0</v>
          </cell>
          <cell r="BQ1137">
            <v>0</v>
          </cell>
          <cell r="BR1137">
            <v>19</v>
          </cell>
          <cell r="BS1137">
            <v>45</v>
          </cell>
          <cell r="BT1137">
            <v>44</v>
          </cell>
          <cell r="BU1137">
            <v>21</v>
          </cell>
          <cell r="BV1137">
            <v>129</v>
          </cell>
          <cell r="BW1137">
            <v>0</v>
          </cell>
          <cell r="BX1137" t="str">
            <v>TIDAK</v>
          </cell>
          <cell r="BY1137" t="str">
            <v>TIDAK</v>
          </cell>
        </row>
        <row r="1138">
          <cell r="A1138" t="str">
            <v>A4327</v>
          </cell>
          <cell r="B1138" t="str">
            <v>NAZWAL AULYA RONDA</v>
          </cell>
          <cell r="C1138" t="str">
            <v>TEMA C2</v>
          </cell>
          <cell r="D1138">
            <v>45553</v>
          </cell>
          <cell r="E1138" t="str">
            <v>Sep-24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 t="str">
            <v>-</v>
          </cell>
          <cell r="AQ1138" t="str">
            <v>-</v>
          </cell>
          <cell r="AR1138" t="str">
            <v>-</v>
          </cell>
          <cell r="AS1138" t="str">
            <v>REGULER</v>
          </cell>
          <cell r="AT1138" t="str">
            <v>REGULER</v>
          </cell>
          <cell r="AU1138" t="str">
            <v>REGULER</v>
          </cell>
          <cell r="AV1138" t="str">
            <v/>
          </cell>
          <cell r="AW1138">
            <v>0</v>
          </cell>
          <cell r="AX1138">
            <v>0</v>
          </cell>
          <cell r="AY1138">
            <v>19</v>
          </cell>
          <cell r="AZ1138">
            <v>42</v>
          </cell>
          <cell r="BA1138">
            <v>21</v>
          </cell>
          <cell r="BB1138">
            <v>0</v>
          </cell>
          <cell r="BC1138">
            <v>0</v>
          </cell>
          <cell r="BD1138">
            <v>19</v>
          </cell>
          <cell r="BE1138">
            <v>42</v>
          </cell>
          <cell r="BF1138">
            <v>21</v>
          </cell>
          <cell r="BG1138" t="str">
            <v/>
          </cell>
          <cell r="BH1138">
            <v>0</v>
          </cell>
          <cell r="BI1138">
            <v>0</v>
          </cell>
          <cell r="BJ1138">
            <v>19</v>
          </cell>
          <cell r="BK1138">
            <v>42</v>
          </cell>
          <cell r="BL1138">
            <v>21</v>
          </cell>
          <cell r="BM1138" t="str">
            <v/>
          </cell>
          <cell r="BN1138">
            <v>82</v>
          </cell>
          <cell r="BO1138" t="str">
            <v/>
          </cell>
          <cell r="BP1138">
            <v>0</v>
          </cell>
          <cell r="BQ1138">
            <v>0</v>
          </cell>
          <cell r="BR1138">
            <v>19</v>
          </cell>
          <cell r="BS1138">
            <v>42</v>
          </cell>
          <cell r="BT1138">
            <v>21</v>
          </cell>
          <cell r="BU1138" t="str">
            <v/>
          </cell>
          <cell r="BV1138">
            <v>82</v>
          </cell>
          <cell r="BW1138">
            <v>1</v>
          </cell>
          <cell r="BX1138" t="str">
            <v>TIDAK</v>
          </cell>
          <cell r="BY1138" t="str">
            <v>TIDAK</v>
          </cell>
        </row>
        <row r="1139">
          <cell r="A1139" t="str">
            <v>A4338</v>
          </cell>
          <cell r="B1139" t="str">
            <v>ESTHER VELIANA</v>
          </cell>
          <cell r="C1139" t="str">
            <v>TEMA C2</v>
          </cell>
          <cell r="D1139">
            <v>45562</v>
          </cell>
          <cell r="E1139" t="str">
            <v>Sep-24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 t="str">
            <v>-</v>
          </cell>
          <cell r="AQ1139" t="str">
            <v>-</v>
          </cell>
          <cell r="AR1139" t="str">
            <v>-</v>
          </cell>
          <cell r="AS1139" t="str">
            <v>REGULER</v>
          </cell>
          <cell r="AT1139" t="str">
            <v>REGULER</v>
          </cell>
          <cell r="AU1139" t="str">
            <v>REGULER</v>
          </cell>
          <cell r="AV1139" t="str">
            <v/>
          </cell>
          <cell r="AW1139">
            <v>0</v>
          </cell>
          <cell r="AX1139">
            <v>0</v>
          </cell>
          <cell r="AY1139">
            <v>4</v>
          </cell>
          <cell r="AZ1139">
            <v>28</v>
          </cell>
          <cell r="BA1139">
            <v>9</v>
          </cell>
          <cell r="BB1139">
            <v>0</v>
          </cell>
          <cell r="BC1139">
            <v>0</v>
          </cell>
          <cell r="BD1139">
            <v>4</v>
          </cell>
          <cell r="BE1139">
            <v>28</v>
          </cell>
          <cell r="BF1139">
            <v>9</v>
          </cell>
          <cell r="BG1139" t="str">
            <v/>
          </cell>
          <cell r="BH1139">
            <v>0</v>
          </cell>
          <cell r="BI1139">
            <v>0</v>
          </cell>
          <cell r="BJ1139">
            <v>4</v>
          </cell>
          <cell r="BK1139">
            <v>28</v>
          </cell>
          <cell r="BL1139">
            <v>9</v>
          </cell>
          <cell r="BM1139" t="str">
            <v/>
          </cell>
          <cell r="BN1139">
            <v>41</v>
          </cell>
          <cell r="BO1139" t="str">
            <v/>
          </cell>
          <cell r="BP1139">
            <v>0</v>
          </cell>
          <cell r="BQ1139">
            <v>0</v>
          </cell>
          <cell r="BR1139">
            <v>4</v>
          </cell>
          <cell r="BS1139">
            <v>28</v>
          </cell>
          <cell r="BT1139">
            <v>9</v>
          </cell>
          <cell r="BU1139" t="str">
            <v/>
          </cell>
          <cell r="BV1139">
            <v>41</v>
          </cell>
          <cell r="BW1139">
            <v>1</v>
          </cell>
          <cell r="BX1139" t="str">
            <v>TIDAK</v>
          </cell>
          <cell r="BY1139" t="str">
            <v>TIDAK</v>
          </cell>
        </row>
        <row r="1140">
          <cell r="A1140" t="str">
            <v>A4339</v>
          </cell>
          <cell r="B1140" t="str">
            <v>NUR SYA BAN ANISA</v>
          </cell>
          <cell r="C1140" t="str">
            <v>TEMA C2</v>
          </cell>
          <cell r="D1140">
            <v>45562</v>
          </cell>
          <cell r="E1140" t="str">
            <v>Sep-24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 t="str">
            <v>-</v>
          </cell>
          <cell r="AQ1140" t="str">
            <v>-</v>
          </cell>
          <cell r="AR1140" t="str">
            <v>-</v>
          </cell>
          <cell r="AS1140" t="str">
            <v>REGULER</v>
          </cell>
          <cell r="AT1140" t="str">
            <v>-</v>
          </cell>
          <cell r="AU1140" t="str">
            <v>-</v>
          </cell>
          <cell r="AV1140" t="str">
            <v/>
          </cell>
          <cell r="AW1140">
            <v>0</v>
          </cell>
          <cell r="AX1140">
            <v>0</v>
          </cell>
          <cell r="AY1140">
            <v>2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2</v>
          </cell>
          <cell r="BE1140">
            <v>0</v>
          </cell>
          <cell r="BF1140">
            <v>0</v>
          </cell>
          <cell r="BG1140" t="str">
            <v/>
          </cell>
          <cell r="BH1140">
            <v>0</v>
          </cell>
          <cell r="BI1140">
            <v>0</v>
          </cell>
          <cell r="BJ1140">
            <v>2</v>
          </cell>
          <cell r="BK1140">
            <v>0</v>
          </cell>
          <cell r="BL1140">
            <v>0</v>
          </cell>
          <cell r="BM1140" t="str">
            <v/>
          </cell>
          <cell r="BN1140">
            <v>2</v>
          </cell>
          <cell r="BO1140" t="str">
            <v/>
          </cell>
          <cell r="BP1140">
            <v>0</v>
          </cell>
          <cell r="BQ1140">
            <v>0</v>
          </cell>
          <cell r="BR1140">
            <v>2</v>
          </cell>
          <cell r="BS1140">
            <v>0</v>
          </cell>
          <cell r="BT1140">
            <v>0</v>
          </cell>
          <cell r="BU1140" t="str">
            <v/>
          </cell>
          <cell r="BV1140">
            <v>2</v>
          </cell>
          <cell r="BW1140">
            <v>3</v>
          </cell>
          <cell r="BX1140" t="str">
            <v>DOWNGRADE</v>
          </cell>
          <cell r="BY1140" t="str">
            <v>RESET</v>
          </cell>
        </row>
        <row r="1141">
          <cell r="A1141" t="str">
            <v>A4340</v>
          </cell>
          <cell r="B1141" t="str">
            <v>MARIA ROSELIN</v>
          </cell>
          <cell r="C1141" t="str">
            <v>TEMA C2</v>
          </cell>
          <cell r="D1141">
            <v>45581</v>
          </cell>
          <cell r="E1141" t="str">
            <v>Oct-24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 t="str">
            <v>-</v>
          </cell>
          <cell r="AQ1141" t="str">
            <v>-</v>
          </cell>
          <cell r="AR1141" t="str">
            <v>-</v>
          </cell>
          <cell r="AS1141" t="str">
            <v>-</v>
          </cell>
          <cell r="AT1141" t="str">
            <v>REGULER</v>
          </cell>
          <cell r="AU1141" t="str">
            <v>-</v>
          </cell>
          <cell r="AV1141" t="str">
            <v/>
          </cell>
          <cell r="AW1141">
            <v>0</v>
          </cell>
          <cell r="AX1141">
            <v>0</v>
          </cell>
          <cell r="AY1141">
            <v>0</v>
          </cell>
          <cell r="AZ1141">
            <v>36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36</v>
          </cell>
          <cell r="BF1141">
            <v>0</v>
          </cell>
          <cell r="BG1141" t="str">
            <v/>
          </cell>
          <cell r="BH1141">
            <v>0</v>
          </cell>
          <cell r="BI1141">
            <v>0</v>
          </cell>
          <cell r="BJ1141">
            <v>0</v>
          </cell>
          <cell r="BK1141">
            <v>36</v>
          </cell>
          <cell r="BL1141">
            <v>0</v>
          </cell>
          <cell r="BM1141" t="str">
            <v/>
          </cell>
          <cell r="BN1141">
            <v>36</v>
          </cell>
          <cell r="BO1141" t="str">
            <v/>
          </cell>
          <cell r="BP1141">
            <v>0</v>
          </cell>
          <cell r="BQ1141">
            <v>0</v>
          </cell>
          <cell r="BR1141">
            <v>0</v>
          </cell>
          <cell r="BS1141">
            <v>36</v>
          </cell>
          <cell r="BT1141">
            <v>0</v>
          </cell>
          <cell r="BU1141" t="str">
            <v/>
          </cell>
          <cell r="BV1141">
            <v>36</v>
          </cell>
          <cell r="BW1141">
            <v>2</v>
          </cell>
          <cell r="BX1141" t="str">
            <v>TIDAK</v>
          </cell>
          <cell r="BY1141" t="str">
            <v>TIDAK</v>
          </cell>
        </row>
        <row r="1142">
          <cell r="A1142" t="str">
            <v>A4341</v>
          </cell>
          <cell r="B1142" t="str">
            <v>RIZA ULHIDAYAH</v>
          </cell>
          <cell r="C1142" t="str">
            <v>TEMA C2</v>
          </cell>
          <cell r="D1142">
            <v>45562</v>
          </cell>
          <cell r="E1142" t="str">
            <v>Sep-24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 t="str">
            <v>-</v>
          </cell>
          <cell r="AQ1142" t="str">
            <v>-</v>
          </cell>
          <cell r="AR1142" t="str">
            <v>-</v>
          </cell>
          <cell r="AS1142" t="str">
            <v>REGULER</v>
          </cell>
          <cell r="AT1142" t="str">
            <v>REGULER</v>
          </cell>
          <cell r="AU1142" t="str">
            <v>EKSKLUSIF</v>
          </cell>
          <cell r="AV1142" t="str">
            <v/>
          </cell>
          <cell r="AW1142">
            <v>0</v>
          </cell>
          <cell r="AX1142">
            <v>0</v>
          </cell>
          <cell r="AY1142">
            <v>5</v>
          </cell>
          <cell r="AZ1142">
            <v>47</v>
          </cell>
          <cell r="BA1142">
            <v>43</v>
          </cell>
          <cell r="BB1142">
            <v>0</v>
          </cell>
          <cell r="BC1142">
            <v>0</v>
          </cell>
          <cell r="BD1142">
            <v>5</v>
          </cell>
          <cell r="BE1142">
            <v>47</v>
          </cell>
          <cell r="BF1142">
            <v>43</v>
          </cell>
          <cell r="BG1142" t="str">
            <v/>
          </cell>
          <cell r="BH1142">
            <v>0</v>
          </cell>
          <cell r="BI1142">
            <v>0</v>
          </cell>
          <cell r="BJ1142">
            <v>5</v>
          </cell>
          <cell r="BK1142">
            <v>47</v>
          </cell>
          <cell r="BL1142">
            <v>43</v>
          </cell>
          <cell r="BM1142">
            <v>22</v>
          </cell>
          <cell r="BN1142">
            <v>117</v>
          </cell>
          <cell r="BO1142" t="str">
            <v/>
          </cell>
          <cell r="BP1142">
            <v>0</v>
          </cell>
          <cell r="BQ1142">
            <v>0</v>
          </cell>
          <cell r="BR1142">
            <v>5</v>
          </cell>
          <cell r="BS1142">
            <v>47</v>
          </cell>
          <cell r="BT1142">
            <v>0</v>
          </cell>
          <cell r="BU1142">
            <v>22</v>
          </cell>
          <cell r="BV1142">
            <v>74</v>
          </cell>
          <cell r="BW1142">
            <v>0</v>
          </cell>
          <cell r="BX1142" t="str">
            <v>TIDAK</v>
          </cell>
          <cell r="BY1142" t="str">
            <v>TIDAK</v>
          </cell>
        </row>
        <row r="1143">
          <cell r="A1143" t="str">
            <v>A4342</v>
          </cell>
          <cell r="B1143" t="str">
            <v>TANTRI BR TARIGAN</v>
          </cell>
          <cell r="C1143" t="str">
            <v>TEMA C2</v>
          </cell>
          <cell r="D1143">
            <v>45566</v>
          </cell>
          <cell r="E1143" t="str">
            <v>Oct-24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 t="str">
            <v>-</v>
          </cell>
          <cell r="AQ1143" t="str">
            <v>-</v>
          </cell>
          <cell r="AR1143" t="str">
            <v>-</v>
          </cell>
          <cell r="AS1143" t="str">
            <v>-</v>
          </cell>
          <cell r="AT1143" t="str">
            <v>REGULER</v>
          </cell>
          <cell r="AU1143" t="str">
            <v>-</v>
          </cell>
          <cell r="AV1143" t="str">
            <v/>
          </cell>
          <cell r="AW1143">
            <v>0</v>
          </cell>
          <cell r="AX1143">
            <v>0</v>
          </cell>
          <cell r="AY1143">
            <v>0</v>
          </cell>
          <cell r="AZ1143">
            <v>2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2</v>
          </cell>
          <cell r="BF1143">
            <v>0</v>
          </cell>
          <cell r="BG1143" t="str">
            <v/>
          </cell>
          <cell r="BH1143">
            <v>0</v>
          </cell>
          <cell r="BI1143">
            <v>0</v>
          </cell>
          <cell r="BJ1143">
            <v>0</v>
          </cell>
          <cell r="BK1143">
            <v>2</v>
          </cell>
          <cell r="BL1143">
            <v>0</v>
          </cell>
          <cell r="BM1143" t="str">
            <v/>
          </cell>
          <cell r="BN1143">
            <v>2</v>
          </cell>
          <cell r="BO1143" t="str">
            <v/>
          </cell>
          <cell r="BP1143">
            <v>0</v>
          </cell>
          <cell r="BQ1143">
            <v>0</v>
          </cell>
          <cell r="BR1143">
            <v>0</v>
          </cell>
          <cell r="BS1143">
            <v>2</v>
          </cell>
          <cell r="BT1143">
            <v>0</v>
          </cell>
          <cell r="BU1143" t="str">
            <v/>
          </cell>
          <cell r="BV1143">
            <v>2</v>
          </cell>
          <cell r="BW1143">
            <v>2</v>
          </cell>
          <cell r="BX1143" t="str">
            <v>TIDAK</v>
          </cell>
          <cell r="BY1143" t="str">
            <v>TIDAK</v>
          </cell>
        </row>
        <row r="1144">
          <cell r="A1144" t="str">
            <v>A4343</v>
          </cell>
          <cell r="B1144" t="str">
            <v>DINDA RIZQIYA</v>
          </cell>
          <cell r="C1144" t="str">
            <v>TEMA C2</v>
          </cell>
          <cell r="D1144">
            <v>45562</v>
          </cell>
          <cell r="E1144" t="str">
            <v>Sep-24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 t="str">
            <v>-</v>
          </cell>
          <cell r="AQ1144" t="str">
            <v>-</v>
          </cell>
          <cell r="AR1144" t="str">
            <v>-</v>
          </cell>
          <cell r="AS1144" t="str">
            <v>REGULER</v>
          </cell>
          <cell r="AT1144" t="str">
            <v>REGULER</v>
          </cell>
          <cell r="AU1144" t="str">
            <v>-</v>
          </cell>
          <cell r="AV1144" t="str">
            <v/>
          </cell>
          <cell r="AW1144">
            <v>0</v>
          </cell>
          <cell r="AX1144">
            <v>0</v>
          </cell>
          <cell r="AY1144">
            <v>4</v>
          </cell>
          <cell r="AZ1144">
            <v>20</v>
          </cell>
          <cell r="BA1144">
            <v>0</v>
          </cell>
          <cell r="BB1144">
            <v>0</v>
          </cell>
          <cell r="BC1144">
            <v>0</v>
          </cell>
          <cell r="BD1144">
            <v>4</v>
          </cell>
          <cell r="BE1144">
            <v>20</v>
          </cell>
          <cell r="BF1144">
            <v>0</v>
          </cell>
          <cell r="BG1144" t="str">
            <v/>
          </cell>
          <cell r="BH1144">
            <v>0</v>
          </cell>
          <cell r="BI1144">
            <v>0</v>
          </cell>
          <cell r="BJ1144">
            <v>4</v>
          </cell>
          <cell r="BK1144">
            <v>20</v>
          </cell>
          <cell r="BL1144">
            <v>0</v>
          </cell>
          <cell r="BM1144" t="str">
            <v/>
          </cell>
          <cell r="BN1144">
            <v>24</v>
          </cell>
          <cell r="BO1144" t="str">
            <v/>
          </cell>
          <cell r="BP1144">
            <v>0</v>
          </cell>
          <cell r="BQ1144">
            <v>0</v>
          </cell>
          <cell r="BR1144">
            <v>4</v>
          </cell>
          <cell r="BS1144">
            <v>20</v>
          </cell>
          <cell r="BT1144">
            <v>0</v>
          </cell>
          <cell r="BU1144" t="str">
            <v/>
          </cell>
          <cell r="BV1144">
            <v>24</v>
          </cell>
          <cell r="BW1144">
            <v>2</v>
          </cell>
          <cell r="BX1144" t="str">
            <v>TIDAK</v>
          </cell>
          <cell r="BY1144" t="str">
            <v>TIDAK</v>
          </cell>
        </row>
        <row r="1145">
          <cell r="A1145" t="str">
            <v>A4344</v>
          </cell>
          <cell r="B1145" t="str">
            <v>MUHAMMAD RANDY FIRMANSYAH</v>
          </cell>
          <cell r="C1145" t="str">
            <v>TEMA C2</v>
          </cell>
          <cell r="D1145">
            <v>45566</v>
          </cell>
          <cell r="E1145" t="str">
            <v>Oct-24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 t="str">
            <v>-</v>
          </cell>
          <cell r="AQ1145" t="str">
            <v>-</v>
          </cell>
          <cell r="AR1145" t="str">
            <v>-</v>
          </cell>
          <cell r="AS1145" t="str">
            <v>-</v>
          </cell>
          <cell r="AT1145" t="str">
            <v>REGULER</v>
          </cell>
          <cell r="AU1145" t="str">
            <v>REGULER</v>
          </cell>
          <cell r="AV1145" t="str">
            <v/>
          </cell>
          <cell r="AW1145">
            <v>0</v>
          </cell>
          <cell r="AX1145">
            <v>0</v>
          </cell>
          <cell r="AY1145">
            <v>0</v>
          </cell>
          <cell r="AZ1145">
            <v>37</v>
          </cell>
          <cell r="BA1145">
            <v>32</v>
          </cell>
          <cell r="BB1145">
            <v>0</v>
          </cell>
          <cell r="BC1145">
            <v>0</v>
          </cell>
          <cell r="BD1145">
            <v>0</v>
          </cell>
          <cell r="BE1145">
            <v>37</v>
          </cell>
          <cell r="BF1145">
            <v>32</v>
          </cell>
          <cell r="BG1145" t="str">
            <v/>
          </cell>
          <cell r="BH1145">
            <v>0</v>
          </cell>
          <cell r="BI1145">
            <v>0</v>
          </cell>
          <cell r="BJ1145">
            <v>0</v>
          </cell>
          <cell r="BK1145">
            <v>37</v>
          </cell>
          <cell r="BL1145">
            <v>32</v>
          </cell>
          <cell r="BM1145">
            <v>19</v>
          </cell>
          <cell r="BN1145">
            <v>88</v>
          </cell>
          <cell r="BO1145" t="str">
            <v/>
          </cell>
          <cell r="BP1145">
            <v>0</v>
          </cell>
          <cell r="BQ1145">
            <v>0</v>
          </cell>
          <cell r="BR1145">
            <v>0</v>
          </cell>
          <cell r="BS1145">
            <v>37</v>
          </cell>
          <cell r="BT1145">
            <v>32</v>
          </cell>
          <cell r="BU1145">
            <v>19</v>
          </cell>
          <cell r="BV1145">
            <v>88</v>
          </cell>
          <cell r="BW1145">
            <v>0</v>
          </cell>
          <cell r="BX1145" t="str">
            <v>TIDAK</v>
          </cell>
          <cell r="BY1145" t="str">
            <v>TIDAK</v>
          </cell>
        </row>
        <row r="1146">
          <cell r="A1146" t="str">
            <v>A4363</v>
          </cell>
          <cell r="B1146" t="str">
            <v>RINA IKA LESTARI</v>
          </cell>
          <cell r="C1146" t="str">
            <v>TEMA C2</v>
          </cell>
          <cell r="D1146">
            <v>45573</v>
          </cell>
          <cell r="E1146" t="str">
            <v>Oct-24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 t="str">
            <v>-</v>
          </cell>
          <cell r="AQ1146" t="str">
            <v>-</v>
          </cell>
          <cell r="AR1146" t="str">
            <v>-</v>
          </cell>
          <cell r="AS1146" t="str">
            <v>-</v>
          </cell>
          <cell r="AT1146" t="str">
            <v>REGULER</v>
          </cell>
          <cell r="AU1146" t="str">
            <v>REGULER</v>
          </cell>
          <cell r="AV1146" t="str">
            <v/>
          </cell>
          <cell r="AW1146">
            <v>0</v>
          </cell>
          <cell r="AX1146">
            <v>0</v>
          </cell>
          <cell r="AY1146">
            <v>0</v>
          </cell>
          <cell r="AZ1146">
            <v>25</v>
          </cell>
          <cell r="BA1146">
            <v>33</v>
          </cell>
          <cell r="BB1146">
            <v>0</v>
          </cell>
          <cell r="BC1146">
            <v>0</v>
          </cell>
          <cell r="BD1146">
            <v>0</v>
          </cell>
          <cell r="BE1146">
            <v>25</v>
          </cell>
          <cell r="BF1146">
            <v>33</v>
          </cell>
          <cell r="BG1146" t="str">
            <v/>
          </cell>
          <cell r="BH1146">
            <v>0</v>
          </cell>
          <cell r="BI1146">
            <v>0</v>
          </cell>
          <cell r="BJ1146">
            <v>0</v>
          </cell>
          <cell r="BK1146">
            <v>25</v>
          </cell>
          <cell r="BL1146">
            <v>33</v>
          </cell>
          <cell r="BM1146">
            <v>21</v>
          </cell>
          <cell r="BN1146">
            <v>79</v>
          </cell>
          <cell r="BO1146" t="str">
            <v/>
          </cell>
          <cell r="BP1146">
            <v>0</v>
          </cell>
          <cell r="BQ1146">
            <v>0</v>
          </cell>
          <cell r="BR1146">
            <v>0</v>
          </cell>
          <cell r="BS1146">
            <v>25</v>
          </cell>
          <cell r="BT1146">
            <v>33</v>
          </cell>
          <cell r="BU1146">
            <v>21</v>
          </cell>
          <cell r="BV1146">
            <v>79</v>
          </cell>
          <cell r="BW1146">
            <v>0</v>
          </cell>
          <cell r="BX1146" t="str">
            <v>TIDAK</v>
          </cell>
          <cell r="BY1146" t="str">
            <v>TIDAK</v>
          </cell>
        </row>
        <row r="1147">
          <cell r="A1147" t="str">
            <v>A4364</v>
          </cell>
          <cell r="B1147" t="str">
            <v>MUHAMMAD RAIHANDRA</v>
          </cell>
          <cell r="C1147" t="str">
            <v>TEMA C2</v>
          </cell>
          <cell r="D1147">
            <v>45573</v>
          </cell>
          <cell r="E1147" t="str">
            <v>Oct-24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 t="str">
            <v>-</v>
          </cell>
          <cell r="AQ1147" t="str">
            <v>-</v>
          </cell>
          <cell r="AR1147" t="str">
            <v>-</v>
          </cell>
          <cell r="AS1147" t="str">
            <v>-</v>
          </cell>
          <cell r="AT1147" t="str">
            <v>REGULER</v>
          </cell>
          <cell r="AU1147" t="str">
            <v>REGULER</v>
          </cell>
          <cell r="AV1147" t="str">
            <v/>
          </cell>
          <cell r="AW1147">
            <v>0</v>
          </cell>
          <cell r="AX1147">
            <v>0</v>
          </cell>
          <cell r="AY1147">
            <v>0</v>
          </cell>
          <cell r="AZ1147">
            <v>36</v>
          </cell>
          <cell r="BA1147">
            <v>38</v>
          </cell>
          <cell r="BB1147">
            <v>0</v>
          </cell>
          <cell r="BC1147">
            <v>0</v>
          </cell>
          <cell r="BD1147">
            <v>0</v>
          </cell>
          <cell r="BE1147">
            <v>36</v>
          </cell>
          <cell r="BF1147">
            <v>38</v>
          </cell>
          <cell r="BG1147" t="str">
            <v/>
          </cell>
          <cell r="BH1147">
            <v>0</v>
          </cell>
          <cell r="BI1147">
            <v>0</v>
          </cell>
          <cell r="BJ1147">
            <v>0</v>
          </cell>
          <cell r="BK1147">
            <v>36</v>
          </cell>
          <cell r="BL1147">
            <v>38</v>
          </cell>
          <cell r="BM1147">
            <v>22</v>
          </cell>
          <cell r="BN1147">
            <v>96</v>
          </cell>
          <cell r="BO1147" t="str">
            <v/>
          </cell>
          <cell r="BP1147">
            <v>0</v>
          </cell>
          <cell r="BQ1147">
            <v>0</v>
          </cell>
          <cell r="BR1147">
            <v>0</v>
          </cell>
          <cell r="BS1147">
            <v>36</v>
          </cell>
          <cell r="BT1147">
            <v>38</v>
          </cell>
          <cell r="BU1147">
            <v>22</v>
          </cell>
          <cell r="BV1147">
            <v>96</v>
          </cell>
          <cell r="BW1147">
            <v>0</v>
          </cell>
          <cell r="BX1147" t="str">
            <v>TIDAK</v>
          </cell>
          <cell r="BY1147" t="str">
            <v>TIDAK</v>
          </cell>
        </row>
        <row r="1148">
          <cell r="A1148" t="str">
            <v>A4365</v>
          </cell>
          <cell r="B1148" t="str">
            <v>FIKRI FAJRI</v>
          </cell>
          <cell r="C1148" t="str">
            <v>TEMA C2</v>
          </cell>
          <cell r="D1148">
            <v>45574</v>
          </cell>
          <cell r="E1148" t="str">
            <v>Oct-24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 t="str">
            <v>-</v>
          </cell>
          <cell r="AQ1148" t="str">
            <v>-</v>
          </cell>
          <cell r="AR1148" t="str">
            <v>-</v>
          </cell>
          <cell r="AS1148" t="str">
            <v>-</v>
          </cell>
          <cell r="AT1148" t="str">
            <v>REGULER</v>
          </cell>
          <cell r="AU1148" t="str">
            <v>REGULER</v>
          </cell>
          <cell r="AV1148" t="str">
            <v/>
          </cell>
          <cell r="AW1148">
            <v>0</v>
          </cell>
          <cell r="AX1148">
            <v>0</v>
          </cell>
          <cell r="AY1148">
            <v>0</v>
          </cell>
          <cell r="AZ1148">
            <v>18</v>
          </cell>
          <cell r="BA1148">
            <v>8</v>
          </cell>
          <cell r="BB1148">
            <v>0</v>
          </cell>
          <cell r="BC1148">
            <v>0</v>
          </cell>
          <cell r="BD1148">
            <v>0</v>
          </cell>
          <cell r="BE1148">
            <v>18</v>
          </cell>
          <cell r="BF1148">
            <v>8</v>
          </cell>
          <cell r="BG1148" t="str">
            <v/>
          </cell>
          <cell r="BH1148">
            <v>0</v>
          </cell>
          <cell r="BI1148">
            <v>0</v>
          </cell>
          <cell r="BJ1148">
            <v>0</v>
          </cell>
          <cell r="BK1148">
            <v>18</v>
          </cell>
          <cell r="BL1148">
            <v>8</v>
          </cell>
          <cell r="BM1148" t="str">
            <v/>
          </cell>
          <cell r="BN1148">
            <v>26</v>
          </cell>
          <cell r="BO1148" t="str">
            <v/>
          </cell>
          <cell r="BP1148">
            <v>0</v>
          </cell>
          <cell r="BQ1148">
            <v>0</v>
          </cell>
          <cell r="BR1148">
            <v>0</v>
          </cell>
          <cell r="BS1148">
            <v>18</v>
          </cell>
          <cell r="BT1148">
            <v>8</v>
          </cell>
          <cell r="BU1148" t="str">
            <v/>
          </cell>
          <cell r="BV1148">
            <v>26</v>
          </cell>
          <cell r="BW1148">
            <v>1</v>
          </cell>
          <cell r="BX1148" t="str">
            <v>TIDAK</v>
          </cell>
          <cell r="BY1148" t="str">
            <v>TIDAK</v>
          </cell>
        </row>
        <row r="1149">
          <cell r="A1149" t="str">
            <v>A4366</v>
          </cell>
          <cell r="B1149" t="str">
            <v>RISKA KRISTIANA</v>
          </cell>
          <cell r="C1149" t="str">
            <v>TEMA C2</v>
          </cell>
          <cell r="D1149">
            <v>45573</v>
          </cell>
          <cell r="E1149" t="str">
            <v>Oct-24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 t="str">
            <v>-</v>
          </cell>
          <cell r="AQ1149" t="str">
            <v>-</v>
          </cell>
          <cell r="AR1149" t="str">
            <v>-</v>
          </cell>
          <cell r="AS1149" t="str">
            <v>-</v>
          </cell>
          <cell r="AT1149" t="str">
            <v>REGULER</v>
          </cell>
          <cell r="AU1149" t="str">
            <v>EKSKLUSIF</v>
          </cell>
          <cell r="AV1149" t="str">
            <v/>
          </cell>
          <cell r="AW1149">
            <v>0</v>
          </cell>
          <cell r="AX1149">
            <v>0</v>
          </cell>
          <cell r="AY1149">
            <v>0</v>
          </cell>
          <cell r="AZ1149">
            <v>17</v>
          </cell>
          <cell r="BA1149">
            <v>39</v>
          </cell>
          <cell r="BB1149">
            <v>0</v>
          </cell>
          <cell r="BC1149">
            <v>0</v>
          </cell>
          <cell r="BD1149">
            <v>0</v>
          </cell>
          <cell r="BE1149">
            <v>17</v>
          </cell>
          <cell r="BF1149">
            <v>39</v>
          </cell>
          <cell r="BG1149" t="str">
            <v/>
          </cell>
          <cell r="BH1149">
            <v>0</v>
          </cell>
          <cell r="BI1149">
            <v>0</v>
          </cell>
          <cell r="BJ1149">
            <v>0</v>
          </cell>
          <cell r="BK1149">
            <v>17</v>
          </cell>
          <cell r="BL1149">
            <v>39</v>
          </cell>
          <cell r="BM1149">
            <v>21</v>
          </cell>
          <cell r="BN1149">
            <v>77</v>
          </cell>
          <cell r="BO1149" t="str">
            <v/>
          </cell>
          <cell r="BP1149">
            <v>0</v>
          </cell>
          <cell r="BQ1149">
            <v>0</v>
          </cell>
          <cell r="BR1149">
            <v>0</v>
          </cell>
          <cell r="BS1149">
            <v>17</v>
          </cell>
          <cell r="BT1149">
            <v>0</v>
          </cell>
          <cell r="BU1149">
            <v>21</v>
          </cell>
          <cell r="BV1149">
            <v>38</v>
          </cell>
          <cell r="BW1149">
            <v>0</v>
          </cell>
          <cell r="BX1149" t="str">
            <v>TIDAK</v>
          </cell>
          <cell r="BY1149" t="str">
            <v>TIDAK</v>
          </cell>
        </row>
        <row r="1150">
          <cell r="A1150" t="str">
            <v>A4367</v>
          </cell>
          <cell r="B1150" t="str">
            <v>SISWI HARDIYANTI RUKMANA DEWI</v>
          </cell>
          <cell r="C1150" t="str">
            <v>TEMA C2</v>
          </cell>
          <cell r="D1150">
            <v>45573</v>
          </cell>
          <cell r="E1150" t="str">
            <v>Oct-24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 t="str">
            <v>-</v>
          </cell>
          <cell r="AQ1150" t="str">
            <v>-</v>
          </cell>
          <cell r="AR1150" t="str">
            <v>-</v>
          </cell>
          <cell r="AS1150" t="str">
            <v>-</v>
          </cell>
          <cell r="AT1150" t="str">
            <v>REGULER</v>
          </cell>
          <cell r="AU1150" t="str">
            <v>EKSKLUSIF</v>
          </cell>
          <cell r="AV1150" t="str">
            <v/>
          </cell>
          <cell r="AW1150">
            <v>0</v>
          </cell>
          <cell r="AX1150">
            <v>0</v>
          </cell>
          <cell r="AY1150">
            <v>0</v>
          </cell>
          <cell r="AZ1150">
            <v>38</v>
          </cell>
          <cell r="BA1150">
            <v>44</v>
          </cell>
          <cell r="BB1150">
            <v>0</v>
          </cell>
          <cell r="BC1150">
            <v>0</v>
          </cell>
          <cell r="BD1150">
            <v>0</v>
          </cell>
          <cell r="BE1150">
            <v>38</v>
          </cell>
          <cell r="BF1150">
            <v>44</v>
          </cell>
          <cell r="BG1150" t="str">
            <v/>
          </cell>
          <cell r="BH1150">
            <v>0</v>
          </cell>
          <cell r="BI1150">
            <v>0</v>
          </cell>
          <cell r="BJ1150">
            <v>0</v>
          </cell>
          <cell r="BK1150">
            <v>38</v>
          </cell>
          <cell r="BL1150">
            <v>44</v>
          </cell>
          <cell r="BM1150">
            <v>22</v>
          </cell>
          <cell r="BN1150">
            <v>104</v>
          </cell>
          <cell r="BO1150" t="str">
            <v/>
          </cell>
          <cell r="BP1150">
            <v>0</v>
          </cell>
          <cell r="BQ1150">
            <v>0</v>
          </cell>
          <cell r="BR1150">
            <v>0</v>
          </cell>
          <cell r="BS1150">
            <v>38</v>
          </cell>
          <cell r="BT1150">
            <v>0</v>
          </cell>
          <cell r="BU1150">
            <v>22</v>
          </cell>
          <cell r="BV1150">
            <v>60</v>
          </cell>
          <cell r="BW1150">
            <v>0</v>
          </cell>
          <cell r="BX1150" t="str">
            <v>TIDAK</v>
          </cell>
          <cell r="BY1150" t="str">
            <v>TIDAK</v>
          </cell>
        </row>
        <row r="1151">
          <cell r="A1151" t="str">
            <v>A4368</v>
          </cell>
          <cell r="B1151" t="str">
            <v>AGNES ROWENA</v>
          </cell>
          <cell r="C1151" t="str">
            <v>TEMA C2</v>
          </cell>
          <cell r="D1151">
            <v>45573</v>
          </cell>
          <cell r="E1151" t="str">
            <v>Oct-24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 t="str">
            <v>-</v>
          </cell>
          <cell r="AQ1151" t="str">
            <v>-</v>
          </cell>
          <cell r="AR1151" t="str">
            <v>-</v>
          </cell>
          <cell r="AS1151" t="str">
            <v>-</v>
          </cell>
          <cell r="AT1151" t="str">
            <v>REGULER</v>
          </cell>
          <cell r="AU1151" t="str">
            <v>REGULER</v>
          </cell>
          <cell r="AV1151" t="str">
            <v/>
          </cell>
          <cell r="AW1151">
            <v>0</v>
          </cell>
          <cell r="AX1151">
            <v>0</v>
          </cell>
          <cell r="AY1151">
            <v>0</v>
          </cell>
          <cell r="AZ1151">
            <v>16</v>
          </cell>
          <cell r="BA1151">
            <v>5</v>
          </cell>
          <cell r="BB1151">
            <v>0</v>
          </cell>
          <cell r="BC1151">
            <v>0</v>
          </cell>
          <cell r="BD1151">
            <v>0</v>
          </cell>
          <cell r="BE1151">
            <v>16</v>
          </cell>
          <cell r="BF1151">
            <v>5</v>
          </cell>
          <cell r="BG1151" t="str">
            <v/>
          </cell>
          <cell r="BH1151">
            <v>0</v>
          </cell>
          <cell r="BI1151">
            <v>0</v>
          </cell>
          <cell r="BJ1151">
            <v>0</v>
          </cell>
          <cell r="BK1151">
            <v>16</v>
          </cell>
          <cell r="BL1151">
            <v>5</v>
          </cell>
          <cell r="BM1151" t="str">
            <v/>
          </cell>
          <cell r="BN1151">
            <v>21</v>
          </cell>
          <cell r="BO1151" t="str">
            <v/>
          </cell>
          <cell r="BP1151">
            <v>0</v>
          </cell>
          <cell r="BQ1151">
            <v>0</v>
          </cell>
          <cell r="BR1151">
            <v>0</v>
          </cell>
          <cell r="BS1151">
            <v>16</v>
          </cell>
          <cell r="BT1151">
            <v>5</v>
          </cell>
          <cell r="BU1151" t="str">
            <v/>
          </cell>
          <cell r="BV1151">
            <v>21</v>
          </cell>
          <cell r="BW1151">
            <v>1</v>
          </cell>
          <cell r="BX1151" t="str">
            <v>TIDAK</v>
          </cell>
          <cell r="BY1151" t="str">
            <v>TIDAK</v>
          </cell>
        </row>
        <row r="1152">
          <cell r="A1152" t="str">
            <v>A4369</v>
          </cell>
          <cell r="B1152" t="str">
            <v>AULIA PUTRI WULANDARI</v>
          </cell>
          <cell r="C1152" t="str">
            <v>TEMA C2</v>
          </cell>
          <cell r="D1152">
            <v>45573</v>
          </cell>
          <cell r="E1152" t="str">
            <v>Oct-24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 t="str">
            <v>-</v>
          </cell>
          <cell r="AQ1152" t="str">
            <v>-</v>
          </cell>
          <cell r="AR1152" t="str">
            <v>-</v>
          </cell>
          <cell r="AS1152" t="str">
            <v>-</v>
          </cell>
          <cell r="AT1152" t="str">
            <v>REGULER</v>
          </cell>
          <cell r="AU1152" t="str">
            <v>REGULER</v>
          </cell>
          <cell r="AV1152" t="str">
            <v/>
          </cell>
          <cell r="AW1152">
            <v>0</v>
          </cell>
          <cell r="AX1152">
            <v>0</v>
          </cell>
          <cell r="AY1152">
            <v>0</v>
          </cell>
          <cell r="AZ1152">
            <v>30</v>
          </cell>
          <cell r="BA1152">
            <v>17</v>
          </cell>
          <cell r="BB1152">
            <v>0</v>
          </cell>
          <cell r="BC1152">
            <v>0</v>
          </cell>
          <cell r="BD1152">
            <v>0</v>
          </cell>
          <cell r="BE1152">
            <v>30</v>
          </cell>
          <cell r="BF1152">
            <v>17</v>
          </cell>
          <cell r="BG1152" t="str">
            <v/>
          </cell>
          <cell r="BH1152">
            <v>0</v>
          </cell>
          <cell r="BI1152">
            <v>0</v>
          </cell>
          <cell r="BJ1152">
            <v>0</v>
          </cell>
          <cell r="BK1152">
            <v>30</v>
          </cell>
          <cell r="BL1152">
            <v>17</v>
          </cell>
          <cell r="BM1152">
            <v>20</v>
          </cell>
          <cell r="BN1152">
            <v>67</v>
          </cell>
          <cell r="BO1152" t="str">
            <v/>
          </cell>
          <cell r="BP1152">
            <v>0</v>
          </cell>
          <cell r="BQ1152">
            <v>0</v>
          </cell>
          <cell r="BR1152">
            <v>0</v>
          </cell>
          <cell r="BS1152">
            <v>30</v>
          </cell>
          <cell r="BT1152">
            <v>17</v>
          </cell>
          <cell r="BU1152">
            <v>20</v>
          </cell>
          <cell r="BV1152">
            <v>67</v>
          </cell>
          <cell r="BW1152">
            <v>0</v>
          </cell>
          <cell r="BX1152" t="str">
            <v>TIDAK</v>
          </cell>
          <cell r="BY1152" t="str">
            <v>TIDAK</v>
          </cell>
        </row>
        <row r="1153">
          <cell r="A1153" t="str">
            <v>A4382</v>
          </cell>
          <cell r="B1153" t="str">
            <v>YESSHIS FAYN</v>
          </cell>
          <cell r="C1153" t="str">
            <v>TEMA C2</v>
          </cell>
          <cell r="D1153">
            <v>45581</v>
          </cell>
          <cell r="E1153" t="str">
            <v>Oct-24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 t="str">
            <v>-</v>
          </cell>
          <cell r="AQ1153" t="str">
            <v>-</v>
          </cell>
          <cell r="AR1153" t="str">
            <v>-</v>
          </cell>
          <cell r="AS1153" t="str">
            <v>-</v>
          </cell>
          <cell r="AT1153" t="str">
            <v>REGULER</v>
          </cell>
          <cell r="AU1153" t="str">
            <v>REGULER</v>
          </cell>
          <cell r="AV1153" t="str">
            <v/>
          </cell>
          <cell r="AW1153">
            <v>0</v>
          </cell>
          <cell r="AX1153">
            <v>0</v>
          </cell>
          <cell r="AY1153">
            <v>0</v>
          </cell>
          <cell r="AZ1153">
            <v>21</v>
          </cell>
          <cell r="BA1153">
            <v>21</v>
          </cell>
          <cell r="BB1153">
            <v>0</v>
          </cell>
          <cell r="BC1153">
            <v>0</v>
          </cell>
          <cell r="BD1153">
            <v>0</v>
          </cell>
          <cell r="BE1153">
            <v>21</v>
          </cell>
          <cell r="BF1153">
            <v>21</v>
          </cell>
          <cell r="BG1153" t="str">
            <v/>
          </cell>
          <cell r="BH1153">
            <v>0</v>
          </cell>
          <cell r="BI1153">
            <v>0</v>
          </cell>
          <cell r="BJ1153">
            <v>0</v>
          </cell>
          <cell r="BK1153">
            <v>21</v>
          </cell>
          <cell r="BL1153">
            <v>21</v>
          </cell>
          <cell r="BM1153">
            <v>3</v>
          </cell>
          <cell r="BN1153">
            <v>45</v>
          </cell>
          <cell r="BO1153" t="str">
            <v/>
          </cell>
          <cell r="BP1153">
            <v>0</v>
          </cell>
          <cell r="BQ1153">
            <v>0</v>
          </cell>
          <cell r="BR1153">
            <v>0</v>
          </cell>
          <cell r="BS1153">
            <v>21</v>
          </cell>
          <cell r="BT1153">
            <v>21</v>
          </cell>
          <cell r="BU1153">
            <v>3</v>
          </cell>
          <cell r="BV1153">
            <v>45</v>
          </cell>
          <cell r="BW1153">
            <v>0</v>
          </cell>
          <cell r="BX1153" t="str">
            <v>TIDAK</v>
          </cell>
          <cell r="BY1153" t="str">
            <v>TIDAK</v>
          </cell>
        </row>
        <row r="1154">
          <cell r="A1154" t="str">
            <v>A4383</v>
          </cell>
          <cell r="B1154" t="str">
            <v>MOHAMMAD ADIB ABDUL JALIL</v>
          </cell>
          <cell r="C1154" t="str">
            <v>TEMA C2</v>
          </cell>
          <cell r="D1154">
            <v>45582</v>
          </cell>
          <cell r="E1154" t="str">
            <v>Oct-24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 t="str">
            <v>-</v>
          </cell>
          <cell r="AQ1154" t="str">
            <v>-</v>
          </cell>
          <cell r="AR1154" t="str">
            <v>-</v>
          </cell>
          <cell r="AS1154" t="str">
            <v>-</v>
          </cell>
          <cell r="AT1154" t="str">
            <v>REGULER</v>
          </cell>
          <cell r="AU1154" t="str">
            <v>REGULER</v>
          </cell>
          <cell r="AV1154" t="str">
            <v/>
          </cell>
          <cell r="AW1154">
            <v>0</v>
          </cell>
          <cell r="AX1154">
            <v>0</v>
          </cell>
          <cell r="AY1154">
            <v>0</v>
          </cell>
          <cell r="AZ1154">
            <v>23</v>
          </cell>
          <cell r="BA1154">
            <v>37</v>
          </cell>
          <cell r="BB1154">
            <v>0</v>
          </cell>
          <cell r="BC1154">
            <v>0</v>
          </cell>
          <cell r="BD1154">
            <v>0</v>
          </cell>
          <cell r="BE1154">
            <v>23</v>
          </cell>
          <cell r="BF1154">
            <v>37</v>
          </cell>
          <cell r="BG1154" t="str">
            <v/>
          </cell>
          <cell r="BH1154">
            <v>0</v>
          </cell>
          <cell r="BI1154">
            <v>0</v>
          </cell>
          <cell r="BJ1154">
            <v>0</v>
          </cell>
          <cell r="BK1154">
            <v>23</v>
          </cell>
          <cell r="BL1154">
            <v>37</v>
          </cell>
          <cell r="BM1154">
            <v>15</v>
          </cell>
          <cell r="BN1154">
            <v>75</v>
          </cell>
          <cell r="BO1154" t="str">
            <v/>
          </cell>
          <cell r="BP1154">
            <v>0</v>
          </cell>
          <cell r="BQ1154">
            <v>0</v>
          </cell>
          <cell r="BR1154">
            <v>0</v>
          </cell>
          <cell r="BS1154">
            <v>23</v>
          </cell>
          <cell r="BT1154">
            <v>37</v>
          </cell>
          <cell r="BU1154">
            <v>15</v>
          </cell>
          <cell r="BV1154">
            <v>75</v>
          </cell>
          <cell r="BW1154">
            <v>0</v>
          </cell>
          <cell r="BX1154" t="str">
            <v>TIDAK</v>
          </cell>
          <cell r="BY1154" t="str">
            <v>TIDAK</v>
          </cell>
        </row>
        <row r="1155">
          <cell r="A1155" t="str">
            <v>A4384</v>
          </cell>
          <cell r="B1155" t="str">
            <v>BEBY PATRICIA YOLANDA SIAGIAN</v>
          </cell>
          <cell r="C1155" t="str">
            <v>TEMA C2</v>
          </cell>
          <cell r="D1155">
            <v>45581</v>
          </cell>
          <cell r="E1155" t="str">
            <v>Oct-24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 t="str">
            <v>-</v>
          </cell>
          <cell r="AQ1155" t="str">
            <v>-</v>
          </cell>
          <cell r="AR1155" t="str">
            <v>-</v>
          </cell>
          <cell r="AS1155" t="str">
            <v>-</v>
          </cell>
          <cell r="AT1155" t="str">
            <v>REGULER</v>
          </cell>
          <cell r="AU1155" t="str">
            <v>REGULER</v>
          </cell>
          <cell r="AV1155" t="str">
            <v/>
          </cell>
          <cell r="AW1155">
            <v>0</v>
          </cell>
          <cell r="AX1155">
            <v>0</v>
          </cell>
          <cell r="AY1155">
            <v>0</v>
          </cell>
          <cell r="AZ1155">
            <v>11</v>
          </cell>
          <cell r="BA1155">
            <v>5</v>
          </cell>
          <cell r="BB1155">
            <v>0</v>
          </cell>
          <cell r="BC1155">
            <v>0</v>
          </cell>
          <cell r="BD1155">
            <v>0</v>
          </cell>
          <cell r="BE1155">
            <v>11</v>
          </cell>
          <cell r="BF1155">
            <v>5</v>
          </cell>
          <cell r="BG1155" t="str">
            <v/>
          </cell>
          <cell r="BH1155">
            <v>0</v>
          </cell>
          <cell r="BI1155">
            <v>0</v>
          </cell>
          <cell r="BJ1155">
            <v>0</v>
          </cell>
          <cell r="BK1155">
            <v>11</v>
          </cell>
          <cell r="BL1155">
            <v>5</v>
          </cell>
          <cell r="BM1155" t="str">
            <v/>
          </cell>
          <cell r="BN1155">
            <v>16</v>
          </cell>
          <cell r="BO1155" t="str">
            <v/>
          </cell>
          <cell r="BP1155">
            <v>0</v>
          </cell>
          <cell r="BQ1155">
            <v>0</v>
          </cell>
          <cell r="BR1155">
            <v>0</v>
          </cell>
          <cell r="BS1155">
            <v>11</v>
          </cell>
          <cell r="BT1155">
            <v>5</v>
          </cell>
          <cell r="BU1155" t="str">
            <v/>
          </cell>
          <cell r="BV1155">
            <v>16</v>
          </cell>
          <cell r="BW1155">
            <v>1</v>
          </cell>
          <cell r="BX1155" t="str">
            <v>TIDAK</v>
          </cell>
          <cell r="BY1155" t="str">
            <v>TIDAK</v>
          </cell>
        </row>
        <row r="1156">
          <cell r="A1156" t="str">
            <v>A4385</v>
          </cell>
          <cell r="B1156" t="str">
            <v>ANANDA AYU LESTARI</v>
          </cell>
          <cell r="C1156" t="str">
            <v>TEMA C2</v>
          </cell>
          <cell r="D1156">
            <v>45582</v>
          </cell>
          <cell r="E1156" t="str">
            <v>Oct-24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 t="str">
            <v>-</v>
          </cell>
          <cell r="AQ1156" t="str">
            <v>-</v>
          </cell>
          <cell r="AR1156" t="str">
            <v>-</v>
          </cell>
          <cell r="AS1156" t="str">
            <v>-</v>
          </cell>
          <cell r="AT1156" t="str">
            <v>REGULER</v>
          </cell>
          <cell r="AU1156" t="str">
            <v>REGULER</v>
          </cell>
          <cell r="AV1156" t="str">
            <v/>
          </cell>
          <cell r="AW1156">
            <v>0</v>
          </cell>
          <cell r="AX1156">
            <v>0</v>
          </cell>
          <cell r="AY1156">
            <v>0</v>
          </cell>
          <cell r="AZ1156">
            <v>19</v>
          </cell>
          <cell r="BA1156">
            <v>30</v>
          </cell>
          <cell r="BB1156">
            <v>0</v>
          </cell>
          <cell r="BC1156">
            <v>0</v>
          </cell>
          <cell r="BD1156">
            <v>0</v>
          </cell>
          <cell r="BE1156">
            <v>19</v>
          </cell>
          <cell r="BF1156">
            <v>30</v>
          </cell>
          <cell r="BG1156" t="str">
            <v/>
          </cell>
          <cell r="BH1156">
            <v>0</v>
          </cell>
          <cell r="BI1156">
            <v>0</v>
          </cell>
          <cell r="BJ1156">
            <v>0</v>
          </cell>
          <cell r="BK1156">
            <v>19</v>
          </cell>
          <cell r="BL1156">
            <v>30</v>
          </cell>
          <cell r="BM1156">
            <v>3</v>
          </cell>
          <cell r="BN1156">
            <v>52</v>
          </cell>
          <cell r="BO1156" t="str">
            <v/>
          </cell>
          <cell r="BP1156">
            <v>0</v>
          </cell>
          <cell r="BQ1156">
            <v>0</v>
          </cell>
          <cell r="BR1156">
            <v>0</v>
          </cell>
          <cell r="BS1156">
            <v>19</v>
          </cell>
          <cell r="BT1156">
            <v>30</v>
          </cell>
          <cell r="BU1156">
            <v>3</v>
          </cell>
          <cell r="BV1156">
            <v>52</v>
          </cell>
          <cell r="BW1156">
            <v>0</v>
          </cell>
          <cell r="BX1156" t="str">
            <v>TIDAK</v>
          </cell>
          <cell r="BY1156" t="str">
            <v>TIDAK</v>
          </cell>
        </row>
        <row r="1157">
          <cell r="A1157" t="str">
            <v>A4386</v>
          </cell>
          <cell r="B1157" t="str">
            <v>FIRZA RIZKAWATI</v>
          </cell>
          <cell r="C1157" t="str">
            <v>TEMA C2</v>
          </cell>
          <cell r="D1157">
            <v>45581</v>
          </cell>
          <cell r="E1157" t="str">
            <v>Oct-24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 t="str">
            <v>-</v>
          </cell>
          <cell r="AQ1157" t="str">
            <v>-</v>
          </cell>
          <cell r="AR1157" t="str">
            <v>-</v>
          </cell>
          <cell r="AS1157" t="str">
            <v>-</v>
          </cell>
          <cell r="AT1157" t="str">
            <v>REGULER</v>
          </cell>
          <cell r="AU1157" t="str">
            <v>REGULER</v>
          </cell>
          <cell r="AV1157" t="str">
            <v/>
          </cell>
          <cell r="AW1157">
            <v>0</v>
          </cell>
          <cell r="AX1157">
            <v>0</v>
          </cell>
          <cell r="AY1157">
            <v>0</v>
          </cell>
          <cell r="AZ1157">
            <v>23</v>
          </cell>
          <cell r="BA1157">
            <v>22</v>
          </cell>
          <cell r="BB1157">
            <v>0</v>
          </cell>
          <cell r="BC1157">
            <v>0</v>
          </cell>
          <cell r="BD1157">
            <v>0</v>
          </cell>
          <cell r="BE1157">
            <v>23</v>
          </cell>
          <cell r="BF1157">
            <v>22</v>
          </cell>
          <cell r="BG1157" t="str">
            <v/>
          </cell>
          <cell r="BH1157">
            <v>0</v>
          </cell>
          <cell r="BI1157">
            <v>0</v>
          </cell>
          <cell r="BJ1157">
            <v>0</v>
          </cell>
          <cell r="BK1157">
            <v>23</v>
          </cell>
          <cell r="BL1157">
            <v>22</v>
          </cell>
          <cell r="BM1157" t="str">
            <v/>
          </cell>
          <cell r="BN1157">
            <v>45</v>
          </cell>
          <cell r="BO1157" t="str">
            <v/>
          </cell>
          <cell r="BP1157">
            <v>0</v>
          </cell>
          <cell r="BQ1157">
            <v>0</v>
          </cell>
          <cell r="BR1157">
            <v>0</v>
          </cell>
          <cell r="BS1157">
            <v>23</v>
          </cell>
          <cell r="BT1157">
            <v>22</v>
          </cell>
          <cell r="BU1157" t="str">
            <v/>
          </cell>
          <cell r="BV1157">
            <v>45</v>
          </cell>
          <cell r="BW1157">
            <v>1</v>
          </cell>
          <cell r="BX1157" t="str">
            <v>TIDAK</v>
          </cell>
          <cell r="BY1157" t="str">
            <v>TIDAK</v>
          </cell>
        </row>
        <row r="1158">
          <cell r="A1158" t="str">
            <v>A4405</v>
          </cell>
          <cell r="B1158" t="str">
            <v>SALWA AYU WIGATI</v>
          </cell>
          <cell r="C1158" t="str">
            <v>TEMA C2</v>
          </cell>
          <cell r="D1158">
            <v>45586</v>
          </cell>
          <cell r="E1158" t="str">
            <v>Oct-24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 t="str">
            <v>-</v>
          </cell>
          <cell r="AQ1158" t="str">
            <v>-</v>
          </cell>
          <cell r="AR1158" t="str">
            <v>-</v>
          </cell>
          <cell r="AS1158" t="str">
            <v>-</v>
          </cell>
          <cell r="AT1158" t="str">
            <v>REGULER</v>
          </cell>
          <cell r="AU1158" t="str">
            <v>REGULER</v>
          </cell>
          <cell r="AV1158" t="str">
            <v/>
          </cell>
          <cell r="AW1158">
            <v>0</v>
          </cell>
          <cell r="AX1158">
            <v>0</v>
          </cell>
          <cell r="AY1158">
            <v>0</v>
          </cell>
          <cell r="AZ1158">
            <v>18</v>
          </cell>
          <cell r="BA1158">
            <v>42</v>
          </cell>
          <cell r="BB1158">
            <v>0</v>
          </cell>
          <cell r="BC1158">
            <v>0</v>
          </cell>
          <cell r="BD1158">
            <v>0</v>
          </cell>
          <cell r="BE1158">
            <v>18</v>
          </cell>
          <cell r="BF1158">
            <v>42</v>
          </cell>
          <cell r="BG1158" t="str">
            <v/>
          </cell>
          <cell r="BH1158">
            <v>0</v>
          </cell>
          <cell r="BI1158">
            <v>0</v>
          </cell>
          <cell r="BJ1158">
            <v>0</v>
          </cell>
          <cell r="BK1158">
            <v>18</v>
          </cell>
          <cell r="BL1158">
            <v>42</v>
          </cell>
          <cell r="BM1158">
            <v>21</v>
          </cell>
          <cell r="BN1158">
            <v>81</v>
          </cell>
          <cell r="BO1158" t="str">
            <v/>
          </cell>
          <cell r="BP1158">
            <v>0</v>
          </cell>
          <cell r="BQ1158">
            <v>0</v>
          </cell>
          <cell r="BR1158">
            <v>0</v>
          </cell>
          <cell r="BS1158">
            <v>18</v>
          </cell>
          <cell r="BT1158">
            <v>42</v>
          </cell>
          <cell r="BU1158">
            <v>21</v>
          </cell>
          <cell r="BV1158">
            <v>81</v>
          </cell>
          <cell r="BW1158">
            <v>0</v>
          </cell>
          <cell r="BX1158" t="str">
            <v>TIDAK</v>
          </cell>
          <cell r="BY1158" t="str">
            <v>TIDAK</v>
          </cell>
        </row>
        <row r="1159">
          <cell r="A1159" t="str">
            <v>A4407</v>
          </cell>
          <cell r="B1159" t="str">
            <v>VANESSA VIRGINIA DWI PUTRI</v>
          </cell>
          <cell r="C1159" t="str">
            <v>TEMA C2</v>
          </cell>
          <cell r="D1159">
            <v>45586</v>
          </cell>
          <cell r="E1159" t="str">
            <v>Oct-24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 t="str">
            <v>-</v>
          </cell>
          <cell r="AQ1159" t="str">
            <v>-</v>
          </cell>
          <cell r="AR1159" t="str">
            <v>-</v>
          </cell>
          <cell r="AS1159" t="str">
            <v>-</v>
          </cell>
          <cell r="AT1159" t="str">
            <v>REGULER</v>
          </cell>
          <cell r="AU1159" t="str">
            <v>-</v>
          </cell>
          <cell r="AV1159" t="str">
            <v/>
          </cell>
          <cell r="AW1159">
            <v>0</v>
          </cell>
          <cell r="AX1159">
            <v>0</v>
          </cell>
          <cell r="AY1159">
            <v>0</v>
          </cell>
          <cell r="AZ1159">
            <v>13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13</v>
          </cell>
          <cell r="BF1159">
            <v>0</v>
          </cell>
          <cell r="BG1159" t="str">
            <v/>
          </cell>
          <cell r="BH1159">
            <v>0</v>
          </cell>
          <cell r="BI1159">
            <v>0</v>
          </cell>
          <cell r="BJ1159">
            <v>0</v>
          </cell>
          <cell r="BK1159">
            <v>13</v>
          </cell>
          <cell r="BL1159">
            <v>0</v>
          </cell>
          <cell r="BM1159" t="str">
            <v/>
          </cell>
          <cell r="BN1159">
            <v>13</v>
          </cell>
          <cell r="BO1159" t="str">
            <v/>
          </cell>
          <cell r="BP1159">
            <v>0</v>
          </cell>
          <cell r="BQ1159">
            <v>0</v>
          </cell>
          <cell r="BR1159">
            <v>0</v>
          </cell>
          <cell r="BS1159">
            <v>13</v>
          </cell>
          <cell r="BT1159">
            <v>0</v>
          </cell>
          <cell r="BU1159" t="str">
            <v/>
          </cell>
          <cell r="BV1159">
            <v>13</v>
          </cell>
          <cell r="BW1159">
            <v>2</v>
          </cell>
          <cell r="BX1159" t="str">
            <v>TIDAK</v>
          </cell>
          <cell r="BY1159" t="str">
            <v>TIDAK</v>
          </cell>
        </row>
        <row r="1160">
          <cell r="A1160" t="str">
            <v>A4408</v>
          </cell>
          <cell r="B1160" t="str">
            <v>VALENTINUS DICKY</v>
          </cell>
          <cell r="C1160" t="str">
            <v>TEMA C2</v>
          </cell>
          <cell r="D1160">
            <v>45586</v>
          </cell>
          <cell r="E1160" t="str">
            <v>Oct-24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 t="str">
            <v>-</v>
          </cell>
          <cell r="AQ1160" t="str">
            <v>-</v>
          </cell>
          <cell r="AR1160" t="str">
            <v>-</v>
          </cell>
          <cell r="AS1160" t="str">
            <v>-</v>
          </cell>
          <cell r="AT1160" t="str">
            <v>REGULER</v>
          </cell>
          <cell r="AU1160" t="str">
            <v>REGULER</v>
          </cell>
          <cell r="AV1160" t="str">
            <v/>
          </cell>
          <cell r="AW1160">
            <v>0</v>
          </cell>
          <cell r="AX1160">
            <v>0</v>
          </cell>
          <cell r="AY1160">
            <v>0</v>
          </cell>
          <cell r="AZ1160">
            <v>5</v>
          </cell>
          <cell r="BA1160">
            <v>4</v>
          </cell>
          <cell r="BB1160">
            <v>0</v>
          </cell>
          <cell r="BC1160">
            <v>0</v>
          </cell>
          <cell r="BD1160">
            <v>0</v>
          </cell>
          <cell r="BE1160">
            <v>5</v>
          </cell>
          <cell r="BF1160">
            <v>4</v>
          </cell>
          <cell r="BG1160" t="str">
            <v/>
          </cell>
          <cell r="BH1160">
            <v>0</v>
          </cell>
          <cell r="BI1160">
            <v>0</v>
          </cell>
          <cell r="BJ1160">
            <v>0</v>
          </cell>
          <cell r="BK1160">
            <v>5</v>
          </cell>
          <cell r="BL1160">
            <v>4</v>
          </cell>
          <cell r="BM1160">
            <v>8</v>
          </cell>
          <cell r="BN1160">
            <v>17</v>
          </cell>
          <cell r="BO1160" t="str">
            <v/>
          </cell>
          <cell r="BP1160">
            <v>0</v>
          </cell>
          <cell r="BQ1160">
            <v>0</v>
          </cell>
          <cell r="BR1160">
            <v>0</v>
          </cell>
          <cell r="BS1160">
            <v>5</v>
          </cell>
          <cell r="BT1160">
            <v>4</v>
          </cell>
          <cell r="BU1160">
            <v>8</v>
          </cell>
          <cell r="BV1160">
            <v>17</v>
          </cell>
          <cell r="BW1160">
            <v>0</v>
          </cell>
          <cell r="BX1160" t="str">
            <v>TIDAK</v>
          </cell>
          <cell r="BY1160" t="str">
            <v>TIDAK</v>
          </cell>
        </row>
        <row r="1161">
          <cell r="A1161" t="str">
            <v>A4409</v>
          </cell>
          <cell r="B1161" t="str">
            <v>ZAHRA ALEVIA PUTRI SETIAJI</v>
          </cell>
          <cell r="C1161" t="str">
            <v>TEMA C2</v>
          </cell>
          <cell r="D1161">
            <v>45586</v>
          </cell>
          <cell r="E1161" t="str">
            <v>Oct-24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 t="str">
            <v>-</v>
          </cell>
          <cell r="AQ1161" t="str">
            <v>-</v>
          </cell>
          <cell r="AR1161" t="str">
            <v>-</v>
          </cell>
          <cell r="AS1161" t="str">
            <v>-</v>
          </cell>
          <cell r="AT1161" t="str">
            <v>REGULER</v>
          </cell>
          <cell r="AU1161" t="str">
            <v>REGULER</v>
          </cell>
          <cell r="AV1161" t="str">
            <v/>
          </cell>
          <cell r="AW1161">
            <v>0</v>
          </cell>
          <cell r="AX1161">
            <v>0</v>
          </cell>
          <cell r="AY1161">
            <v>0</v>
          </cell>
          <cell r="AZ1161">
            <v>11</v>
          </cell>
          <cell r="BA1161">
            <v>17</v>
          </cell>
          <cell r="BB1161">
            <v>0</v>
          </cell>
          <cell r="BC1161">
            <v>0</v>
          </cell>
          <cell r="BD1161">
            <v>0</v>
          </cell>
          <cell r="BE1161">
            <v>11</v>
          </cell>
          <cell r="BF1161">
            <v>17</v>
          </cell>
          <cell r="BG1161" t="str">
            <v/>
          </cell>
          <cell r="BH1161">
            <v>0</v>
          </cell>
          <cell r="BI1161">
            <v>0</v>
          </cell>
          <cell r="BJ1161">
            <v>0</v>
          </cell>
          <cell r="BK1161">
            <v>11</v>
          </cell>
          <cell r="BL1161">
            <v>17</v>
          </cell>
          <cell r="BM1161" t="str">
            <v/>
          </cell>
          <cell r="BN1161">
            <v>28</v>
          </cell>
          <cell r="BO1161" t="str">
            <v/>
          </cell>
          <cell r="BP1161">
            <v>0</v>
          </cell>
          <cell r="BQ1161">
            <v>0</v>
          </cell>
          <cell r="BR1161">
            <v>0</v>
          </cell>
          <cell r="BS1161">
            <v>11</v>
          </cell>
          <cell r="BT1161">
            <v>17</v>
          </cell>
          <cell r="BU1161" t="str">
            <v/>
          </cell>
          <cell r="BV1161">
            <v>28</v>
          </cell>
          <cell r="BW1161">
            <v>1</v>
          </cell>
          <cell r="BX1161" t="str">
            <v>TIDAK</v>
          </cell>
          <cell r="BY1161" t="str">
            <v>TIDAK</v>
          </cell>
        </row>
        <row r="1162">
          <cell r="A1162" t="str">
            <v>A3371</v>
          </cell>
          <cell r="B1162" t="str">
            <v>EMMANUELA YOSEPHINE</v>
          </cell>
          <cell r="C1162" t="str">
            <v>TEMA C2</v>
          </cell>
          <cell r="D1162">
            <v>45593</v>
          </cell>
          <cell r="E1162" t="str">
            <v>Oct-24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 t="str">
            <v>-</v>
          </cell>
          <cell r="AQ1162" t="str">
            <v>-</v>
          </cell>
          <cell r="AR1162" t="str">
            <v>-</v>
          </cell>
          <cell r="AS1162" t="str">
            <v>-</v>
          </cell>
          <cell r="AT1162" t="str">
            <v>REGULER</v>
          </cell>
          <cell r="AU1162" t="str">
            <v>REGULER</v>
          </cell>
          <cell r="AV1162" t="str">
            <v/>
          </cell>
          <cell r="AW1162">
            <v>0</v>
          </cell>
          <cell r="AX1162">
            <v>0</v>
          </cell>
          <cell r="AY1162">
            <v>0</v>
          </cell>
          <cell r="AZ1162">
            <v>7</v>
          </cell>
          <cell r="BA1162">
            <v>23</v>
          </cell>
          <cell r="BB1162">
            <v>0</v>
          </cell>
          <cell r="BC1162">
            <v>0</v>
          </cell>
          <cell r="BD1162">
            <v>0</v>
          </cell>
          <cell r="BE1162">
            <v>7</v>
          </cell>
          <cell r="BF1162">
            <v>23</v>
          </cell>
          <cell r="BG1162" t="str">
            <v/>
          </cell>
          <cell r="BH1162">
            <v>0</v>
          </cell>
          <cell r="BI1162">
            <v>0</v>
          </cell>
          <cell r="BJ1162">
            <v>0</v>
          </cell>
          <cell r="BK1162">
            <v>7</v>
          </cell>
          <cell r="BL1162">
            <v>23</v>
          </cell>
          <cell r="BM1162">
            <v>10</v>
          </cell>
          <cell r="BN1162">
            <v>40</v>
          </cell>
          <cell r="BO1162" t="str">
            <v/>
          </cell>
          <cell r="BP1162">
            <v>0</v>
          </cell>
          <cell r="BQ1162">
            <v>0</v>
          </cell>
          <cell r="BR1162">
            <v>0</v>
          </cell>
          <cell r="BS1162">
            <v>7</v>
          </cell>
          <cell r="BT1162">
            <v>23</v>
          </cell>
          <cell r="BU1162">
            <v>10</v>
          </cell>
          <cell r="BV1162">
            <v>40</v>
          </cell>
          <cell r="BW1162">
            <v>0</v>
          </cell>
          <cell r="BX1162" t="str">
            <v>TIDAK</v>
          </cell>
          <cell r="BY1162" t="str">
            <v>TIDAK</v>
          </cell>
        </row>
        <row r="1163">
          <cell r="A1163" t="str">
            <v>A4419</v>
          </cell>
          <cell r="B1163" t="str">
            <v>MICHAELA YUDHISTA</v>
          </cell>
          <cell r="C1163" t="str">
            <v>TEMA C2</v>
          </cell>
          <cell r="D1163">
            <v>45593</v>
          </cell>
          <cell r="E1163" t="str">
            <v>Oct-24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 t="str">
            <v>-</v>
          </cell>
          <cell r="AQ1163" t="str">
            <v>-</v>
          </cell>
          <cell r="AR1163" t="str">
            <v>-</v>
          </cell>
          <cell r="AS1163" t="str">
            <v>-</v>
          </cell>
          <cell r="AT1163" t="str">
            <v>REGULER</v>
          </cell>
          <cell r="AU1163" t="str">
            <v>REGULER</v>
          </cell>
          <cell r="AV1163" t="str">
            <v/>
          </cell>
          <cell r="AW1163">
            <v>0</v>
          </cell>
          <cell r="AX1163">
            <v>0</v>
          </cell>
          <cell r="AY1163">
            <v>0</v>
          </cell>
          <cell r="AZ1163">
            <v>6</v>
          </cell>
          <cell r="BA1163">
            <v>14</v>
          </cell>
          <cell r="BB1163">
            <v>0</v>
          </cell>
          <cell r="BC1163">
            <v>0</v>
          </cell>
          <cell r="BD1163">
            <v>0</v>
          </cell>
          <cell r="BE1163">
            <v>6</v>
          </cell>
          <cell r="BF1163">
            <v>14</v>
          </cell>
          <cell r="BG1163" t="str">
            <v/>
          </cell>
          <cell r="BH1163">
            <v>0</v>
          </cell>
          <cell r="BI1163">
            <v>0</v>
          </cell>
          <cell r="BJ1163">
            <v>0</v>
          </cell>
          <cell r="BK1163">
            <v>6</v>
          </cell>
          <cell r="BL1163">
            <v>14</v>
          </cell>
          <cell r="BM1163">
            <v>3</v>
          </cell>
          <cell r="BN1163">
            <v>23</v>
          </cell>
          <cell r="BO1163" t="str">
            <v/>
          </cell>
          <cell r="BP1163">
            <v>0</v>
          </cell>
          <cell r="BQ1163">
            <v>0</v>
          </cell>
          <cell r="BR1163">
            <v>0</v>
          </cell>
          <cell r="BS1163">
            <v>6</v>
          </cell>
          <cell r="BT1163">
            <v>14</v>
          </cell>
          <cell r="BU1163">
            <v>3</v>
          </cell>
          <cell r="BV1163">
            <v>23</v>
          </cell>
          <cell r="BW1163">
            <v>0</v>
          </cell>
          <cell r="BX1163" t="str">
            <v>TIDAK</v>
          </cell>
          <cell r="BY1163" t="str">
            <v>TIDAK</v>
          </cell>
        </row>
        <row r="1164">
          <cell r="A1164" t="str">
            <v>A4420</v>
          </cell>
          <cell r="B1164" t="str">
            <v>PRATAMA HARI SETIAWAN</v>
          </cell>
          <cell r="C1164" t="str">
            <v>TEMA C2</v>
          </cell>
          <cell r="D1164">
            <v>45593</v>
          </cell>
          <cell r="E1164" t="str">
            <v>Oct-24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 t="str">
            <v>-</v>
          </cell>
          <cell r="AQ1164" t="str">
            <v>-</v>
          </cell>
          <cell r="AR1164" t="str">
            <v>-</v>
          </cell>
          <cell r="AS1164" t="str">
            <v>-</v>
          </cell>
          <cell r="AT1164" t="str">
            <v>REGULER</v>
          </cell>
          <cell r="AU1164" t="str">
            <v>-</v>
          </cell>
          <cell r="AV1164" t="str">
            <v/>
          </cell>
          <cell r="AW1164">
            <v>0</v>
          </cell>
          <cell r="AX1164">
            <v>0</v>
          </cell>
          <cell r="AY1164">
            <v>0</v>
          </cell>
          <cell r="AZ1164">
            <v>2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2</v>
          </cell>
          <cell r="BF1164">
            <v>0</v>
          </cell>
          <cell r="BG1164" t="str">
            <v/>
          </cell>
          <cell r="BH1164">
            <v>0</v>
          </cell>
          <cell r="BI1164">
            <v>0</v>
          </cell>
          <cell r="BJ1164">
            <v>0</v>
          </cell>
          <cell r="BK1164">
            <v>2</v>
          </cell>
          <cell r="BL1164">
            <v>0</v>
          </cell>
          <cell r="BM1164" t="str">
            <v/>
          </cell>
          <cell r="BN1164">
            <v>2</v>
          </cell>
          <cell r="BO1164" t="str">
            <v/>
          </cell>
          <cell r="BP1164">
            <v>0</v>
          </cell>
          <cell r="BQ1164">
            <v>0</v>
          </cell>
          <cell r="BR1164">
            <v>0</v>
          </cell>
          <cell r="BS1164">
            <v>2</v>
          </cell>
          <cell r="BT1164">
            <v>0</v>
          </cell>
          <cell r="BU1164" t="str">
            <v/>
          </cell>
          <cell r="BV1164">
            <v>2</v>
          </cell>
          <cell r="BW1164">
            <v>2</v>
          </cell>
          <cell r="BX1164" t="str">
            <v>TIDAK</v>
          </cell>
          <cell r="BY1164" t="str">
            <v>TIDAK</v>
          </cell>
        </row>
        <row r="1165">
          <cell r="A1165" t="str">
            <v>A4421</v>
          </cell>
          <cell r="B1165" t="str">
            <v>MIFTA RIZKI DAMAYANTI</v>
          </cell>
          <cell r="C1165" t="str">
            <v>TEMA C2</v>
          </cell>
          <cell r="D1165">
            <v>45593</v>
          </cell>
          <cell r="E1165" t="str">
            <v>Oct-24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 t="str">
            <v>-</v>
          </cell>
          <cell r="AQ1165" t="str">
            <v>-</v>
          </cell>
          <cell r="AR1165" t="str">
            <v>-</v>
          </cell>
          <cell r="AS1165" t="str">
            <v>-</v>
          </cell>
          <cell r="AT1165" t="str">
            <v>REGULER</v>
          </cell>
          <cell r="AU1165" t="str">
            <v>REGULER</v>
          </cell>
          <cell r="AV1165" t="str">
            <v/>
          </cell>
          <cell r="AW1165">
            <v>0</v>
          </cell>
          <cell r="AX1165">
            <v>0</v>
          </cell>
          <cell r="AY1165">
            <v>0</v>
          </cell>
          <cell r="AZ1165">
            <v>2</v>
          </cell>
          <cell r="BA1165">
            <v>6</v>
          </cell>
          <cell r="BB1165">
            <v>0</v>
          </cell>
          <cell r="BC1165">
            <v>0</v>
          </cell>
          <cell r="BD1165">
            <v>0</v>
          </cell>
          <cell r="BE1165">
            <v>2</v>
          </cell>
          <cell r="BF1165">
            <v>6</v>
          </cell>
          <cell r="BG1165" t="str">
            <v/>
          </cell>
          <cell r="BH1165">
            <v>0</v>
          </cell>
          <cell r="BI1165">
            <v>0</v>
          </cell>
          <cell r="BJ1165">
            <v>0</v>
          </cell>
          <cell r="BK1165">
            <v>2</v>
          </cell>
          <cell r="BL1165">
            <v>6</v>
          </cell>
          <cell r="BM1165" t="str">
            <v/>
          </cell>
          <cell r="BN1165">
            <v>8</v>
          </cell>
          <cell r="BO1165" t="str">
            <v/>
          </cell>
          <cell r="BP1165">
            <v>0</v>
          </cell>
          <cell r="BQ1165">
            <v>0</v>
          </cell>
          <cell r="BR1165">
            <v>0</v>
          </cell>
          <cell r="BS1165">
            <v>2</v>
          </cell>
          <cell r="BT1165">
            <v>6</v>
          </cell>
          <cell r="BU1165" t="str">
            <v/>
          </cell>
          <cell r="BV1165">
            <v>8</v>
          </cell>
          <cell r="BW1165">
            <v>1</v>
          </cell>
          <cell r="BX1165" t="str">
            <v>TIDAK</v>
          </cell>
          <cell r="BY1165" t="str">
            <v>TIDAK</v>
          </cell>
        </row>
        <row r="1166">
          <cell r="A1166" t="str">
            <v>A4422</v>
          </cell>
          <cell r="B1166" t="str">
            <v>NUR SABILA</v>
          </cell>
          <cell r="C1166" t="str">
            <v>TEMA C2</v>
          </cell>
          <cell r="D1166">
            <v>45593</v>
          </cell>
          <cell r="E1166" t="str">
            <v>Oct-24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 t="str">
            <v>-</v>
          </cell>
          <cell r="AQ1166" t="str">
            <v>-</v>
          </cell>
          <cell r="AR1166" t="str">
            <v>-</v>
          </cell>
          <cell r="AS1166" t="str">
            <v>-</v>
          </cell>
          <cell r="AT1166" t="str">
            <v>REGULER</v>
          </cell>
          <cell r="AU1166" t="str">
            <v>REGULER</v>
          </cell>
          <cell r="AV1166" t="str">
            <v/>
          </cell>
          <cell r="AW1166">
            <v>0</v>
          </cell>
          <cell r="AX1166">
            <v>0</v>
          </cell>
          <cell r="AY1166">
            <v>0</v>
          </cell>
          <cell r="AZ1166">
            <v>6</v>
          </cell>
          <cell r="BA1166">
            <v>42</v>
          </cell>
          <cell r="BB1166">
            <v>0</v>
          </cell>
          <cell r="BC1166">
            <v>0</v>
          </cell>
          <cell r="BD1166">
            <v>0</v>
          </cell>
          <cell r="BE1166">
            <v>6</v>
          </cell>
          <cell r="BF1166">
            <v>42</v>
          </cell>
          <cell r="BG1166" t="str">
            <v/>
          </cell>
          <cell r="BH1166">
            <v>0</v>
          </cell>
          <cell r="BI1166">
            <v>0</v>
          </cell>
          <cell r="BJ1166">
            <v>0</v>
          </cell>
          <cell r="BK1166">
            <v>6</v>
          </cell>
          <cell r="BL1166">
            <v>42</v>
          </cell>
          <cell r="BM1166">
            <v>20</v>
          </cell>
          <cell r="BN1166">
            <v>68</v>
          </cell>
          <cell r="BO1166" t="str">
            <v/>
          </cell>
          <cell r="BP1166">
            <v>0</v>
          </cell>
          <cell r="BQ1166">
            <v>0</v>
          </cell>
          <cell r="BR1166">
            <v>0</v>
          </cell>
          <cell r="BS1166">
            <v>6</v>
          </cell>
          <cell r="BT1166">
            <v>42</v>
          </cell>
          <cell r="BU1166">
            <v>20</v>
          </cell>
          <cell r="BV1166">
            <v>68</v>
          </cell>
          <cell r="BW1166">
            <v>0</v>
          </cell>
          <cell r="BX1166" t="str">
            <v>TIDAK</v>
          </cell>
          <cell r="BY1166" t="str">
            <v>TIDAK</v>
          </cell>
        </row>
        <row r="1167">
          <cell r="A1167" t="str">
            <v>A4423</v>
          </cell>
          <cell r="B1167" t="str">
            <v>CHOIRUNISA ADILIA SURYANI</v>
          </cell>
          <cell r="C1167" t="str">
            <v>TEMA C2</v>
          </cell>
          <cell r="D1167">
            <v>45593</v>
          </cell>
          <cell r="E1167" t="str">
            <v>Oct-24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 t="str">
            <v>-</v>
          </cell>
          <cell r="AQ1167" t="str">
            <v>-</v>
          </cell>
          <cell r="AR1167" t="str">
            <v>-</v>
          </cell>
          <cell r="AS1167" t="str">
            <v>-</v>
          </cell>
          <cell r="AT1167" t="str">
            <v>REGULER</v>
          </cell>
          <cell r="AU1167" t="str">
            <v>REGULER</v>
          </cell>
          <cell r="AV1167" t="str">
            <v/>
          </cell>
          <cell r="AW1167">
            <v>0</v>
          </cell>
          <cell r="AX1167">
            <v>0</v>
          </cell>
          <cell r="AY1167">
            <v>0</v>
          </cell>
          <cell r="AZ1167">
            <v>3</v>
          </cell>
          <cell r="BA1167">
            <v>33</v>
          </cell>
          <cell r="BB1167">
            <v>0</v>
          </cell>
          <cell r="BC1167">
            <v>0</v>
          </cell>
          <cell r="BD1167">
            <v>0</v>
          </cell>
          <cell r="BE1167">
            <v>3</v>
          </cell>
          <cell r="BF1167">
            <v>33</v>
          </cell>
          <cell r="BG1167" t="str">
            <v/>
          </cell>
          <cell r="BH1167">
            <v>0</v>
          </cell>
          <cell r="BI1167">
            <v>0</v>
          </cell>
          <cell r="BJ1167">
            <v>0</v>
          </cell>
          <cell r="BK1167">
            <v>3</v>
          </cell>
          <cell r="BL1167">
            <v>33</v>
          </cell>
          <cell r="BM1167">
            <v>10</v>
          </cell>
          <cell r="BN1167">
            <v>46</v>
          </cell>
          <cell r="BO1167" t="str">
            <v/>
          </cell>
          <cell r="BP1167">
            <v>0</v>
          </cell>
          <cell r="BQ1167">
            <v>0</v>
          </cell>
          <cell r="BR1167">
            <v>0</v>
          </cell>
          <cell r="BS1167">
            <v>3</v>
          </cell>
          <cell r="BT1167">
            <v>33</v>
          </cell>
          <cell r="BU1167">
            <v>10</v>
          </cell>
          <cell r="BV1167">
            <v>46</v>
          </cell>
          <cell r="BW1167">
            <v>0</v>
          </cell>
          <cell r="BX1167" t="str">
            <v>TIDAK</v>
          </cell>
          <cell r="BY1167" t="str">
            <v>TIDAK</v>
          </cell>
        </row>
        <row r="1168">
          <cell r="A1168" t="str">
            <v>A4425</v>
          </cell>
          <cell r="B1168" t="str">
            <v>FITTA MARDHI YANTI</v>
          </cell>
          <cell r="C1168" t="str">
            <v>TEMA C2</v>
          </cell>
          <cell r="D1168">
            <v>45593</v>
          </cell>
          <cell r="E1168" t="str">
            <v>Oct-24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 t="str">
            <v>-</v>
          </cell>
          <cell r="AQ1168" t="str">
            <v>-</v>
          </cell>
          <cell r="AR1168" t="str">
            <v>-</v>
          </cell>
          <cell r="AS1168" t="str">
            <v>-</v>
          </cell>
          <cell r="AT1168" t="str">
            <v>REGULER</v>
          </cell>
          <cell r="AU1168" t="str">
            <v>REGULER</v>
          </cell>
          <cell r="AV1168" t="str">
            <v/>
          </cell>
          <cell r="AW1168">
            <v>0</v>
          </cell>
          <cell r="AX1168">
            <v>0</v>
          </cell>
          <cell r="AY1168">
            <v>0</v>
          </cell>
          <cell r="AZ1168">
            <v>7</v>
          </cell>
          <cell r="BA1168">
            <v>34</v>
          </cell>
          <cell r="BB1168">
            <v>0</v>
          </cell>
          <cell r="BC1168">
            <v>0</v>
          </cell>
          <cell r="BD1168">
            <v>0</v>
          </cell>
          <cell r="BE1168">
            <v>7</v>
          </cell>
          <cell r="BF1168">
            <v>34</v>
          </cell>
          <cell r="BG1168" t="str">
            <v/>
          </cell>
          <cell r="BH1168">
            <v>0</v>
          </cell>
          <cell r="BI1168">
            <v>0</v>
          </cell>
          <cell r="BJ1168">
            <v>0</v>
          </cell>
          <cell r="BK1168">
            <v>7</v>
          </cell>
          <cell r="BL1168">
            <v>34</v>
          </cell>
          <cell r="BM1168">
            <v>7</v>
          </cell>
          <cell r="BN1168">
            <v>48</v>
          </cell>
          <cell r="BO1168" t="str">
            <v/>
          </cell>
          <cell r="BP1168">
            <v>0</v>
          </cell>
          <cell r="BQ1168">
            <v>0</v>
          </cell>
          <cell r="BR1168">
            <v>0</v>
          </cell>
          <cell r="BS1168">
            <v>7</v>
          </cell>
          <cell r="BT1168">
            <v>34</v>
          </cell>
          <cell r="BU1168">
            <v>7</v>
          </cell>
          <cell r="BV1168">
            <v>48</v>
          </cell>
          <cell r="BW1168">
            <v>0</v>
          </cell>
          <cell r="BX1168" t="str">
            <v>TIDAK</v>
          </cell>
          <cell r="BY1168" t="str">
            <v>TIDAK</v>
          </cell>
        </row>
        <row r="1169">
          <cell r="A1169" t="str">
            <v>A4424</v>
          </cell>
          <cell r="B1169" t="str">
            <v>PUTRI ALIFIA</v>
          </cell>
          <cell r="C1169" t="str">
            <v>TEMA C2</v>
          </cell>
          <cell r="D1169">
            <v>45593</v>
          </cell>
          <cell r="E1169" t="str">
            <v>Oct-24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 t="str">
            <v>-</v>
          </cell>
          <cell r="AQ1169" t="str">
            <v>-</v>
          </cell>
          <cell r="AR1169" t="str">
            <v>-</v>
          </cell>
          <cell r="AS1169" t="str">
            <v>-</v>
          </cell>
          <cell r="AT1169" t="str">
            <v>-</v>
          </cell>
          <cell r="AU1169" t="str">
            <v>REGULER</v>
          </cell>
          <cell r="AV1169" t="str">
            <v/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4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4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4</v>
          </cell>
          <cell r="BM1169" t="str">
            <v/>
          </cell>
          <cell r="BN1169">
            <v>4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4</v>
          </cell>
          <cell r="BU1169" t="str">
            <v/>
          </cell>
          <cell r="BV1169">
            <v>4</v>
          </cell>
          <cell r="BW1169">
            <v>2</v>
          </cell>
          <cell r="BX1169" t="str">
            <v>TIDAK</v>
          </cell>
          <cell r="BY1169" t="str">
            <v>TIDAK</v>
          </cell>
        </row>
        <row r="1170">
          <cell r="A1170" t="str">
            <v>A4437</v>
          </cell>
          <cell r="B1170" t="str">
            <v>MUHAMMAD ILZAM</v>
          </cell>
          <cell r="C1170" t="str">
            <v>TEMA C2</v>
          </cell>
          <cell r="D1170">
            <v>45612</v>
          </cell>
          <cell r="E1170" t="str">
            <v>Nov-24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 t="str">
            <v>-</v>
          </cell>
          <cell r="AQ1170" t="str">
            <v>-</v>
          </cell>
          <cell r="AR1170" t="str">
            <v>-</v>
          </cell>
          <cell r="AS1170" t="str">
            <v>-</v>
          </cell>
          <cell r="AT1170" t="str">
            <v>-</v>
          </cell>
          <cell r="AU1170" t="str">
            <v>REGULER</v>
          </cell>
          <cell r="AV1170" t="str">
            <v/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40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40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40</v>
          </cell>
          <cell r="BM1170">
            <v>20</v>
          </cell>
          <cell r="BN1170">
            <v>60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  <cell r="BT1170">
            <v>40</v>
          </cell>
          <cell r="BU1170">
            <v>20</v>
          </cell>
          <cell r="BV1170">
            <v>60</v>
          </cell>
          <cell r="BW1170">
            <v>0</v>
          </cell>
          <cell r="BX1170" t="str">
            <v>TIDAK</v>
          </cell>
          <cell r="BY1170" t="str">
            <v>TIDAK</v>
          </cell>
        </row>
        <row r="1171">
          <cell r="A1171" t="str">
            <v>A4438</v>
          </cell>
          <cell r="B1171" t="str">
            <v>YESINTA VALENTINA</v>
          </cell>
          <cell r="C1171" t="str">
            <v>TEMA C2</v>
          </cell>
          <cell r="D1171">
            <v>0</v>
          </cell>
          <cell r="E1171" t="str">
            <v>Jan-00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 t="str">
            <v>-</v>
          </cell>
          <cell r="AQ1171" t="str">
            <v>-</v>
          </cell>
          <cell r="AR1171" t="str">
            <v>-</v>
          </cell>
          <cell r="AS1171" t="str">
            <v>-</v>
          </cell>
          <cell r="AT1171" t="str">
            <v>-</v>
          </cell>
          <cell r="AU1171" t="str">
            <v>REGULER</v>
          </cell>
          <cell r="AV1171" t="str">
            <v/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3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3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3</v>
          </cell>
          <cell r="BM1171" t="str">
            <v/>
          </cell>
          <cell r="BN1171">
            <v>3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  <cell r="BT1171">
            <v>3</v>
          </cell>
          <cell r="BU1171" t="str">
            <v/>
          </cell>
          <cell r="BV1171">
            <v>3</v>
          </cell>
          <cell r="BW1171">
            <v>6</v>
          </cell>
          <cell r="BX1171" t="str">
            <v>DOWNGRADE</v>
          </cell>
          <cell r="BY1171" t="str">
            <v>RESET</v>
          </cell>
        </row>
        <row r="1172">
          <cell r="A1172" t="str">
            <v>A4439</v>
          </cell>
          <cell r="B1172" t="str">
            <v>PIERINA PRIMA UTOMO</v>
          </cell>
          <cell r="C1172" t="str">
            <v>TEMA C2</v>
          </cell>
          <cell r="D1172">
            <v>45612</v>
          </cell>
          <cell r="E1172" t="str">
            <v>Nov-24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 t="str">
            <v>-</v>
          </cell>
          <cell r="AQ1172" t="str">
            <v>-</v>
          </cell>
          <cell r="AR1172" t="str">
            <v>-</v>
          </cell>
          <cell r="AS1172" t="str">
            <v>-</v>
          </cell>
          <cell r="AT1172" t="str">
            <v>-</v>
          </cell>
          <cell r="AU1172" t="str">
            <v>REGULER</v>
          </cell>
          <cell r="AV1172" t="str">
            <v/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23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23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23</v>
          </cell>
          <cell r="BM1172">
            <v>4</v>
          </cell>
          <cell r="BN1172">
            <v>27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  <cell r="BT1172">
            <v>23</v>
          </cell>
          <cell r="BU1172">
            <v>4</v>
          </cell>
          <cell r="BV1172">
            <v>27</v>
          </cell>
          <cell r="BW1172">
            <v>0</v>
          </cell>
          <cell r="BX1172" t="str">
            <v>TIDAK</v>
          </cell>
          <cell r="BY1172" t="str">
            <v>TIDAK</v>
          </cell>
        </row>
        <row r="1173">
          <cell r="A1173" t="str">
            <v>A4441</v>
          </cell>
          <cell r="B1173" t="str">
            <v>IRWANDA BUDI PANGESTU</v>
          </cell>
          <cell r="C1173" t="str">
            <v>TEMA C2</v>
          </cell>
          <cell r="D1173">
            <v>45612</v>
          </cell>
          <cell r="E1173" t="str">
            <v>Nov-24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 t="str">
            <v>-</v>
          </cell>
          <cell r="AQ1173" t="str">
            <v>-</v>
          </cell>
          <cell r="AR1173" t="str">
            <v>-</v>
          </cell>
          <cell r="AS1173" t="str">
            <v>-</v>
          </cell>
          <cell r="AT1173" t="str">
            <v>-</v>
          </cell>
          <cell r="AU1173" t="str">
            <v>REGULER</v>
          </cell>
          <cell r="AV1173" t="str">
            <v/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32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32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32</v>
          </cell>
          <cell r="BM1173">
            <v>19</v>
          </cell>
          <cell r="BN1173">
            <v>51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  <cell r="BT1173">
            <v>32</v>
          </cell>
          <cell r="BU1173">
            <v>19</v>
          </cell>
          <cell r="BV1173">
            <v>51</v>
          </cell>
          <cell r="BW1173">
            <v>0</v>
          </cell>
          <cell r="BX1173" t="str">
            <v>TIDAK</v>
          </cell>
          <cell r="BY1173" t="str">
            <v>TIDAK</v>
          </cell>
        </row>
        <row r="1174">
          <cell r="A1174" t="str">
            <v>A4445</v>
          </cell>
          <cell r="B1174" t="str">
            <v>TIYA AGUSTINA RIYANTO</v>
          </cell>
          <cell r="C1174" t="str">
            <v>TEMA C2</v>
          </cell>
          <cell r="D1174">
            <v>45612</v>
          </cell>
          <cell r="E1174" t="str">
            <v>Nov-24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 t="str">
            <v>-</v>
          </cell>
          <cell r="AQ1174" t="str">
            <v>-</v>
          </cell>
          <cell r="AR1174" t="str">
            <v>-</v>
          </cell>
          <cell r="AS1174" t="str">
            <v>-</v>
          </cell>
          <cell r="AT1174" t="str">
            <v>-</v>
          </cell>
          <cell r="AU1174" t="str">
            <v>REGULER</v>
          </cell>
          <cell r="AV1174" t="str">
            <v/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10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10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  <cell r="BK1174">
            <v>0</v>
          </cell>
          <cell r="BL1174">
            <v>10</v>
          </cell>
          <cell r="BM1174" t="str">
            <v/>
          </cell>
          <cell r="BN1174">
            <v>10</v>
          </cell>
          <cell r="BO1174">
            <v>0</v>
          </cell>
          <cell r="BP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10</v>
          </cell>
          <cell r="BU1174" t="str">
            <v/>
          </cell>
          <cell r="BV1174">
            <v>10</v>
          </cell>
          <cell r="BW1174">
            <v>1</v>
          </cell>
          <cell r="BX1174" t="str">
            <v>TIDAK</v>
          </cell>
          <cell r="BY1174" t="str">
            <v>TIDAK</v>
          </cell>
        </row>
        <row r="1175">
          <cell r="A1175" t="str">
            <v>A4446</v>
          </cell>
          <cell r="B1175" t="str">
            <v>FITRI NUR INDAH SARI</v>
          </cell>
          <cell r="C1175" t="str">
            <v>TEMA C2</v>
          </cell>
          <cell r="D1175">
            <v>45612</v>
          </cell>
          <cell r="E1175" t="str">
            <v>Nov-24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 t="str">
            <v>-</v>
          </cell>
          <cell r="AQ1175" t="str">
            <v>-</v>
          </cell>
          <cell r="AR1175" t="str">
            <v>-</v>
          </cell>
          <cell r="AS1175" t="str">
            <v>-</v>
          </cell>
          <cell r="AT1175" t="str">
            <v>-</v>
          </cell>
          <cell r="AU1175" t="str">
            <v>REGULER</v>
          </cell>
          <cell r="AV1175" t="str">
            <v/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11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11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11</v>
          </cell>
          <cell r="BM1175" t="str">
            <v/>
          </cell>
          <cell r="BN1175">
            <v>11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11</v>
          </cell>
          <cell r="BU1175" t="str">
            <v/>
          </cell>
          <cell r="BV1175">
            <v>11</v>
          </cell>
          <cell r="BW1175">
            <v>1</v>
          </cell>
          <cell r="BX1175" t="str">
            <v>TIDAK</v>
          </cell>
          <cell r="BY1175" t="str">
            <v>TIDAK</v>
          </cell>
        </row>
        <row r="1176">
          <cell r="A1176" t="str">
            <v>A4447</v>
          </cell>
          <cell r="B1176" t="str">
            <v>ALETTA CHRISTABEL FENAN</v>
          </cell>
          <cell r="C1176" t="str">
            <v>TEMA C2</v>
          </cell>
          <cell r="D1176">
            <v>45614</v>
          </cell>
          <cell r="E1176" t="str">
            <v>Nov-24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 t="str">
            <v>-</v>
          </cell>
          <cell r="AQ1176" t="str">
            <v>-</v>
          </cell>
          <cell r="AR1176" t="str">
            <v>-</v>
          </cell>
          <cell r="AS1176" t="str">
            <v>-</v>
          </cell>
          <cell r="AT1176" t="str">
            <v>-</v>
          </cell>
          <cell r="AU1176" t="str">
            <v>REGULER</v>
          </cell>
          <cell r="AV1176" t="str">
            <v/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20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20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20</v>
          </cell>
          <cell r="BM1176">
            <v>11</v>
          </cell>
          <cell r="BN1176">
            <v>31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20</v>
          </cell>
          <cell r="BU1176">
            <v>11</v>
          </cell>
          <cell r="BV1176">
            <v>31</v>
          </cell>
          <cell r="BW1176">
            <v>0</v>
          </cell>
          <cell r="BX1176" t="str">
            <v>TIDAK</v>
          </cell>
          <cell r="BY1176" t="str">
            <v>TIDAK</v>
          </cell>
        </row>
        <row r="1177">
          <cell r="A1177" t="str">
            <v>A4448</v>
          </cell>
          <cell r="B1177" t="str">
            <v>MARIA INTAN PRAMESWARI</v>
          </cell>
          <cell r="C1177" t="str">
            <v>TEMA C2</v>
          </cell>
          <cell r="D1177">
            <v>45612</v>
          </cell>
          <cell r="E1177" t="str">
            <v>Nov-24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 t="str">
            <v>-</v>
          </cell>
          <cell r="AQ1177" t="str">
            <v>-</v>
          </cell>
          <cell r="AR1177" t="str">
            <v>-</v>
          </cell>
          <cell r="AS1177" t="str">
            <v>-</v>
          </cell>
          <cell r="AT1177" t="str">
            <v>-</v>
          </cell>
          <cell r="AU1177" t="str">
            <v>REGULER</v>
          </cell>
          <cell r="AV1177" t="str">
            <v/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27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27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0</v>
          </cell>
          <cell r="BL1177">
            <v>27</v>
          </cell>
          <cell r="BM1177">
            <v>12</v>
          </cell>
          <cell r="BN1177">
            <v>39</v>
          </cell>
          <cell r="BO1177">
            <v>0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  <cell r="BT1177">
            <v>27</v>
          </cell>
          <cell r="BU1177">
            <v>12</v>
          </cell>
          <cell r="BV1177">
            <v>39</v>
          </cell>
          <cell r="BW1177">
            <v>0</v>
          </cell>
          <cell r="BX1177" t="str">
            <v>TIDAK</v>
          </cell>
          <cell r="BY1177" t="str">
            <v>TIDAK</v>
          </cell>
        </row>
        <row r="1178">
          <cell r="A1178" t="str">
            <v>A4449</v>
          </cell>
          <cell r="B1178" t="str">
            <v>HERNANDA NUR RAHMAWATI</v>
          </cell>
          <cell r="C1178" t="str">
            <v>TEMA C2</v>
          </cell>
          <cell r="D1178">
            <v>45612</v>
          </cell>
          <cell r="E1178" t="str">
            <v>Nov-24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 t="str">
            <v>-</v>
          </cell>
          <cell r="AQ1178" t="str">
            <v>-</v>
          </cell>
          <cell r="AR1178" t="str">
            <v>-</v>
          </cell>
          <cell r="AS1178" t="str">
            <v>-</v>
          </cell>
          <cell r="AT1178" t="str">
            <v>-</v>
          </cell>
          <cell r="AU1178" t="str">
            <v>REGULER</v>
          </cell>
          <cell r="AV1178" t="str">
            <v/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26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26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26</v>
          </cell>
          <cell r="BM1178">
            <v>19</v>
          </cell>
          <cell r="BN1178">
            <v>45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26</v>
          </cell>
          <cell r="BU1178">
            <v>19</v>
          </cell>
          <cell r="BV1178">
            <v>45</v>
          </cell>
          <cell r="BW1178">
            <v>0</v>
          </cell>
          <cell r="BX1178" t="str">
            <v>TIDAK</v>
          </cell>
          <cell r="BY1178" t="str">
            <v>TIDAK</v>
          </cell>
        </row>
        <row r="1179">
          <cell r="A1179" t="str">
            <v>A4450</v>
          </cell>
          <cell r="B1179" t="str">
            <v>ADINDA NURMALITA YULIYANTI</v>
          </cell>
          <cell r="C1179" t="str">
            <v>TEMA C2</v>
          </cell>
          <cell r="D1179">
            <v>45612</v>
          </cell>
          <cell r="E1179" t="str">
            <v>Nov-24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 t="str">
            <v>-</v>
          </cell>
          <cell r="AQ1179" t="str">
            <v>-</v>
          </cell>
          <cell r="AR1179" t="str">
            <v>-</v>
          </cell>
          <cell r="AS1179" t="str">
            <v>-</v>
          </cell>
          <cell r="AT1179" t="str">
            <v>-</v>
          </cell>
          <cell r="AU1179" t="str">
            <v>REGULER</v>
          </cell>
          <cell r="AV1179" t="str">
            <v/>
          </cell>
          <cell r="AW1179">
            <v>0</v>
          </cell>
          <cell r="AX1179">
            <v>0</v>
          </cell>
          <cell r="AY1179">
            <v>0</v>
          </cell>
          <cell r="AZ1179">
            <v>0</v>
          </cell>
          <cell r="BA1179">
            <v>28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28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  <cell r="BK1179">
            <v>0</v>
          </cell>
          <cell r="BL1179">
            <v>28</v>
          </cell>
          <cell r="BM1179">
            <v>18</v>
          </cell>
          <cell r="BN1179">
            <v>46</v>
          </cell>
          <cell r="BO1179">
            <v>0</v>
          </cell>
          <cell r="BP1179">
            <v>0</v>
          </cell>
          <cell r="BQ1179">
            <v>0</v>
          </cell>
          <cell r="BR1179">
            <v>0</v>
          </cell>
          <cell r="BS1179">
            <v>0</v>
          </cell>
          <cell r="BT1179">
            <v>28</v>
          </cell>
          <cell r="BU1179">
            <v>18</v>
          </cell>
          <cell r="BV1179">
            <v>46</v>
          </cell>
          <cell r="BW1179">
            <v>0</v>
          </cell>
          <cell r="BX1179" t="str">
            <v>TIDAK</v>
          </cell>
          <cell r="BY1179" t="str">
            <v>TIDAK</v>
          </cell>
        </row>
        <row r="1180">
          <cell r="A1180" t="str">
            <v>A4451</v>
          </cell>
          <cell r="B1180" t="str">
            <v>HUSNIYA TAZKIYA AZZAHRA</v>
          </cell>
          <cell r="C1180" t="str">
            <v>TEMA C2</v>
          </cell>
          <cell r="D1180">
            <v>45612</v>
          </cell>
          <cell r="E1180" t="str">
            <v>Nov-24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 t="str">
            <v>-</v>
          </cell>
          <cell r="AQ1180" t="str">
            <v>-</v>
          </cell>
          <cell r="AR1180" t="str">
            <v>-</v>
          </cell>
          <cell r="AS1180" t="str">
            <v>-</v>
          </cell>
          <cell r="AT1180" t="str">
            <v>-</v>
          </cell>
          <cell r="AU1180" t="str">
            <v>REGULER</v>
          </cell>
          <cell r="AV1180" t="str">
            <v/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26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26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26</v>
          </cell>
          <cell r="BM1180">
            <v>19</v>
          </cell>
          <cell r="BN1180">
            <v>45</v>
          </cell>
          <cell r="BO1180">
            <v>0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  <cell r="BT1180">
            <v>26</v>
          </cell>
          <cell r="BU1180">
            <v>19</v>
          </cell>
          <cell r="BV1180">
            <v>45</v>
          </cell>
          <cell r="BW1180">
            <v>0</v>
          </cell>
          <cell r="BX1180" t="str">
            <v>TIDAK</v>
          </cell>
          <cell r="BY1180" t="str">
            <v>TIDAK</v>
          </cell>
        </row>
        <row r="1181">
          <cell r="A1181" t="str">
            <v>A4468</v>
          </cell>
          <cell r="B1181" t="str">
            <v>CHAIRUNNISA RIZQI NUGRAHANTI</v>
          </cell>
          <cell r="C1181" t="str">
            <v>TEMA C2</v>
          </cell>
          <cell r="D1181">
            <v>45615</v>
          </cell>
          <cell r="E1181" t="str">
            <v>Nov-24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 t="str">
            <v>-</v>
          </cell>
          <cell r="AQ1181" t="str">
            <v>-</v>
          </cell>
          <cell r="AR1181" t="str">
            <v>-</v>
          </cell>
          <cell r="AS1181" t="str">
            <v>-</v>
          </cell>
          <cell r="AT1181" t="str">
            <v>-</v>
          </cell>
          <cell r="AU1181" t="str">
            <v>REGULER</v>
          </cell>
          <cell r="AV1181" t="str">
            <v/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16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16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16</v>
          </cell>
          <cell r="BM1181">
            <v>18</v>
          </cell>
          <cell r="BN1181">
            <v>34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  <cell r="BT1181">
            <v>16</v>
          </cell>
          <cell r="BU1181">
            <v>18</v>
          </cell>
          <cell r="BV1181">
            <v>34</v>
          </cell>
          <cell r="BW1181">
            <v>0</v>
          </cell>
          <cell r="BX1181" t="str">
            <v>TIDAK</v>
          </cell>
          <cell r="BY1181" t="str">
            <v>TIDAK</v>
          </cell>
        </row>
        <row r="1182">
          <cell r="A1182" t="str">
            <v>A4469</v>
          </cell>
          <cell r="B1182" t="str">
            <v>ADHIKA PUTRI MAHARANI</v>
          </cell>
          <cell r="C1182" t="str">
            <v>TEMA C2</v>
          </cell>
          <cell r="D1182">
            <v>45615</v>
          </cell>
          <cell r="E1182" t="str">
            <v>Nov-24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 t="str">
            <v>-</v>
          </cell>
          <cell r="AQ1182" t="str">
            <v>-</v>
          </cell>
          <cell r="AR1182" t="str">
            <v>-</v>
          </cell>
          <cell r="AS1182" t="str">
            <v>-</v>
          </cell>
          <cell r="AT1182" t="str">
            <v>-</v>
          </cell>
          <cell r="AU1182" t="str">
            <v>REGULER</v>
          </cell>
          <cell r="AV1182" t="str">
            <v/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14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14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14</v>
          </cell>
          <cell r="BM1182">
            <v>11</v>
          </cell>
          <cell r="BN1182">
            <v>25</v>
          </cell>
          <cell r="BO1182">
            <v>0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  <cell r="BT1182">
            <v>14</v>
          </cell>
          <cell r="BU1182">
            <v>11</v>
          </cell>
          <cell r="BV1182">
            <v>25</v>
          </cell>
          <cell r="BW1182">
            <v>0</v>
          </cell>
          <cell r="BX1182" t="str">
            <v>TIDAK</v>
          </cell>
          <cell r="BY1182" t="str">
            <v>TIDAK</v>
          </cell>
        </row>
        <row r="1183">
          <cell r="A1183" t="str">
            <v>A4470</v>
          </cell>
          <cell r="B1183" t="str">
            <v>SYARIFATUL MUKAROMAH</v>
          </cell>
          <cell r="C1183" t="str">
            <v>TEMA C2</v>
          </cell>
          <cell r="D1183">
            <v>45614</v>
          </cell>
          <cell r="E1183" t="str">
            <v>Nov-24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 t="str">
            <v>-</v>
          </cell>
          <cell r="AQ1183" t="str">
            <v>-</v>
          </cell>
          <cell r="AR1183" t="str">
            <v>-</v>
          </cell>
          <cell r="AS1183" t="str">
            <v>-</v>
          </cell>
          <cell r="AT1183" t="str">
            <v>-</v>
          </cell>
          <cell r="AU1183" t="str">
            <v>REGULER</v>
          </cell>
          <cell r="AV1183" t="str">
            <v/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17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17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  <cell r="BK1183">
            <v>0</v>
          </cell>
          <cell r="BL1183">
            <v>17</v>
          </cell>
          <cell r="BM1183">
            <v>18</v>
          </cell>
          <cell r="BN1183">
            <v>35</v>
          </cell>
          <cell r="BO1183">
            <v>0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  <cell r="BT1183">
            <v>17</v>
          </cell>
          <cell r="BU1183">
            <v>18</v>
          </cell>
          <cell r="BV1183">
            <v>35</v>
          </cell>
          <cell r="BW1183">
            <v>0</v>
          </cell>
          <cell r="BX1183" t="str">
            <v>TIDAK</v>
          </cell>
          <cell r="BY1183" t="str">
            <v>TIDAK</v>
          </cell>
        </row>
        <row r="1184">
          <cell r="A1184" t="str">
            <v>A3147</v>
          </cell>
          <cell r="B1184" t="str">
            <v>SAGITA DEO SANTOSA</v>
          </cell>
          <cell r="C1184" t="str">
            <v>TEMA C2</v>
          </cell>
          <cell r="D1184">
            <v>45614</v>
          </cell>
          <cell r="E1184" t="str">
            <v>Nov-24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 t="str">
            <v>-</v>
          </cell>
          <cell r="AQ1184" t="str">
            <v>-</v>
          </cell>
          <cell r="AR1184" t="str">
            <v>-</v>
          </cell>
          <cell r="AS1184" t="str">
            <v>-</v>
          </cell>
          <cell r="AT1184" t="str">
            <v>-</v>
          </cell>
          <cell r="AU1184" t="str">
            <v>REGULER</v>
          </cell>
          <cell r="AV1184" t="str">
            <v/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18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18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18</v>
          </cell>
          <cell r="BM1184">
            <v>19</v>
          </cell>
          <cell r="BN1184">
            <v>37</v>
          </cell>
          <cell r="BO1184">
            <v>0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18</v>
          </cell>
          <cell r="BU1184">
            <v>19</v>
          </cell>
          <cell r="BV1184">
            <v>37</v>
          </cell>
          <cell r="BW1184">
            <v>0</v>
          </cell>
          <cell r="BX1184" t="str">
            <v>TIDAK</v>
          </cell>
          <cell r="BY1184" t="str">
            <v>TIDAK</v>
          </cell>
        </row>
        <row r="1185">
          <cell r="A1185" t="str">
            <v>A4471</v>
          </cell>
          <cell r="B1185" t="str">
            <v>DWIYAN MAHARANI MUTIARA FIRDAUS</v>
          </cell>
          <cell r="C1185" t="str">
            <v>TEMA C2</v>
          </cell>
          <cell r="D1185">
            <v>45614</v>
          </cell>
          <cell r="E1185" t="str">
            <v>Nov-24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 t="str">
            <v>-</v>
          </cell>
          <cell r="AQ1185" t="str">
            <v>-</v>
          </cell>
          <cell r="AR1185" t="str">
            <v>-</v>
          </cell>
          <cell r="AS1185" t="str">
            <v>-</v>
          </cell>
          <cell r="AT1185" t="str">
            <v>-</v>
          </cell>
          <cell r="AU1185" t="str">
            <v>REGULER</v>
          </cell>
          <cell r="AV1185" t="str">
            <v/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17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17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  <cell r="BK1185">
            <v>0</v>
          </cell>
          <cell r="BL1185">
            <v>17</v>
          </cell>
          <cell r="BM1185">
            <v>21</v>
          </cell>
          <cell r="BN1185">
            <v>38</v>
          </cell>
          <cell r="BO1185">
            <v>0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  <cell r="BT1185">
            <v>17</v>
          </cell>
          <cell r="BU1185">
            <v>21</v>
          </cell>
          <cell r="BV1185">
            <v>38</v>
          </cell>
          <cell r="BW1185">
            <v>0</v>
          </cell>
          <cell r="BX1185" t="str">
            <v>TIDAK</v>
          </cell>
          <cell r="BY1185" t="str">
            <v>TIDAK</v>
          </cell>
        </row>
        <row r="1186">
          <cell r="A1186" t="str">
            <v>A4472</v>
          </cell>
          <cell r="B1186" t="str">
            <v>PUTRI ADELLA MAHARANI</v>
          </cell>
          <cell r="C1186" t="str">
            <v>TEMA C2</v>
          </cell>
          <cell r="D1186">
            <v>45614</v>
          </cell>
          <cell r="E1186" t="str">
            <v>Nov-24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 t="str">
            <v>-</v>
          </cell>
          <cell r="AQ1186" t="str">
            <v>-</v>
          </cell>
          <cell r="AR1186" t="str">
            <v>-</v>
          </cell>
          <cell r="AS1186" t="str">
            <v>-</v>
          </cell>
          <cell r="AT1186" t="str">
            <v>-</v>
          </cell>
          <cell r="AU1186" t="str">
            <v>REGULER</v>
          </cell>
          <cell r="AV1186" t="str">
            <v/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2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2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  <cell r="BK1186">
            <v>0</v>
          </cell>
          <cell r="BL1186">
            <v>2</v>
          </cell>
          <cell r="BM1186" t="str">
            <v/>
          </cell>
          <cell r="BN1186">
            <v>2</v>
          </cell>
          <cell r="BO1186">
            <v>0</v>
          </cell>
          <cell r="BP1186">
            <v>0</v>
          </cell>
          <cell r="BQ1186">
            <v>0</v>
          </cell>
          <cell r="BR1186">
            <v>0</v>
          </cell>
          <cell r="BS1186">
            <v>0</v>
          </cell>
          <cell r="BT1186">
            <v>2</v>
          </cell>
          <cell r="BU1186" t="str">
            <v/>
          </cell>
          <cell r="BV1186">
            <v>2</v>
          </cell>
          <cell r="BW1186">
            <v>1</v>
          </cell>
          <cell r="BX1186" t="str">
            <v>TIDAK</v>
          </cell>
          <cell r="BY1186" t="str">
            <v>TIDAK</v>
          </cell>
        </row>
        <row r="1187">
          <cell r="A1187" t="str">
            <v>A4490</v>
          </cell>
          <cell r="B1187" t="str">
            <v>RAHMA TRIANDITA ATMAJA</v>
          </cell>
          <cell r="C1187" t="str">
            <v>TEMA C2</v>
          </cell>
          <cell r="D1187">
            <v>45621</v>
          </cell>
          <cell r="E1187" t="str">
            <v>Nov-24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 t="str">
            <v>-</v>
          </cell>
          <cell r="AQ1187" t="str">
            <v>-</v>
          </cell>
          <cell r="AR1187" t="str">
            <v>-</v>
          </cell>
          <cell r="AS1187" t="str">
            <v>-</v>
          </cell>
          <cell r="AT1187" t="str">
            <v>-</v>
          </cell>
          <cell r="AU1187" t="str">
            <v>REGULER</v>
          </cell>
          <cell r="AV1187" t="str">
            <v/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3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3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3</v>
          </cell>
          <cell r="BM1187">
            <v>19</v>
          </cell>
          <cell r="BN1187">
            <v>22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3</v>
          </cell>
          <cell r="BU1187">
            <v>19</v>
          </cell>
          <cell r="BV1187">
            <v>22</v>
          </cell>
          <cell r="BW1187">
            <v>0</v>
          </cell>
          <cell r="BX1187" t="str">
            <v>TIDAK</v>
          </cell>
          <cell r="BY1187" t="str">
            <v>TIDAK</v>
          </cell>
        </row>
        <row r="1188">
          <cell r="A1188" t="str">
            <v>A4492</v>
          </cell>
          <cell r="B1188" t="str">
            <v>AAN NUGRAH ANDIANG</v>
          </cell>
          <cell r="C1188" t="str">
            <v>TEMA C2</v>
          </cell>
          <cell r="D1188">
            <v>45622</v>
          </cell>
          <cell r="E1188" t="str">
            <v>Nov-24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 t="str">
            <v>-</v>
          </cell>
          <cell r="AQ1188" t="str">
            <v>-</v>
          </cell>
          <cell r="AR1188" t="str">
            <v>-</v>
          </cell>
          <cell r="AS1188" t="str">
            <v>-</v>
          </cell>
          <cell r="AT1188" t="str">
            <v>-</v>
          </cell>
          <cell r="AU1188" t="str">
            <v>REGULER</v>
          </cell>
          <cell r="AV1188" t="str">
            <v/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5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5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5</v>
          </cell>
          <cell r="BM1188">
            <v>5</v>
          </cell>
          <cell r="BN1188">
            <v>10</v>
          </cell>
          <cell r="BO1188">
            <v>0</v>
          </cell>
          <cell r="BP1188">
            <v>0</v>
          </cell>
          <cell r="BQ1188">
            <v>0</v>
          </cell>
          <cell r="BR1188">
            <v>0</v>
          </cell>
          <cell r="BS1188">
            <v>0</v>
          </cell>
          <cell r="BT1188">
            <v>5</v>
          </cell>
          <cell r="BU1188">
            <v>5</v>
          </cell>
          <cell r="BV1188">
            <v>10</v>
          </cell>
          <cell r="BW1188">
            <v>0</v>
          </cell>
          <cell r="BX1188" t="str">
            <v>TIDAK</v>
          </cell>
          <cell r="BY1188" t="str">
            <v>TIDAK</v>
          </cell>
        </row>
        <row r="1189">
          <cell r="A1189" t="str">
            <v>A4493</v>
          </cell>
          <cell r="B1189" t="str">
            <v>SYALOM JORIGO</v>
          </cell>
          <cell r="C1189" t="str">
            <v>TEMA C2</v>
          </cell>
          <cell r="D1189">
            <v>45625</v>
          </cell>
          <cell r="E1189" t="str">
            <v>Nov-24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 t="str">
            <v>-</v>
          </cell>
          <cell r="AQ1189" t="str">
            <v>-</v>
          </cell>
          <cell r="AR1189" t="str">
            <v>-</v>
          </cell>
          <cell r="AS1189" t="str">
            <v>-</v>
          </cell>
          <cell r="AT1189" t="str">
            <v>-</v>
          </cell>
          <cell r="AU1189" t="str">
            <v>REGULER</v>
          </cell>
          <cell r="AV1189" t="str">
            <v/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2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2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2</v>
          </cell>
          <cell r="BM1189">
            <v>9</v>
          </cell>
          <cell r="BN1189">
            <v>11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2</v>
          </cell>
          <cell r="BU1189">
            <v>9</v>
          </cell>
          <cell r="BV1189">
            <v>11</v>
          </cell>
          <cell r="BW1189">
            <v>0</v>
          </cell>
          <cell r="BX1189" t="str">
            <v>TIDAK</v>
          </cell>
          <cell r="BY1189" t="str">
            <v>TIDAK</v>
          </cell>
        </row>
        <row r="1190">
          <cell r="A1190" t="str">
            <v>A4494</v>
          </cell>
          <cell r="B1190" t="str">
            <v>INTAN SARI ALMASAH</v>
          </cell>
          <cell r="C1190" t="str">
            <v>TEMA C2</v>
          </cell>
          <cell r="D1190">
            <v>45626</v>
          </cell>
          <cell r="E1190" t="str">
            <v>Nov-24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 t="str">
            <v>-</v>
          </cell>
          <cell r="AQ1190" t="str">
            <v>-</v>
          </cell>
          <cell r="AR1190" t="str">
            <v>-</v>
          </cell>
          <cell r="AS1190" t="str">
            <v>-</v>
          </cell>
          <cell r="AT1190" t="str">
            <v>-</v>
          </cell>
          <cell r="AU1190" t="str">
            <v>REGULER</v>
          </cell>
          <cell r="AV1190" t="str">
            <v/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1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1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1</v>
          </cell>
          <cell r="BM1190">
            <v>10</v>
          </cell>
          <cell r="BN1190">
            <v>11</v>
          </cell>
          <cell r="BO1190">
            <v>0</v>
          </cell>
          <cell r="BP1190">
            <v>0</v>
          </cell>
          <cell r="BQ1190">
            <v>0</v>
          </cell>
          <cell r="BR1190">
            <v>0</v>
          </cell>
          <cell r="BS1190">
            <v>0</v>
          </cell>
          <cell r="BT1190">
            <v>1</v>
          </cell>
          <cell r="BU1190">
            <v>10</v>
          </cell>
          <cell r="BV1190">
            <v>11</v>
          </cell>
          <cell r="BW1190">
            <v>0</v>
          </cell>
          <cell r="BX1190" t="str">
            <v>TIDAK</v>
          </cell>
          <cell r="BY1190" t="str">
            <v>TIDAK</v>
          </cell>
        </row>
        <row r="1191">
          <cell r="A1191" t="str">
            <v>A4519</v>
          </cell>
          <cell r="B1191" t="str">
            <v>YESI EKA KUMALA</v>
          </cell>
          <cell r="C1191" t="str">
            <v>TEMA C2</v>
          </cell>
          <cell r="D1191">
            <v>45626</v>
          </cell>
          <cell r="E1191" t="str">
            <v>Nov-24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 t="str">
            <v>-</v>
          </cell>
          <cell r="AQ1191" t="str">
            <v>-</v>
          </cell>
          <cell r="AR1191" t="str">
            <v>-</v>
          </cell>
          <cell r="AS1191" t="str">
            <v>-</v>
          </cell>
          <cell r="AT1191" t="str">
            <v>-</v>
          </cell>
          <cell r="AU1191" t="str">
            <v>REGULER</v>
          </cell>
          <cell r="AV1191" t="str">
            <v/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1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1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1</v>
          </cell>
          <cell r="BM1191">
            <v>4</v>
          </cell>
          <cell r="BN1191">
            <v>5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1</v>
          </cell>
          <cell r="BU1191">
            <v>4</v>
          </cell>
          <cell r="BV1191">
            <v>5</v>
          </cell>
          <cell r="BW1191">
            <v>0</v>
          </cell>
          <cell r="BX1191" t="str">
            <v>TIDAK</v>
          </cell>
          <cell r="BY1191" t="str">
            <v>TIDAK</v>
          </cell>
        </row>
        <row r="1192">
          <cell r="A1192" t="str">
            <v>A4515</v>
          </cell>
          <cell r="B1192" t="str">
            <v>TRIVENA WALELANG</v>
          </cell>
          <cell r="C1192" t="str">
            <v>TEMA C2</v>
          </cell>
          <cell r="D1192">
            <v>45628</v>
          </cell>
          <cell r="E1192" t="str">
            <v>Dec-24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 t="str">
            <v/>
          </cell>
          <cell r="AW1192" t="str">
            <v/>
          </cell>
          <cell r="AX1192" t="str">
            <v/>
          </cell>
          <cell r="AY1192" t="str">
            <v/>
          </cell>
          <cell r="AZ1192" t="str">
            <v/>
          </cell>
          <cell r="BA1192" t="str">
            <v/>
          </cell>
          <cell r="BB1192" t="str">
            <v/>
          </cell>
          <cell r="BC1192" t="str">
            <v/>
          </cell>
          <cell r="BD1192" t="str">
            <v/>
          </cell>
          <cell r="BE1192" t="str">
            <v/>
          </cell>
          <cell r="BF1192" t="str">
            <v/>
          </cell>
          <cell r="BG1192">
            <v>0</v>
          </cell>
          <cell r="BH1192" t="str">
            <v/>
          </cell>
          <cell r="BI1192" t="str">
            <v/>
          </cell>
          <cell r="BJ1192" t="str">
            <v/>
          </cell>
          <cell r="BK1192" t="str">
            <v/>
          </cell>
          <cell r="BL1192" t="str">
            <v/>
          </cell>
          <cell r="BM1192">
            <v>10</v>
          </cell>
          <cell r="BN1192">
            <v>10</v>
          </cell>
          <cell r="BO1192">
            <v>0</v>
          </cell>
          <cell r="BP1192" t="str">
            <v/>
          </cell>
          <cell r="BQ1192" t="str">
            <v/>
          </cell>
          <cell r="BR1192" t="str">
            <v/>
          </cell>
          <cell r="BS1192" t="str">
            <v/>
          </cell>
          <cell r="BT1192" t="str">
            <v/>
          </cell>
          <cell r="BU1192">
            <v>10</v>
          </cell>
          <cell r="BV1192">
            <v>10</v>
          </cell>
          <cell r="BW1192">
            <v>0</v>
          </cell>
          <cell r="BX1192" t="str">
            <v>TIDAK</v>
          </cell>
          <cell r="BY1192" t="str">
            <v>TIDAK</v>
          </cell>
        </row>
        <row r="1193">
          <cell r="A1193" t="str">
            <v>A4516</v>
          </cell>
          <cell r="B1193" t="str">
            <v>KHARISMA INTAN</v>
          </cell>
          <cell r="C1193" t="str">
            <v>TEMA C2</v>
          </cell>
          <cell r="D1193">
            <v>45628</v>
          </cell>
          <cell r="E1193" t="str">
            <v>Dec-24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 t="str">
            <v/>
          </cell>
          <cell r="AW1193" t="str">
            <v/>
          </cell>
          <cell r="AX1193" t="str">
            <v/>
          </cell>
          <cell r="AY1193" t="str">
            <v/>
          </cell>
          <cell r="AZ1193" t="str">
            <v/>
          </cell>
          <cell r="BA1193" t="str">
            <v/>
          </cell>
          <cell r="BB1193" t="str">
            <v/>
          </cell>
          <cell r="BC1193" t="str">
            <v/>
          </cell>
          <cell r="BD1193" t="str">
            <v/>
          </cell>
          <cell r="BE1193" t="str">
            <v/>
          </cell>
          <cell r="BF1193" t="str">
            <v/>
          </cell>
          <cell r="BG1193">
            <v>0</v>
          </cell>
          <cell r="BH1193" t="str">
            <v/>
          </cell>
          <cell r="BI1193" t="str">
            <v/>
          </cell>
          <cell r="BJ1193" t="str">
            <v/>
          </cell>
          <cell r="BK1193" t="str">
            <v/>
          </cell>
          <cell r="BL1193" t="str">
            <v/>
          </cell>
          <cell r="BM1193">
            <v>18</v>
          </cell>
          <cell r="BN1193">
            <v>18</v>
          </cell>
          <cell r="BO1193">
            <v>0</v>
          </cell>
          <cell r="BP1193" t="str">
            <v/>
          </cell>
          <cell r="BQ1193" t="str">
            <v/>
          </cell>
          <cell r="BR1193" t="str">
            <v/>
          </cell>
          <cell r="BS1193" t="str">
            <v/>
          </cell>
          <cell r="BT1193" t="str">
            <v/>
          </cell>
          <cell r="BU1193">
            <v>18</v>
          </cell>
          <cell r="BV1193">
            <v>18</v>
          </cell>
          <cell r="BW1193">
            <v>0</v>
          </cell>
          <cell r="BX1193" t="str">
            <v>TIDAK</v>
          </cell>
          <cell r="BY1193" t="str">
            <v>TIDAK</v>
          </cell>
        </row>
        <row r="1194">
          <cell r="A1194" t="str">
            <v>A4517</v>
          </cell>
          <cell r="B1194" t="str">
            <v>BRIGITA PUNDI</v>
          </cell>
          <cell r="C1194" t="str">
            <v>TEMA C2</v>
          </cell>
          <cell r="D1194">
            <v>45628</v>
          </cell>
          <cell r="E1194" t="str">
            <v>Dec-24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 t="str">
            <v/>
          </cell>
          <cell r="AW1194" t="str">
            <v/>
          </cell>
          <cell r="AX1194" t="str">
            <v/>
          </cell>
          <cell r="AY1194" t="str">
            <v/>
          </cell>
          <cell r="AZ1194" t="str">
            <v/>
          </cell>
          <cell r="BA1194" t="str">
            <v/>
          </cell>
          <cell r="BB1194" t="str">
            <v/>
          </cell>
          <cell r="BC1194" t="str">
            <v/>
          </cell>
          <cell r="BD1194" t="str">
            <v/>
          </cell>
          <cell r="BE1194" t="str">
            <v/>
          </cell>
          <cell r="BF1194" t="str">
            <v/>
          </cell>
          <cell r="BG1194">
            <v>0</v>
          </cell>
          <cell r="BH1194" t="str">
            <v/>
          </cell>
          <cell r="BI1194" t="str">
            <v/>
          </cell>
          <cell r="BJ1194" t="str">
            <v/>
          </cell>
          <cell r="BK1194" t="str">
            <v/>
          </cell>
          <cell r="BL1194" t="str">
            <v/>
          </cell>
          <cell r="BM1194">
            <v>12</v>
          </cell>
          <cell r="BN1194">
            <v>12</v>
          </cell>
          <cell r="BO1194">
            <v>0</v>
          </cell>
          <cell r="BP1194" t="str">
            <v/>
          </cell>
          <cell r="BQ1194" t="str">
            <v/>
          </cell>
          <cell r="BR1194" t="str">
            <v/>
          </cell>
          <cell r="BS1194" t="str">
            <v/>
          </cell>
          <cell r="BT1194" t="str">
            <v/>
          </cell>
          <cell r="BU1194">
            <v>12</v>
          </cell>
          <cell r="BV1194">
            <v>12</v>
          </cell>
          <cell r="BW1194">
            <v>0</v>
          </cell>
          <cell r="BX1194" t="str">
            <v>TIDAK</v>
          </cell>
          <cell r="BY1194" t="str">
            <v>TIDAK</v>
          </cell>
        </row>
        <row r="1195">
          <cell r="A1195" t="str">
            <v>A4518</v>
          </cell>
          <cell r="B1195" t="str">
            <v>NUR NUGROHO</v>
          </cell>
          <cell r="C1195" t="str">
            <v>TEMA C2</v>
          </cell>
          <cell r="D1195">
            <v>45628</v>
          </cell>
          <cell r="E1195" t="str">
            <v>Dec-24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 t="str">
            <v/>
          </cell>
          <cell r="AW1195" t="str">
            <v/>
          </cell>
          <cell r="AX1195" t="str">
            <v/>
          </cell>
          <cell r="AY1195" t="str">
            <v/>
          </cell>
          <cell r="AZ1195" t="str">
            <v/>
          </cell>
          <cell r="BA1195" t="str">
            <v/>
          </cell>
          <cell r="BB1195" t="str">
            <v/>
          </cell>
          <cell r="BC1195" t="str">
            <v/>
          </cell>
          <cell r="BD1195" t="str">
            <v/>
          </cell>
          <cell r="BE1195" t="str">
            <v/>
          </cell>
          <cell r="BF1195" t="str">
            <v/>
          </cell>
          <cell r="BG1195">
            <v>0</v>
          </cell>
          <cell r="BH1195" t="str">
            <v/>
          </cell>
          <cell r="BI1195" t="str">
            <v/>
          </cell>
          <cell r="BJ1195" t="str">
            <v/>
          </cell>
          <cell r="BK1195" t="str">
            <v/>
          </cell>
          <cell r="BL1195" t="str">
            <v/>
          </cell>
          <cell r="BM1195">
            <v>5</v>
          </cell>
          <cell r="BN1195">
            <v>5</v>
          </cell>
          <cell r="BO1195">
            <v>0</v>
          </cell>
          <cell r="BP1195" t="str">
            <v/>
          </cell>
          <cell r="BQ1195" t="str">
            <v/>
          </cell>
          <cell r="BR1195" t="str">
            <v/>
          </cell>
          <cell r="BS1195" t="str">
            <v/>
          </cell>
          <cell r="BT1195" t="str">
            <v/>
          </cell>
          <cell r="BU1195">
            <v>5</v>
          </cell>
          <cell r="BV1195">
            <v>5</v>
          </cell>
          <cell r="BW1195">
            <v>0</v>
          </cell>
          <cell r="BX1195" t="str">
            <v>TIDAK</v>
          </cell>
          <cell r="BY1195" t="str">
            <v>TIDAK</v>
          </cell>
        </row>
        <row r="1196">
          <cell r="A1196" t="str">
            <v>A4549</v>
          </cell>
          <cell r="B1196" t="str">
            <v>MARIA ANGGRIANI JEHAMU</v>
          </cell>
          <cell r="C1196" t="str">
            <v>TEMA C2</v>
          </cell>
          <cell r="D1196">
            <v>45635</v>
          </cell>
          <cell r="E1196" t="str">
            <v>Dec-24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 t="str">
            <v/>
          </cell>
          <cell r="AW1196" t="str">
            <v/>
          </cell>
          <cell r="AX1196" t="str">
            <v/>
          </cell>
          <cell r="AY1196" t="str">
            <v/>
          </cell>
          <cell r="AZ1196" t="str">
            <v/>
          </cell>
          <cell r="BA1196" t="str">
            <v/>
          </cell>
          <cell r="BB1196" t="str">
            <v/>
          </cell>
          <cell r="BC1196" t="str">
            <v/>
          </cell>
          <cell r="BD1196" t="str">
            <v/>
          </cell>
          <cell r="BE1196" t="str">
            <v/>
          </cell>
          <cell r="BF1196" t="str">
            <v/>
          </cell>
          <cell r="BG1196">
            <v>0</v>
          </cell>
          <cell r="BH1196" t="str">
            <v/>
          </cell>
          <cell r="BI1196" t="str">
            <v/>
          </cell>
          <cell r="BJ1196" t="str">
            <v/>
          </cell>
          <cell r="BK1196" t="str">
            <v/>
          </cell>
          <cell r="BL1196" t="str">
            <v/>
          </cell>
          <cell r="BM1196">
            <v>9</v>
          </cell>
          <cell r="BN1196">
            <v>9</v>
          </cell>
          <cell r="BO1196">
            <v>0</v>
          </cell>
          <cell r="BP1196" t="str">
            <v/>
          </cell>
          <cell r="BQ1196" t="str">
            <v/>
          </cell>
          <cell r="BR1196" t="str">
            <v/>
          </cell>
          <cell r="BS1196" t="str">
            <v/>
          </cell>
          <cell r="BT1196" t="str">
            <v/>
          </cell>
          <cell r="BU1196">
            <v>9</v>
          </cell>
          <cell r="BV1196">
            <v>9</v>
          </cell>
          <cell r="BW1196">
            <v>0</v>
          </cell>
          <cell r="BX1196" t="str">
            <v>TIDAK</v>
          </cell>
          <cell r="BY1196" t="str">
            <v>TIDAK</v>
          </cell>
        </row>
        <row r="1197">
          <cell r="A1197" t="str">
            <v>A4550</v>
          </cell>
          <cell r="B1197" t="str">
            <v>ANISCA ORCHIDYTA</v>
          </cell>
          <cell r="C1197" t="str">
            <v>TEMA C2</v>
          </cell>
          <cell r="D1197">
            <v>45635</v>
          </cell>
          <cell r="E1197" t="str">
            <v>Dec-24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 t="str">
            <v/>
          </cell>
          <cell r="AW1197" t="str">
            <v/>
          </cell>
          <cell r="AX1197" t="str">
            <v/>
          </cell>
          <cell r="AY1197" t="str">
            <v/>
          </cell>
          <cell r="AZ1197" t="str">
            <v/>
          </cell>
          <cell r="BA1197" t="str">
            <v/>
          </cell>
          <cell r="BB1197" t="str">
            <v/>
          </cell>
          <cell r="BC1197" t="str">
            <v/>
          </cell>
          <cell r="BD1197" t="str">
            <v/>
          </cell>
          <cell r="BE1197" t="str">
            <v/>
          </cell>
          <cell r="BF1197" t="str">
            <v/>
          </cell>
          <cell r="BG1197">
            <v>0</v>
          </cell>
          <cell r="BH1197" t="str">
            <v/>
          </cell>
          <cell r="BI1197" t="str">
            <v/>
          </cell>
          <cell r="BJ1197" t="str">
            <v/>
          </cell>
          <cell r="BK1197" t="str">
            <v/>
          </cell>
          <cell r="BL1197" t="str">
            <v/>
          </cell>
          <cell r="BM1197">
            <v>4</v>
          </cell>
          <cell r="BN1197">
            <v>4</v>
          </cell>
          <cell r="BO1197">
            <v>0</v>
          </cell>
          <cell r="BP1197" t="str">
            <v/>
          </cell>
          <cell r="BQ1197" t="str">
            <v/>
          </cell>
          <cell r="BR1197" t="str">
            <v/>
          </cell>
          <cell r="BS1197" t="str">
            <v/>
          </cell>
          <cell r="BT1197" t="str">
            <v/>
          </cell>
          <cell r="BU1197">
            <v>4</v>
          </cell>
          <cell r="BV1197">
            <v>4</v>
          </cell>
          <cell r="BW1197">
            <v>0</v>
          </cell>
          <cell r="BX1197" t="str">
            <v>TIDAK</v>
          </cell>
          <cell r="BY1197" t="str">
            <v>TIDAK</v>
          </cell>
        </row>
        <row r="1198">
          <cell r="A1198" t="str">
            <v>A4551</v>
          </cell>
          <cell r="B1198" t="str">
            <v>SHAVIRA NOVI SAFITRI</v>
          </cell>
          <cell r="C1198" t="str">
            <v>TEMA C2</v>
          </cell>
          <cell r="D1198">
            <v>45639</v>
          </cell>
          <cell r="E1198" t="str">
            <v>Dec-24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 t="str">
            <v/>
          </cell>
          <cell r="AW1198" t="str">
            <v/>
          </cell>
          <cell r="AX1198" t="str">
            <v/>
          </cell>
          <cell r="AY1198" t="str">
            <v/>
          </cell>
          <cell r="AZ1198" t="str">
            <v/>
          </cell>
          <cell r="BA1198" t="str">
            <v/>
          </cell>
          <cell r="BB1198" t="str">
            <v/>
          </cell>
          <cell r="BC1198" t="str">
            <v/>
          </cell>
          <cell r="BD1198" t="str">
            <v/>
          </cell>
          <cell r="BE1198" t="str">
            <v/>
          </cell>
          <cell r="BF1198" t="str">
            <v/>
          </cell>
          <cell r="BG1198">
            <v>0</v>
          </cell>
          <cell r="BH1198" t="str">
            <v/>
          </cell>
          <cell r="BI1198" t="str">
            <v/>
          </cell>
          <cell r="BJ1198" t="str">
            <v/>
          </cell>
          <cell r="BK1198" t="str">
            <v/>
          </cell>
          <cell r="BL1198" t="str">
            <v/>
          </cell>
          <cell r="BM1198">
            <v>2</v>
          </cell>
          <cell r="BN1198">
            <v>2</v>
          </cell>
          <cell r="BO1198">
            <v>0</v>
          </cell>
          <cell r="BP1198" t="str">
            <v/>
          </cell>
          <cell r="BQ1198" t="str">
            <v/>
          </cell>
          <cell r="BR1198" t="str">
            <v/>
          </cell>
          <cell r="BS1198" t="str">
            <v/>
          </cell>
          <cell r="BT1198" t="str">
            <v/>
          </cell>
          <cell r="BU1198">
            <v>2</v>
          </cell>
          <cell r="BV1198">
            <v>2</v>
          </cell>
          <cell r="BW1198">
            <v>0</v>
          </cell>
          <cell r="BX1198" t="str">
            <v>TIDAK</v>
          </cell>
          <cell r="BY1198" t="str">
            <v>TIDAK</v>
          </cell>
        </row>
        <row r="1199">
          <cell r="A1199" t="str">
            <v>A4552</v>
          </cell>
          <cell r="B1199" t="str">
            <v>FANIA NURANISA</v>
          </cell>
          <cell r="C1199" t="str">
            <v>TEMA C2</v>
          </cell>
          <cell r="D1199">
            <v>45635</v>
          </cell>
          <cell r="E1199" t="str">
            <v>Dec-24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 t="str">
            <v/>
          </cell>
          <cell r="AW1199" t="str">
            <v/>
          </cell>
          <cell r="AX1199" t="str">
            <v/>
          </cell>
          <cell r="AY1199" t="str">
            <v/>
          </cell>
          <cell r="AZ1199" t="str">
            <v/>
          </cell>
          <cell r="BA1199" t="str">
            <v/>
          </cell>
          <cell r="BB1199" t="str">
            <v/>
          </cell>
          <cell r="BC1199" t="str">
            <v/>
          </cell>
          <cell r="BD1199" t="str">
            <v/>
          </cell>
          <cell r="BE1199" t="str">
            <v/>
          </cell>
          <cell r="BF1199" t="str">
            <v/>
          </cell>
          <cell r="BG1199">
            <v>0</v>
          </cell>
          <cell r="BH1199" t="str">
            <v/>
          </cell>
          <cell r="BI1199" t="str">
            <v/>
          </cell>
          <cell r="BJ1199" t="str">
            <v/>
          </cell>
          <cell r="BK1199" t="str">
            <v/>
          </cell>
          <cell r="BL1199" t="str">
            <v/>
          </cell>
          <cell r="BM1199">
            <v>8</v>
          </cell>
          <cell r="BN1199">
            <v>8</v>
          </cell>
          <cell r="BO1199">
            <v>0</v>
          </cell>
          <cell r="BP1199" t="str">
            <v/>
          </cell>
          <cell r="BQ1199" t="str">
            <v/>
          </cell>
          <cell r="BR1199" t="str">
            <v/>
          </cell>
          <cell r="BS1199" t="str">
            <v/>
          </cell>
          <cell r="BT1199" t="str">
            <v/>
          </cell>
          <cell r="BU1199">
            <v>8</v>
          </cell>
          <cell r="BV1199">
            <v>8</v>
          </cell>
          <cell r="BW1199">
            <v>0</v>
          </cell>
          <cell r="BX1199" t="str">
            <v>TIDAK</v>
          </cell>
          <cell r="BY1199" t="str">
            <v>TIDAK</v>
          </cell>
        </row>
        <row r="1200">
          <cell r="A1200" t="str">
            <v>A4553</v>
          </cell>
          <cell r="B1200" t="str">
            <v>COSMETH ALBERTHO</v>
          </cell>
          <cell r="C1200" t="str">
            <v>TEMA C2</v>
          </cell>
          <cell r="D1200">
            <v>45635</v>
          </cell>
          <cell r="E1200" t="str">
            <v>Dec-24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 t="str">
            <v/>
          </cell>
          <cell r="AW1200" t="str">
            <v/>
          </cell>
          <cell r="AX1200" t="str">
            <v/>
          </cell>
          <cell r="AY1200" t="str">
            <v/>
          </cell>
          <cell r="AZ1200" t="str">
            <v/>
          </cell>
          <cell r="BA1200" t="str">
            <v/>
          </cell>
          <cell r="BB1200" t="str">
            <v/>
          </cell>
          <cell r="BC1200" t="str">
            <v/>
          </cell>
          <cell r="BD1200" t="str">
            <v/>
          </cell>
          <cell r="BE1200" t="str">
            <v/>
          </cell>
          <cell r="BF1200" t="str">
            <v/>
          </cell>
          <cell r="BG1200">
            <v>0</v>
          </cell>
          <cell r="BH1200" t="str">
            <v/>
          </cell>
          <cell r="BI1200" t="str">
            <v/>
          </cell>
          <cell r="BJ1200" t="str">
            <v/>
          </cell>
          <cell r="BK1200" t="str">
            <v/>
          </cell>
          <cell r="BL1200" t="str">
            <v/>
          </cell>
          <cell r="BM1200">
            <v>1</v>
          </cell>
          <cell r="BN1200">
            <v>1</v>
          </cell>
          <cell r="BO1200">
            <v>0</v>
          </cell>
          <cell r="BP1200" t="str">
            <v/>
          </cell>
          <cell r="BQ1200" t="str">
            <v/>
          </cell>
          <cell r="BR1200" t="str">
            <v/>
          </cell>
          <cell r="BS1200" t="str">
            <v/>
          </cell>
          <cell r="BT1200" t="str">
            <v/>
          </cell>
          <cell r="BU1200">
            <v>1</v>
          </cell>
          <cell r="BV1200">
            <v>1</v>
          </cell>
          <cell r="BW1200">
            <v>0</v>
          </cell>
          <cell r="BX1200" t="str">
            <v>TIDAK</v>
          </cell>
          <cell r="BY1200" t="str">
            <v>TIDAK</v>
          </cell>
        </row>
        <row r="1201">
          <cell r="A1201" t="str">
            <v>A4554</v>
          </cell>
          <cell r="B1201" t="str">
            <v>JILAN PUTRI RATU SASONGKO</v>
          </cell>
          <cell r="C1201" t="str">
            <v>TEMA C2</v>
          </cell>
          <cell r="D1201">
            <v>45635</v>
          </cell>
          <cell r="E1201" t="str">
            <v>Dec-24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0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 t="str">
            <v/>
          </cell>
          <cell r="AW1201" t="str">
            <v/>
          </cell>
          <cell r="AX1201" t="str">
            <v/>
          </cell>
          <cell r="AY1201" t="str">
            <v/>
          </cell>
          <cell r="AZ1201" t="str">
            <v/>
          </cell>
          <cell r="BA1201" t="str">
            <v/>
          </cell>
          <cell r="BB1201" t="str">
            <v/>
          </cell>
          <cell r="BC1201" t="str">
            <v/>
          </cell>
          <cell r="BD1201" t="str">
            <v/>
          </cell>
          <cell r="BE1201" t="str">
            <v/>
          </cell>
          <cell r="BF1201" t="str">
            <v/>
          </cell>
          <cell r="BG1201">
            <v>0</v>
          </cell>
          <cell r="BH1201" t="str">
            <v/>
          </cell>
          <cell r="BI1201" t="str">
            <v/>
          </cell>
          <cell r="BJ1201" t="str">
            <v/>
          </cell>
          <cell r="BK1201" t="str">
            <v/>
          </cell>
          <cell r="BL1201" t="str">
            <v/>
          </cell>
          <cell r="BM1201">
            <v>6</v>
          </cell>
          <cell r="BN1201">
            <v>6</v>
          </cell>
          <cell r="BO1201">
            <v>0</v>
          </cell>
          <cell r="BP1201" t="str">
            <v/>
          </cell>
          <cell r="BQ1201" t="str">
            <v/>
          </cell>
          <cell r="BR1201" t="str">
            <v/>
          </cell>
          <cell r="BS1201" t="str">
            <v/>
          </cell>
          <cell r="BT1201" t="str">
            <v/>
          </cell>
          <cell r="BU1201">
            <v>6</v>
          </cell>
          <cell r="BV1201">
            <v>6</v>
          </cell>
          <cell r="BW1201">
            <v>0</v>
          </cell>
          <cell r="BX1201" t="str">
            <v>TIDAK</v>
          </cell>
          <cell r="BY1201" t="str">
            <v>TIDAK</v>
          </cell>
        </row>
        <row r="1202">
          <cell r="A1202" t="str">
            <v>A4555</v>
          </cell>
          <cell r="B1202" t="str">
            <v>RICO ARDYA KUSUMA</v>
          </cell>
          <cell r="C1202" t="str">
            <v>TEMA C2</v>
          </cell>
          <cell r="D1202">
            <v>45637</v>
          </cell>
          <cell r="E1202" t="str">
            <v>Dec-24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0</v>
          </cell>
          <cell r="AK1202">
            <v>0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 t="str">
            <v/>
          </cell>
          <cell r="AW1202" t="str">
            <v/>
          </cell>
          <cell r="AX1202" t="str">
            <v/>
          </cell>
          <cell r="AY1202" t="str">
            <v/>
          </cell>
          <cell r="AZ1202" t="str">
            <v/>
          </cell>
          <cell r="BA1202" t="str">
            <v/>
          </cell>
          <cell r="BB1202" t="str">
            <v/>
          </cell>
          <cell r="BC1202" t="str">
            <v/>
          </cell>
          <cell r="BD1202" t="str">
            <v/>
          </cell>
          <cell r="BE1202" t="str">
            <v/>
          </cell>
          <cell r="BF1202" t="str">
            <v/>
          </cell>
          <cell r="BG1202">
            <v>0</v>
          </cell>
          <cell r="BH1202" t="str">
            <v/>
          </cell>
          <cell r="BI1202" t="str">
            <v/>
          </cell>
          <cell r="BJ1202" t="str">
            <v/>
          </cell>
          <cell r="BK1202" t="str">
            <v/>
          </cell>
          <cell r="BL1202" t="str">
            <v/>
          </cell>
          <cell r="BM1202">
            <v>4</v>
          </cell>
          <cell r="BN1202">
            <v>4</v>
          </cell>
          <cell r="BO1202">
            <v>0</v>
          </cell>
          <cell r="BP1202" t="str">
            <v/>
          </cell>
          <cell r="BQ1202" t="str">
            <v/>
          </cell>
          <cell r="BR1202" t="str">
            <v/>
          </cell>
          <cell r="BS1202" t="str">
            <v/>
          </cell>
          <cell r="BT1202" t="str">
            <v/>
          </cell>
          <cell r="BU1202">
            <v>4</v>
          </cell>
          <cell r="BV1202">
            <v>4</v>
          </cell>
          <cell r="BW1202">
            <v>0</v>
          </cell>
          <cell r="BX1202" t="str">
            <v>TIDAK</v>
          </cell>
          <cell r="BY1202" t="str">
            <v>TIDAK</v>
          </cell>
        </row>
        <row r="1203">
          <cell r="A1203" t="str">
            <v>A3927</v>
          </cell>
          <cell r="B1203" t="str">
            <v>Aris Hermawan</v>
          </cell>
          <cell r="C1203" t="str">
            <v>TEMA C2</v>
          </cell>
          <cell r="D1203">
            <v>45371</v>
          </cell>
          <cell r="E1203" t="str">
            <v>Mar-24</v>
          </cell>
          <cell r="F1203" t="str">
            <v>-</v>
          </cell>
          <cell r="G1203" t="str">
            <v>-</v>
          </cell>
          <cell r="H1203" t="str">
            <v>-</v>
          </cell>
          <cell r="I1203" t="str">
            <v>REGULER</v>
          </cell>
          <cell r="J1203" t="str">
            <v>REGULER</v>
          </cell>
          <cell r="K1203" t="str">
            <v>REGULER</v>
          </cell>
          <cell r="L1203" t="str">
            <v>-</v>
          </cell>
          <cell r="M1203">
            <v>0</v>
          </cell>
          <cell r="N1203">
            <v>0</v>
          </cell>
          <cell r="O1203">
            <v>0</v>
          </cell>
          <cell r="P1203">
            <v>7</v>
          </cell>
          <cell r="Q1203">
            <v>13</v>
          </cell>
          <cell r="R1203">
            <v>14</v>
          </cell>
          <cell r="S1203">
            <v>0</v>
          </cell>
          <cell r="T1203">
            <v>34</v>
          </cell>
          <cell r="U1203">
            <v>0</v>
          </cell>
          <cell r="V1203">
            <v>0</v>
          </cell>
          <cell r="W1203">
            <v>0</v>
          </cell>
          <cell r="X1203">
            <v>7</v>
          </cell>
          <cell r="Y1203">
            <v>13</v>
          </cell>
          <cell r="Z1203">
            <v>14</v>
          </cell>
          <cell r="AA1203">
            <v>0</v>
          </cell>
          <cell r="AB1203">
            <v>34</v>
          </cell>
          <cell r="AC1203">
            <v>1</v>
          </cell>
          <cell r="AD1203" t="str">
            <v>TIDAK</v>
          </cell>
          <cell r="AE1203" t="str">
            <v>TIDAK</v>
          </cell>
          <cell r="AF1203">
            <v>34</v>
          </cell>
          <cell r="AG1203">
            <v>1</v>
          </cell>
          <cell r="AH1203" t="str">
            <v>SAPHIRE</v>
          </cell>
          <cell r="AI1203">
            <v>0</v>
          </cell>
          <cell r="AJ1203" t="str">
            <v>FALSE</v>
          </cell>
          <cell r="AK1203">
            <v>0</v>
          </cell>
          <cell r="AL1203">
            <v>45261</v>
          </cell>
          <cell r="AM1203">
            <v>45701</v>
          </cell>
          <cell r="AN1203">
            <v>1</v>
          </cell>
          <cell r="AO1203">
            <v>34</v>
          </cell>
          <cell r="AP1203" t="str">
            <v>-</v>
          </cell>
          <cell r="AQ1203" t="str">
            <v>-</v>
          </cell>
          <cell r="AR1203" t="str">
            <v>-</v>
          </cell>
          <cell r="AS1203" t="str">
            <v>-</v>
          </cell>
          <cell r="AT1203" t="str">
            <v>-</v>
          </cell>
          <cell r="AU1203" t="str">
            <v>-</v>
          </cell>
          <cell r="AV1203" t="str">
            <v/>
          </cell>
          <cell r="AW1203">
            <v>0</v>
          </cell>
          <cell r="AX1203">
            <v>0</v>
          </cell>
          <cell r="AY1203">
            <v>0</v>
          </cell>
          <cell r="AZ1203">
            <v>7</v>
          </cell>
          <cell r="BA1203">
            <v>19</v>
          </cell>
          <cell r="BB1203">
            <v>0</v>
          </cell>
          <cell r="BC1203">
            <v>0</v>
          </cell>
          <cell r="BD1203">
            <v>0</v>
          </cell>
          <cell r="BE1203">
            <v>7</v>
          </cell>
          <cell r="BF1203">
            <v>19</v>
          </cell>
          <cell r="BG1203" t="str">
            <v/>
          </cell>
          <cell r="BH1203">
            <v>0</v>
          </cell>
          <cell r="BI1203">
            <v>0</v>
          </cell>
          <cell r="BJ1203">
            <v>0</v>
          </cell>
          <cell r="BK1203">
            <v>7</v>
          </cell>
          <cell r="BL1203">
            <v>19</v>
          </cell>
          <cell r="BM1203">
            <v>8</v>
          </cell>
          <cell r="BN1203">
            <v>34</v>
          </cell>
          <cell r="BO1203" t="str">
            <v/>
          </cell>
          <cell r="BP1203">
            <v>0</v>
          </cell>
          <cell r="BQ1203">
            <v>0</v>
          </cell>
          <cell r="BR1203">
            <v>0</v>
          </cell>
          <cell r="BS1203">
            <v>7</v>
          </cell>
          <cell r="BT1203">
            <v>19</v>
          </cell>
          <cell r="BU1203">
            <v>8</v>
          </cell>
          <cell r="BV1203">
            <v>34</v>
          </cell>
          <cell r="BW1203">
            <v>4</v>
          </cell>
          <cell r="BX1203" t="str">
            <v>DOWNGRADE</v>
          </cell>
          <cell r="BY1203" t="str">
            <v>RESET</v>
          </cell>
        </row>
        <row r="1204">
          <cell r="A1204" t="str">
            <v>A0786</v>
          </cell>
          <cell r="B1204" t="str">
            <v>Arya Ardiansah Davit Saputra</v>
          </cell>
          <cell r="C1204" t="str">
            <v>TEMA C2</v>
          </cell>
          <cell r="D1204">
            <v>44881</v>
          </cell>
          <cell r="E1204" t="str">
            <v>Nov-22</v>
          </cell>
          <cell r="F1204" t="str">
            <v>REGULER</v>
          </cell>
          <cell r="G1204" t="str">
            <v>EKSKLUSIF</v>
          </cell>
          <cell r="H1204" t="str">
            <v>EKSKLUSIF</v>
          </cell>
          <cell r="I1204" t="str">
            <v>EKSKLUSIF</v>
          </cell>
          <cell r="J1204" t="str">
            <v>EKSKLUSIF</v>
          </cell>
          <cell r="K1204" t="str">
            <v>EKSKLUSIF</v>
          </cell>
          <cell r="L1204" t="str">
            <v>EKSKLUSIF</v>
          </cell>
          <cell r="M1204">
            <v>18</v>
          </cell>
          <cell r="N1204">
            <v>44</v>
          </cell>
          <cell r="O1204">
            <v>38</v>
          </cell>
          <cell r="P1204">
            <v>34</v>
          </cell>
          <cell r="Q1204">
            <v>30</v>
          </cell>
          <cell r="R1204">
            <v>40</v>
          </cell>
          <cell r="S1204">
            <v>20</v>
          </cell>
          <cell r="T1204">
            <v>224</v>
          </cell>
          <cell r="U1204">
            <v>18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18</v>
          </cell>
          <cell r="AC1204">
            <v>0</v>
          </cell>
          <cell r="AD1204" t="str">
            <v>TIDAK</v>
          </cell>
          <cell r="AE1204" t="str">
            <v>TIDAK</v>
          </cell>
          <cell r="AF1204">
            <v>18</v>
          </cell>
          <cell r="AG1204">
            <v>1</v>
          </cell>
          <cell r="AH1204" t="str">
            <v>SAPHIRE</v>
          </cell>
          <cell r="AI1204">
            <v>0</v>
          </cell>
          <cell r="AJ1204" t="str">
            <v>FALSE</v>
          </cell>
          <cell r="AK1204">
            <v>0</v>
          </cell>
          <cell r="AL1204">
            <v>45261</v>
          </cell>
          <cell r="AM1204">
            <v>45701</v>
          </cell>
          <cell r="AN1204">
            <v>1</v>
          </cell>
          <cell r="AO1204">
            <v>18</v>
          </cell>
          <cell r="AP1204" t="str">
            <v>EKSKLUSIF</v>
          </cell>
          <cell r="AQ1204" t="str">
            <v>-</v>
          </cell>
          <cell r="AR1204" t="str">
            <v>-</v>
          </cell>
          <cell r="AS1204" t="str">
            <v>REGULER</v>
          </cell>
          <cell r="AT1204" t="str">
            <v>REGULER</v>
          </cell>
          <cell r="AU1204" t="str">
            <v>EKSKLUSIF</v>
          </cell>
          <cell r="AV1204" t="str">
            <v/>
          </cell>
          <cell r="AW1204">
            <v>0</v>
          </cell>
          <cell r="AX1204">
            <v>0</v>
          </cell>
          <cell r="AY1204">
            <v>44</v>
          </cell>
          <cell r="AZ1204">
            <v>47</v>
          </cell>
          <cell r="BA1204">
            <v>45</v>
          </cell>
          <cell r="BB1204">
            <v>25</v>
          </cell>
          <cell r="BC1204">
            <v>20</v>
          </cell>
          <cell r="BD1204">
            <v>44</v>
          </cell>
          <cell r="BE1204">
            <v>47</v>
          </cell>
          <cell r="BF1204">
            <v>45</v>
          </cell>
          <cell r="BG1204">
            <v>14</v>
          </cell>
          <cell r="BH1204">
            <v>25</v>
          </cell>
          <cell r="BI1204">
            <v>20</v>
          </cell>
          <cell r="BJ1204">
            <v>44</v>
          </cell>
          <cell r="BK1204">
            <v>47</v>
          </cell>
          <cell r="BL1204">
            <v>45</v>
          </cell>
          <cell r="BM1204">
            <v>21</v>
          </cell>
          <cell r="BN1204">
            <v>216</v>
          </cell>
          <cell r="BO1204">
            <v>0</v>
          </cell>
          <cell r="BP1204">
            <v>25</v>
          </cell>
          <cell r="BQ1204">
            <v>20</v>
          </cell>
          <cell r="BR1204">
            <v>44</v>
          </cell>
          <cell r="BS1204">
            <v>47</v>
          </cell>
          <cell r="BT1204">
            <v>0</v>
          </cell>
          <cell r="BU1204">
            <v>21</v>
          </cell>
          <cell r="BV1204">
            <v>157</v>
          </cell>
          <cell r="BW1204">
            <v>0</v>
          </cell>
          <cell r="BX1204" t="str">
            <v>TIDAK</v>
          </cell>
          <cell r="BY1204" t="str">
            <v>TIDAK</v>
          </cell>
        </row>
        <row r="1205">
          <cell r="A1205" t="str">
            <v>A1638</v>
          </cell>
          <cell r="B1205" t="str">
            <v>Erni Dwi Widyanti</v>
          </cell>
          <cell r="C1205" t="str">
            <v>TEMA C2</v>
          </cell>
          <cell r="D1205">
            <v>44998</v>
          </cell>
          <cell r="E1205" t="str">
            <v>Mar-23</v>
          </cell>
          <cell r="F1205" t="str">
            <v>EKSKLUSIF</v>
          </cell>
          <cell r="G1205" t="str">
            <v>EKSKLUSIF</v>
          </cell>
          <cell r="H1205" t="str">
            <v>EKSKLUSIF</v>
          </cell>
          <cell r="I1205" t="str">
            <v>EKSKLUSIF</v>
          </cell>
          <cell r="J1205" t="str">
            <v>EKSKLUSIF</v>
          </cell>
          <cell r="K1205" t="str">
            <v>EKSKLUSIF</v>
          </cell>
          <cell r="L1205" t="str">
            <v>EKSKLUSIF</v>
          </cell>
          <cell r="M1205">
            <v>18</v>
          </cell>
          <cell r="N1205">
            <v>42</v>
          </cell>
          <cell r="O1205">
            <v>37</v>
          </cell>
          <cell r="P1205">
            <v>37</v>
          </cell>
          <cell r="Q1205">
            <v>30</v>
          </cell>
          <cell r="R1205">
            <v>40</v>
          </cell>
          <cell r="S1205">
            <v>1132</v>
          </cell>
          <cell r="T1205">
            <v>1336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 t="str">
            <v>TIDAK</v>
          </cell>
          <cell r="AE1205" t="str">
            <v>TIDAK</v>
          </cell>
          <cell r="AF1205">
            <v>0</v>
          </cell>
          <cell r="AG1205">
            <v>1</v>
          </cell>
          <cell r="AH1205" t="str">
            <v>SAPHIRE</v>
          </cell>
          <cell r="AI1205">
            <v>0</v>
          </cell>
          <cell r="AJ1205" t="str">
            <v>FALSE</v>
          </cell>
          <cell r="AK1205">
            <v>0</v>
          </cell>
          <cell r="AL1205">
            <v>45261</v>
          </cell>
          <cell r="AM1205">
            <v>45701</v>
          </cell>
          <cell r="AN1205">
            <v>1</v>
          </cell>
          <cell r="AO1205">
            <v>0</v>
          </cell>
          <cell r="AP1205" t="str">
            <v>EKSKLUSIF</v>
          </cell>
          <cell r="AQ1205" t="str">
            <v>-</v>
          </cell>
          <cell r="AR1205" t="str">
            <v>EKSKLUSIF</v>
          </cell>
          <cell r="AS1205" t="str">
            <v>EKSKLUSIF</v>
          </cell>
          <cell r="AT1205" t="str">
            <v>REGULER</v>
          </cell>
          <cell r="AU1205" t="str">
            <v>-</v>
          </cell>
          <cell r="AV1205" t="str">
            <v/>
          </cell>
          <cell r="AW1205">
            <v>0</v>
          </cell>
          <cell r="AX1205">
            <v>0</v>
          </cell>
          <cell r="AY1205">
            <v>0</v>
          </cell>
          <cell r="AZ1205">
            <v>17</v>
          </cell>
          <cell r="BA1205">
            <v>45</v>
          </cell>
          <cell r="BB1205">
            <v>40</v>
          </cell>
          <cell r="BC1205">
            <v>46</v>
          </cell>
          <cell r="BD1205">
            <v>39</v>
          </cell>
          <cell r="BE1205">
            <v>17</v>
          </cell>
          <cell r="BF1205">
            <v>45</v>
          </cell>
          <cell r="BG1205">
            <v>18</v>
          </cell>
          <cell r="BH1205">
            <v>40</v>
          </cell>
          <cell r="BI1205">
            <v>46</v>
          </cell>
          <cell r="BJ1205">
            <v>39</v>
          </cell>
          <cell r="BK1205">
            <v>17</v>
          </cell>
          <cell r="BL1205">
            <v>45</v>
          </cell>
          <cell r="BM1205">
            <v>22</v>
          </cell>
          <cell r="BN1205">
            <v>227</v>
          </cell>
          <cell r="BO1205">
            <v>0</v>
          </cell>
          <cell r="BP1205">
            <v>40</v>
          </cell>
          <cell r="BQ1205">
            <v>0</v>
          </cell>
          <cell r="BR1205">
            <v>0</v>
          </cell>
          <cell r="BS1205">
            <v>17</v>
          </cell>
          <cell r="BT1205">
            <v>45</v>
          </cell>
          <cell r="BU1205">
            <v>22</v>
          </cell>
          <cell r="BV1205">
            <v>124</v>
          </cell>
          <cell r="BW1205">
            <v>0</v>
          </cell>
          <cell r="BX1205" t="str">
            <v>TIDAK</v>
          </cell>
          <cell r="BY1205" t="str">
            <v>TIDAK</v>
          </cell>
        </row>
        <row r="1206">
          <cell r="A1206" t="str">
            <v>A3996</v>
          </cell>
          <cell r="B1206" t="str">
            <v>Joanica Intan Cahyandari</v>
          </cell>
          <cell r="C1206" t="str">
            <v>TEMA C2</v>
          </cell>
          <cell r="D1206">
            <v>45398</v>
          </cell>
          <cell r="E1206" t="str">
            <v>Apr-24</v>
          </cell>
          <cell r="F1206" t="str">
            <v>-</v>
          </cell>
          <cell r="G1206" t="str">
            <v>-</v>
          </cell>
          <cell r="H1206" t="str">
            <v>-</v>
          </cell>
          <cell r="I1206" t="str">
            <v>-</v>
          </cell>
          <cell r="J1206" t="str">
            <v>REGULER</v>
          </cell>
          <cell r="K1206" t="str">
            <v>REGULER</v>
          </cell>
          <cell r="L1206" t="str">
            <v>EKSKLUSIF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19</v>
          </cell>
          <cell r="R1206">
            <v>40</v>
          </cell>
          <cell r="S1206">
            <v>1192</v>
          </cell>
          <cell r="T1206">
            <v>1251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19</v>
          </cell>
          <cell r="Z1206">
            <v>40</v>
          </cell>
          <cell r="AA1206">
            <v>0</v>
          </cell>
          <cell r="AB1206">
            <v>59</v>
          </cell>
          <cell r="AC1206">
            <v>0</v>
          </cell>
          <cell r="AD1206" t="str">
            <v>TIDAK</v>
          </cell>
          <cell r="AE1206" t="str">
            <v>TIDAK</v>
          </cell>
          <cell r="AF1206">
            <v>59</v>
          </cell>
          <cell r="AG1206">
            <v>1</v>
          </cell>
          <cell r="AH1206" t="str">
            <v>SAPHIRE</v>
          </cell>
          <cell r="AI1206">
            <v>0</v>
          </cell>
          <cell r="AJ1206" t="str">
            <v>FALSE</v>
          </cell>
          <cell r="AK1206">
            <v>0</v>
          </cell>
          <cell r="AL1206">
            <v>45261</v>
          </cell>
          <cell r="AM1206">
            <v>45701</v>
          </cell>
          <cell r="AN1206">
            <v>1</v>
          </cell>
          <cell r="AO1206">
            <v>59</v>
          </cell>
          <cell r="AP1206" t="str">
            <v>EKSKLUSIF</v>
          </cell>
          <cell r="AQ1206" t="str">
            <v>-</v>
          </cell>
          <cell r="AR1206" t="str">
            <v>EKSKLUSIF</v>
          </cell>
          <cell r="AS1206" t="str">
            <v>REGULER</v>
          </cell>
          <cell r="AT1206" t="str">
            <v>REGULER</v>
          </cell>
          <cell r="AU1206" t="str">
            <v>-</v>
          </cell>
          <cell r="AV1206" t="str">
            <v/>
          </cell>
          <cell r="AW1206">
            <v>0</v>
          </cell>
          <cell r="AX1206">
            <v>0</v>
          </cell>
          <cell r="AY1206">
            <v>0</v>
          </cell>
          <cell r="AZ1206">
            <v>19</v>
          </cell>
          <cell r="BA1206">
            <v>41</v>
          </cell>
          <cell r="BB1206">
            <v>42</v>
          </cell>
          <cell r="BC1206">
            <v>46</v>
          </cell>
          <cell r="BD1206">
            <v>42</v>
          </cell>
          <cell r="BE1206">
            <v>19</v>
          </cell>
          <cell r="BF1206">
            <v>41</v>
          </cell>
          <cell r="BG1206">
            <v>17</v>
          </cell>
          <cell r="BH1206">
            <v>42</v>
          </cell>
          <cell r="BI1206">
            <v>46</v>
          </cell>
          <cell r="BJ1206">
            <v>42</v>
          </cell>
          <cell r="BK1206">
            <v>19</v>
          </cell>
          <cell r="BL1206">
            <v>41</v>
          </cell>
          <cell r="BM1206">
            <v>21</v>
          </cell>
          <cell r="BN1206">
            <v>228</v>
          </cell>
          <cell r="BO1206">
            <v>0</v>
          </cell>
          <cell r="BP1206">
            <v>42</v>
          </cell>
          <cell r="BQ1206">
            <v>0</v>
          </cell>
          <cell r="BR1206">
            <v>42</v>
          </cell>
          <cell r="BS1206">
            <v>19</v>
          </cell>
          <cell r="BT1206">
            <v>41</v>
          </cell>
          <cell r="BU1206">
            <v>21</v>
          </cell>
          <cell r="BV1206">
            <v>165</v>
          </cell>
          <cell r="BW1206">
            <v>0</v>
          </cell>
          <cell r="BX1206" t="str">
            <v>TIDAK</v>
          </cell>
          <cell r="BY1206" t="str">
            <v>TIDAK</v>
          </cell>
        </row>
        <row r="1207">
          <cell r="A1207" t="str">
            <v>A0560</v>
          </cell>
          <cell r="B1207" t="str">
            <v>Mathilda Eunike Andrea</v>
          </cell>
          <cell r="C1207" t="str">
            <v>TEMA C2</v>
          </cell>
          <cell r="D1207">
            <v>44935</v>
          </cell>
          <cell r="E1207" t="str">
            <v>Jan-23</v>
          </cell>
          <cell r="F1207" t="str">
            <v>-</v>
          </cell>
          <cell r="G1207" t="str">
            <v>-</v>
          </cell>
          <cell r="H1207" t="str">
            <v>-</v>
          </cell>
          <cell r="I1207" t="str">
            <v>REGULER</v>
          </cell>
          <cell r="J1207" t="str">
            <v>EKSKLUSIF</v>
          </cell>
          <cell r="K1207" t="str">
            <v>EKSKLUSIF</v>
          </cell>
          <cell r="L1207" t="str">
            <v>EKSKLUSIF</v>
          </cell>
          <cell r="M1207">
            <v>0</v>
          </cell>
          <cell r="N1207">
            <v>0</v>
          </cell>
          <cell r="O1207">
            <v>0</v>
          </cell>
          <cell r="P1207">
            <v>29</v>
          </cell>
          <cell r="Q1207">
            <v>32</v>
          </cell>
          <cell r="R1207">
            <v>38</v>
          </cell>
          <cell r="S1207">
            <v>13</v>
          </cell>
          <cell r="T1207">
            <v>112</v>
          </cell>
          <cell r="U1207">
            <v>0</v>
          </cell>
          <cell r="V1207">
            <v>0</v>
          </cell>
          <cell r="W1207">
            <v>0</v>
          </cell>
          <cell r="X1207">
            <v>29</v>
          </cell>
          <cell r="Y1207">
            <v>0</v>
          </cell>
          <cell r="Z1207">
            <v>0</v>
          </cell>
          <cell r="AA1207">
            <v>0</v>
          </cell>
          <cell r="AB1207">
            <v>29</v>
          </cell>
          <cell r="AC1207">
            <v>3</v>
          </cell>
          <cell r="AD1207" t="str">
            <v>DOWNGRADE</v>
          </cell>
          <cell r="AE1207" t="str">
            <v>RESET</v>
          </cell>
          <cell r="AF1207">
            <v>0</v>
          </cell>
          <cell r="AG1207">
            <v>2</v>
          </cell>
          <cell r="AH1207" t="str">
            <v>SAPHIRE</v>
          </cell>
          <cell r="AI1207">
            <v>0</v>
          </cell>
          <cell r="AJ1207" t="str">
            <v>FALSE</v>
          </cell>
          <cell r="AK1207">
            <v>0</v>
          </cell>
          <cell r="AL1207">
            <v>45261</v>
          </cell>
          <cell r="AM1207">
            <v>45701</v>
          </cell>
          <cell r="AN1207">
            <v>1</v>
          </cell>
          <cell r="AO1207">
            <v>0</v>
          </cell>
          <cell r="AP1207" t="str">
            <v>EKSKLUSIF</v>
          </cell>
          <cell r="AQ1207" t="str">
            <v>-</v>
          </cell>
          <cell r="AR1207" t="str">
            <v>-</v>
          </cell>
          <cell r="AS1207" t="str">
            <v>-</v>
          </cell>
          <cell r="AT1207" t="str">
            <v>-</v>
          </cell>
          <cell r="AU1207" t="str">
            <v>-</v>
          </cell>
          <cell r="AV1207" t="str">
            <v/>
          </cell>
          <cell r="AW1207">
            <v>0</v>
          </cell>
          <cell r="AX1207">
            <v>32</v>
          </cell>
          <cell r="AY1207">
            <v>30</v>
          </cell>
          <cell r="AZ1207">
            <v>44</v>
          </cell>
          <cell r="BA1207">
            <v>37</v>
          </cell>
          <cell r="BB1207">
            <v>0</v>
          </cell>
          <cell r="BC1207">
            <v>32</v>
          </cell>
          <cell r="BD1207">
            <v>30</v>
          </cell>
          <cell r="BE1207">
            <v>44</v>
          </cell>
          <cell r="BF1207">
            <v>37</v>
          </cell>
          <cell r="BG1207">
            <v>15</v>
          </cell>
          <cell r="BH1207">
            <v>0</v>
          </cell>
          <cell r="BI1207">
            <v>32</v>
          </cell>
          <cell r="BJ1207">
            <v>30</v>
          </cell>
          <cell r="BK1207">
            <v>44</v>
          </cell>
          <cell r="BL1207">
            <v>37</v>
          </cell>
          <cell r="BM1207">
            <v>14</v>
          </cell>
          <cell r="BN1207">
            <v>172</v>
          </cell>
          <cell r="BO1207">
            <v>0</v>
          </cell>
          <cell r="BP1207">
            <v>0</v>
          </cell>
          <cell r="BQ1207">
            <v>32</v>
          </cell>
          <cell r="BR1207">
            <v>30</v>
          </cell>
          <cell r="BS1207">
            <v>44</v>
          </cell>
          <cell r="BT1207">
            <v>37</v>
          </cell>
          <cell r="BU1207">
            <v>14</v>
          </cell>
          <cell r="BV1207">
            <v>157</v>
          </cell>
          <cell r="BW1207">
            <v>1</v>
          </cell>
          <cell r="BX1207" t="str">
            <v>TIDAK</v>
          </cell>
          <cell r="BY1207" t="str">
            <v>TIDAK</v>
          </cell>
        </row>
        <row r="1208">
          <cell r="A1208" t="str">
            <v>A4582</v>
          </cell>
          <cell r="B1208" t="str">
            <v>CHRISANTIA SEKAR IKARINI</v>
          </cell>
          <cell r="C1208" t="str">
            <v>TEMA C2</v>
          </cell>
          <cell r="D1208" t="str">
            <v/>
          </cell>
          <cell r="E1208" t="str">
            <v/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  <cell r="BT1208">
            <v>0</v>
          </cell>
          <cell r="BU1208">
            <v>0</v>
          </cell>
          <cell r="BV1208">
            <v>0</v>
          </cell>
          <cell r="BW1208">
            <v>0</v>
          </cell>
          <cell r="BX1208">
            <v>0</v>
          </cell>
          <cell r="BY1208">
            <v>0</v>
          </cell>
        </row>
        <row r="1209">
          <cell r="A1209" t="str">
            <v>A4583</v>
          </cell>
          <cell r="B1209" t="str">
            <v>JIHAN PUTRI RATU SASONGKO</v>
          </cell>
          <cell r="C1209" t="str">
            <v>TEMA C2</v>
          </cell>
          <cell r="D1209" t="str">
            <v/>
          </cell>
          <cell r="E1209" t="str">
            <v/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  <cell r="BT1209">
            <v>0</v>
          </cell>
          <cell r="BU1209">
            <v>0</v>
          </cell>
          <cell r="BV1209">
            <v>0</v>
          </cell>
          <cell r="BW1209">
            <v>0</v>
          </cell>
          <cell r="BX1209">
            <v>0</v>
          </cell>
          <cell r="BY1209">
            <v>0</v>
          </cell>
        </row>
        <row r="1210">
          <cell r="A1210" t="str">
            <v>A4584</v>
          </cell>
          <cell r="B1210" t="str">
            <v>DEWINTA MUTIARA</v>
          </cell>
          <cell r="C1210" t="str">
            <v>TEMA C2</v>
          </cell>
          <cell r="D1210" t="str">
            <v/>
          </cell>
          <cell r="E1210" t="str">
            <v/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  <cell r="BK1210">
            <v>0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  <cell r="BT1210">
            <v>0</v>
          </cell>
          <cell r="BU1210">
            <v>0</v>
          </cell>
          <cell r="BV1210">
            <v>0</v>
          </cell>
          <cell r="BW1210">
            <v>0</v>
          </cell>
          <cell r="BX1210">
            <v>0</v>
          </cell>
          <cell r="BY1210">
            <v>0</v>
          </cell>
        </row>
        <row r="1211">
          <cell r="A1211" t="str">
            <v>A4586</v>
          </cell>
          <cell r="B1211" t="str">
            <v>CESHYA PUTRI ANASTASYA</v>
          </cell>
          <cell r="C1211" t="str">
            <v>TEMA C2</v>
          </cell>
          <cell r="D1211" t="str">
            <v/>
          </cell>
          <cell r="E1211" t="str">
            <v/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  <cell r="BK1211">
            <v>0</v>
          </cell>
          <cell r="BL1211">
            <v>0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0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0</v>
          </cell>
          <cell r="BW1211">
            <v>0</v>
          </cell>
          <cell r="BX1211">
            <v>0</v>
          </cell>
          <cell r="BY1211">
            <v>0</v>
          </cell>
        </row>
        <row r="1212">
          <cell r="A1212" t="str">
            <v>A4587</v>
          </cell>
          <cell r="B1212" t="str">
            <v>PASYA AULIA RACHMA</v>
          </cell>
          <cell r="C1212" t="str">
            <v>TEMA C2</v>
          </cell>
          <cell r="D1212" t="str">
            <v/>
          </cell>
          <cell r="E1212" t="str">
            <v/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  <cell r="BK1212">
            <v>0</v>
          </cell>
          <cell r="BL1212">
            <v>0</v>
          </cell>
          <cell r="BM1212">
            <v>0</v>
          </cell>
          <cell r="BN1212">
            <v>0</v>
          </cell>
          <cell r="BO1212">
            <v>0</v>
          </cell>
          <cell r="BP1212">
            <v>0</v>
          </cell>
          <cell r="BQ1212">
            <v>0</v>
          </cell>
          <cell r="BR1212">
            <v>0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BX1212">
            <v>0</v>
          </cell>
          <cell r="BY1212">
            <v>0</v>
          </cell>
        </row>
        <row r="1213">
          <cell r="A1213" t="str">
            <v>A4588</v>
          </cell>
          <cell r="B1213" t="str">
            <v>ALIKA NAYLA FAWWAZA</v>
          </cell>
          <cell r="C1213" t="str">
            <v>TEMA C2</v>
          </cell>
          <cell r="D1213" t="str">
            <v/>
          </cell>
          <cell r="E1213" t="str">
            <v/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BX1213">
            <v>0</v>
          </cell>
          <cell r="BY1213">
            <v>0</v>
          </cell>
        </row>
        <row r="1214">
          <cell r="A1214" t="str">
            <v>A4589</v>
          </cell>
          <cell r="B1214" t="str">
            <v>NUR ANNISA MUZDALIFAH</v>
          </cell>
          <cell r="C1214" t="str">
            <v>TEMA C2</v>
          </cell>
          <cell r="D1214" t="str">
            <v/>
          </cell>
          <cell r="E1214" t="str">
            <v/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  <cell r="BK1214">
            <v>0</v>
          </cell>
          <cell r="BL1214">
            <v>0</v>
          </cell>
          <cell r="BM1214">
            <v>0</v>
          </cell>
          <cell r="BN1214">
            <v>0</v>
          </cell>
          <cell r="BO1214">
            <v>0</v>
          </cell>
          <cell r="BP1214">
            <v>0</v>
          </cell>
          <cell r="BQ1214">
            <v>0</v>
          </cell>
          <cell r="BR1214">
            <v>0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  <cell r="BY1214">
            <v>0</v>
          </cell>
        </row>
        <row r="1215">
          <cell r="A1215" t="str">
            <v>A4590</v>
          </cell>
          <cell r="B1215" t="str">
            <v>YURINDA DHEARISMA</v>
          </cell>
          <cell r="C1215" t="str">
            <v>TEMA C2</v>
          </cell>
          <cell r="D1215" t="str">
            <v/>
          </cell>
          <cell r="E1215" t="str">
            <v/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  <cell r="AJ1215">
            <v>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  <cell r="BK1215">
            <v>0</v>
          </cell>
          <cell r="BL1215">
            <v>0</v>
          </cell>
          <cell r="BM1215">
            <v>0</v>
          </cell>
          <cell r="BN1215">
            <v>0</v>
          </cell>
          <cell r="BO1215">
            <v>0</v>
          </cell>
          <cell r="BP1215">
            <v>0</v>
          </cell>
          <cell r="BQ1215">
            <v>0</v>
          </cell>
          <cell r="BR1215">
            <v>0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  <cell r="BY1215">
            <v>0</v>
          </cell>
        </row>
        <row r="1216">
          <cell r="A1216" t="str">
            <v>A4591</v>
          </cell>
          <cell r="B1216" t="str">
            <v>CHIKA JUNIKA PASHA</v>
          </cell>
          <cell r="C1216" t="str">
            <v>TEMA C2</v>
          </cell>
          <cell r="D1216" t="str">
            <v/>
          </cell>
          <cell r="E1216" t="str">
            <v/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  <cell r="BY1216">
            <v>0</v>
          </cell>
        </row>
        <row r="1217">
          <cell r="A1217" t="str">
            <v>A4580</v>
          </cell>
          <cell r="B1217" t="str">
            <v>FADHILLAH ANHAR</v>
          </cell>
          <cell r="C1217" t="str">
            <v>TEMA C2</v>
          </cell>
          <cell r="D1217" t="str">
            <v/>
          </cell>
          <cell r="E1217" t="str">
            <v/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  <cell r="BK1217">
            <v>0</v>
          </cell>
          <cell r="BL1217">
            <v>0</v>
          </cell>
          <cell r="BM1217">
            <v>0</v>
          </cell>
          <cell r="BN1217">
            <v>0</v>
          </cell>
          <cell r="BO1217">
            <v>0</v>
          </cell>
          <cell r="BP1217">
            <v>0</v>
          </cell>
          <cell r="BQ1217">
            <v>0</v>
          </cell>
          <cell r="BR1217">
            <v>0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  <cell r="BY1217">
            <v>0</v>
          </cell>
        </row>
        <row r="1218">
          <cell r="A1218" t="str">
            <v>A4599</v>
          </cell>
          <cell r="B1218" t="str">
            <v>SAIDHA PUTRI</v>
          </cell>
          <cell r="C1218" t="str">
            <v>TEMA C2</v>
          </cell>
          <cell r="D1218" t="str">
            <v/>
          </cell>
          <cell r="E1218" t="str">
            <v/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  <cell r="BK1218">
            <v>0</v>
          </cell>
          <cell r="BL1218">
            <v>0</v>
          </cell>
          <cell r="BM1218">
            <v>0</v>
          </cell>
          <cell r="BN1218">
            <v>0</v>
          </cell>
          <cell r="BO1218">
            <v>0</v>
          </cell>
          <cell r="BP1218">
            <v>0</v>
          </cell>
          <cell r="BQ1218">
            <v>0</v>
          </cell>
          <cell r="BR1218">
            <v>0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  <cell r="BY1218">
            <v>0</v>
          </cell>
        </row>
        <row r="1219">
          <cell r="A1219" t="str">
            <v>A4600</v>
          </cell>
          <cell r="B1219" t="str">
            <v>JOVENSYE KAREL GEOFFRI</v>
          </cell>
          <cell r="C1219" t="str">
            <v>TEMA C2</v>
          </cell>
          <cell r="D1219" t="str">
            <v/>
          </cell>
          <cell r="E1219" t="str">
            <v/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  <cell r="BK1219">
            <v>0</v>
          </cell>
          <cell r="BL1219">
            <v>0</v>
          </cell>
          <cell r="BM1219">
            <v>0</v>
          </cell>
          <cell r="BN1219">
            <v>0</v>
          </cell>
          <cell r="BO1219">
            <v>0</v>
          </cell>
          <cell r="BP1219">
            <v>0</v>
          </cell>
          <cell r="BQ1219">
            <v>0</v>
          </cell>
          <cell r="BR1219">
            <v>0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  <cell r="BY1219">
            <v>0</v>
          </cell>
        </row>
        <row r="1220">
          <cell r="A1220" t="str">
            <v>A4601</v>
          </cell>
          <cell r="B1220" t="str">
            <v>SITI NURAITUL JANAH</v>
          </cell>
          <cell r="C1220" t="str">
            <v>TEMA C2</v>
          </cell>
          <cell r="D1220" t="str">
            <v/>
          </cell>
          <cell r="E1220" t="str">
            <v/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0</v>
          </cell>
          <cell r="BN1220">
            <v>0</v>
          </cell>
          <cell r="BO1220">
            <v>0</v>
          </cell>
          <cell r="BP1220">
            <v>0</v>
          </cell>
          <cell r="BQ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  <cell r="BY1220">
            <v>0</v>
          </cell>
        </row>
        <row r="1221">
          <cell r="A1221" t="str">
            <v>A4603</v>
          </cell>
          <cell r="B1221" t="str">
            <v>NATHANIA CLARA DIONE</v>
          </cell>
          <cell r="C1221" t="str">
            <v>TEMA C2</v>
          </cell>
          <cell r="D1221" t="str">
            <v/>
          </cell>
          <cell r="E1221" t="str">
            <v/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  <cell r="BK1221">
            <v>0</v>
          </cell>
          <cell r="BL1221">
            <v>0</v>
          </cell>
          <cell r="BM1221">
            <v>0</v>
          </cell>
          <cell r="BN1221">
            <v>0</v>
          </cell>
          <cell r="BO1221">
            <v>0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  <cell r="BY1221">
            <v>0</v>
          </cell>
        </row>
        <row r="1222">
          <cell r="A1222" t="str">
            <v>A4622</v>
          </cell>
          <cell r="B1222" t="str">
            <v>ADISTI PUJI RAHAYU</v>
          </cell>
          <cell r="C1222" t="str">
            <v>TEMA C2</v>
          </cell>
          <cell r="D1222" t="str">
            <v/>
          </cell>
          <cell r="E1222" t="str">
            <v/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  <cell r="BK1222">
            <v>0</v>
          </cell>
          <cell r="BL1222">
            <v>0</v>
          </cell>
          <cell r="BM1222">
            <v>0</v>
          </cell>
          <cell r="BN1222">
            <v>0</v>
          </cell>
          <cell r="BO1222">
            <v>0</v>
          </cell>
          <cell r="BP1222">
            <v>0</v>
          </cell>
          <cell r="BQ1222">
            <v>0</v>
          </cell>
          <cell r="BR1222">
            <v>0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  <cell r="BY1222">
            <v>0</v>
          </cell>
        </row>
        <row r="1223">
          <cell r="A1223" t="str">
            <v>A4623</v>
          </cell>
          <cell r="B1223" t="str">
            <v>RIDA MEYLASARI</v>
          </cell>
          <cell r="C1223" t="str">
            <v>TEMA C2</v>
          </cell>
          <cell r="D1223" t="str">
            <v/>
          </cell>
          <cell r="E1223" t="str">
            <v/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  <cell r="BK1223">
            <v>0</v>
          </cell>
          <cell r="BL1223">
            <v>0</v>
          </cell>
          <cell r="BM1223">
            <v>0</v>
          </cell>
          <cell r="BN1223">
            <v>0</v>
          </cell>
          <cell r="BO1223">
            <v>0</v>
          </cell>
          <cell r="BP1223">
            <v>0</v>
          </cell>
          <cell r="BQ1223">
            <v>0</v>
          </cell>
          <cell r="BR1223">
            <v>0</v>
          </cell>
          <cell r="BS1223">
            <v>0</v>
          </cell>
          <cell r="BT1223">
            <v>0</v>
          </cell>
          <cell r="BU1223">
            <v>0</v>
          </cell>
          <cell r="BV1223">
            <v>0</v>
          </cell>
          <cell r="BW1223">
            <v>0</v>
          </cell>
          <cell r="BX1223">
            <v>0</v>
          </cell>
          <cell r="BY1223">
            <v>0</v>
          </cell>
        </row>
        <row r="1224">
          <cell r="A1224" t="str">
            <v>A4624</v>
          </cell>
          <cell r="B1224" t="str">
            <v>NAUFA SETYOWATI</v>
          </cell>
          <cell r="C1224" t="str">
            <v>TEMA C2</v>
          </cell>
          <cell r="D1224" t="str">
            <v/>
          </cell>
          <cell r="E1224" t="str">
            <v/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  <cell r="BK1224">
            <v>0</v>
          </cell>
          <cell r="BL1224">
            <v>0</v>
          </cell>
          <cell r="BM1224">
            <v>0</v>
          </cell>
          <cell r="BN1224">
            <v>0</v>
          </cell>
          <cell r="BO1224">
            <v>0</v>
          </cell>
          <cell r="BP1224">
            <v>0</v>
          </cell>
          <cell r="BQ1224">
            <v>0</v>
          </cell>
          <cell r="BR1224">
            <v>0</v>
          </cell>
          <cell r="BS1224">
            <v>0</v>
          </cell>
          <cell r="BT1224">
            <v>0</v>
          </cell>
          <cell r="BU1224">
            <v>0</v>
          </cell>
          <cell r="BV1224">
            <v>0</v>
          </cell>
          <cell r="BW1224">
            <v>0</v>
          </cell>
          <cell r="BX1224">
            <v>0</v>
          </cell>
          <cell r="BY1224">
            <v>0</v>
          </cell>
        </row>
        <row r="1225">
          <cell r="A1225" t="str">
            <v>A4625</v>
          </cell>
          <cell r="B1225" t="str">
            <v>ELGA AYU DANI MAYUSTIKA</v>
          </cell>
          <cell r="C1225" t="str">
            <v>TEMA C2</v>
          </cell>
          <cell r="D1225" t="str">
            <v/>
          </cell>
          <cell r="E1225" t="str">
            <v/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  <cell r="BN1225">
            <v>0</v>
          </cell>
          <cell r="BO1225">
            <v>0</v>
          </cell>
          <cell r="BP1225">
            <v>0</v>
          </cell>
          <cell r="BQ1225">
            <v>0</v>
          </cell>
          <cell r="BR1225">
            <v>0</v>
          </cell>
          <cell r="BS1225">
            <v>0</v>
          </cell>
          <cell r="BT1225">
            <v>0</v>
          </cell>
          <cell r="BU1225">
            <v>0</v>
          </cell>
          <cell r="BV1225">
            <v>0</v>
          </cell>
          <cell r="BW1225">
            <v>0</v>
          </cell>
          <cell r="BX1225">
            <v>0</v>
          </cell>
          <cell r="BY1225">
            <v>0</v>
          </cell>
        </row>
        <row r="1226">
          <cell r="A1226" t="str">
            <v>A4626</v>
          </cell>
          <cell r="B1226" t="str">
            <v>CANTIKA VANESSA EMMA ZETTA</v>
          </cell>
          <cell r="C1226" t="str">
            <v>TEMA C2</v>
          </cell>
          <cell r="D1226" t="str">
            <v/>
          </cell>
          <cell r="E1226" t="str">
            <v/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  <cell r="BN1226">
            <v>0</v>
          </cell>
          <cell r="BO1226">
            <v>0</v>
          </cell>
          <cell r="BP1226">
            <v>0</v>
          </cell>
          <cell r="BQ1226">
            <v>0</v>
          </cell>
          <cell r="BR1226">
            <v>0</v>
          </cell>
          <cell r="BS1226">
            <v>0</v>
          </cell>
          <cell r="BT1226">
            <v>0</v>
          </cell>
          <cell r="BU1226">
            <v>0</v>
          </cell>
          <cell r="BV1226">
            <v>0</v>
          </cell>
          <cell r="BW1226">
            <v>0</v>
          </cell>
          <cell r="BX1226">
            <v>0</v>
          </cell>
          <cell r="BY1226">
            <v>0</v>
          </cell>
        </row>
        <row r="1227">
          <cell r="A1227" t="str">
            <v>A4627</v>
          </cell>
          <cell r="B1227" t="str">
            <v>INDAH PUJI ASTUTI</v>
          </cell>
          <cell r="C1227" t="str">
            <v>TEMA C2</v>
          </cell>
          <cell r="D1227" t="str">
            <v/>
          </cell>
          <cell r="E1227" t="str">
            <v/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  <cell r="BY1227">
            <v>0</v>
          </cell>
        </row>
        <row r="1228">
          <cell r="A1228" t="str">
            <v>A4628</v>
          </cell>
          <cell r="B1228" t="str">
            <v>HASNA PUTRI AZIZAH</v>
          </cell>
          <cell r="C1228" t="str">
            <v>TEMA C2</v>
          </cell>
          <cell r="D1228" t="str">
            <v/>
          </cell>
          <cell r="E1228" t="str">
            <v/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  <cell r="BK1228">
            <v>0</v>
          </cell>
          <cell r="BL1228">
            <v>0</v>
          </cell>
          <cell r="BM1228">
            <v>0</v>
          </cell>
          <cell r="BN1228">
            <v>0</v>
          </cell>
          <cell r="BO1228">
            <v>0</v>
          </cell>
          <cell r="BP1228">
            <v>0</v>
          </cell>
          <cell r="BQ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  <cell r="BY1228">
            <v>0</v>
          </cell>
        </row>
        <row r="1229">
          <cell r="A1229" t="str">
            <v>A4629</v>
          </cell>
          <cell r="B1229" t="str">
            <v>SHEILA LUTHFIAH SINAGA</v>
          </cell>
          <cell r="C1229" t="str">
            <v>TEMA C2</v>
          </cell>
          <cell r="D1229" t="str">
            <v/>
          </cell>
          <cell r="E1229" t="str">
            <v/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  <cell r="BK1229">
            <v>0</v>
          </cell>
          <cell r="BL1229">
            <v>0</v>
          </cell>
          <cell r="BM1229">
            <v>0</v>
          </cell>
          <cell r="BN1229">
            <v>0</v>
          </cell>
          <cell r="BO1229">
            <v>0</v>
          </cell>
          <cell r="BP1229">
            <v>0</v>
          </cell>
          <cell r="BQ1229">
            <v>0</v>
          </cell>
          <cell r="BR1229">
            <v>0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  <cell r="BY1229">
            <v>0</v>
          </cell>
        </row>
        <row r="1230">
          <cell r="A1230" t="str">
            <v>A4630</v>
          </cell>
          <cell r="B1230" t="str">
            <v>YOSAFAT TAMPUBOLON</v>
          </cell>
          <cell r="C1230" t="str">
            <v>TEMA C2</v>
          </cell>
          <cell r="D1230" t="str">
            <v/>
          </cell>
          <cell r="E1230" t="str">
            <v/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  <cell r="BK1230">
            <v>0</v>
          </cell>
          <cell r="BL1230">
            <v>0</v>
          </cell>
          <cell r="BM1230">
            <v>0</v>
          </cell>
          <cell r="BN1230">
            <v>0</v>
          </cell>
          <cell r="BO1230">
            <v>0</v>
          </cell>
          <cell r="BP1230">
            <v>0</v>
          </cell>
          <cell r="BQ1230">
            <v>0</v>
          </cell>
          <cell r="BR1230">
            <v>0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  <cell r="BY1230">
            <v>0</v>
          </cell>
        </row>
        <row r="1231">
          <cell r="A1231" t="str">
            <v>A4374</v>
          </cell>
          <cell r="B1231" t="str">
            <v>ALIN SEPTIANI NUR AISYAH</v>
          </cell>
          <cell r="C1231" t="str">
            <v>TEMA C2</v>
          </cell>
          <cell r="D1231" t="str">
            <v/>
          </cell>
          <cell r="E1231" t="str">
            <v/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  <cell r="BK1231">
            <v>0</v>
          </cell>
          <cell r="BL1231">
            <v>0</v>
          </cell>
          <cell r="BM1231">
            <v>0</v>
          </cell>
          <cell r="BN1231">
            <v>0</v>
          </cell>
          <cell r="BO1231">
            <v>0</v>
          </cell>
          <cell r="BP1231">
            <v>0</v>
          </cell>
          <cell r="BQ1231">
            <v>0</v>
          </cell>
          <cell r="BR1231">
            <v>0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  <cell r="BY1231">
            <v>0</v>
          </cell>
        </row>
        <row r="1232">
          <cell r="A1232" t="str">
            <v>A4634</v>
          </cell>
          <cell r="B1232" t="str">
            <v>ZAHRA NAFISATUL</v>
          </cell>
          <cell r="C1232" t="str">
            <v>TEMA C2</v>
          </cell>
          <cell r="D1232" t="str">
            <v/>
          </cell>
          <cell r="E1232" t="str">
            <v/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0</v>
          </cell>
          <cell r="BP1232">
            <v>0</v>
          </cell>
          <cell r="BQ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  <cell r="BY1232">
            <v>0</v>
          </cell>
        </row>
        <row r="1233">
          <cell r="A1233" t="str">
            <v>A4666</v>
          </cell>
          <cell r="B1233" t="str">
            <v>LANUNA SUNARDI</v>
          </cell>
          <cell r="C1233" t="str">
            <v>TEMA C2</v>
          </cell>
          <cell r="D1233" t="str">
            <v/>
          </cell>
          <cell r="E1233" t="str">
            <v/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  <cell r="BK1233">
            <v>0</v>
          </cell>
          <cell r="BL1233">
            <v>0</v>
          </cell>
          <cell r="BM1233">
            <v>0</v>
          </cell>
          <cell r="BN1233">
            <v>0</v>
          </cell>
          <cell r="BO1233">
            <v>0</v>
          </cell>
          <cell r="BP1233">
            <v>0</v>
          </cell>
          <cell r="BQ1233">
            <v>0</v>
          </cell>
          <cell r="BR1233">
            <v>0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  <cell r="BY1233">
            <v>0</v>
          </cell>
        </row>
        <row r="1234">
          <cell r="A1234" t="str">
            <v>A4667</v>
          </cell>
          <cell r="B1234" t="str">
            <v>JEANNE MARIA PINGKAN HAPSARI</v>
          </cell>
          <cell r="C1234" t="str">
            <v>TEMA C2</v>
          </cell>
          <cell r="D1234" t="str">
            <v/>
          </cell>
          <cell r="E1234" t="str">
            <v/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  <cell r="BN1234">
            <v>0</v>
          </cell>
          <cell r="BO1234">
            <v>0</v>
          </cell>
          <cell r="BP1234">
            <v>0</v>
          </cell>
          <cell r="BQ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  <cell r="BY1234">
            <v>0</v>
          </cell>
        </row>
        <row r="1235">
          <cell r="A1235" t="str">
            <v>A4677</v>
          </cell>
          <cell r="B1235" t="str">
            <v>DESTY RACHMADHANI</v>
          </cell>
          <cell r="C1235" t="str">
            <v>TEMA C2</v>
          </cell>
          <cell r="D1235" t="str">
            <v/>
          </cell>
          <cell r="E1235" t="str">
            <v/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0</v>
          </cell>
          <cell r="BP1235">
            <v>0</v>
          </cell>
          <cell r="BQ1235">
            <v>0</v>
          </cell>
          <cell r="BR1235">
            <v>0</v>
          </cell>
          <cell r="BS1235">
            <v>0</v>
          </cell>
          <cell r="BT1235">
            <v>0</v>
          </cell>
          <cell r="BU1235">
            <v>0</v>
          </cell>
          <cell r="BV1235">
            <v>0</v>
          </cell>
          <cell r="BW1235">
            <v>0</v>
          </cell>
          <cell r="BX1235">
            <v>0</v>
          </cell>
          <cell r="BY1235">
            <v>0</v>
          </cell>
        </row>
        <row r="1236">
          <cell r="A1236" t="str">
            <v>A4678</v>
          </cell>
          <cell r="B1236" t="str">
            <v>MUJI GITA ANGGRAINI</v>
          </cell>
          <cell r="C1236" t="str">
            <v>TEMA C2</v>
          </cell>
          <cell r="D1236" t="str">
            <v/>
          </cell>
          <cell r="E1236" t="str">
            <v/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  <cell r="BY1236">
            <v>0</v>
          </cell>
        </row>
        <row r="1237">
          <cell r="A1237" t="str">
            <v>A4679</v>
          </cell>
          <cell r="B1237" t="str">
            <v>MEGA FEBRINA ALIFIANI</v>
          </cell>
          <cell r="C1237" t="str">
            <v>TEMA C2</v>
          </cell>
          <cell r="D1237" t="str">
            <v/>
          </cell>
          <cell r="E1237" t="str">
            <v/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  <cell r="BY1237">
            <v>0</v>
          </cell>
        </row>
        <row r="1238">
          <cell r="A1238" t="str">
            <v>A4680</v>
          </cell>
          <cell r="B1238" t="str">
            <v>ALINA KHILMA</v>
          </cell>
          <cell r="C1238" t="str">
            <v>TEMA C2</v>
          </cell>
          <cell r="D1238" t="str">
            <v/>
          </cell>
          <cell r="E1238" t="str">
            <v/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  <cell r="BT1238">
            <v>0</v>
          </cell>
          <cell r="BU1238">
            <v>0</v>
          </cell>
          <cell r="BV1238">
            <v>0</v>
          </cell>
          <cell r="BW1238">
            <v>0</v>
          </cell>
          <cell r="BX1238">
            <v>0</v>
          </cell>
          <cell r="BY1238">
            <v>0</v>
          </cell>
        </row>
        <row r="1239">
          <cell r="A1239" t="str">
            <v>A4682</v>
          </cell>
          <cell r="B1239" t="str">
            <v>MARIA FRANSISCA</v>
          </cell>
          <cell r="C1239" t="str">
            <v>TEMA C2</v>
          </cell>
          <cell r="D1239" t="str">
            <v/>
          </cell>
          <cell r="E1239" t="str">
            <v/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0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  <cell r="BW1239">
            <v>0</v>
          </cell>
          <cell r="BX1239">
            <v>0</v>
          </cell>
          <cell r="BY1239">
            <v>0</v>
          </cell>
        </row>
        <row r="1240">
          <cell r="A1240" t="str">
            <v>A4684</v>
          </cell>
          <cell r="B1240" t="str">
            <v>RENGGINAT HAPCORO</v>
          </cell>
          <cell r="C1240" t="str">
            <v>TEMA C2</v>
          </cell>
          <cell r="D1240" t="str">
            <v/>
          </cell>
          <cell r="E1240" t="str">
            <v/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0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  <cell r="BW1240">
            <v>0</v>
          </cell>
          <cell r="BX1240">
            <v>0</v>
          </cell>
          <cell r="BY1240">
            <v>0</v>
          </cell>
        </row>
        <row r="1241">
          <cell r="A1241" t="str">
            <v>A4685</v>
          </cell>
          <cell r="B1241" t="str">
            <v>NICKY TRIASKANDI ALGIFARI</v>
          </cell>
          <cell r="C1241" t="str">
            <v>TEMA C2</v>
          </cell>
          <cell r="D1241" t="str">
            <v/>
          </cell>
          <cell r="E1241" t="str">
            <v/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  <cell r="BK1241">
            <v>0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  <cell r="BT1241">
            <v>0</v>
          </cell>
          <cell r="BU1241">
            <v>0</v>
          </cell>
          <cell r="BV1241">
            <v>0</v>
          </cell>
          <cell r="BW1241">
            <v>0</v>
          </cell>
          <cell r="BX1241">
            <v>0</v>
          </cell>
          <cell r="BY1241">
            <v>0</v>
          </cell>
        </row>
        <row r="1242">
          <cell r="A1242" t="str">
            <v>A4686</v>
          </cell>
          <cell r="B1242" t="str">
            <v>YULISANDRO BAGAS SAMUDRA</v>
          </cell>
          <cell r="C1242" t="str">
            <v>TEMA C2</v>
          </cell>
          <cell r="D1242" t="str">
            <v/>
          </cell>
          <cell r="E1242" t="str">
            <v/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  <cell r="BK1242">
            <v>0</v>
          </cell>
          <cell r="BL1242">
            <v>0</v>
          </cell>
          <cell r="BM1242">
            <v>0</v>
          </cell>
          <cell r="BN1242">
            <v>0</v>
          </cell>
          <cell r="BO1242">
            <v>0</v>
          </cell>
          <cell r="BP1242">
            <v>0</v>
          </cell>
          <cell r="BQ1242">
            <v>0</v>
          </cell>
          <cell r="BR1242">
            <v>0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  <cell r="BY1242">
            <v>0</v>
          </cell>
        </row>
        <row r="1243">
          <cell r="A1243" t="str">
            <v>A4704</v>
          </cell>
          <cell r="B1243" t="str">
            <v>MUH REZHA WAHYUDI</v>
          </cell>
          <cell r="C1243" t="str">
            <v>TEMA C2</v>
          </cell>
          <cell r="D1243" t="str">
            <v/>
          </cell>
          <cell r="E1243" t="str">
            <v/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0</v>
          </cell>
          <cell r="BM1243">
            <v>0</v>
          </cell>
          <cell r="BN1243">
            <v>0</v>
          </cell>
          <cell r="BO1243">
            <v>0</v>
          </cell>
          <cell r="BP1243">
            <v>0</v>
          </cell>
          <cell r="BQ1243">
            <v>0</v>
          </cell>
          <cell r="BR1243">
            <v>0</v>
          </cell>
          <cell r="BS1243">
            <v>0</v>
          </cell>
          <cell r="BT1243">
            <v>0</v>
          </cell>
          <cell r="BU1243">
            <v>0</v>
          </cell>
          <cell r="BV1243">
            <v>0</v>
          </cell>
          <cell r="BW1243">
            <v>0</v>
          </cell>
          <cell r="BX1243">
            <v>0</v>
          </cell>
          <cell r="BY1243">
            <v>0</v>
          </cell>
        </row>
        <row r="1244">
          <cell r="A1244" t="str">
            <v>A4705</v>
          </cell>
          <cell r="B1244" t="str">
            <v>ANISA YURMANITA</v>
          </cell>
          <cell r="C1244" t="str">
            <v>TEMA C2</v>
          </cell>
          <cell r="D1244" t="str">
            <v/>
          </cell>
          <cell r="E1244" t="str">
            <v/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0</v>
          </cell>
          <cell r="BP1244">
            <v>0</v>
          </cell>
          <cell r="BQ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  <cell r="BY1244">
            <v>0</v>
          </cell>
        </row>
        <row r="1245">
          <cell r="A1245" t="str">
            <v>A4706</v>
          </cell>
          <cell r="B1245" t="str">
            <v>AGNES SHELLA</v>
          </cell>
          <cell r="C1245" t="str">
            <v>TEMA C2</v>
          </cell>
          <cell r="D1245" t="str">
            <v/>
          </cell>
          <cell r="E1245" t="str">
            <v/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  <cell r="BY1245">
            <v>0</v>
          </cell>
        </row>
        <row r="1246">
          <cell r="A1246" t="str">
            <v>A4708</v>
          </cell>
          <cell r="B1246" t="str">
            <v>ESRI ANA SINAGA</v>
          </cell>
          <cell r="C1246" t="str">
            <v>TEMA C2</v>
          </cell>
          <cell r="D1246" t="str">
            <v/>
          </cell>
          <cell r="E1246" t="str">
            <v/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  <cell r="BY1246">
            <v>0</v>
          </cell>
        </row>
        <row r="1247">
          <cell r="A1247" t="str">
            <v>A4709</v>
          </cell>
          <cell r="B1247" t="str">
            <v>TIARA PRAMESTY HASIM PUTRI</v>
          </cell>
          <cell r="C1247" t="str">
            <v>TEMA C2</v>
          </cell>
          <cell r="D1247" t="str">
            <v/>
          </cell>
          <cell r="E1247" t="str">
            <v/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  <cell r="BY1247">
            <v>0</v>
          </cell>
        </row>
        <row r="1248">
          <cell r="A1248" t="str">
            <v>A4710</v>
          </cell>
          <cell r="B1248" t="str">
            <v>MUHAMMAD FAIZ ALMADANY</v>
          </cell>
          <cell r="C1248" t="str">
            <v>TEMA C2</v>
          </cell>
          <cell r="D1248" t="str">
            <v/>
          </cell>
          <cell r="E1248" t="str">
            <v/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  <cell r="BX1248">
            <v>0</v>
          </cell>
          <cell r="BY1248">
            <v>0</v>
          </cell>
        </row>
        <row r="1249">
          <cell r="A1249" t="str">
            <v>A4711</v>
          </cell>
          <cell r="B1249" t="str">
            <v>YUMNAA QURRATU AINII</v>
          </cell>
          <cell r="C1249" t="str">
            <v>TEMA C2</v>
          </cell>
          <cell r="D1249" t="str">
            <v/>
          </cell>
          <cell r="E1249" t="str">
            <v/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  <cell r="BX1249">
            <v>0</v>
          </cell>
          <cell r="BY1249">
            <v>0</v>
          </cell>
        </row>
        <row r="1250">
          <cell r="A1250" t="str">
            <v>A2746</v>
          </cell>
          <cell r="B1250" t="str">
            <v>Afifah Nur Azizah</v>
          </cell>
          <cell r="C1250" t="str">
            <v>TEMA C3</v>
          </cell>
          <cell r="D1250">
            <v>45140</v>
          </cell>
          <cell r="E1250" t="str">
            <v>Aug-23</v>
          </cell>
          <cell r="F1250" t="str">
            <v>REGULER</v>
          </cell>
          <cell r="G1250" t="str">
            <v>-</v>
          </cell>
          <cell r="H1250" t="str">
            <v>-</v>
          </cell>
          <cell r="I1250" t="str">
            <v>-</v>
          </cell>
          <cell r="J1250" t="str">
            <v>-</v>
          </cell>
          <cell r="K1250" t="str">
            <v>-</v>
          </cell>
          <cell r="L1250" t="str">
            <v>-</v>
          </cell>
          <cell r="M1250">
            <v>18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18</v>
          </cell>
          <cell r="U1250">
            <v>18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18</v>
          </cell>
          <cell r="AC1250">
            <v>6</v>
          </cell>
          <cell r="AD1250" t="str">
            <v>DOWNGRADE</v>
          </cell>
          <cell r="AE1250" t="str">
            <v>RESET</v>
          </cell>
          <cell r="AF1250">
            <v>0</v>
          </cell>
          <cell r="AG1250">
            <v>1</v>
          </cell>
          <cell r="AH1250" t="str">
            <v>SAPHIRE</v>
          </cell>
          <cell r="AI1250">
            <v>0</v>
          </cell>
          <cell r="AJ1250" t="str">
            <v>FALSE</v>
          </cell>
          <cell r="AK1250">
            <v>0</v>
          </cell>
          <cell r="AL1250">
            <v>45261</v>
          </cell>
          <cell r="AM1250">
            <v>45701</v>
          </cell>
          <cell r="AN1250">
            <v>1</v>
          </cell>
          <cell r="AO1250">
            <v>0</v>
          </cell>
          <cell r="AP1250" t="str">
            <v>-</v>
          </cell>
          <cell r="AQ1250" t="str">
            <v>-</v>
          </cell>
          <cell r="AR1250" t="str">
            <v>-</v>
          </cell>
          <cell r="AS1250" t="str">
            <v>-</v>
          </cell>
          <cell r="AT1250" t="str">
            <v>-</v>
          </cell>
          <cell r="AU1250" t="str">
            <v>-</v>
          </cell>
          <cell r="AV1250" t="str">
            <v/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 t="str">
            <v/>
          </cell>
          <cell r="BH1250">
            <v>0</v>
          </cell>
          <cell r="BI1250">
            <v>0</v>
          </cell>
          <cell r="BJ1250">
            <v>0</v>
          </cell>
          <cell r="BK1250">
            <v>0</v>
          </cell>
          <cell r="BL1250">
            <v>0</v>
          </cell>
          <cell r="BM1250" t="str">
            <v/>
          </cell>
          <cell r="BN1250">
            <v>0</v>
          </cell>
          <cell r="BO1250" t="str">
            <v/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  <cell r="BT1250">
            <v>0</v>
          </cell>
          <cell r="BU1250" t="str">
            <v/>
          </cell>
          <cell r="BV1250">
            <v>0</v>
          </cell>
          <cell r="BW1250">
            <v>7</v>
          </cell>
          <cell r="BX1250" t="str">
            <v>DOWNGRADE</v>
          </cell>
          <cell r="BY1250" t="str">
            <v>RESET</v>
          </cell>
        </row>
        <row r="1251">
          <cell r="A1251" t="str">
            <v>A3929</v>
          </cell>
          <cell r="B1251" t="str">
            <v>Agatha Diah Saraswati</v>
          </cell>
          <cell r="C1251" t="str">
            <v>TEMA C3</v>
          </cell>
          <cell r="D1251">
            <v>45369</v>
          </cell>
          <cell r="E1251" t="str">
            <v>Mar-24</v>
          </cell>
          <cell r="F1251" t="str">
            <v>-</v>
          </cell>
          <cell r="G1251" t="str">
            <v>-</v>
          </cell>
          <cell r="H1251" t="str">
            <v>-</v>
          </cell>
          <cell r="I1251" t="str">
            <v>REGULER</v>
          </cell>
          <cell r="J1251" t="str">
            <v>REGULER</v>
          </cell>
          <cell r="K1251" t="str">
            <v>REGULER</v>
          </cell>
          <cell r="L1251" t="str">
            <v>REGULER</v>
          </cell>
          <cell r="M1251">
            <v>0</v>
          </cell>
          <cell r="N1251">
            <v>0</v>
          </cell>
          <cell r="O1251">
            <v>0</v>
          </cell>
          <cell r="P1251">
            <v>5</v>
          </cell>
          <cell r="Q1251">
            <v>12</v>
          </cell>
          <cell r="R1251">
            <v>18</v>
          </cell>
          <cell r="S1251">
            <v>8</v>
          </cell>
          <cell r="T1251">
            <v>43</v>
          </cell>
          <cell r="U1251">
            <v>0</v>
          </cell>
          <cell r="V1251">
            <v>0</v>
          </cell>
          <cell r="W1251">
            <v>0</v>
          </cell>
          <cell r="X1251">
            <v>5</v>
          </cell>
          <cell r="Y1251">
            <v>12</v>
          </cell>
          <cell r="Z1251">
            <v>18</v>
          </cell>
          <cell r="AA1251">
            <v>8</v>
          </cell>
          <cell r="AB1251">
            <v>43</v>
          </cell>
          <cell r="AC1251">
            <v>0</v>
          </cell>
          <cell r="AD1251" t="str">
            <v>TIDAK</v>
          </cell>
          <cell r="AE1251" t="str">
            <v>TIDAK</v>
          </cell>
          <cell r="AF1251">
            <v>43</v>
          </cell>
          <cell r="AG1251">
            <v>1</v>
          </cell>
          <cell r="AH1251" t="str">
            <v>SAPHIRE</v>
          </cell>
          <cell r="AI1251">
            <v>0</v>
          </cell>
          <cell r="AJ1251" t="str">
            <v>FALSE</v>
          </cell>
          <cell r="AK1251">
            <v>0</v>
          </cell>
          <cell r="AL1251">
            <v>45261</v>
          </cell>
          <cell r="AM1251">
            <v>45701</v>
          </cell>
          <cell r="AN1251">
            <v>1</v>
          </cell>
          <cell r="AO1251">
            <v>43</v>
          </cell>
          <cell r="AP1251" t="str">
            <v>-</v>
          </cell>
          <cell r="AQ1251" t="str">
            <v>-</v>
          </cell>
          <cell r="AR1251" t="str">
            <v>REGULER</v>
          </cell>
          <cell r="AS1251" t="str">
            <v>REGULER</v>
          </cell>
          <cell r="AT1251" t="str">
            <v>REGULER</v>
          </cell>
          <cell r="AU1251" t="str">
            <v>REGULER</v>
          </cell>
          <cell r="AV1251" t="str">
            <v/>
          </cell>
          <cell r="AW1251">
            <v>23</v>
          </cell>
          <cell r="AX1251">
            <v>13</v>
          </cell>
          <cell r="AY1251">
            <v>16</v>
          </cell>
          <cell r="AZ1251">
            <v>18</v>
          </cell>
          <cell r="BA1251">
            <v>19</v>
          </cell>
          <cell r="BB1251">
            <v>23</v>
          </cell>
          <cell r="BC1251">
            <v>13</v>
          </cell>
          <cell r="BD1251">
            <v>16</v>
          </cell>
          <cell r="BE1251">
            <v>18</v>
          </cell>
          <cell r="BF1251">
            <v>19</v>
          </cell>
          <cell r="BG1251">
            <v>8</v>
          </cell>
          <cell r="BH1251">
            <v>23</v>
          </cell>
          <cell r="BI1251">
            <v>13</v>
          </cell>
          <cell r="BJ1251">
            <v>16</v>
          </cell>
          <cell r="BK1251">
            <v>18</v>
          </cell>
          <cell r="BL1251">
            <v>19</v>
          </cell>
          <cell r="BM1251">
            <v>10</v>
          </cell>
          <cell r="BN1251">
            <v>107</v>
          </cell>
          <cell r="BO1251">
            <v>8</v>
          </cell>
          <cell r="BP1251">
            <v>23</v>
          </cell>
          <cell r="BQ1251">
            <v>13</v>
          </cell>
          <cell r="BR1251">
            <v>16</v>
          </cell>
          <cell r="BS1251">
            <v>18</v>
          </cell>
          <cell r="BT1251">
            <v>19</v>
          </cell>
          <cell r="BU1251">
            <v>10</v>
          </cell>
          <cell r="BV1251">
            <v>107</v>
          </cell>
          <cell r="BW1251">
            <v>0</v>
          </cell>
          <cell r="BX1251" t="str">
            <v>TIDAK</v>
          </cell>
          <cell r="BY1251" t="str">
            <v>TIDAK</v>
          </cell>
        </row>
        <row r="1252">
          <cell r="A1252" t="str">
            <v>A2027</v>
          </cell>
          <cell r="B1252" t="str">
            <v>Ahmad Nashrulloh</v>
          </cell>
          <cell r="C1252" t="str">
            <v>TEMA C3</v>
          </cell>
          <cell r="D1252">
            <v>45254</v>
          </cell>
          <cell r="E1252" t="str">
            <v>Nov-23</v>
          </cell>
          <cell r="F1252" t="str">
            <v>REGULER</v>
          </cell>
          <cell r="G1252" t="str">
            <v>REGULER</v>
          </cell>
          <cell r="H1252" t="str">
            <v>REGULER</v>
          </cell>
          <cell r="I1252" t="str">
            <v>REGULER</v>
          </cell>
          <cell r="J1252" t="str">
            <v>REGULER</v>
          </cell>
          <cell r="K1252" t="str">
            <v>REGULER</v>
          </cell>
          <cell r="L1252" t="str">
            <v>REGULER</v>
          </cell>
          <cell r="M1252">
            <v>7</v>
          </cell>
          <cell r="N1252">
            <v>21</v>
          </cell>
          <cell r="O1252">
            <v>1</v>
          </cell>
          <cell r="P1252">
            <v>17</v>
          </cell>
          <cell r="Q1252">
            <v>6</v>
          </cell>
          <cell r="R1252">
            <v>13</v>
          </cell>
          <cell r="S1252">
            <v>14</v>
          </cell>
          <cell r="T1252">
            <v>79</v>
          </cell>
          <cell r="U1252">
            <v>7</v>
          </cell>
          <cell r="V1252">
            <v>21</v>
          </cell>
          <cell r="W1252">
            <v>1</v>
          </cell>
          <cell r="X1252">
            <v>17</v>
          </cell>
          <cell r="Y1252">
            <v>6</v>
          </cell>
          <cell r="Z1252">
            <v>13</v>
          </cell>
          <cell r="AA1252">
            <v>14</v>
          </cell>
          <cell r="AB1252">
            <v>79</v>
          </cell>
          <cell r="AC1252">
            <v>0</v>
          </cell>
          <cell r="AD1252" t="str">
            <v>TIDAK</v>
          </cell>
          <cell r="AE1252" t="str">
            <v>TIDAK</v>
          </cell>
          <cell r="AF1252">
            <v>79</v>
          </cell>
          <cell r="AG1252">
            <v>1</v>
          </cell>
          <cell r="AH1252" t="str">
            <v>SAPHIRE</v>
          </cell>
          <cell r="AI1252">
            <v>0</v>
          </cell>
          <cell r="AJ1252" t="str">
            <v>Y</v>
          </cell>
          <cell r="AK1252">
            <v>0</v>
          </cell>
          <cell r="AL1252">
            <v>45261</v>
          </cell>
          <cell r="AM1252">
            <v>45701</v>
          </cell>
          <cell r="AN1252">
            <v>1</v>
          </cell>
          <cell r="AO1252">
            <v>79</v>
          </cell>
          <cell r="AP1252" t="str">
            <v>-</v>
          </cell>
          <cell r="AQ1252" t="str">
            <v>-</v>
          </cell>
          <cell r="AR1252" t="str">
            <v>-</v>
          </cell>
          <cell r="AS1252" t="str">
            <v>-</v>
          </cell>
          <cell r="AT1252" t="str">
            <v>-</v>
          </cell>
          <cell r="AU1252" t="str">
            <v>-</v>
          </cell>
          <cell r="AV1252" t="str">
            <v/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4</v>
          </cell>
          <cell r="BH1252">
            <v>0</v>
          </cell>
          <cell r="BI1252">
            <v>0</v>
          </cell>
          <cell r="BJ1252">
            <v>0</v>
          </cell>
          <cell r="BK1252">
            <v>0</v>
          </cell>
          <cell r="BL1252">
            <v>0</v>
          </cell>
          <cell r="BM1252" t="str">
            <v/>
          </cell>
          <cell r="BN1252">
            <v>4</v>
          </cell>
          <cell r="BO1252">
            <v>4</v>
          </cell>
          <cell r="BP1252">
            <v>0</v>
          </cell>
          <cell r="BQ1252">
            <v>0</v>
          </cell>
          <cell r="BR1252">
            <v>0</v>
          </cell>
          <cell r="BS1252">
            <v>0</v>
          </cell>
          <cell r="BT1252">
            <v>0</v>
          </cell>
          <cell r="BU1252" t="str">
            <v/>
          </cell>
          <cell r="BV1252">
            <v>4</v>
          </cell>
          <cell r="BW1252">
            <v>6</v>
          </cell>
          <cell r="BX1252" t="str">
            <v>DOWNGRADE</v>
          </cell>
          <cell r="BY1252" t="str">
            <v>RESET</v>
          </cell>
        </row>
        <row r="1253">
          <cell r="A1253" t="str">
            <v>A4099</v>
          </cell>
          <cell r="B1253" t="str">
            <v>ALBERTUS HANDY WIDODO</v>
          </cell>
          <cell r="C1253" t="str">
            <v>TEMA C3</v>
          </cell>
          <cell r="D1253">
            <v>45455</v>
          </cell>
          <cell r="E1253" t="str">
            <v>Jun-24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 t="str">
            <v>REGULER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3</v>
          </cell>
          <cell r="T1253">
            <v>3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3</v>
          </cell>
          <cell r="AB1253">
            <v>3</v>
          </cell>
          <cell r="AC1253">
            <v>0</v>
          </cell>
          <cell r="AD1253" t="str">
            <v>TIDAK</v>
          </cell>
          <cell r="AE1253" t="str">
            <v>TIDAK</v>
          </cell>
          <cell r="AF1253">
            <v>3</v>
          </cell>
          <cell r="AG1253">
            <v>1</v>
          </cell>
          <cell r="AH1253" t="str">
            <v>SAPHIRE</v>
          </cell>
          <cell r="AI1253">
            <v>0</v>
          </cell>
          <cell r="AJ1253" t="str">
            <v>FALSE</v>
          </cell>
          <cell r="AK1253">
            <v>0</v>
          </cell>
          <cell r="AL1253">
            <v>45261</v>
          </cell>
          <cell r="AM1253">
            <v>45701</v>
          </cell>
          <cell r="AN1253">
            <v>1</v>
          </cell>
          <cell r="AO1253">
            <v>3</v>
          </cell>
          <cell r="AP1253" t="str">
            <v>-</v>
          </cell>
          <cell r="AQ1253" t="str">
            <v>-</v>
          </cell>
          <cell r="AR1253" t="str">
            <v>REGULER</v>
          </cell>
          <cell r="AS1253" t="str">
            <v>-</v>
          </cell>
          <cell r="AT1253" t="str">
            <v>-</v>
          </cell>
          <cell r="AU1253" t="str">
            <v>-</v>
          </cell>
          <cell r="AV1253" t="str">
            <v/>
          </cell>
          <cell r="AW1253">
            <v>31</v>
          </cell>
          <cell r="AX1253">
            <v>2</v>
          </cell>
          <cell r="AY1253">
            <v>0</v>
          </cell>
          <cell r="AZ1253">
            <v>0</v>
          </cell>
          <cell r="BA1253">
            <v>0</v>
          </cell>
          <cell r="BB1253">
            <v>31</v>
          </cell>
          <cell r="BC1253">
            <v>2</v>
          </cell>
          <cell r="BD1253">
            <v>0</v>
          </cell>
          <cell r="BE1253">
            <v>0</v>
          </cell>
          <cell r="BF1253">
            <v>0</v>
          </cell>
          <cell r="BG1253">
            <v>13</v>
          </cell>
          <cell r="BH1253">
            <v>31</v>
          </cell>
          <cell r="BI1253">
            <v>2</v>
          </cell>
          <cell r="BJ1253">
            <v>0</v>
          </cell>
          <cell r="BK1253">
            <v>0</v>
          </cell>
          <cell r="BL1253">
            <v>0</v>
          </cell>
          <cell r="BM1253" t="str">
            <v/>
          </cell>
          <cell r="BN1253">
            <v>46</v>
          </cell>
          <cell r="BO1253">
            <v>13</v>
          </cell>
          <cell r="BP1253">
            <v>31</v>
          </cell>
          <cell r="BQ1253">
            <v>2</v>
          </cell>
          <cell r="BR1253">
            <v>0</v>
          </cell>
          <cell r="BS1253">
            <v>0</v>
          </cell>
          <cell r="BT1253">
            <v>0</v>
          </cell>
          <cell r="BU1253" t="str">
            <v/>
          </cell>
          <cell r="BV1253">
            <v>46</v>
          </cell>
          <cell r="BW1253">
            <v>4</v>
          </cell>
          <cell r="BX1253" t="str">
            <v>DOWNGRADE</v>
          </cell>
          <cell r="BY1253" t="str">
            <v>RESET</v>
          </cell>
        </row>
        <row r="1254">
          <cell r="A1254" t="str">
            <v>A3281</v>
          </cell>
          <cell r="B1254" t="str">
            <v>Alda Hanusia Moechtar</v>
          </cell>
          <cell r="C1254" t="str">
            <v>TEMA C3</v>
          </cell>
          <cell r="D1254">
            <v>45257</v>
          </cell>
          <cell r="E1254" t="str">
            <v>Nov-23</v>
          </cell>
          <cell r="F1254" t="str">
            <v>REGULER</v>
          </cell>
          <cell r="G1254" t="str">
            <v>-</v>
          </cell>
          <cell r="H1254" t="str">
            <v>REGULER</v>
          </cell>
          <cell r="I1254" t="str">
            <v>-</v>
          </cell>
          <cell r="J1254" t="str">
            <v>-</v>
          </cell>
          <cell r="K1254" t="str">
            <v>REGULER</v>
          </cell>
          <cell r="L1254" t="str">
            <v>-</v>
          </cell>
          <cell r="M1254">
            <v>3</v>
          </cell>
          <cell r="N1254">
            <v>0</v>
          </cell>
          <cell r="O1254">
            <v>11</v>
          </cell>
          <cell r="P1254">
            <v>0</v>
          </cell>
          <cell r="Q1254">
            <v>0</v>
          </cell>
          <cell r="R1254">
            <v>1</v>
          </cell>
          <cell r="S1254" t="str">
            <v/>
          </cell>
          <cell r="T1254">
            <v>15</v>
          </cell>
          <cell r="U1254">
            <v>3</v>
          </cell>
          <cell r="V1254">
            <v>0</v>
          </cell>
          <cell r="W1254">
            <v>11</v>
          </cell>
          <cell r="X1254">
            <v>0</v>
          </cell>
          <cell r="Y1254">
            <v>0</v>
          </cell>
          <cell r="Z1254">
            <v>1</v>
          </cell>
          <cell r="AA1254" t="str">
            <v/>
          </cell>
          <cell r="AB1254">
            <v>15</v>
          </cell>
          <cell r="AC1254">
            <v>4</v>
          </cell>
          <cell r="AD1254" t="str">
            <v>DOWNGRADE</v>
          </cell>
          <cell r="AE1254" t="str">
            <v>TIDAK</v>
          </cell>
          <cell r="AF1254">
            <v>7.5</v>
          </cell>
          <cell r="AG1254">
            <v>1</v>
          </cell>
          <cell r="AH1254" t="str">
            <v>SAPHIRE</v>
          </cell>
          <cell r="AI1254">
            <v>0</v>
          </cell>
          <cell r="AJ1254" t="str">
            <v>FALSE</v>
          </cell>
          <cell r="AK1254">
            <v>0</v>
          </cell>
          <cell r="AL1254">
            <v>45261</v>
          </cell>
          <cell r="AM1254">
            <v>45701</v>
          </cell>
          <cell r="AN1254">
            <v>1</v>
          </cell>
          <cell r="AO1254">
            <v>7.5</v>
          </cell>
          <cell r="AP1254" t="str">
            <v>-</v>
          </cell>
          <cell r="AQ1254" t="str">
            <v>-</v>
          </cell>
          <cell r="AR1254" t="str">
            <v>-</v>
          </cell>
          <cell r="AS1254" t="str">
            <v>-</v>
          </cell>
          <cell r="AT1254" t="str">
            <v>-</v>
          </cell>
          <cell r="AU1254" t="str">
            <v>-</v>
          </cell>
          <cell r="AV1254" t="str">
            <v/>
          </cell>
          <cell r="AW1254">
            <v>2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2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2</v>
          </cell>
          <cell r="BH1254">
            <v>2</v>
          </cell>
          <cell r="BI1254">
            <v>0</v>
          </cell>
          <cell r="BJ1254">
            <v>0</v>
          </cell>
          <cell r="BK1254">
            <v>0</v>
          </cell>
          <cell r="BL1254">
            <v>0</v>
          </cell>
          <cell r="BM1254" t="str">
            <v/>
          </cell>
          <cell r="BN1254">
            <v>4</v>
          </cell>
          <cell r="BO1254">
            <v>2</v>
          </cell>
          <cell r="BP1254">
            <v>2</v>
          </cell>
          <cell r="BQ1254">
            <v>0</v>
          </cell>
          <cell r="BR1254">
            <v>0</v>
          </cell>
          <cell r="BS1254">
            <v>0</v>
          </cell>
          <cell r="BT1254">
            <v>0</v>
          </cell>
          <cell r="BU1254" t="str">
            <v/>
          </cell>
          <cell r="BV1254">
            <v>4</v>
          </cell>
          <cell r="BW1254">
            <v>5</v>
          </cell>
          <cell r="BX1254" t="str">
            <v>DOWNGRADE</v>
          </cell>
          <cell r="BY1254" t="str">
            <v>RESET</v>
          </cell>
        </row>
        <row r="1255">
          <cell r="A1255" t="str">
            <v>A3690</v>
          </cell>
          <cell r="B1255" t="str">
            <v>Alfrendo Robert Sius Sidabalok</v>
          </cell>
          <cell r="C1255" t="str">
            <v>TEMA C3</v>
          </cell>
          <cell r="D1255">
            <v>45387</v>
          </cell>
          <cell r="E1255" t="str">
            <v>Apr-24</v>
          </cell>
          <cell r="F1255" t="str">
            <v>-</v>
          </cell>
          <cell r="G1255" t="str">
            <v>-</v>
          </cell>
          <cell r="H1255" t="str">
            <v>-</v>
          </cell>
          <cell r="I1255" t="str">
            <v>-</v>
          </cell>
          <cell r="J1255" t="str">
            <v>REGULER</v>
          </cell>
          <cell r="K1255" t="str">
            <v>REGULER</v>
          </cell>
          <cell r="L1255" t="str">
            <v>REGULER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20</v>
          </cell>
          <cell r="R1255">
            <v>18</v>
          </cell>
          <cell r="S1255">
            <v>6</v>
          </cell>
          <cell r="T1255">
            <v>44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20</v>
          </cell>
          <cell r="Z1255">
            <v>18</v>
          </cell>
          <cell r="AA1255">
            <v>6</v>
          </cell>
          <cell r="AB1255">
            <v>44</v>
          </cell>
          <cell r="AC1255">
            <v>0</v>
          </cell>
          <cell r="AD1255" t="str">
            <v>TIDAK</v>
          </cell>
          <cell r="AE1255" t="str">
            <v>TIDAK</v>
          </cell>
          <cell r="AF1255">
            <v>44</v>
          </cell>
          <cell r="AG1255">
            <v>1</v>
          </cell>
          <cell r="AH1255" t="str">
            <v>SAPHIRE</v>
          </cell>
          <cell r="AI1255">
            <v>0</v>
          </cell>
          <cell r="AJ1255" t="str">
            <v>FALSE</v>
          </cell>
          <cell r="AK1255">
            <v>0</v>
          </cell>
          <cell r="AL1255">
            <v>45261</v>
          </cell>
          <cell r="AM1255">
            <v>45701</v>
          </cell>
          <cell r="AN1255">
            <v>1</v>
          </cell>
          <cell r="AO1255">
            <v>44</v>
          </cell>
          <cell r="AP1255" t="str">
            <v>-</v>
          </cell>
          <cell r="AQ1255" t="str">
            <v>-</v>
          </cell>
          <cell r="AR1255" t="str">
            <v>-</v>
          </cell>
          <cell r="AS1255" t="str">
            <v>-</v>
          </cell>
          <cell r="AT1255" t="str">
            <v>-</v>
          </cell>
          <cell r="AU1255" t="str">
            <v>-</v>
          </cell>
          <cell r="AV1255" t="str">
            <v/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2</v>
          </cell>
          <cell r="BH1255">
            <v>0</v>
          </cell>
          <cell r="BI1255">
            <v>0</v>
          </cell>
          <cell r="BJ1255">
            <v>0</v>
          </cell>
          <cell r="BK1255">
            <v>0</v>
          </cell>
          <cell r="BL1255">
            <v>0</v>
          </cell>
          <cell r="BM1255" t="str">
            <v/>
          </cell>
          <cell r="BN1255">
            <v>2</v>
          </cell>
          <cell r="BO1255">
            <v>2</v>
          </cell>
          <cell r="BP1255">
            <v>0</v>
          </cell>
          <cell r="BQ1255">
            <v>0</v>
          </cell>
          <cell r="BR1255">
            <v>0</v>
          </cell>
          <cell r="BS1255">
            <v>0</v>
          </cell>
          <cell r="BT1255">
            <v>0</v>
          </cell>
          <cell r="BU1255" t="str">
            <v/>
          </cell>
          <cell r="BV1255">
            <v>2</v>
          </cell>
          <cell r="BW1255">
            <v>6</v>
          </cell>
          <cell r="BX1255" t="str">
            <v>DOWNGRADE</v>
          </cell>
          <cell r="BY1255" t="str">
            <v>RESET</v>
          </cell>
        </row>
        <row r="1256">
          <cell r="A1256" t="str">
            <v>A3751</v>
          </cell>
          <cell r="B1256" t="str">
            <v>Anggita Wahyuning Pramesty</v>
          </cell>
          <cell r="C1256" t="str">
            <v>TEMA C3</v>
          </cell>
          <cell r="D1256">
            <v>45344</v>
          </cell>
          <cell r="E1256" t="str">
            <v>Feb-24</v>
          </cell>
          <cell r="F1256" t="str">
            <v>-</v>
          </cell>
          <cell r="G1256" t="str">
            <v>-</v>
          </cell>
          <cell r="H1256" t="str">
            <v>REGULER</v>
          </cell>
          <cell r="I1256" t="str">
            <v>REGULER</v>
          </cell>
          <cell r="J1256" t="str">
            <v>-</v>
          </cell>
          <cell r="K1256" t="str">
            <v>-</v>
          </cell>
          <cell r="L1256" t="str">
            <v>-</v>
          </cell>
          <cell r="M1256">
            <v>0</v>
          </cell>
          <cell r="N1256">
            <v>0</v>
          </cell>
          <cell r="O1256">
            <v>1</v>
          </cell>
          <cell r="P1256">
            <v>6</v>
          </cell>
          <cell r="Q1256">
            <v>0</v>
          </cell>
          <cell r="R1256">
            <v>0</v>
          </cell>
          <cell r="S1256" t="str">
            <v/>
          </cell>
          <cell r="T1256">
            <v>7</v>
          </cell>
          <cell r="U1256">
            <v>0</v>
          </cell>
          <cell r="V1256">
            <v>0</v>
          </cell>
          <cell r="W1256">
            <v>1</v>
          </cell>
          <cell r="X1256">
            <v>6</v>
          </cell>
          <cell r="Y1256">
            <v>0</v>
          </cell>
          <cell r="Z1256">
            <v>0</v>
          </cell>
          <cell r="AA1256" t="str">
            <v/>
          </cell>
          <cell r="AB1256">
            <v>7</v>
          </cell>
          <cell r="AC1256">
            <v>3</v>
          </cell>
          <cell r="AD1256" t="str">
            <v>DOWNGRADE</v>
          </cell>
          <cell r="AE1256" t="str">
            <v>RESET</v>
          </cell>
          <cell r="AF1256">
            <v>0</v>
          </cell>
          <cell r="AG1256">
            <v>1</v>
          </cell>
          <cell r="AH1256" t="str">
            <v>SAPHIRE</v>
          </cell>
          <cell r="AI1256">
            <v>0</v>
          </cell>
          <cell r="AJ1256" t="str">
            <v>FALSE</v>
          </cell>
          <cell r="AK1256">
            <v>0</v>
          </cell>
          <cell r="AL1256">
            <v>45261</v>
          </cell>
          <cell r="AM1256">
            <v>45701</v>
          </cell>
          <cell r="AN1256">
            <v>1</v>
          </cell>
          <cell r="AO1256">
            <v>0</v>
          </cell>
          <cell r="AP1256" t="str">
            <v>-</v>
          </cell>
          <cell r="AQ1256" t="str">
            <v>-</v>
          </cell>
          <cell r="AR1256" t="str">
            <v>-</v>
          </cell>
          <cell r="AS1256" t="str">
            <v>-</v>
          </cell>
          <cell r="AT1256" t="str">
            <v>-</v>
          </cell>
          <cell r="AU1256" t="str">
            <v>-</v>
          </cell>
          <cell r="AV1256" t="str">
            <v/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 t="str">
            <v/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 t="str">
            <v/>
          </cell>
          <cell r="BN1256">
            <v>0</v>
          </cell>
          <cell r="BO1256" t="str">
            <v/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 t="str">
            <v/>
          </cell>
          <cell r="BV1256">
            <v>0</v>
          </cell>
          <cell r="BW1256">
            <v>7</v>
          </cell>
          <cell r="BX1256" t="str">
            <v>DOWNGRADE</v>
          </cell>
          <cell r="BY1256" t="str">
            <v>RESET</v>
          </cell>
        </row>
        <row r="1257">
          <cell r="A1257" t="str">
            <v>A3557</v>
          </cell>
          <cell r="B1257" t="str">
            <v>Annisa Awwalia</v>
          </cell>
          <cell r="C1257" t="str">
            <v>TEMA C3</v>
          </cell>
          <cell r="D1257">
            <v>45323</v>
          </cell>
          <cell r="E1257" t="str">
            <v>Feb-24</v>
          </cell>
          <cell r="F1257" t="str">
            <v>-</v>
          </cell>
          <cell r="G1257" t="str">
            <v>-</v>
          </cell>
          <cell r="H1257" t="str">
            <v>REGULER</v>
          </cell>
          <cell r="I1257" t="str">
            <v>-</v>
          </cell>
          <cell r="J1257" t="str">
            <v>-</v>
          </cell>
          <cell r="K1257" t="str">
            <v>-</v>
          </cell>
          <cell r="L1257" t="str">
            <v>-</v>
          </cell>
          <cell r="M1257">
            <v>0</v>
          </cell>
          <cell r="N1257">
            <v>0</v>
          </cell>
          <cell r="O1257">
            <v>2</v>
          </cell>
          <cell r="P1257">
            <v>0</v>
          </cell>
          <cell r="Q1257">
            <v>0</v>
          </cell>
          <cell r="R1257">
            <v>0</v>
          </cell>
          <cell r="S1257" t="str">
            <v/>
          </cell>
          <cell r="T1257">
            <v>2</v>
          </cell>
          <cell r="U1257">
            <v>0</v>
          </cell>
          <cell r="V1257">
            <v>0</v>
          </cell>
          <cell r="W1257">
            <v>2</v>
          </cell>
          <cell r="X1257">
            <v>0</v>
          </cell>
          <cell r="Y1257">
            <v>0</v>
          </cell>
          <cell r="Z1257">
            <v>0</v>
          </cell>
          <cell r="AA1257" t="str">
            <v/>
          </cell>
          <cell r="AB1257">
            <v>2</v>
          </cell>
          <cell r="AC1257">
            <v>4</v>
          </cell>
          <cell r="AD1257" t="str">
            <v>DOWNGRADE</v>
          </cell>
          <cell r="AE1257" t="str">
            <v>RESET</v>
          </cell>
          <cell r="AF1257">
            <v>0</v>
          </cell>
          <cell r="AG1257">
            <v>1</v>
          </cell>
          <cell r="AH1257" t="str">
            <v>SAPHIRE</v>
          </cell>
          <cell r="AI1257">
            <v>0</v>
          </cell>
          <cell r="AJ1257" t="str">
            <v>FALSE</v>
          </cell>
          <cell r="AK1257">
            <v>0</v>
          </cell>
          <cell r="AL1257">
            <v>45261</v>
          </cell>
          <cell r="AM1257">
            <v>45701</v>
          </cell>
          <cell r="AN1257">
            <v>1</v>
          </cell>
          <cell r="AO1257">
            <v>0</v>
          </cell>
          <cell r="AP1257" t="str">
            <v>-</v>
          </cell>
          <cell r="AQ1257" t="str">
            <v>-</v>
          </cell>
          <cell r="AR1257" t="str">
            <v>-</v>
          </cell>
          <cell r="AS1257" t="str">
            <v>-</v>
          </cell>
          <cell r="AT1257" t="str">
            <v>-</v>
          </cell>
          <cell r="AU1257" t="str">
            <v>-</v>
          </cell>
          <cell r="AV1257" t="str">
            <v/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 t="str">
            <v/>
          </cell>
          <cell r="BH1257">
            <v>0</v>
          </cell>
          <cell r="BI1257">
            <v>0</v>
          </cell>
          <cell r="BJ1257">
            <v>0</v>
          </cell>
          <cell r="BK1257">
            <v>0</v>
          </cell>
          <cell r="BL1257">
            <v>0</v>
          </cell>
          <cell r="BM1257" t="str">
            <v/>
          </cell>
          <cell r="BN1257">
            <v>0</v>
          </cell>
          <cell r="BO1257" t="str">
            <v/>
          </cell>
          <cell r="BP1257">
            <v>0</v>
          </cell>
          <cell r="BQ1257">
            <v>0</v>
          </cell>
          <cell r="BR1257">
            <v>0</v>
          </cell>
          <cell r="BS1257">
            <v>0</v>
          </cell>
          <cell r="BT1257">
            <v>0</v>
          </cell>
          <cell r="BU1257" t="str">
            <v/>
          </cell>
          <cell r="BV1257">
            <v>0</v>
          </cell>
          <cell r="BW1257">
            <v>7</v>
          </cell>
          <cell r="BX1257" t="str">
            <v>DOWNGRADE</v>
          </cell>
          <cell r="BY1257" t="str">
            <v>RESET</v>
          </cell>
        </row>
        <row r="1258">
          <cell r="A1258" t="str">
            <v>A3280</v>
          </cell>
          <cell r="B1258" t="str">
            <v>Annisa Sastro</v>
          </cell>
          <cell r="C1258" t="str">
            <v>TEMA C3</v>
          </cell>
          <cell r="D1258">
            <v>45246</v>
          </cell>
          <cell r="E1258" t="str">
            <v>Nov-23</v>
          </cell>
          <cell r="F1258" t="str">
            <v>REGULER</v>
          </cell>
          <cell r="G1258" t="str">
            <v>REGULER</v>
          </cell>
          <cell r="H1258" t="str">
            <v>REGULER</v>
          </cell>
          <cell r="I1258" t="str">
            <v>-</v>
          </cell>
          <cell r="J1258" t="str">
            <v>-</v>
          </cell>
          <cell r="K1258" t="str">
            <v>-</v>
          </cell>
          <cell r="L1258" t="str">
            <v>-</v>
          </cell>
          <cell r="M1258">
            <v>11</v>
          </cell>
          <cell r="N1258">
            <v>38</v>
          </cell>
          <cell r="O1258">
            <v>17</v>
          </cell>
          <cell r="P1258">
            <v>0</v>
          </cell>
          <cell r="Q1258">
            <v>0</v>
          </cell>
          <cell r="R1258">
            <v>0</v>
          </cell>
          <cell r="S1258" t="str">
            <v/>
          </cell>
          <cell r="T1258">
            <v>66</v>
          </cell>
          <cell r="U1258">
            <v>11</v>
          </cell>
          <cell r="V1258">
            <v>38</v>
          </cell>
          <cell r="W1258">
            <v>17</v>
          </cell>
          <cell r="X1258">
            <v>0</v>
          </cell>
          <cell r="Y1258">
            <v>0</v>
          </cell>
          <cell r="Z1258">
            <v>0</v>
          </cell>
          <cell r="AA1258" t="str">
            <v/>
          </cell>
          <cell r="AB1258">
            <v>66</v>
          </cell>
          <cell r="AC1258">
            <v>4</v>
          </cell>
          <cell r="AD1258" t="str">
            <v>DOWNGRADE</v>
          </cell>
          <cell r="AE1258" t="str">
            <v>RESET</v>
          </cell>
          <cell r="AF1258">
            <v>0</v>
          </cell>
          <cell r="AG1258">
            <v>1</v>
          </cell>
          <cell r="AH1258" t="str">
            <v>SAPHIRE</v>
          </cell>
          <cell r="AI1258">
            <v>0</v>
          </cell>
          <cell r="AJ1258" t="str">
            <v>FALSE</v>
          </cell>
          <cell r="AK1258">
            <v>0</v>
          </cell>
          <cell r="AL1258">
            <v>45261</v>
          </cell>
          <cell r="AM1258">
            <v>45701</v>
          </cell>
          <cell r="AN1258">
            <v>1</v>
          </cell>
          <cell r="AO1258">
            <v>0</v>
          </cell>
          <cell r="AP1258" t="str">
            <v>-</v>
          </cell>
          <cell r="AQ1258" t="str">
            <v>-</v>
          </cell>
          <cell r="AR1258" t="str">
            <v>-</v>
          </cell>
          <cell r="AS1258" t="str">
            <v>-</v>
          </cell>
          <cell r="AT1258" t="str">
            <v>-</v>
          </cell>
          <cell r="AU1258" t="str">
            <v>-</v>
          </cell>
          <cell r="AV1258" t="str">
            <v/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 t="str">
            <v/>
          </cell>
          <cell r="BH1258">
            <v>0</v>
          </cell>
          <cell r="BI1258">
            <v>0</v>
          </cell>
          <cell r="BJ1258">
            <v>0</v>
          </cell>
          <cell r="BK1258">
            <v>0</v>
          </cell>
          <cell r="BL1258">
            <v>0</v>
          </cell>
          <cell r="BM1258" t="str">
            <v/>
          </cell>
          <cell r="BN1258">
            <v>0</v>
          </cell>
          <cell r="BO1258" t="str">
            <v/>
          </cell>
          <cell r="BP1258">
            <v>0</v>
          </cell>
          <cell r="BQ1258">
            <v>0</v>
          </cell>
          <cell r="BR1258">
            <v>0</v>
          </cell>
          <cell r="BS1258">
            <v>0</v>
          </cell>
          <cell r="BT1258">
            <v>0</v>
          </cell>
          <cell r="BU1258" t="str">
            <v/>
          </cell>
          <cell r="BV1258">
            <v>0</v>
          </cell>
          <cell r="BW1258">
            <v>7</v>
          </cell>
          <cell r="BX1258" t="str">
            <v>DOWNGRADE</v>
          </cell>
          <cell r="BY1258" t="str">
            <v>RESET</v>
          </cell>
        </row>
        <row r="1259">
          <cell r="A1259" t="str">
            <v>A0792</v>
          </cell>
          <cell r="B1259" t="str">
            <v>Apriliani Palallo Tallulembang</v>
          </cell>
          <cell r="C1259" t="str">
            <v>TEMA C3</v>
          </cell>
          <cell r="D1259">
            <v>44883</v>
          </cell>
          <cell r="E1259" t="str">
            <v>Nov-22</v>
          </cell>
          <cell r="F1259" t="str">
            <v>EKSKLUSIF</v>
          </cell>
          <cell r="G1259" t="str">
            <v>EKSKLUSIF</v>
          </cell>
          <cell r="H1259" t="str">
            <v>EKSKLUSIF</v>
          </cell>
          <cell r="I1259" t="str">
            <v>EKSKLUSIF</v>
          </cell>
          <cell r="J1259" t="str">
            <v>EKSKLUSIF</v>
          </cell>
          <cell r="K1259" t="str">
            <v>EKSKLUSIF</v>
          </cell>
          <cell r="L1259" t="str">
            <v>EKSKLUSIF</v>
          </cell>
          <cell r="M1259">
            <v>16</v>
          </cell>
          <cell r="N1259">
            <v>40</v>
          </cell>
          <cell r="O1259">
            <v>36</v>
          </cell>
          <cell r="P1259">
            <v>33</v>
          </cell>
          <cell r="Q1259">
            <v>31</v>
          </cell>
          <cell r="R1259">
            <v>39</v>
          </cell>
          <cell r="S1259">
            <v>18</v>
          </cell>
          <cell r="T1259">
            <v>213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 t="str">
            <v>TIDAK</v>
          </cell>
          <cell r="AE1259" t="str">
            <v>TIDAK</v>
          </cell>
          <cell r="AF1259">
            <v>0</v>
          </cell>
          <cell r="AG1259">
            <v>2</v>
          </cell>
          <cell r="AH1259" t="str">
            <v>SAPHIRE</v>
          </cell>
          <cell r="AI1259">
            <v>0</v>
          </cell>
          <cell r="AJ1259" t="str">
            <v>FALSE</v>
          </cell>
          <cell r="AK1259">
            <v>0</v>
          </cell>
          <cell r="AL1259">
            <v>45261</v>
          </cell>
          <cell r="AM1259">
            <v>45701</v>
          </cell>
          <cell r="AN1259">
            <v>1</v>
          </cell>
          <cell r="AO1259">
            <v>0</v>
          </cell>
          <cell r="AP1259" t="str">
            <v>EKSKLUSIF</v>
          </cell>
          <cell r="AQ1259" t="str">
            <v>-</v>
          </cell>
          <cell r="AR1259" t="str">
            <v>-</v>
          </cell>
          <cell r="AS1259" t="str">
            <v>-</v>
          </cell>
          <cell r="AT1259" t="str">
            <v>-</v>
          </cell>
          <cell r="AU1259" t="str">
            <v>-</v>
          </cell>
          <cell r="AV1259" t="str">
            <v/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16</v>
          </cell>
          <cell r="BH1259">
            <v>0</v>
          </cell>
          <cell r="BI1259">
            <v>0</v>
          </cell>
          <cell r="BJ1259">
            <v>0</v>
          </cell>
          <cell r="BK1259">
            <v>0</v>
          </cell>
          <cell r="BL1259">
            <v>0</v>
          </cell>
          <cell r="BM1259" t="str">
            <v/>
          </cell>
          <cell r="BN1259">
            <v>16</v>
          </cell>
          <cell r="BO1259">
            <v>0</v>
          </cell>
          <cell r="BP1259">
            <v>0</v>
          </cell>
          <cell r="BQ1259">
            <v>0</v>
          </cell>
          <cell r="BR1259">
            <v>0</v>
          </cell>
          <cell r="BS1259">
            <v>0</v>
          </cell>
          <cell r="BT1259">
            <v>0</v>
          </cell>
          <cell r="BU1259" t="str">
            <v/>
          </cell>
          <cell r="BV1259">
            <v>0</v>
          </cell>
          <cell r="BW1259">
            <v>6</v>
          </cell>
          <cell r="BX1259" t="str">
            <v>DOWNGRADE</v>
          </cell>
          <cell r="BY1259" t="str">
            <v>RESET</v>
          </cell>
        </row>
        <row r="1260">
          <cell r="A1260" t="str">
            <v>A2308</v>
          </cell>
          <cell r="B1260" t="str">
            <v>Ayu Tri Astutik</v>
          </cell>
          <cell r="C1260" t="str">
            <v>TEMA C3</v>
          </cell>
          <cell r="D1260">
            <v>45152</v>
          </cell>
          <cell r="E1260" t="str">
            <v>Aug-23</v>
          </cell>
          <cell r="F1260" t="str">
            <v>REGULER</v>
          </cell>
          <cell r="G1260" t="str">
            <v>EKSKLUSIF</v>
          </cell>
          <cell r="H1260" t="str">
            <v>EKSKLUSIF</v>
          </cell>
          <cell r="I1260" t="str">
            <v>EKSKLUSIF</v>
          </cell>
          <cell r="J1260" t="str">
            <v>REGULER</v>
          </cell>
          <cell r="K1260" t="str">
            <v>EKSKLUSIF</v>
          </cell>
          <cell r="L1260" t="str">
            <v>EKSKLUSIF</v>
          </cell>
          <cell r="M1260">
            <v>18</v>
          </cell>
          <cell r="N1260">
            <v>41</v>
          </cell>
          <cell r="O1260">
            <v>38</v>
          </cell>
          <cell r="P1260">
            <v>38</v>
          </cell>
          <cell r="Q1260">
            <v>26</v>
          </cell>
          <cell r="R1260">
            <v>38</v>
          </cell>
          <cell r="S1260">
            <v>1715</v>
          </cell>
          <cell r="T1260">
            <v>1914</v>
          </cell>
          <cell r="U1260">
            <v>18</v>
          </cell>
          <cell r="V1260">
            <v>0</v>
          </cell>
          <cell r="W1260">
            <v>0</v>
          </cell>
          <cell r="X1260">
            <v>0</v>
          </cell>
          <cell r="Y1260">
            <v>26</v>
          </cell>
          <cell r="Z1260">
            <v>0</v>
          </cell>
          <cell r="AA1260">
            <v>0</v>
          </cell>
          <cell r="AB1260">
            <v>44</v>
          </cell>
          <cell r="AC1260">
            <v>0</v>
          </cell>
          <cell r="AD1260" t="str">
            <v>TIDAK</v>
          </cell>
          <cell r="AE1260" t="str">
            <v>TIDAK</v>
          </cell>
          <cell r="AF1260">
            <v>44</v>
          </cell>
          <cell r="AG1260">
            <v>2</v>
          </cell>
          <cell r="AH1260" t="str">
            <v>SAPHIRE</v>
          </cell>
          <cell r="AI1260">
            <v>0</v>
          </cell>
          <cell r="AJ1260" t="str">
            <v>FALSE</v>
          </cell>
          <cell r="AK1260">
            <v>0</v>
          </cell>
          <cell r="AL1260">
            <v>45261</v>
          </cell>
          <cell r="AM1260">
            <v>45701</v>
          </cell>
          <cell r="AN1260">
            <v>1</v>
          </cell>
          <cell r="AO1260">
            <v>44</v>
          </cell>
          <cell r="AP1260" t="str">
            <v>EKSKLUSIF</v>
          </cell>
          <cell r="AQ1260" t="str">
            <v>-</v>
          </cell>
          <cell r="AR1260" t="str">
            <v>REGULER</v>
          </cell>
          <cell r="AS1260" t="str">
            <v>REGULER</v>
          </cell>
          <cell r="AT1260" t="str">
            <v>REGULER</v>
          </cell>
          <cell r="AU1260" t="str">
            <v>REGULER</v>
          </cell>
          <cell r="AV1260" t="str">
            <v/>
          </cell>
          <cell r="AW1260">
            <v>40</v>
          </cell>
          <cell r="AX1260">
            <v>20</v>
          </cell>
          <cell r="AY1260">
            <v>43</v>
          </cell>
          <cell r="AZ1260">
            <v>49</v>
          </cell>
          <cell r="BA1260">
            <v>41</v>
          </cell>
          <cell r="BB1260">
            <v>40</v>
          </cell>
          <cell r="BC1260">
            <v>20</v>
          </cell>
          <cell r="BD1260">
            <v>43</v>
          </cell>
          <cell r="BE1260">
            <v>49</v>
          </cell>
          <cell r="BF1260">
            <v>41</v>
          </cell>
          <cell r="BG1260">
            <v>18</v>
          </cell>
          <cell r="BH1260">
            <v>40</v>
          </cell>
          <cell r="BI1260">
            <v>20</v>
          </cell>
          <cell r="BJ1260">
            <v>43</v>
          </cell>
          <cell r="BK1260">
            <v>49</v>
          </cell>
          <cell r="BL1260">
            <v>41</v>
          </cell>
          <cell r="BM1260">
            <v>20</v>
          </cell>
          <cell r="BN1260">
            <v>231</v>
          </cell>
          <cell r="BO1260">
            <v>0</v>
          </cell>
          <cell r="BP1260">
            <v>40</v>
          </cell>
          <cell r="BQ1260">
            <v>20</v>
          </cell>
          <cell r="BR1260">
            <v>43</v>
          </cell>
          <cell r="BS1260">
            <v>49</v>
          </cell>
          <cell r="BT1260">
            <v>41</v>
          </cell>
          <cell r="BU1260">
            <v>20</v>
          </cell>
          <cell r="BV1260">
            <v>213</v>
          </cell>
          <cell r="BW1260">
            <v>0</v>
          </cell>
          <cell r="BX1260" t="str">
            <v>TIDAK</v>
          </cell>
          <cell r="BY1260" t="str">
            <v>TIDAK</v>
          </cell>
        </row>
        <row r="1261">
          <cell r="A1261" t="str">
            <v>A0379</v>
          </cell>
          <cell r="B1261" t="str">
            <v>Bondan Setiawan</v>
          </cell>
          <cell r="C1261" t="str">
            <v>TEMA C3</v>
          </cell>
          <cell r="D1261">
            <v>45369</v>
          </cell>
          <cell r="E1261" t="str">
            <v>Mar-24</v>
          </cell>
          <cell r="F1261" t="str">
            <v>-</v>
          </cell>
          <cell r="G1261" t="str">
            <v>-</v>
          </cell>
          <cell r="H1261" t="str">
            <v>-</v>
          </cell>
          <cell r="I1261" t="str">
            <v>REGULER</v>
          </cell>
          <cell r="J1261" t="str">
            <v>REGULER</v>
          </cell>
          <cell r="K1261" t="str">
            <v>REGULER</v>
          </cell>
          <cell r="L1261" t="str">
            <v>REGULER</v>
          </cell>
          <cell r="M1261">
            <v>0</v>
          </cell>
          <cell r="N1261">
            <v>0</v>
          </cell>
          <cell r="O1261">
            <v>0</v>
          </cell>
          <cell r="P1261">
            <v>4</v>
          </cell>
          <cell r="Q1261">
            <v>8</v>
          </cell>
          <cell r="R1261">
            <v>9</v>
          </cell>
          <cell r="S1261">
            <v>10</v>
          </cell>
          <cell r="T1261">
            <v>31</v>
          </cell>
          <cell r="U1261">
            <v>0</v>
          </cell>
          <cell r="V1261">
            <v>0</v>
          </cell>
          <cell r="W1261">
            <v>0</v>
          </cell>
          <cell r="X1261">
            <v>4</v>
          </cell>
          <cell r="Y1261">
            <v>8</v>
          </cell>
          <cell r="Z1261">
            <v>9</v>
          </cell>
          <cell r="AA1261">
            <v>10</v>
          </cell>
          <cell r="AB1261">
            <v>31</v>
          </cell>
          <cell r="AC1261">
            <v>0</v>
          </cell>
          <cell r="AD1261" t="str">
            <v>TIDAK</v>
          </cell>
          <cell r="AE1261" t="str">
            <v>TIDAK</v>
          </cell>
          <cell r="AF1261">
            <v>31</v>
          </cell>
          <cell r="AG1261">
            <v>1</v>
          </cell>
          <cell r="AH1261" t="str">
            <v>SAPHIRE</v>
          </cell>
          <cell r="AI1261">
            <v>0</v>
          </cell>
          <cell r="AJ1261" t="str">
            <v>FALSE</v>
          </cell>
          <cell r="AK1261">
            <v>0</v>
          </cell>
          <cell r="AL1261">
            <v>45261</v>
          </cell>
          <cell r="AM1261">
            <v>45701</v>
          </cell>
          <cell r="AN1261">
            <v>1</v>
          </cell>
          <cell r="AO1261">
            <v>31</v>
          </cell>
          <cell r="AP1261" t="str">
            <v>-</v>
          </cell>
          <cell r="AQ1261" t="str">
            <v>-</v>
          </cell>
          <cell r="AR1261" t="str">
            <v>-</v>
          </cell>
          <cell r="AS1261" t="str">
            <v>-</v>
          </cell>
          <cell r="AT1261" t="str">
            <v>-</v>
          </cell>
          <cell r="AU1261" t="str">
            <v>-</v>
          </cell>
          <cell r="AV1261" t="str">
            <v/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10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1</v>
          </cell>
          <cell r="BH1261">
            <v>10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 t="str">
            <v/>
          </cell>
          <cell r="BN1261">
            <v>11</v>
          </cell>
          <cell r="BO1261">
            <v>1</v>
          </cell>
          <cell r="BP1261">
            <v>10</v>
          </cell>
          <cell r="BQ1261">
            <v>0</v>
          </cell>
          <cell r="BR1261">
            <v>0</v>
          </cell>
          <cell r="BS1261">
            <v>0</v>
          </cell>
          <cell r="BT1261">
            <v>0</v>
          </cell>
          <cell r="BU1261" t="str">
            <v/>
          </cell>
          <cell r="BV1261">
            <v>11</v>
          </cell>
          <cell r="BW1261">
            <v>5</v>
          </cell>
          <cell r="BX1261" t="str">
            <v>DOWNGRADE</v>
          </cell>
          <cell r="BY1261" t="str">
            <v>RESET</v>
          </cell>
        </row>
        <row r="1262">
          <cell r="A1262" t="str">
            <v>A2317</v>
          </cell>
          <cell r="B1262" t="str">
            <v>Cicillia Yossy</v>
          </cell>
          <cell r="C1262" t="str">
            <v>TEMA C3</v>
          </cell>
          <cell r="D1262">
            <v>45170</v>
          </cell>
          <cell r="E1262" t="str">
            <v>Sep-23</v>
          </cell>
          <cell r="F1262" t="str">
            <v>REGULER</v>
          </cell>
          <cell r="G1262" t="str">
            <v>REGULER</v>
          </cell>
          <cell r="H1262" t="str">
            <v>REGULER</v>
          </cell>
          <cell r="I1262" t="str">
            <v>REGULER</v>
          </cell>
          <cell r="J1262" t="str">
            <v>REGULER</v>
          </cell>
          <cell r="K1262" t="str">
            <v>REGULER</v>
          </cell>
          <cell r="L1262" t="str">
            <v>REGULER</v>
          </cell>
          <cell r="M1262">
            <v>3</v>
          </cell>
          <cell r="N1262">
            <v>5</v>
          </cell>
          <cell r="O1262">
            <v>9</v>
          </cell>
          <cell r="P1262">
            <v>11</v>
          </cell>
          <cell r="Q1262">
            <v>11</v>
          </cell>
          <cell r="R1262">
            <v>21</v>
          </cell>
          <cell r="S1262">
            <v>6</v>
          </cell>
          <cell r="T1262">
            <v>66</v>
          </cell>
          <cell r="U1262">
            <v>3</v>
          </cell>
          <cell r="V1262">
            <v>5</v>
          </cell>
          <cell r="W1262">
            <v>9</v>
          </cell>
          <cell r="X1262">
            <v>11</v>
          </cell>
          <cell r="Y1262">
            <v>11</v>
          </cell>
          <cell r="Z1262">
            <v>21</v>
          </cell>
          <cell r="AA1262">
            <v>6</v>
          </cell>
          <cell r="AB1262">
            <v>66</v>
          </cell>
          <cell r="AC1262">
            <v>0</v>
          </cell>
          <cell r="AD1262" t="str">
            <v>TIDAK</v>
          </cell>
          <cell r="AE1262" t="str">
            <v>TIDAK</v>
          </cell>
          <cell r="AF1262">
            <v>66</v>
          </cell>
          <cell r="AG1262">
            <v>1</v>
          </cell>
          <cell r="AH1262" t="str">
            <v>SAPHIRE</v>
          </cell>
          <cell r="AI1262">
            <v>0</v>
          </cell>
          <cell r="AJ1262" t="str">
            <v>Y</v>
          </cell>
          <cell r="AK1262">
            <v>0</v>
          </cell>
          <cell r="AL1262">
            <v>45261</v>
          </cell>
          <cell r="AM1262">
            <v>45701</v>
          </cell>
          <cell r="AN1262">
            <v>1</v>
          </cell>
          <cell r="AO1262">
            <v>66</v>
          </cell>
          <cell r="AP1262" t="str">
            <v>-</v>
          </cell>
          <cell r="AQ1262" t="str">
            <v>-</v>
          </cell>
          <cell r="AR1262" t="str">
            <v>-</v>
          </cell>
          <cell r="AS1262" t="str">
            <v>REGULER</v>
          </cell>
          <cell r="AT1262" t="str">
            <v>-</v>
          </cell>
          <cell r="AU1262" t="str">
            <v>REGULER</v>
          </cell>
          <cell r="AV1262" t="str">
            <v/>
          </cell>
          <cell r="AW1262">
            <v>0</v>
          </cell>
          <cell r="AX1262">
            <v>0</v>
          </cell>
          <cell r="AY1262">
            <v>4</v>
          </cell>
          <cell r="AZ1262">
            <v>0</v>
          </cell>
          <cell r="BA1262">
            <v>41</v>
          </cell>
          <cell r="BB1262">
            <v>0</v>
          </cell>
          <cell r="BC1262">
            <v>0</v>
          </cell>
          <cell r="BD1262">
            <v>4</v>
          </cell>
          <cell r="BE1262">
            <v>0</v>
          </cell>
          <cell r="BF1262">
            <v>41</v>
          </cell>
          <cell r="BG1262" t="str">
            <v/>
          </cell>
          <cell r="BH1262">
            <v>0</v>
          </cell>
          <cell r="BI1262">
            <v>0</v>
          </cell>
          <cell r="BJ1262">
            <v>4</v>
          </cell>
          <cell r="BK1262">
            <v>0</v>
          </cell>
          <cell r="BL1262">
            <v>41</v>
          </cell>
          <cell r="BM1262">
            <v>21</v>
          </cell>
          <cell r="BN1262">
            <v>66</v>
          </cell>
          <cell r="BO1262" t="str">
            <v/>
          </cell>
          <cell r="BP1262">
            <v>0</v>
          </cell>
          <cell r="BQ1262">
            <v>0</v>
          </cell>
          <cell r="BR1262">
            <v>4</v>
          </cell>
          <cell r="BS1262">
            <v>0</v>
          </cell>
          <cell r="BT1262">
            <v>41</v>
          </cell>
          <cell r="BU1262">
            <v>21</v>
          </cell>
          <cell r="BV1262">
            <v>66</v>
          </cell>
          <cell r="BW1262">
            <v>4</v>
          </cell>
          <cell r="BX1262" t="str">
            <v>DOWNGRADE</v>
          </cell>
          <cell r="BY1262" t="str">
            <v>RESET</v>
          </cell>
        </row>
        <row r="1263">
          <cell r="A1263" t="str">
            <v>A3949</v>
          </cell>
          <cell r="B1263" t="str">
            <v>Cintia Kristia Cintia Kristia Sitindaon</v>
          </cell>
          <cell r="C1263" t="str">
            <v>TEMA C3</v>
          </cell>
          <cell r="D1263">
            <v>45384</v>
          </cell>
          <cell r="E1263" t="str">
            <v>Apr-24</v>
          </cell>
          <cell r="F1263" t="str">
            <v>-</v>
          </cell>
          <cell r="G1263" t="str">
            <v>-</v>
          </cell>
          <cell r="H1263" t="str">
            <v>-</v>
          </cell>
          <cell r="I1263" t="str">
            <v>-</v>
          </cell>
          <cell r="J1263" t="str">
            <v>REGULER</v>
          </cell>
          <cell r="K1263" t="str">
            <v>REGULER</v>
          </cell>
          <cell r="L1263" t="str">
            <v>REGULER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7</v>
          </cell>
          <cell r="R1263">
            <v>6</v>
          </cell>
          <cell r="S1263">
            <v>10</v>
          </cell>
          <cell r="T1263">
            <v>23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7</v>
          </cell>
          <cell r="Z1263">
            <v>6</v>
          </cell>
          <cell r="AA1263">
            <v>10</v>
          </cell>
          <cell r="AB1263">
            <v>23</v>
          </cell>
          <cell r="AC1263">
            <v>0</v>
          </cell>
          <cell r="AD1263" t="str">
            <v>TIDAK</v>
          </cell>
          <cell r="AE1263" t="str">
            <v>TIDAK</v>
          </cell>
          <cell r="AF1263">
            <v>23</v>
          </cell>
          <cell r="AG1263">
            <v>1</v>
          </cell>
          <cell r="AH1263" t="str">
            <v>SAPHIRE</v>
          </cell>
          <cell r="AI1263">
            <v>0</v>
          </cell>
          <cell r="AJ1263" t="str">
            <v>FALSE</v>
          </cell>
          <cell r="AK1263">
            <v>0</v>
          </cell>
          <cell r="AL1263">
            <v>45261</v>
          </cell>
          <cell r="AM1263">
            <v>45701</v>
          </cell>
          <cell r="AN1263">
            <v>1</v>
          </cell>
          <cell r="AO1263">
            <v>23</v>
          </cell>
          <cell r="AP1263" t="str">
            <v>-</v>
          </cell>
          <cell r="AQ1263" t="str">
            <v>-</v>
          </cell>
          <cell r="AR1263" t="str">
            <v>-</v>
          </cell>
          <cell r="AS1263" t="str">
            <v>-</v>
          </cell>
          <cell r="AT1263" t="str">
            <v>-</v>
          </cell>
          <cell r="AU1263" t="str">
            <v>-</v>
          </cell>
          <cell r="AV1263" t="str">
            <v/>
          </cell>
          <cell r="AW1263">
            <v>10</v>
          </cell>
          <cell r="AX1263">
            <v>0</v>
          </cell>
          <cell r="AY1263">
            <v>0</v>
          </cell>
          <cell r="AZ1263">
            <v>0</v>
          </cell>
          <cell r="BA1263" t="str">
            <v/>
          </cell>
          <cell r="BB1263">
            <v>10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5</v>
          </cell>
          <cell r="BH1263">
            <v>10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 t="str">
            <v/>
          </cell>
          <cell r="BN1263">
            <v>15</v>
          </cell>
          <cell r="BO1263">
            <v>5</v>
          </cell>
          <cell r="BP1263">
            <v>10</v>
          </cell>
          <cell r="BQ1263">
            <v>0</v>
          </cell>
          <cell r="BR1263">
            <v>0</v>
          </cell>
          <cell r="BS1263">
            <v>0</v>
          </cell>
          <cell r="BT1263">
            <v>0</v>
          </cell>
          <cell r="BU1263" t="str">
            <v/>
          </cell>
          <cell r="BV1263">
            <v>15</v>
          </cell>
          <cell r="BW1263">
            <v>5</v>
          </cell>
          <cell r="BX1263" t="str">
            <v>DOWNGRADE</v>
          </cell>
          <cell r="BY1263" t="str">
            <v>RESET</v>
          </cell>
        </row>
        <row r="1264">
          <cell r="A1264" t="str">
            <v>A2045</v>
          </cell>
          <cell r="B1264" t="str">
            <v>Devi Oktaviani</v>
          </cell>
          <cell r="C1264" t="str">
            <v>TEMA C3</v>
          </cell>
          <cell r="D1264">
            <v>45036</v>
          </cell>
          <cell r="E1264" t="str">
            <v>Apr-23</v>
          </cell>
          <cell r="F1264" t="str">
            <v>EKSKLUSIF</v>
          </cell>
          <cell r="G1264" t="str">
            <v>EKSKLUSIF</v>
          </cell>
          <cell r="H1264" t="str">
            <v>EKSKLUSIF</v>
          </cell>
          <cell r="I1264" t="str">
            <v>EKSKLUSIF</v>
          </cell>
          <cell r="J1264" t="str">
            <v>EKSKLUSIF</v>
          </cell>
          <cell r="K1264" t="str">
            <v>EKSKLUSIF</v>
          </cell>
          <cell r="L1264" t="str">
            <v>EKSKLUSIF</v>
          </cell>
          <cell r="M1264">
            <v>17</v>
          </cell>
          <cell r="N1264">
            <v>41</v>
          </cell>
          <cell r="O1264">
            <v>33</v>
          </cell>
          <cell r="P1264">
            <v>31</v>
          </cell>
          <cell r="Q1264">
            <v>32</v>
          </cell>
          <cell r="R1264">
            <v>36</v>
          </cell>
          <cell r="S1264">
            <v>1270</v>
          </cell>
          <cell r="T1264">
            <v>1460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 t="str">
            <v>TIDAK</v>
          </cell>
          <cell r="AE1264" t="str">
            <v>TIDAK</v>
          </cell>
          <cell r="AF1264">
            <v>0</v>
          </cell>
          <cell r="AG1264">
            <v>1</v>
          </cell>
          <cell r="AH1264" t="str">
            <v>SAPHIRE</v>
          </cell>
          <cell r="AI1264">
            <v>0</v>
          </cell>
          <cell r="AJ1264" t="str">
            <v>FALSE</v>
          </cell>
          <cell r="AK1264">
            <v>0</v>
          </cell>
          <cell r="AL1264">
            <v>45261</v>
          </cell>
          <cell r="AM1264">
            <v>45701</v>
          </cell>
          <cell r="AN1264">
            <v>1</v>
          </cell>
          <cell r="AO1264">
            <v>0</v>
          </cell>
          <cell r="AP1264" t="str">
            <v>EKSKLUSIF</v>
          </cell>
          <cell r="AQ1264" t="str">
            <v>-</v>
          </cell>
          <cell r="AR1264" t="str">
            <v>REGULER</v>
          </cell>
          <cell r="AS1264" t="str">
            <v>REGULER</v>
          </cell>
          <cell r="AT1264" t="str">
            <v>-</v>
          </cell>
          <cell r="AU1264" t="str">
            <v>REGULER</v>
          </cell>
          <cell r="AV1264" t="str">
            <v/>
          </cell>
          <cell r="AW1264">
            <v>44</v>
          </cell>
          <cell r="AX1264">
            <v>38</v>
          </cell>
          <cell r="AY1264">
            <v>31</v>
          </cell>
          <cell r="AZ1264">
            <v>31</v>
          </cell>
          <cell r="BA1264">
            <v>42</v>
          </cell>
          <cell r="BB1264">
            <v>44</v>
          </cell>
          <cell r="BC1264">
            <v>38</v>
          </cell>
          <cell r="BD1264">
            <v>31</v>
          </cell>
          <cell r="BE1264">
            <v>31</v>
          </cell>
          <cell r="BF1264">
            <v>21</v>
          </cell>
          <cell r="BG1264">
            <v>16</v>
          </cell>
          <cell r="BH1264">
            <v>44</v>
          </cell>
          <cell r="BI1264">
            <v>38</v>
          </cell>
          <cell r="BJ1264">
            <v>31</v>
          </cell>
          <cell r="BK1264">
            <v>31</v>
          </cell>
          <cell r="BL1264">
            <v>42</v>
          </cell>
          <cell r="BM1264">
            <v>21</v>
          </cell>
          <cell r="BN1264">
            <v>223</v>
          </cell>
          <cell r="BO1264">
            <v>0</v>
          </cell>
          <cell r="BP1264">
            <v>44</v>
          </cell>
          <cell r="BQ1264">
            <v>38</v>
          </cell>
          <cell r="BR1264">
            <v>31</v>
          </cell>
          <cell r="BS1264">
            <v>31</v>
          </cell>
          <cell r="BT1264">
            <v>42</v>
          </cell>
          <cell r="BU1264">
            <v>21</v>
          </cell>
          <cell r="BV1264">
            <v>207</v>
          </cell>
          <cell r="BW1264">
            <v>0</v>
          </cell>
          <cell r="BX1264" t="str">
            <v>TIDAK</v>
          </cell>
          <cell r="BY1264" t="str">
            <v>TIDAK</v>
          </cell>
        </row>
        <row r="1265">
          <cell r="A1265" t="str">
            <v>A3486</v>
          </cell>
          <cell r="B1265" t="str">
            <v>Dewi Anggita</v>
          </cell>
          <cell r="C1265" t="str">
            <v>TEMA C3</v>
          </cell>
          <cell r="D1265">
            <v>45278</v>
          </cell>
          <cell r="E1265" t="str">
            <v>Dec-23</v>
          </cell>
          <cell r="F1265" t="str">
            <v>REGULER</v>
          </cell>
          <cell r="G1265" t="str">
            <v>REGULER</v>
          </cell>
          <cell r="H1265" t="str">
            <v>REGULER</v>
          </cell>
          <cell r="I1265" t="str">
            <v>REGULER</v>
          </cell>
          <cell r="J1265" t="str">
            <v>REGULER</v>
          </cell>
          <cell r="K1265" t="str">
            <v>REGULER</v>
          </cell>
          <cell r="L1265" t="str">
            <v>-</v>
          </cell>
          <cell r="M1265">
            <v>17</v>
          </cell>
          <cell r="N1265">
            <v>38</v>
          </cell>
          <cell r="O1265">
            <v>27</v>
          </cell>
          <cell r="P1265">
            <v>2</v>
          </cell>
          <cell r="Q1265">
            <v>1</v>
          </cell>
          <cell r="R1265">
            <v>13</v>
          </cell>
          <cell r="S1265" t="str">
            <v/>
          </cell>
          <cell r="T1265">
            <v>98</v>
          </cell>
          <cell r="U1265">
            <v>17</v>
          </cell>
          <cell r="V1265">
            <v>38</v>
          </cell>
          <cell r="W1265">
            <v>27</v>
          </cell>
          <cell r="X1265">
            <v>2</v>
          </cell>
          <cell r="Y1265">
            <v>1</v>
          </cell>
          <cell r="Z1265">
            <v>13</v>
          </cell>
          <cell r="AA1265" t="str">
            <v/>
          </cell>
          <cell r="AB1265">
            <v>98</v>
          </cell>
          <cell r="AC1265">
            <v>1</v>
          </cell>
          <cell r="AD1265" t="str">
            <v>TIDAK</v>
          </cell>
          <cell r="AE1265" t="str">
            <v>TIDAK</v>
          </cell>
          <cell r="AF1265">
            <v>98</v>
          </cell>
          <cell r="AG1265">
            <v>1</v>
          </cell>
          <cell r="AH1265" t="str">
            <v>SAPHIRE</v>
          </cell>
          <cell r="AI1265">
            <v>0</v>
          </cell>
          <cell r="AJ1265" t="str">
            <v>Y</v>
          </cell>
          <cell r="AK1265">
            <v>0</v>
          </cell>
          <cell r="AL1265">
            <v>45261</v>
          </cell>
          <cell r="AM1265">
            <v>45701</v>
          </cell>
          <cell r="AN1265">
            <v>1</v>
          </cell>
          <cell r="AO1265">
            <v>98</v>
          </cell>
          <cell r="AP1265" t="str">
            <v>-</v>
          </cell>
          <cell r="AQ1265" t="str">
            <v>-</v>
          </cell>
          <cell r="AR1265" t="str">
            <v>-</v>
          </cell>
          <cell r="AS1265" t="str">
            <v>-</v>
          </cell>
          <cell r="AT1265" t="str">
            <v>-</v>
          </cell>
          <cell r="AU1265" t="str">
            <v>-</v>
          </cell>
          <cell r="AV1265" t="str">
            <v/>
          </cell>
          <cell r="AW1265">
            <v>11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11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5</v>
          </cell>
          <cell r="BH1265">
            <v>11</v>
          </cell>
          <cell r="BI1265">
            <v>0</v>
          </cell>
          <cell r="BJ1265">
            <v>0</v>
          </cell>
          <cell r="BK1265">
            <v>0</v>
          </cell>
          <cell r="BL1265">
            <v>0</v>
          </cell>
          <cell r="BM1265" t="str">
            <v/>
          </cell>
          <cell r="BN1265">
            <v>16</v>
          </cell>
          <cell r="BO1265">
            <v>5</v>
          </cell>
          <cell r="BP1265">
            <v>11</v>
          </cell>
          <cell r="BQ1265">
            <v>0</v>
          </cell>
          <cell r="BR1265">
            <v>0</v>
          </cell>
          <cell r="BS1265">
            <v>0</v>
          </cell>
          <cell r="BT1265">
            <v>0</v>
          </cell>
          <cell r="BU1265" t="str">
            <v/>
          </cell>
          <cell r="BV1265">
            <v>16</v>
          </cell>
          <cell r="BW1265">
            <v>5</v>
          </cell>
          <cell r="BX1265" t="str">
            <v>DOWNGRADE</v>
          </cell>
          <cell r="BY1265" t="str">
            <v>RESET</v>
          </cell>
        </row>
        <row r="1266">
          <cell r="A1266" t="str">
            <v>A0482</v>
          </cell>
          <cell r="B1266" t="str">
            <v>Dhea Risna</v>
          </cell>
          <cell r="C1266" t="str">
            <v>TEMA C3</v>
          </cell>
          <cell r="D1266">
            <v>45225</v>
          </cell>
          <cell r="E1266" t="str">
            <v>Oct-23</v>
          </cell>
          <cell r="F1266" t="str">
            <v>REGULER</v>
          </cell>
          <cell r="G1266" t="str">
            <v>REGULER</v>
          </cell>
          <cell r="H1266" t="str">
            <v>REGULER</v>
          </cell>
          <cell r="I1266" t="str">
            <v>-</v>
          </cell>
          <cell r="J1266" t="str">
            <v>-</v>
          </cell>
          <cell r="K1266" t="str">
            <v>-</v>
          </cell>
          <cell r="L1266" t="str">
            <v>-</v>
          </cell>
          <cell r="M1266">
            <v>0</v>
          </cell>
          <cell r="N1266">
            <v>9</v>
          </cell>
          <cell r="O1266">
            <v>23</v>
          </cell>
          <cell r="P1266">
            <v>0</v>
          </cell>
          <cell r="Q1266">
            <v>0</v>
          </cell>
          <cell r="R1266">
            <v>0</v>
          </cell>
          <cell r="S1266" t="str">
            <v/>
          </cell>
          <cell r="T1266">
            <v>32</v>
          </cell>
          <cell r="U1266">
            <v>0</v>
          </cell>
          <cell r="V1266">
            <v>9</v>
          </cell>
          <cell r="W1266">
            <v>23</v>
          </cell>
          <cell r="X1266">
            <v>0</v>
          </cell>
          <cell r="Y1266">
            <v>0</v>
          </cell>
          <cell r="Z1266">
            <v>0</v>
          </cell>
          <cell r="AA1266" t="str">
            <v/>
          </cell>
          <cell r="AB1266">
            <v>32</v>
          </cell>
          <cell r="AC1266">
            <v>5</v>
          </cell>
          <cell r="AD1266" t="str">
            <v>DOWNGRADE</v>
          </cell>
          <cell r="AE1266" t="str">
            <v>RESET</v>
          </cell>
          <cell r="AF1266">
            <v>0</v>
          </cell>
          <cell r="AG1266">
            <v>1</v>
          </cell>
          <cell r="AH1266" t="str">
            <v>SAPHIRE</v>
          </cell>
          <cell r="AI1266">
            <v>0</v>
          </cell>
          <cell r="AJ1266" t="str">
            <v>FALSE</v>
          </cell>
          <cell r="AK1266">
            <v>0</v>
          </cell>
          <cell r="AL1266">
            <v>45261</v>
          </cell>
          <cell r="AM1266">
            <v>45701</v>
          </cell>
          <cell r="AN1266">
            <v>1</v>
          </cell>
          <cell r="AO1266">
            <v>0</v>
          </cell>
          <cell r="AP1266" t="str">
            <v>-</v>
          </cell>
          <cell r="AQ1266" t="str">
            <v>-</v>
          </cell>
          <cell r="AR1266" t="str">
            <v>-</v>
          </cell>
          <cell r="AS1266" t="str">
            <v>-</v>
          </cell>
          <cell r="AT1266" t="str">
            <v>-</v>
          </cell>
          <cell r="AU1266" t="str">
            <v>-</v>
          </cell>
          <cell r="AV1266" t="str">
            <v/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 t="str">
            <v/>
          </cell>
          <cell r="BH1266">
            <v>0</v>
          </cell>
          <cell r="BI1266">
            <v>0</v>
          </cell>
          <cell r="BJ1266">
            <v>0</v>
          </cell>
          <cell r="BK1266">
            <v>0</v>
          </cell>
          <cell r="BL1266">
            <v>0</v>
          </cell>
          <cell r="BM1266" t="str">
            <v/>
          </cell>
          <cell r="BN1266">
            <v>0</v>
          </cell>
          <cell r="BO1266" t="str">
            <v/>
          </cell>
          <cell r="BP1266">
            <v>0</v>
          </cell>
          <cell r="BQ1266">
            <v>0</v>
          </cell>
          <cell r="BR1266">
            <v>0</v>
          </cell>
          <cell r="BS1266">
            <v>0</v>
          </cell>
          <cell r="BT1266">
            <v>0</v>
          </cell>
          <cell r="BU1266" t="str">
            <v/>
          </cell>
          <cell r="BV1266">
            <v>0</v>
          </cell>
          <cell r="BW1266">
            <v>7</v>
          </cell>
          <cell r="BX1266" t="str">
            <v>DOWNGRADE</v>
          </cell>
          <cell r="BY1266" t="str">
            <v>RESET</v>
          </cell>
        </row>
        <row r="1267">
          <cell r="A1267" t="str">
            <v>A2613</v>
          </cell>
          <cell r="B1267" t="str">
            <v>Dhei Klaudiya</v>
          </cell>
          <cell r="C1267" t="str">
            <v>TEMA C3</v>
          </cell>
          <cell r="D1267">
            <v>45139</v>
          </cell>
          <cell r="E1267" t="str">
            <v>Aug-23</v>
          </cell>
          <cell r="F1267" t="str">
            <v>EKSKLUSIF</v>
          </cell>
          <cell r="G1267" t="str">
            <v>EKSKLUSIF</v>
          </cell>
          <cell r="H1267" t="str">
            <v>EKSKLUSIF</v>
          </cell>
          <cell r="I1267" t="str">
            <v>REGULER</v>
          </cell>
          <cell r="J1267" t="str">
            <v>REGULER</v>
          </cell>
          <cell r="K1267" t="str">
            <v>EKSKLUSIF</v>
          </cell>
          <cell r="L1267" t="str">
            <v>EKSKLUSIF</v>
          </cell>
          <cell r="M1267">
            <v>16</v>
          </cell>
          <cell r="N1267">
            <v>39</v>
          </cell>
          <cell r="O1267">
            <v>35</v>
          </cell>
          <cell r="P1267">
            <v>34</v>
          </cell>
          <cell r="Q1267">
            <v>0</v>
          </cell>
          <cell r="R1267">
            <v>36</v>
          </cell>
          <cell r="S1267">
            <v>972</v>
          </cell>
          <cell r="T1267">
            <v>1132</v>
          </cell>
          <cell r="U1267">
            <v>0</v>
          </cell>
          <cell r="V1267">
            <v>0</v>
          </cell>
          <cell r="W1267">
            <v>0</v>
          </cell>
          <cell r="X1267">
            <v>34</v>
          </cell>
          <cell r="Y1267">
            <v>0</v>
          </cell>
          <cell r="Z1267">
            <v>0</v>
          </cell>
          <cell r="AA1267">
            <v>0</v>
          </cell>
          <cell r="AB1267">
            <v>34</v>
          </cell>
          <cell r="AC1267">
            <v>1</v>
          </cell>
          <cell r="AD1267" t="str">
            <v>TIDAK</v>
          </cell>
          <cell r="AE1267" t="str">
            <v>TIDAK</v>
          </cell>
          <cell r="AF1267">
            <v>34</v>
          </cell>
          <cell r="AG1267">
            <v>2</v>
          </cell>
          <cell r="AH1267" t="str">
            <v>SAPHIRE</v>
          </cell>
          <cell r="AI1267">
            <v>0</v>
          </cell>
          <cell r="AJ1267" t="str">
            <v>FALSE</v>
          </cell>
          <cell r="AK1267">
            <v>0</v>
          </cell>
          <cell r="AL1267">
            <v>45261</v>
          </cell>
          <cell r="AM1267">
            <v>45701</v>
          </cell>
          <cell r="AN1267">
            <v>1</v>
          </cell>
          <cell r="AO1267">
            <v>34</v>
          </cell>
          <cell r="AP1267" t="str">
            <v>EKSKLUSIF</v>
          </cell>
          <cell r="AQ1267" t="str">
            <v>-</v>
          </cell>
          <cell r="AR1267" t="str">
            <v>REGULER</v>
          </cell>
          <cell r="AS1267" t="str">
            <v>-</v>
          </cell>
          <cell r="AT1267" t="str">
            <v>-</v>
          </cell>
          <cell r="AU1267" t="str">
            <v>REGULER</v>
          </cell>
          <cell r="AV1267" t="str">
            <v/>
          </cell>
          <cell r="AW1267">
            <v>45</v>
          </cell>
          <cell r="AX1267">
            <v>35</v>
          </cell>
          <cell r="AY1267">
            <v>41</v>
          </cell>
          <cell r="AZ1267">
            <v>42</v>
          </cell>
          <cell r="BA1267">
            <v>38</v>
          </cell>
          <cell r="BB1267">
            <v>45</v>
          </cell>
          <cell r="BC1267">
            <v>35</v>
          </cell>
          <cell r="BD1267">
            <v>41</v>
          </cell>
          <cell r="BE1267">
            <v>42</v>
          </cell>
          <cell r="BF1267">
            <v>21</v>
          </cell>
          <cell r="BG1267">
            <v>18</v>
          </cell>
          <cell r="BH1267">
            <v>45</v>
          </cell>
          <cell r="BI1267">
            <v>35</v>
          </cell>
          <cell r="BJ1267">
            <v>41</v>
          </cell>
          <cell r="BK1267">
            <v>42</v>
          </cell>
          <cell r="BL1267">
            <v>38</v>
          </cell>
          <cell r="BM1267">
            <v>20</v>
          </cell>
          <cell r="BN1267">
            <v>239</v>
          </cell>
          <cell r="BO1267">
            <v>0</v>
          </cell>
          <cell r="BP1267">
            <v>45</v>
          </cell>
          <cell r="BQ1267">
            <v>35</v>
          </cell>
          <cell r="BR1267">
            <v>41</v>
          </cell>
          <cell r="BS1267">
            <v>42</v>
          </cell>
          <cell r="BT1267">
            <v>38</v>
          </cell>
          <cell r="BU1267">
            <v>20</v>
          </cell>
          <cell r="BV1267">
            <v>221</v>
          </cell>
          <cell r="BW1267">
            <v>0</v>
          </cell>
          <cell r="BX1267" t="str">
            <v>TIDAK</v>
          </cell>
          <cell r="BY1267" t="str">
            <v>TIDAK</v>
          </cell>
        </row>
        <row r="1268">
          <cell r="A1268" t="str">
            <v>A2707</v>
          </cell>
          <cell r="B1268" t="str">
            <v>Dian Ariani Saputra</v>
          </cell>
          <cell r="C1268" t="str">
            <v>TEMA C3</v>
          </cell>
          <cell r="D1268">
            <v>45124</v>
          </cell>
          <cell r="E1268" t="str">
            <v>Jul-23</v>
          </cell>
          <cell r="F1268" t="str">
            <v>REGULER</v>
          </cell>
          <cell r="G1268" t="str">
            <v>REGULER</v>
          </cell>
          <cell r="H1268" t="str">
            <v>REGULER</v>
          </cell>
          <cell r="I1268" t="str">
            <v>REGULER</v>
          </cell>
          <cell r="J1268" t="str">
            <v>-</v>
          </cell>
          <cell r="K1268" t="str">
            <v>-</v>
          </cell>
          <cell r="L1268" t="str">
            <v>-</v>
          </cell>
          <cell r="M1268">
            <v>10</v>
          </cell>
          <cell r="N1268">
            <v>22</v>
          </cell>
          <cell r="O1268">
            <v>11</v>
          </cell>
          <cell r="P1268">
            <v>1</v>
          </cell>
          <cell r="Q1268">
            <v>0</v>
          </cell>
          <cell r="R1268">
            <v>0</v>
          </cell>
          <cell r="S1268" t="str">
            <v/>
          </cell>
          <cell r="T1268">
            <v>44</v>
          </cell>
          <cell r="U1268">
            <v>10</v>
          </cell>
          <cell r="V1268">
            <v>22</v>
          </cell>
          <cell r="W1268">
            <v>11</v>
          </cell>
          <cell r="X1268">
            <v>1</v>
          </cell>
          <cell r="Y1268">
            <v>0</v>
          </cell>
          <cell r="Z1268">
            <v>0</v>
          </cell>
          <cell r="AA1268" t="str">
            <v/>
          </cell>
          <cell r="AB1268">
            <v>44</v>
          </cell>
          <cell r="AC1268">
            <v>3</v>
          </cell>
          <cell r="AD1268" t="str">
            <v>DOWNGRADE</v>
          </cell>
          <cell r="AE1268" t="str">
            <v>RESET</v>
          </cell>
          <cell r="AF1268">
            <v>0</v>
          </cell>
          <cell r="AG1268">
            <v>3</v>
          </cell>
          <cell r="AH1268" t="str">
            <v>SAPHIRE</v>
          </cell>
          <cell r="AI1268">
            <v>0</v>
          </cell>
          <cell r="AJ1268" t="str">
            <v>FALSE</v>
          </cell>
          <cell r="AK1268">
            <v>0</v>
          </cell>
          <cell r="AL1268">
            <v>45261</v>
          </cell>
          <cell r="AM1268">
            <v>45701</v>
          </cell>
          <cell r="AN1268">
            <v>1</v>
          </cell>
          <cell r="AO1268">
            <v>0</v>
          </cell>
          <cell r="AP1268" t="str">
            <v>-</v>
          </cell>
          <cell r="AQ1268" t="str">
            <v>-</v>
          </cell>
          <cell r="AR1268" t="str">
            <v>-</v>
          </cell>
          <cell r="AS1268" t="str">
            <v>-</v>
          </cell>
          <cell r="AT1268" t="str">
            <v>-</v>
          </cell>
          <cell r="AU1268" t="str">
            <v>-</v>
          </cell>
          <cell r="AV1268" t="str">
            <v/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 t="str">
            <v/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 t="str">
            <v/>
          </cell>
          <cell r="BN1268">
            <v>0</v>
          </cell>
          <cell r="BO1268" t="str">
            <v/>
          </cell>
          <cell r="BP1268">
            <v>0</v>
          </cell>
          <cell r="BQ1268">
            <v>0</v>
          </cell>
          <cell r="BR1268">
            <v>0</v>
          </cell>
          <cell r="BS1268">
            <v>0</v>
          </cell>
          <cell r="BT1268">
            <v>0</v>
          </cell>
          <cell r="BU1268" t="str">
            <v/>
          </cell>
          <cell r="BV1268">
            <v>0</v>
          </cell>
          <cell r="BW1268">
            <v>7</v>
          </cell>
          <cell r="BX1268" t="str">
            <v>DOWNGRADE</v>
          </cell>
          <cell r="BY1268" t="str">
            <v>RESET</v>
          </cell>
        </row>
        <row r="1269">
          <cell r="A1269" t="str">
            <v>A3112</v>
          </cell>
          <cell r="B1269" t="str">
            <v>Dian Aryani Ulfa</v>
          </cell>
          <cell r="C1269" t="str">
            <v>TEMA C3</v>
          </cell>
          <cell r="D1269">
            <v>45232</v>
          </cell>
          <cell r="E1269" t="str">
            <v>Nov-23</v>
          </cell>
          <cell r="F1269" t="str">
            <v>REGULER</v>
          </cell>
          <cell r="G1269" t="str">
            <v>REGULER</v>
          </cell>
          <cell r="H1269" t="str">
            <v>-</v>
          </cell>
          <cell r="I1269" t="str">
            <v>REGULER</v>
          </cell>
          <cell r="J1269" t="str">
            <v>-</v>
          </cell>
          <cell r="K1269" t="str">
            <v>-</v>
          </cell>
          <cell r="L1269" t="str">
            <v>-</v>
          </cell>
          <cell r="M1269">
            <v>11</v>
          </cell>
          <cell r="N1269">
            <v>12</v>
          </cell>
          <cell r="O1269">
            <v>0</v>
          </cell>
          <cell r="P1269">
            <v>8</v>
          </cell>
          <cell r="Q1269">
            <v>0</v>
          </cell>
          <cell r="R1269">
            <v>0</v>
          </cell>
          <cell r="S1269" t="str">
            <v/>
          </cell>
          <cell r="T1269">
            <v>31</v>
          </cell>
          <cell r="U1269">
            <v>11</v>
          </cell>
          <cell r="V1269">
            <v>12</v>
          </cell>
          <cell r="W1269">
            <v>0</v>
          </cell>
          <cell r="X1269">
            <v>8</v>
          </cell>
          <cell r="Y1269">
            <v>0</v>
          </cell>
          <cell r="Z1269">
            <v>0</v>
          </cell>
          <cell r="AA1269" t="str">
            <v/>
          </cell>
          <cell r="AB1269">
            <v>31</v>
          </cell>
          <cell r="AC1269">
            <v>4</v>
          </cell>
          <cell r="AD1269" t="str">
            <v>DOWNGRADE</v>
          </cell>
          <cell r="AE1269" t="str">
            <v>RESET</v>
          </cell>
          <cell r="AF1269">
            <v>0</v>
          </cell>
          <cell r="AG1269">
            <v>1</v>
          </cell>
          <cell r="AH1269" t="str">
            <v>SAPHIRE</v>
          </cell>
          <cell r="AI1269">
            <v>0</v>
          </cell>
          <cell r="AJ1269" t="str">
            <v>FALSE</v>
          </cell>
          <cell r="AK1269">
            <v>0</v>
          </cell>
          <cell r="AL1269">
            <v>45261</v>
          </cell>
          <cell r="AM1269">
            <v>45701</v>
          </cell>
          <cell r="AN1269">
            <v>1</v>
          </cell>
          <cell r="AO1269">
            <v>0</v>
          </cell>
          <cell r="AP1269" t="str">
            <v>-</v>
          </cell>
          <cell r="AQ1269" t="str">
            <v>-</v>
          </cell>
          <cell r="AR1269" t="str">
            <v>-</v>
          </cell>
          <cell r="AS1269" t="str">
            <v>-</v>
          </cell>
          <cell r="AT1269" t="str">
            <v>-</v>
          </cell>
          <cell r="AU1269" t="str">
            <v>-</v>
          </cell>
          <cell r="AV1269" t="str">
            <v/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 t="str">
            <v/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 t="str">
            <v/>
          </cell>
          <cell r="BN1269">
            <v>0</v>
          </cell>
          <cell r="BO1269" t="str">
            <v/>
          </cell>
          <cell r="BP1269">
            <v>0</v>
          </cell>
          <cell r="BQ1269">
            <v>0</v>
          </cell>
          <cell r="BR1269">
            <v>0</v>
          </cell>
          <cell r="BS1269">
            <v>0</v>
          </cell>
          <cell r="BT1269">
            <v>0</v>
          </cell>
          <cell r="BU1269" t="str">
            <v/>
          </cell>
          <cell r="BV1269">
            <v>0</v>
          </cell>
          <cell r="BW1269">
            <v>7</v>
          </cell>
          <cell r="BX1269" t="str">
            <v>DOWNGRADE</v>
          </cell>
          <cell r="BY1269" t="str">
            <v>RESET</v>
          </cell>
        </row>
        <row r="1270">
          <cell r="A1270" t="str">
            <v>A3950</v>
          </cell>
          <cell r="B1270" t="str">
            <v>Dintarima Rahadewi</v>
          </cell>
          <cell r="C1270" t="str">
            <v>TEMA C3</v>
          </cell>
          <cell r="D1270">
            <v>45398</v>
          </cell>
          <cell r="E1270" t="str">
            <v>Apr-24</v>
          </cell>
          <cell r="F1270" t="str">
            <v>-</v>
          </cell>
          <cell r="G1270" t="str">
            <v>-</v>
          </cell>
          <cell r="H1270" t="str">
            <v>-</v>
          </cell>
          <cell r="I1270" t="str">
            <v>-</v>
          </cell>
          <cell r="J1270" t="str">
            <v>REGULER</v>
          </cell>
          <cell r="K1270" t="str">
            <v>-</v>
          </cell>
          <cell r="L1270" t="str">
            <v>-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3</v>
          </cell>
          <cell r="R1270">
            <v>0</v>
          </cell>
          <cell r="S1270" t="str">
            <v/>
          </cell>
          <cell r="T1270">
            <v>3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3</v>
          </cell>
          <cell r="Z1270">
            <v>0</v>
          </cell>
          <cell r="AA1270" t="str">
            <v/>
          </cell>
          <cell r="AB1270">
            <v>3</v>
          </cell>
          <cell r="AC1270">
            <v>2</v>
          </cell>
          <cell r="AD1270" t="str">
            <v>TIDAK</v>
          </cell>
          <cell r="AE1270" t="str">
            <v>TIDAK</v>
          </cell>
          <cell r="AF1270">
            <v>3</v>
          </cell>
          <cell r="AG1270">
            <v>1</v>
          </cell>
          <cell r="AH1270" t="str">
            <v>SAPHIRE</v>
          </cell>
          <cell r="AI1270">
            <v>0</v>
          </cell>
          <cell r="AJ1270" t="str">
            <v>FALSE</v>
          </cell>
          <cell r="AK1270">
            <v>0</v>
          </cell>
          <cell r="AL1270">
            <v>45261</v>
          </cell>
          <cell r="AM1270">
            <v>45701</v>
          </cell>
          <cell r="AN1270">
            <v>1</v>
          </cell>
          <cell r="AO1270">
            <v>3</v>
          </cell>
          <cell r="AP1270" t="str">
            <v>-</v>
          </cell>
          <cell r="AQ1270" t="str">
            <v>-</v>
          </cell>
          <cell r="AR1270" t="str">
            <v>-</v>
          </cell>
          <cell r="AS1270" t="str">
            <v>-</v>
          </cell>
          <cell r="AT1270" t="str">
            <v>-</v>
          </cell>
          <cell r="AU1270" t="str">
            <v>-</v>
          </cell>
          <cell r="AV1270" t="str">
            <v/>
          </cell>
          <cell r="AW1270">
            <v>6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6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14</v>
          </cell>
          <cell r="BH1270">
            <v>6</v>
          </cell>
          <cell r="BI1270">
            <v>0</v>
          </cell>
          <cell r="BJ1270">
            <v>0</v>
          </cell>
          <cell r="BK1270">
            <v>0</v>
          </cell>
          <cell r="BL1270">
            <v>0</v>
          </cell>
          <cell r="BM1270" t="str">
            <v/>
          </cell>
          <cell r="BN1270">
            <v>20</v>
          </cell>
          <cell r="BO1270">
            <v>14</v>
          </cell>
          <cell r="BP1270">
            <v>6</v>
          </cell>
          <cell r="BQ1270">
            <v>0</v>
          </cell>
          <cell r="BR1270">
            <v>0</v>
          </cell>
          <cell r="BS1270">
            <v>0</v>
          </cell>
          <cell r="BT1270">
            <v>0</v>
          </cell>
          <cell r="BU1270" t="str">
            <v/>
          </cell>
          <cell r="BV1270">
            <v>20</v>
          </cell>
          <cell r="BW1270">
            <v>5</v>
          </cell>
          <cell r="BX1270" t="str">
            <v>DOWNGRADE</v>
          </cell>
          <cell r="BY1270" t="str">
            <v>RESET</v>
          </cell>
        </row>
        <row r="1271">
          <cell r="A1271">
            <v>92330</v>
          </cell>
          <cell r="B1271" t="str">
            <v>Dwi Karti Handayani</v>
          </cell>
          <cell r="C1271" t="str">
            <v>TEMA C3</v>
          </cell>
          <cell r="D1271">
            <v>44881</v>
          </cell>
          <cell r="E1271" t="str">
            <v>Nov-22</v>
          </cell>
          <cell r="F1271" t="str">
            <v>REGULER</v>
          </cell>
          <cell r="G1271" t="str">
            <v>REGULER</v>
          </cell>
          <cell r="H1271" t="str">
            <v>REGULER</v>
          </cell>
          <cell r="I1271" t="str">
            <v>REGULER</v>
          </cell>
          <cell r="J1271" t="str">
            <v>-</v>
          </cell>
          <cell r="K1271" t="str">
            <v>REGULER</v>
          </cell>
          <cell r="L1271" t="str">
            <v>REGULER</v>
          </cell>
          <cell r="M1271">
            <v>14</v>
          </cell>
          <cell r="N1271">
            <v>7</v>
          </cell>
          <cell r="O1271">
            <v>23</v>
          </cell>
          <cell r="P1271">
            <v>2</v>
          </cell>
          <cell r="Q1271">
            <v>0</v>
          </cell>
          <cell r="R1271">
            <v>7</v>
          </cell>
          <cell r="S1271">
            <v>15</v>
          </cell>
          <cell r="T1271">
            <v>68</v>
          </cell>
          <cell r="U1271">
            <v>14</v>
          </cell>
          <cell r="V1271">
            <v>7</v>
          </cell>
          <cell r="W1271">
            <v>23</v>
          </cell>
          <cell r="X1271">
            <v>2</v>
          </cell>
          <cell r="Y1271">
            <v>0</v>
          </cell>
          <cell r="Z1271">
            <v>7</v>
          </cell>
          <cell r="AA1271">
            <v>15</v>
          </cell>
          <cell r="AB1271">
            <v>68</v>
          </cell>
          <cell r="AC1271">
            <v>1</v>
          </cell>
          <cell r="AD1271" t="str">
            <v>TIDAK</v>
          </cell>
          <cell r="AE1271" t="str">
            <v>TIDAK</v>
          </cell>
          <cell r="AF1271">
            <v>68</v>
          </cell>
          <cell r="AG1271">
            <v>1</v>
          </cell>
          <cell r="AH1271" t="str">
            <v>SAPHIRE</v>
          </cell>
          <cell r="AI1271">
            <v>0</v>
          </cell>
          <cell r="AJ1271" t="str">
            <v>Y</v>
          </cell>
          <cell r="AK1271">
            <v>0</v>
          </cell>
          <cell r="AL1271">
            <v>45261</v>
          </cell>
          <cell r="AM1271">
            <v>45701</v>
          </cell>
          <cell r="AN1271">
            <v>1</v>
          </cell>
          <cell r="AO1271">
            <v>68</v>
          </cell>
          <cell r="AP1271" t="str">
            <v>-</v>
          </cell>
          <cell r="AQ1271" t="str">
            <v>-</v>
          </cell>
          <cell r="AR1271" t="str">
            <v>-</v>
          </cell>
          <cell r="AS1271" t="str">
            <v>-</v>
          </cell>
          <cell r="AT1271" t="str">
            <v>-</v>
          </cell>
          <cell r="AU1271" t="str">
            <v>-</v>
          </cell>
          <cell r="AV1271" t="str">
            <v/>
          </cell>
          <cell r="AW1271">
            <v>4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4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9</v>
          </cell>
          <cell r="BH1271">
            <v>4</v>
          </cell>
          <cell r="BI1271">
            <v>0</v>
          </cell>
          <cell r="BJ1271">
            <v>0</v>
          </cell>
          <cell r="BK1271">
            <v>0</v>
          </cell>
          <cell r="BL1271">
            <v>0</v>
          </cell>
          <cell r="BM1271" t="str">
            <v/>
          </cell>
          <cell r="BN1271">
            <v>13</v>
          </cell>
          <cell r="BO1271">
            <v>9</v>
          </cell>
          <cell r="BP1271">
            <v>4</v>
          </cell>
          <cell r="BQ1271">
            <v>0</v>
          </cell>
          <cell r="BR1271">
            <v>0</v>
          </cell>
          <cell r="BS1271">
            <v>0</v>
          </cell>
          <cell r="BT1271">
            <v>0</v>
          </cell>
          <cell r="BU1271" t="str">
            <v/>
          </cell>
          <cell r="BV1271">
            <v>13</v>
          </cell>
          <cell r="BW1271">
            <v>5</v>
          </cell>
          <cell r="BX1271" t="str">
            <v>DOWNGRADE</v>
          </cell>
          <cell r="BY1271" t="str">
            <v>RESET</v>
          </cell>
        </row>
        <row r="1272">
          <cell r="A1272" t="str">
            <v>A3841</v>
          </cell>
          <cell r="B1272" t="str">
            <v>Dwi Lestari</v>
          </cell>
          <cell r="C1272" t="str">
            <v>TEMA C3</v>
          </cell>
          <cell r="D1272">
            <v>45371</v>
          </cell>
          <cell r="E1272" t="str">
            <v>Mar-24</v>
          </cell>
          <cell r="F1272" t="str">
            <v>-</v>
          </cell>
          <cell r="G1272" t="str">
            <v>-</v>
          </cell>
          <cell r="H1272" t="str">
            <v>-</v>
          </cell>
          <cell r="I1272" t="str">
            <v>REGULER</v>
          </cell>
          <cell r="J1272" t="str">
            <v>-</v>
          </cell>
          <cell r="K1272" t="str">
            <v>-</v>
          </cell>
          <cell r="L1272" t="str">
            <v>-</v>
          </cell>
          <cell r="M1272">
            <v>0</v>
          </cell>
          <cell r="N1272">
            <v>0</v>
          </cell>
          <cell r="O1272">
            <v>0</v>
          </cell>
          <cell r="P1272">
            <v>1</v>
          </cell>
          <cell r="Q1272">
            <v>0</v>
          </cell>
          <cell r="R1272">
            <v>0</v>
          </cell>
          <cell r="S1272" t="str">
            <v/>
          </cell>
          <cell r="T1272">
            <v>1</v>
          </cell>
          <cell r="U1272">
            <v>0</v>
          </cell>
          <cell r="V1272">
            <v>0</v>
          </cell>
          <cell r="W1272">
            <v>0</v>
          </cell>
          <cell r="X1272">
            <v>1</v>
          </cell>
          <cell r="Y1272">
            <v>0</v>
          </cell>
          <cell r="Z1272">
            <v>0</v>
          </cell>
          <cell r="AA1272" t="str">
            <v/>
          </cell>
          <cell r="AB1272">
            <v>1</v>
          </cell>
          <cell r="AC1272">
            <v>3</v>
          </cell>
          <cell r="AD1272" t="str">
            <v>DOWNGRADE</v>
          </cell>
          <cell r="AE1272" t="str">
            <v>RESET</v>
          </cell>
          <cell r="AF1272">
            <v>0</v>
          </cell>
          <cell r="AG1272">
            <v>1</v>
          </cell>
          <cell r="AH1272" t="str">
            <v>SAPHIRE</v>
          </cell>
          <cell r="AI1272">
            <v>0</v>
          </cell>
          <cell r="AJ1272" t="str">
            <v>FALSE</v>
          </cell>
          <cell r="AK1272">
            <v>0</v>
          </cell>
          <cell r="AL1272">
            <v>45261</v>
          </cell>
          <cell r="AM1272">
            <v>45701</v>
          </cell>
          <cell r="AN1272">
            <v>1</v>
          </cell>
          <cell r="AO1272">
            <v>0</v>
          </cell>
          <cell r="AP1272" t="str">
            <v>-</v>
          </cell>
          <cell r="AQ1272" t="str">
            <v>-</v>
          </cell>
          <cell r="AR1272" t="str">
            <v>-</v>
          </cell>
          <cell r="AS1272" t="str">
            <v>-</v>
          </cell>
          <cell r="AT1272" t="str">
            <v>-</v>
          </cell>
          <cell r="AU1272" t="str">
            <v>-</v>
          </cell>
          <cell r="AV1272" t="str">
            <v/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 t="str">
            <v/>
          </cell>
          <cell r="BH1272">
            <v>0</v>
          </cell>
          <cell r="BI1272">
            <v>0</v>
          </cell>
          <cell r="BJ1272">
            <v>0</v>
          </cell>
          <cell r="BK1272">
            <v>0</v>
          </cell>
          <cell r="BL1272">
            <v>0</v>
          </cell>
          <cell r="BM1272" t="str">
            <v/>
          </cell>
          <cell r="BN1272">
            <v>0</v>
          </cell>
          <cell r="BO1272" t="str">
            <v/>
          </cell>
          <cell r="BP1272">
            <v>0</v>
          </cell>
          <cell r="BQ1272">
            <v>0</v>
          </cell>
          <cell r="BR1272">
            <v>0</v>
          </cell>
          <cell r="BS1272">
            <v>0</v>
          </cell>
          <cell r="BT1272">
            <v>0</v>
          </cell>
          <cell r="BU1272" t="str">
            <v/>
          </cell>
          <cell r="BV1272">
            <v>0</v>
          </cell>
          <cell r="BW1272">
            <v>7</v>
          </cell>
          <cell r="BX1272" t="str">
            <v>DOWNGRADE</v>
          </cell>
          <cell r="BY1272" t="str">
            <v>RESET</v>
          </cell>
        </row>
        <row r="1273">
          <cell r="A1273" t="str">
            <v>A0608</v>
          </cell>
          <cell r="B1273" t="str">
            <v>Eka Widiyaningsih</v>
          </cell>
          <cell r="C1273" t="str">
            <v>TEMA C3</v>
          </cell>
          <cell r="D1273">
            <v>45385</v>
          </cell>
          <cell r="E1273" t="str">
            <v>Apr-24</v>
          </cell>
          <cell r="F1273" t="str">
            <v>-</v>
          </cell>
          <cell r="G1273" t="str">
            <v>-</v>
          </cell>
          <cell r="H1273" t="str">
            <v>-</v>
          </cell>
          <cell r="I1273" t="str">
            <v>-</v>
          </cell>
          <cell r="J1273" t="str">
            <v>REGULER</v>
          </cell>
          <cell r="K1273" t="str">
            <v>-</v>
          </cell>
          <cell r="L1273" t="str">
            <v>-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9</v>
          </cell>
          <cell r="R1273">
            <v>0</v>
          </cell>
          <cell r="S1273" t="str">
            <v/>
          </cell>
          <cell r="T1273">
            <v>9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9</v>
          </cell>
          <cell r="Z1273">
            <v>0</v>
          </cell>
          <cell r="AA1273" t="str">
            <v/>
          </cell>
          <cell r="AB1273">
            <v>9</v>
          </cell>
          <cell r="AC1273">
            <v>2</v>
          </cell>
          <cell r="AD1273" t="str">
            <v>TIDAK</v>
          </cell>
          <cell r="AE1273" t="str">
            <v>TIDAK</v>
          </cell>
          <cell r="AF1273">
            <v>9</v>
          </cell>
          <cell r="AG1273">
            <v>1</v>
          </cell>
          <cell r="AH1273" t="str">
            <v>SAPHIRE</v>
          </cell>
          <cell r="AI1273">
            <v>0</v>
          </cell>
          <cell r="AJ1273" t="str">
            <v>FALSE</v>
          </cell>
          <cell r="AK1273">
            <v>0</v>
          </cell>
          <cell r="AL1273">
            <v>45261</v>
          </cell>
          <cell r="AM1273">
            <v>45701</v>
          </cell>
          <cell r="AN1273">
            <v>1</v>
          </cell>
          <cell r="AO1273">
            <v>9</v>
          </cell>
          <cell r="AP1273" t="str">
            <v>-</v>
          </cell>
          <cell r="AQ1273" t="str">
            <v>-</v>
          </cell>
          <cell r="AR1273" t="str">
            <v>-</v>
          </cell>
          <cell r="AS1273" t="str">
            <v>-</v>
          </cell>
          <cell r="AT1273" t="str">
            <v>-</v>
          </cell>
          <cell r="AU1273" t="str">
            <v>-</v>
          </cell>
          <cell r="AV1273" t="str">
            <v/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 t="str">
            <v/>
          </cell>
          <cell r="BH1273">
            <v>0</v>
          </cell>
          <cell r="BI1273">
            <v>0</v>
          </cell>
          <cell r="BJ1273">
            <v>0</v>
          </cell>
          <cell r="BK1273">
            <v>0</v>
          </cell>
          <cell r="BL1273">
            <v>0</v>
          </cell>
          <cell r="BM1273" t="str">
            <v/>
          </cell>
          <cell r="BN1273">
            <v>0</v>
          </cell>
          <cell r="BO1273" t="str">
            <v/>
          </cell>
          <cell r="BP1273">
            <v>0</v>
          </cell>
          <cell r="BQ1273">
            <v>0</v>
          </cell>
          <cell r="BR1273">
            <v>0</v>
          </cell>
          <cell r="BS1273">
            <v>0</v>
          </cell>
          <cell r="BT1273">
            <v>0</v>
          </cell>
          <cell r="BU1273" t="str">
            <v/>
          </cell>
          <cell r="BV1273">
            <v>0</v>
          </cell>
          <cell r="BW1273">
            <v>7</v>
          </cell>
          <cell r="BX1273" t="str">
            <v>DOWNGRADE</v>
          </cell>
          <cell r="BY1273" t="str">
            <v>RESET</v>
          </cell>
        </row>
        <row r="1274">
          <cell r="A1274" t="str">
            <v>A3279</v>
          </cell>
          <cell r="B1274" t="str">
            <v>Elia Deswita</v>
          </cell>
          <cell r="C1274" t="str">
            <v>TEMA C3</v>
          </cell>
          <cell r="D1274">
            <v>45246</v>
          </cell>
          <cell r="E1274" t="str">
            <v>Nov-23</v>
          </cell>
          <cell r="F1274" t="str">
            <v>REGULER</v>
          </cell>
          <cell r="G1274" t="str">
            <v>REGULER</v>
          </cell>
          <cell r="H1274" t="str">
            <v>-</v>
          </cell>
          <cell r="I1274" t="str">
            <v>-</v>
          </cell>
          <cell r="J1274" t="str">
            <v>-</v>
          </cell>
          <cell r="K1274" t="str">
            <v>-</v>
          </cell>
          <cell r="L1274" t="str">
            <v>-</v>
          </cell>
          <cell r="M1274">
            <v>0</v>
          </cell>
          <cell r="N1274">
            <v>1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 t="str">
            <v/>
          </cell>
          <cell r="T1274">
            <v>1</v>
          </cell>
          <cell r="U1274">
            <v>0</v>
          </cell>
          <cell r="V1274">
            <v>1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 t="str">
            <v/>
          </cell>
          <cell r="AB1274">
            <v>1</v>
          </cell>
          <cell r="AC1274">
            <v>6</v>
          </cell>
          <cell r="AD1274" t="str">
            <v>DOWNGRADE</v>
          </cell>
          <cell r="AE1274" t="str">
            <v>RESET</v>
          </cell>
          <cell r="AF1274">
            <v>0</v>
          </cell>
          <cell r="AG1274">
            <v>1</v>
          </cell>
          <cell r="AH1274" t="str">
            <v>SAPHIRE</v>
          </cell>
          <cell r="AI1274">
            <v>0</v>
          </cell>
          <cell r="AJ1274" t="str">
            <v>FALSE</v>
          </cell>
          <cell r="AK1274">
            <v>0</v>
          </cell>
          <cell r="AL1274">
            <v>45261</v>
          </cell>
          <cell r="AM1274">
            <v>45701</v>
          </cell>
          <cell r="AN1274">
            <v>1</v>
          </cell>
          <cell r="AO1274">
            <v>0</v>
          </cell>
          <cell r="AP1274" t="str">
            <v>-</v>
          </cell>
          <cell r="AQ1274" t="str">
            <v>-</v>
          </cell>
          <cell r="AR1274" t="str">
            <v>-</v>
          </cell>
          <cell r="AS1274" t="str">
            <v>-</v>
          </cell>
          <cell r="AT1274" t="str">
            <v>-</v>
          </cell>
          <cell r="AU1274" t="str">
            <v>-</v>
          </cell>
          <cell r="AV1274" t="str">
            <v/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 t="str">
            <v/>
          </cell>
          <cell r="BH1274">
            <v>0</v>
          </cell>
          <cell r="BI1274">
            <v>0</v>
          </cell>
          <cell r="BJ1274">
            <v>0</v>
          </cell>
          <cell r="BK1274">
            <v>0</v>
          </cell>
          <cell r="BL1274">
            <v>0</v>
          </cell>
          <cell r="BM1274" t="str">
            <v/>
          </cell>
          <cell r="BN1274">
            <v>0</v>
          </cell>
          <cell r="BO1274" t="str">
            <v/>
          </cell>
          <cell r="BP1274">
            <v>0</v>
          </cell>
          <cell r="BQ1274">
            <v>0</v>
          </cell>
          <cell r="BR1274">
            <v>0</v>
          </cell>
          <cell r="BS1274">
            <v>0</v>
          </cell>
          <cell r="BT1274">
            <v>0</v>
          </cell>
          <cell r="BU1274" t="str">
            <v/>
          </cell>
          <cell r="BV1274">
            <v>0</v>
          </cell>
          <cell r="BW1274">
            <v>7</v>
          </cell>
          <cell r="BX1274" t="str">
            <v>DOWNGRADE</v>
          </cell>
          <cell r="BY1274" t="str">
            <v>RESET</v>
          </cell>
        </row>
        <row r="1275">
          <cell r="A1275" t="str">
            <v>A3969</v>
          </cell>
          <cell r="B1275" t="str">
            <v>Eudia Melka Novitasari</v>
          </cell>
          <cell r="C1275" t="str">
            <v>TEMA C3</v>
          </cell>
          <cell r="D1275">
            <v>45384</v>
          </cell>
          <cell r="E1275" t="str">
            <v>Apr-24</v>
          </cell>
          <cell r="F1275" t="str">
            <v>-</v>
          </cell>
          <cell r="G1275" t="str">
            <v>-</v>
          </cell>
          <cell r="H1275" t="str">
            <v>-</v>
          </cell>
          <cell r="I1275" t="str">
            <v>-</v>
          </cell>
          <cell r="J1275" t="str">
            <v>REGULER</v>
          </cell>
          <cell r="K1275" t="str">
            <v>REGULER</v>
          </cell>
          <cell r="L1275" t="str">
            <v>-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8</v>
          </cell>
          <cell r="R1275">
            <v>1</v>
          </cell>
          <cell r="S1275" t="str">
            <v/>
          </cell>
          <cell r="T1275">
            <v>9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8</v>
          </cell>
          <cell r="Z1275">
            <v>1</v>
          </cell>
          <cell r="AA1275" t="str">
            <v/>
          </cell>
          <cell r="AB1275">
            <v>9</v>
          </cell>
          <cell r="AC1275">
            <v>1</v>
          </cell>
          <cell r="AD1275" t="str">
            <v>TIDAK</v>
          </cell>
          <cell r="AE1275" t="str">
            <v>TIDAK</v>
          </cell>
          <cell r="AF1275">
            <v>9</v>
          </cell>
          <cell r="AG1275">
            <v>1</v>
          </cell>
          <cell r="AH1275" t="str">
            <v>SAPHIRE</v>
          </cell>
          <cell r="AI1275">
            <v>0</v>
          </cell>
          <cell r="AJ1275" t="str">
            <v>FALSE</v>
          </cell>
          <cell r="AK1275">
            <v>0</v>
          </cell>
          <cell r="AL1275">
            <v>45261</v>
          </cell>
          <cell r="AM1275">
            <v>45701</v>
          </cell>
          <cell r="AN1275">
            <v>1</v>
          </cell>
          <cell r="AO1275">
            <v>9</v>
          </cell>
          <cell r="AP1275" t="str">
            <v>-</v>
          </cell>
          <cell r="AQ1275" t="str">
            <v>-</v>
          </cell>
          <cell r="AR1275" t="str">
            <v>-</v>
          </cell>
          <cell r="AS1275" t="str">
            <v>-</v>
          </cell>
          <cell r="AT1275" t="str">
            <v>-</v>
          </cell>
          <cell r="AU1275" t="str">
            <v>-</v>
          </cell>
          <cell r="AV1275" t="str">
            <v/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 t="str">
            <v/>
          </cell>
          <cell r="BH1275">
            <v>0</v>
          </cell>
          <cell r="BI1275">
            <v>0</v>
          </cell>
          <cell r="BJ1275">
            <v>0</v>
          </cell>
          <cell r="BK1275">
            <v>0</v>
          </cell>
          <cell r="BL1275">
            <v>0</v>
          </cell>
          <cell r="BM1275" t="str">
            <v/>
          </cell>
          <cell r="BN1275">
            <v>0</v>
          </cell>
          <cell r="BO1275" t="str">
            <v/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0</v>
          </cell>
          <cell r="BU1275" t="str">
            <v/>
          </cell>
          <cell r="BV1275">
            <v>0</v>
          </cell>
          <cell r="BW1275">
            <v>7</v>
          </cell>
          <cell r="BX1275" t="str">
            <v>DOWNGRADE</v>
          </cell>
          <cell r="BY1275" t="str">
            <v>RESET</v>
          </cell>
        </row>
        <row r="1276">
          <cell r="A1276" t="str">
            <v>A3926</v>
          </cell>
          <cell r="B1276" t="str">
            <v>Farizka Rusyda Nasution</v>
          </cell>
          <cell r="C1276" t="str">
            <v>TEMA C3</v>
          </cell>
          <cell r="D1276">
            <v>45369</v>
          </cell>
          <cell r="E1276" t="str">
            <v>Mar-24</v>
          </cell>
          <cell r="F1276" t="str">
            <v>-</v>
          </cell>
          <cell r="G1276" t="str">
            <v>-</v>
          </cell>
          <cell r="H1276" t="str">
            <v>-</v>
          </cell>
          <cell r="I1276" t="str">
            <v>REGULER</v>
          </cell>
          <cell r="J1276" t="str">
            <v>REGULER</v>
          </cell>
          <cell r="K1276" t="str">
            <v>-</v>
          </cell>
          <cell r="L1276" t="str">
            <v>-</v>
          </cell>
          <cell r="M1276">
            <v>0</v>
          </cell>
          <cell r="N1276">
            <v>0</v>
          </cell>
          <cell r="O1276">
            <v>0</v>
          </cell>
          <cell r="P1276">
            <v>7</v>
          </cell>
          <cell r="Q1276">
            <v>9</v>
          </cell>
          <cell r="R1276">
            <v>0</v>
          </cell>
          <cell r="S1276" t="str">
            <v/>
          </cell>
          <cell r="T1276">
            <v>16</v>
          </cell>
          <cell r="U1276">
            <v>0</v>
          </cell>
          <cell r="V1276">
            <v>0</v>
          </cell>
          <cell r="W1276">
            <v>0</v>
          </cell>
          <cell r="X1276">
            <v>7</v>
          </cell>
          <cell r="Y1276">
            <v>9</v>
          </cell>
          <cell r="Z1276">
            <v>0</v>
          </cell>
          <cell r="AA1276" t="str">
            <v/>
          </cell>
          <cell r="AB1276">
            <v>16</v>
          </cell>
          <cell r="AC1276">
            <v>2</v>
          </cell>
          <cell r="AD1276" t="str">
            <v>TIDAK</v>
          </cell>
          <cell r="AE1276" t="str">
            <v>TIDAK</v>
          </cell>
          <cell r="AF1276">
            <v>16</v>
          </cell>
          <cell r="AG1276">
            <v>1</v>
          </cell>
          <cell r="AH1276" t="str">
            <v>SAPHIRE</v>
          </cell>
          <cell r="AI1276">
            <v>0</v>
          </cell>
          <cell r="AJ1276" t="str">
            <v>FALSE</v>
          </cell>
          <cell r="AK1276">
            <v>0</v>
          </cell>
          <cell r="AL1276">
            <v>45261</v>
          </cell>
          <cell r="AM1276">
            <v>45701</v>
          </cell>
          <cell r="AN1276">
            <v>1</v>
          </cell>
          <cell r="AO1276">
            <v>16</v>
          </cell>
          <cell r="AP1276" t="str">
            <v>-</v>
          </cell>
          <cell r="AQ1276" t="str">
            <v>-</v>
          </cell>
          <cell r="AR1276" t="str">
            <v>-</v>
          </cell>
          <cell r="AS1276" t="str">
            <v>-</v>
          </cell>
          <cell r="AT1276" t="str">
            <v>-</v>
          </cell>
          <cell r="AU1276" t="str">
            <v>-</v>
          </cell>
          <cell r="AV1276" t="str">
            <v/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 t="str">
            <v/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 t="str">
            <v/>
          </cell>
          <cell r="BN1276">
            <v>0</v>
          </cell>
          <cell r="BO1276" t="str">
            <v/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 t="str">
            <v/>
          </cell>
          <cell r="BV1276">
            <v>0</v>
          </cell>
          <cell r="BW1276">
            <v>7</v>
          </cell>
          <cell r="BX1276" t="str">
            <v>DOWNGRADE</v>
          </cell>
          <cell r="BY1276" t="str">
            <v>RESET</v>
          </cell>
        </row>
        <row r="1277">
          <cell r="A1277" t="str">
            <v>A4100</v>
          </cell>
          <cell r="B1277" t="str">
            <v>FIRDA NIR MALASARI</v>
          </cell>
          <cell r="C1277" t="str">
            <v>TEMA C3</v>
          </cell>
          <cell r="D1277">
            <v>45455</v>
          </cell>
          <cell r="E1277" t="str">
            <v>Jun-24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 t="str">
            <v>REGULER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4</v>
          </cell>
          <cell r="T1277">
            <v>4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4</v>
          </cell>
          <cell r="AB1277">
            <v>4</v>
          </cell>
          <cell r="AC1277">
            <v>0</v>
          </cell>
          <cell r="AD1277" t="str">
            <v>TIDAK</v>
          </cell>
          <cell r="AE1277" t="str">
            <v>TIDAK</v>
          </cell>
          <cell r="AF1277">
            <v>4</v>
          </cell>
          <cell r="AG1277">
            <v>1</v>
          </cell>
          <cell r="AH1277" t="str">
            <v>SAPHIRE</v>
          </cell>
          <cell r="AI1277">
            <v>0</v>
          </cell>
          <cell r="AJ1277" t="str">
            <v>FALSE</v>
          </cell>
          <cell r="AK1277">
            <v>0</v>
          </cell>
          <cell r="AL1277">
            <v>45261</v>
          </cell>
          <cell r="AM1277">
            <v>45701</v>
          </cell>
          <cell r="AN1277">
            <v>1</v>
          </cell>
          <cell r="AO1277">
            <v>4</v>
          </cell>
          <cell r="AP1277" t="str">
            <v>-</v>
          </cell>
          <cell r="AQ1277" t="str">
            <v>-</v>
          </cell>
          <cell r="AR1277" t="str">
            <v>-</v>
          </cell>
          <cell r="AS1277" t="str">
            <v>-</v>
          </cell>
          <cell r="AT1277" t="str">
            <v>-</v>
          </cell>
          <cell r="AU1277" t="str">
            <v>-</v>
          </cell>
          <cell r="AV1277" t="str">
            <v/>
          </cell>
          <cell r="AW1277">
            <v>25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25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9</v>
          </cell>
          <cell r="BH1277">
            <v>25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 t="str">
            <v/>
          </cell>
          <cell r="BN1277">
            <v>34</v>
          </cell>
          <cell r="BO1277">
            <v>9</v>
          </cell>
          <cell r="BP1277">
            <v>25</v>
          </cell>
          <cell r="BQ1277">
            <v>0</v>
          </cell>
          <cell r="BR1277">
            <v>0</v>
          </cell>
          <cell r="BS1277">
            <v>0</v>
          </cell>
          <cell r="BT1277">
            <v>0</v>
          </cell>
          <cell r="BU1277" t="str">
            <v/>
          </cell>
          <cell r="BV1277">
            <v>34</v>
          </cell>
          <cell r="BW1277">
            <v>5</v>
          </cell>
          <cell r="BX1277" t="str">
            <v>DOWNGRADE</v>
          </cell>
          <cell r="BY1277" t="str">
            <v>RESET</v>
          </cell>
        </row>
        <row r="1278">
          <cell r="A1278" t="str">
            <v>A1635</v>
          </cell>
          <cell r="B1278" t="str">
            <v>Frisky Rosmalina</v>
          </cell>
          <cell r="C1278" t="str">
            <v>TEMA C3</v>
          </cell>
          <cell r="D1278">
            <v>44992</v>
          </cell>
          <cell r="E1278" t="str">
            <v>Mar-23</v>
          </cell>
          <cell r="F1278" t="str">
            <v>REGULER</v>
          </cell>
          <cell r="G1278" t="str">
            <v>REGULER</v>
          </cell>
          <cell r="H1278" t="str">
            <v>REGULER</v>
          </cell>
          <cell r="I1278" t="str">
            <v>REGULER</v>
          </cell>
          <cell r="J1278" t="str">
            <v>REGULER</v>
          </cell>
          <cell r="K1278" t="str">
            <v>REGULER</v>
          </cell>
          <cell r="L1278" t="str">
            <v>-</v>
          </cell>
          <cell r="M1278">
            <v>4</v>
          </cell>
          <cell r="N1278">
            <v>7</v>
          </cell>
          <cell r="O1278">
            <v>22</v>
          </cell>
          <cell r="P1278">
            <v>19</v>
          </cell>
          <cell r="Q1278">
            <v>27</v>
          </cell>
          <cell r="R1278">
            <v>3</v>
          </cell>
          <cell r="S1278" t="str">
            <v/>
          </cell>
          <cell r="T1278">
            <v>82</v>
          </cell>
          <cell r="U1278">
            <v>4</v>
          </cell>
          <cell r="V1278">
            <v>7</v>
          </cell>
          <cell r="W1278">
            <v>22</v>
          </cell>
          <cell r="X1278">
            <v>19</v>
          </cell>
          <cell r="Y1278">
            <v>27</v>
          </cell>
          <cell r="Z1278">
            <v>3</v>
          </cell>
          <cell r="AA1278" t="str">
            <v/>
          </cell>
          <cell r="AB1278">
            <v>82</v>
          </cell>
          <cell r="AC1278">
            <v>1</v>
          </cell>
          <cell r="AD1278" t="str">
            <v>TIDAK</v>
          </cell>
          <cell r="AE1278" t="str">
            <v>TIDAK</v>
          </cell>
          <cell r="AF1278">
            <v>82</v>
          </cell>
          <cell r="AG1278">
            <v>1</v>
          </cell>
          <cell r="AH1278" t="str">
            <v>SAPHIRE</v>
          </cell>
          <cell r="AI1278">
            <v>0</v>
          </cell>
          <cell r="AJ1278" t="str">
            <v>Y</v>
          </cell>
          <cell r="AK1278">
            <v>0</v>
          </cell>
          <cell r="AL1278">
            <v>45261</v>
          </cell>
          <cell r="AM1278">
            <v>45701</v>
          </cell>
          <cell r="AN1278">
            <v>1</v>
          </cell>
          <cell r="AO1278">
            <v>82</v>
          </cell>
          <cell r="AP1278" t="str">
            <v>-</v>
          </cell>
          <cell r="AQ1278" t="str">
            <v>-</v>
          </cell>
          <cell r="AR1278" t="str">
            <v>-</v>
          </cell>
          <cell r="AS1278" t="str">
            <v>-</v>
          </cell>
          <cell r="AT1278" t="str">
            <v>-</v>
          </cell>
          <cell r="AU1278" t="str">
            <v>-</v>
          </cell>
          <cell r="AV1278" t="str">
            <v/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 t="str">
            <v/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 t="str">
            <v/>
          </cell>
          <cell r="BN1278">
            <v>0</v>
          </cell>
          <cell r="BO1278" t="str">
            <v/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  <cell r="BT1278">
            <v>0</v>
          </cell>
          <cell r="BU1278" t="str">
            <v/>
          </cell>
          <cell r="BV1278">
            <v>0</v>
          </cell>
          <cell r="BW1278">
            <v>7</v>
          </cell>
          <cell r="BX1278" t="str">
            <v>DOWNGRADE</v>
          </cell>
          <cell r="BY1278" t="str">
            <v>RESET</v>
          </cell>
        </row>
        <row r="1279">
          <cell r="A1279" t="str">
            <v>A2741</v>
          </cell>
          <cell r="B1279" t="str">
            <v>Indah Pratiwi</v>
          </cell>
          <cell r="C1279" t="str">
            <v>TEMA C3</v>
          </cell>
          <cell r="D1279">
            <v>45139</v>
          </cell>
          <cell r="E1279" t="str">
            <v>Aug-23</v>
          </cell>
          <cell r="F1279" t="str">
            <v>REGULER</v>
          </cell>
          <cell r="G1279" t="str">
            <v>-</v>
          </cell>
          <cell r="H1279" t="str">
            <v>REGULER</v>
          </cell>
          <cell r="I1279" t="str">
            <v>-</v>
          </cell>
          <cell r="J1279" t="str">
            <v>-</v>
          </cell>
          <cell r="K1279" t="str">
            <v>-</v>
          </cell>
          <cell r="L1279" t="str">
            <v>-</v>
          </cell>
          <cell r="M1279">
            <v>0</v>
          </cell>
          <cell r="N1279">
            <v>0</v>
          </cell>
          <cell r="O1279">
            <v>2</v>
          </cell>
          <cell r="P1279">
            <v>0</v>
          </cell>
          <cell r="Q1279">
            <v>0</v>
          </cell>
          <cell r="R1279">
            <v>0</v>
          </cell>
          <cell r="S1279" t="str">
            <v/>
          </cell>
          <cell r="T1279">
            <v>2</v>
          </cell>
          <cell r="U1279">
            <v>0</v>
          </cell>
          <cell r="V1279">
            <v>0</v>
          </cell>
          <cell r="W1279">
            <v>2</v>
          </cell>
          <cell r="X1279">
            <v>0</v>
          </cell>
          <cell r="Y1279">
            <v>0</v>
          </cell>
          <cell r="Z1279">
            <v>0</v>
          </cell>
          <cell r="AA1279" t="str">
            <v/>
          </cell>
          <cell r="AB1279">
            <v>2</v>
          </cell>
          <cell r="AC1279">
            <v>6</v>
          </cell>
          <cell r="AD1279" t="str">
            <v>DOWNGRADE</v>
          </cell>
          <cell r="AE1279" t="str">
            <v>RESET</v>
          </cell>
          <cell r="AF1279">
            <v>0</v>
          </cell>
          <cell r="AG1279">
            <v>1</v>
          </cell>
          <cell r="AH1279" t="str">
            <v>SAPHIRE</v>
          </cell>
          <cell r="AI1279">
            <v>0</v>
          </cell>
          <cell r="AJ1279" t="str">
            <v>FALSE</v>
          </cell>
          <cell r="AK1279">
            <v>0</v>
          </cell>
          <cell r="AL1279">
            <v>45261</v>
          </cell>
          <cell r="AM1279">
            <v>45701</v>
          </cell>
          <cell r="AN1279">
            <v>1</v>
          </cell>
          <cell r="AO1279">
            <v>0</v>
          </cell>
          <cell r="AP1279" t="str">
            <v>-</v>
          </cell>
          <cell r="AQ1279" t="str">
            <v>-</v>
          </cell>
          <cell r="AR1279" t="str">
            <v>-</v>
          </cell>
          <cell r="AS1279" t="str">
            <v>-</v>
          </cell>
          <cell r="AT1279" t="str">
            <v>-</v>
          </cell>
          <cell r="AU1279" t="str">
            <v>-</v>
          </cell>
          <cell r="AV1279" t="str">
            <v/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 t="str">
            <v/>
          </cell>
          <cell r="BH1279">
            <v>0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 t="str">
            <v/>
          </cell>
          <cell r="BN1279">
            <v>0</v>
          </cell>
          <cell r="BO1279" t="str">
            <v/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  <cell r="BT1279">
            <v>0</v>
          </cell>
          <cell r="BU1279" t="str">
            <v/>
          </cell>
          <cell r="BV1279">
            <v>0</v>
          </cell>
          <cell r="BW1279">
            <v>7</v>
          </cell>
          <cell r="BX1279" t="str">
            <v>DOWNGRADE</v>
          </cell>
          <cell r="BY1279" t="str">
            <v>RESET</v>
          </cell>
        </row>
        <row r="1280">
          <cell r="A1280" t="str">
            <v>A1757</v>
          </cell>
          <cell r="B1280" t="str">
            <v>Jhon Gusman</v>
          </cell>
          <cell r="C1280" t="str">
            <v>TEMA C3</v>
          </cell>
          <cell r="D1280">
            <v>44991</v>
          </cell>
          <cell r="E1280" t="str">
            <v>Mar-23</v>
          </cell>
          <cell r="F1280" t="str">
            <v>EKSKLUSIF</v>
          </cell>
          <cell r="G1280" t="str">
            <v>EKSKLUSIF</v>
          </cell>
          <cell r="H1280" t="str">
            <v>-</v>
          </cell>
          <cell r="I1280" t="str">
            <v>-</v>
          </cell>
          <cell r="J1280" t="str">
            <v>-</v>
          </cell>
          <cell r="K1280" t="str">
            <v>-</v>
          </cell>
          <cell r="L1280" t="str">
            <v>-</v>
          </cell>
          <cell r="M1280">
            <v>16</v>
          </cell>
          <cell r="N1280">
            <v>41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 t="str">
            <v/>
          </cell>
          <cell r="T1280">
            <v>57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 t="str">
            <v/>
          </cell>
          <cell r="AB1280">
            <v>0</v>
          </cell>
          <cell r="AC1280">
            <v>5</v>
          </cell>
          <cell r="AD1280" t="str">
            <v>DOWNGRADE</v>
          </cell>
          <cell r="AE1280" t="str">
            <v>RESET</v>
          </cell>
          <cell r="AF1280">
            <v>0</v>
          </cell>
          <cell r="AG1280">
            <v>3</v>
          </cell>
          <cell r="AH1280" t="str">
            <v>SAPHIRE</v>
          </cell>
          <cell r="AI1280">
            <v>0</v>
          </cell>
          <cell r="AJ1280" t="str">
            <v>FALSE</v>
          </cell>
          <cell r="AK1280">
            <v>0</v>
          </cell>
          <cell r="AL1280">
            <v>45261</v>
          </cell>
          <cell r="AM1280">
            <v>45701</v>
          </cell>
          <cell r="AN1280">
            <v>1</v>
          </cell>
          <cell r="AO1280">
            <v>0</v>
          </cell>
          <cell r="AP1280" t="str">
            <v>-</v>
          </cell>
          <cell r="AQ1280" t="str">
            <v>-</v>
          </cell>
          <cell r="AR1280" t="str">
            <v>-</v>
          </cell>
          <cell r="AS1280" t="str">
            <v>-</v>
          </cell>
          <cell r="AT1280" t="str">
            <v>-</v>
          </cell>
          <cell r="AU1280" t="str">
            <v>-</v>
          </cell>
          <cell r="AV1280" t="str">
            <v/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 t="str">
            <v/>
          </cell>
          <cell r="BH1280">
            <v>0</v>
          </cell>
          <cell r="BI1280">
            <v>0</v>
          </cell>
          <cell r="BJ1280">
            <v>0</v>
          </cell>
          <cell r="BK1280">
            <v>0</v>
          </cell>
          <cell r="BL1280">
            <v>0</v>
          </cell>
          <cell r="BM1280" t="str">
            <v/>
          </cell>
          <cell r="BN1280">
            <v>0</v>
          </cell>
          <cell r="BO1280" t="str">
            <v/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  <cell r="BT1280">
            <v>0</v>
          </cell>
          <cell r="BU1280" t="str">
            <v/>
          </cell>
          <cell r="BV1280">
            <v>0</v>
          </cell>
          <cell r="BW1280">
            <v>7</v>
          </cell>
          <cell r="BX1280" t="str">
            <v>DOWNGRADE</v>
          </cell>
          <cell r="BY1280" t="str">
            <v>RESET</v>
          </cell>
        </row>
        <row r="1281">
          <cell r="A1281" t="str">
            <v>A3930</v>
          </cell>
          <cell r="B1281" t="str">
            <v>Karin Jessica Dimara</v>
          </cell>
          <cell r="C1281" t="str">
            <v>TEMA C3</v>
          </cell>
          <cell r="D1281">
            <v>45370</v>
          </cell>
          <cell r="E1281" t="str">
            <v>Mar-24</v>
          </cell>
          <cell r="F1281" t="str">
            <v>-</v>
          </cell>
          <cell r="G1281" t="str">
            <v>-</v>
          </cell>
          <cell r="H1281" t="str">
            <v>-</v>
          </cell>
          <cell r="I1281" t="str">
            <v>REGULER</v>
          </cell>
          <cell r="J1281" t="str">
            <v>REGULER</v>
          </cell>
          <cell r="K1281" t="str">
            <v>REGULER</v>
          </cell>
          <cell r="L1281" t="str">
            <v>REGULER</v>
          </cell>
          <cell r="M1281">
            <v>0</v>
          </cell>
          <cell r="N1281">
            <v>0</v>
          </cell>
          <cell r="O1281">
            <v>0</v>
          </cell>
          <cell r="P1281">
            <v>15</v>
          </cell>
          <cell r="Q1281">
            <v>22</v>
          </cell>
          <cell r="R1281">
            <v>21</v>
          </cell>
          <cell r="S1281">
            <v>4</v>
          </cell>
          <cell r="T1281">
            <v>62</v>
          </cell>
          <cell r="U1281">
            <v>0</v>
          </cell>
          <cell r="V1281">
            <v>0</v>
          </cell>
          <cell r="W1281">
            <v>0</v>
          </cell>
          <cell r="X1281">
            <v>15</v>
          </cell>
          <cell r="Y1281">
            <v>22</v>
          </cell>
          <cell r="Z1281">
            <v>21</v>
          </cell>
          <cell r="AA1281">
            <v>4</v>
          </cell>
          <cell r="AB1281">
            <v>62</v>
          </cell>
          <cell r="AC1281">
            <v>0</v>
          </cell>
          <cell r="AD1281" t="str">
            <v>TIDAK</v>
          </cell>
          <cell r="AE1281" t="str">
            <v>TIDAK</v>
          </cell>
          <cell r="AF1281">
            <v>62</v>
          </cell>
          <cell r="AG1281">
            <v>1</v>
          </cell>
          <cell r="AH1281" t="str">
            <v>SAPHIRE</v>
          </cell>
          <cell r="AI1281">
            <v>0</v>
          </cell>
          <cell r="AJ1281" t="str">
            <v>FALSE</v>
          </cell>
          <cell r="AK1281">
            <v>0</v>
          </cell>
          <cell r="AL1281">
            <v>45261</v>
          </cell>
          <cell r="AM1281">
            <v>45701</v>
          </cell>
          <cell r="AN1281">
            <v>1</v>
          </cell>
          <cell r="AO1281">
            <v>62</v>
          </cell>
          <cell r="AP1281" t="str">
            <v>-</v>
          </cell>
          <cell r="AQ1281" t="str">
            <v>-</v>
          </cell>
          <cell r="AR1281" t="str">
            <v>-</v>
          </cell>
          <cell r="AS1281" t="str">
            <v>-</v>
          </cell>
          <cell r="AT1281" t="str">
            <v>-</v>
          </cell>
          <cell r="AU1281" t="str">
            <v>-</v>
          </cell>
          <cell r="AV1281" t="str">
            <v/>
          </cell>
          <cell r="AW1281">
            <v>27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27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11</v>
          </cell>
          <cell r="BH1281">
            <v>27</v>
          </cell>
          <cell r="BI1281">
            <v>0</v>
          </cell>
          <cell r="BJ1281">
            <v>0</v>
          </cell>
          <cell r="BK1281">
            <v>0</v>
          </cell>
          <cell r="BL1281">
            <v>0</v>
          </cell>
          <cell r="BM1281" t="str">
            <v/>
          </cell>
          <cell r="BN1281">
            <v>38</v>
          </cell>
          <cell r="BO1281">
            <v>11</v>
          </cell>
          <cell r="BP1281">
            <v>27</v>
          </cell>
          <cell r="BQ1281">
            <v>0</v>
          </cell>
          <cell r="BR1281">
            <v>0</v>
          </cell>
          <cell r="BS1281">
            <v>0</v>
          </cell>
          <cell r="BT1281">
            <v>0</v>
          </cell>
          <cell r="BU1281" t="str">
            <v/>
          </cell>
          <cell r="BV1281">
            <v>38</v>
          </cell>
          <cell r="BW1281">
            <v>5</v>
          </cell>
          <cell r="BX1281" t="str">
            <v>DOWNGRADE</v>
          </cell>
          <cell r="BY1281" t="str">
            <v>RESET</v>
          </cell>
        </row>
        <row r="1282">
          <cell r="A1282" t="str">
            <v>A3909</v>
          </cell>
          <cell r="B1282" t="str">
            <v>Kharisma Nisa Pertiwi</v>
          </cell>
          <cell r="C1282" t="str">
            <v>TEMA C3</v>
          </cell>
          <cell r="D1282">
            <v>45357</v>
          </cell>
          <cell r="E1282" t="str">
            <v>Mar-24</v>
          </cell>
          <cell r="F1282" t="str">
            <v>-</v>
          </cell>
          <cell r="G1282" t="str">
            <v>-</v>
          </cell>
          <cell r="H1282" t="str">
            <v>-</v>
          </cell>
          <cell r="I1282" t="str">
            <v>REGULER</v>
          </cell>
          <cell r="J1282" t="str">
            <v>REGULER</v>
          </cell>
          <cell r="K1282" t="str">
            <v>REGULER</v>
          </cell>
          <cell r="L1282" t="str">
            <v>-</v>
          </cell>
          <cell r="M1282">
            <v>0</v>
          </cell>
          <cell r="N1282">
            <v>0</v>
          </cell>
          <cell r="O1282">
            <v>0</v>
          </cell>
          <cell r="P1282">
            <v>19</v>
          </cell>
          <cell r="Q1282">
            <v>3</v>
          </cell>
          <cell r="R1282">
            <v>11</v>
          </cell>
          <cell r="S1282" t="str">
            <v/>
          </cell>
          <cell r="T1282">
            <v>33</v>
          </cell>
          <cell r="U1282">
            <v>0</v>
          </cell>
          <cell r="V1282">
            <v>0</v>
          </cell>
          <cell r="W1282">
            <v>0</v>
          </cell>
          <cell r="X1282">
            <v>19</v>
          </cell>
          <cell r="Y1282">
            <v>3</v>
          </cell>
          <cell r="Z1282">
            <v>11</v>
          </cell>
          <cell r="AA1282" t="str">
            <v/>
          </cell>
          <cell r="AB1282">
            <v>33</v>
          </cell>
          <cell r="AC1282">
            <v>1</v>
          </cell>
          <cell r="AD1282" t="str">
            <v>TIDAK</v>
          </cell>
          <cell r="AE1282" t="str">
            <v>TIDAK</v>
          </cell>
          <cell r="AF1282">
            <v>33</v>
          </cell>
          <cell r="AG1282">
            <v>1</v>
          </cell>
          <cell r="AH1282" t="str">
            <v>SAPHIRE</v>
          </cell>
          <cell r="AI1282">
            <v>0</v>
          </cell>
          <cell r="AJ1282" t="str">
            <v>FALSE</v>
          </cell>
          <cell r="AK1282">
            <v>0</v>
          </cell>
          <cell r="AL1282">
            <v>45261</v>
          </cell>
          <cell r="AM1282">
            <v>45701</v>
          </cell>
          <cell r="AN1282">
            <v>1</v>
          </cell>
          <cell r="AO1282">
            <v>33</v>
          </cell>
          <cell r="AP1282" t="str">
            <v>-</v>
          </cell>
          <cell r="AQ1282" t="str">
            <v>-</v>
          </cell>
          <cell r="AR1282" t="str">
            <v>-</v>
          </cell>
          <cell r="AS1282" t="str">
            <v>-</v>
          </cell>
          <cell r="AT1282" t="str">
            <v>-</v>
          </cell>
          <cell r="AU1282" t="str">
            <v>-</v>
          </cell>
          <cell r="AV1282" t="str">
            <v/>
          </cell>
          <cell r="AW1282">
            <v>16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16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15</v>
          </cell>
          <cell r="BH1282">
            <v>16</v>
          </cell>
          <cell r="BI1282">
            <v>0</v>
          </cell>
          <cell r="BJ1282">
            <v>0</v>
          </cell>
          <cell r="BK1282">
            <v>0</v>
          </cell>
          <cell r="BL1282">
            <v>0</v>
          </cell>
          <cell r="BM1282" t="str">
            <v/>
          </cell>
          <cell r="BN1282">
            <v>31</v>
          </cell>
          <cell r="BO1282">
            <v>15</v>
          </cell>
          <cell r="BP1282">
            <v>16</v>
          </cell>
          <cell r="BQ1282">
            <v>0</v>
          </cell>
          <cell r="BR1282">
            <v>0</v>
          </cell>
          <cell r="BS1282">
            <v>0</v>
          </cell>
          <cell r="BT1282">
            <v>0</v>
          </cell>
          <cell r="BU1282" t="str">
            <v/>
          </cell>
          <cell r="BV1282">
            <v>31</v>
          </cell>
          <cell r="BW1282">
            <v>5</v>
          </cell>
          <cell r="BX1282" t="str">
            <v>DOWNGRADE</v>
          </cell>
          <cell r="BY1282" t="str">
            <v>RESET</v>
          </cell>
        </row>
        <row r="1283">
          <cell r="A1283" t="str">
            <v>A3485</v>
          </cell>
          <cell r="B1283" t="str">
            <v>Khoirunnisa Salsabila Ardiningrum</v>
          </cell>
          <cell r="C1283" t="str">
            <v>TEMA C3</v>
          </cell>
          <cell r="D1283">
            <v>45355</v>
          </cell>
          <cell r="E1283" t="str">
            <v>Mar-24</v>
          </cell>
          <cell r="F1283" t="str">
            <v>-</v>
          </cell>
          <cell r="G1283" t="str">
            <v>-</v>
          </cell>
          <cell r="H1283" t="str">
            <v>-</v>
          </cell>
          <cell r="I1283" t="str">
            <v>REGULER</v>
          </cell>
          <cell r="J1283" t="str">
            <v>-</v>
          </cell>
          <cell r="K1283" t="str">
            <v>-</v>
          </cell>
          <cell r="L1283" t="str">
            <v>-</v>
          </cell>
          <cell r="M1283">
            <v>0</v>
          </cell>
          <cell r="N1283">
            <v>0</v>
          </cell>
          <cell r="O1283">
            <v>0</v>
          </cell>
          <cell r="P1283">
            <v>1</v>
          </cell>
          <cell r="Q1283">
            <v>0</v>
          </cell>
          <cell r="R1283">
            <v>0</v>
          </cell>
          <cell r="S1283" t="str">
            <v/>
          </cell>
          <cell r="T1283">
            <v>1</v>
          </cell>
          <cell r="U1283">
            <v>0</v>
          </cell>
          <cell r="V1283">
            <v>0</v>
          </cell>
          <cell r="W1283">
            <v>0</v>
          </cell>
          <cell r="X1283">
            <v>1</v>
          </cell>
          <cell r="Y1283">
            <v>0</v>
          </cell>
          <cell r="Z1283">
            <v>0</v>
          </cell>
          <cell r="AA1283" t="str">
            <v/>
          </cell>
          <cell r="AB1283">
            <v>1</v>
          </cell>
          <cell r="AC1283">
            <v>3</v>
          </cell>
          <cell r="AD1283" t="str">
            <v>DOWNGRADE</v>
          </cell>
          <cell r="AE1283" t="str">
            <v>RESET</v>
          </cell>
          <cell r="AF1283">
            <v>0</v>
          </cell>
          <cell r="AG1283">
            <v>1</v>
          </cell>
          <cell r="AH1283" t="str">
            <v>SAPHIRE</v>
          </cell>
          <cell r="AI1283">
            <v>0</v>
          </cell>
          <cell r="AJ1283" t="str">
            <v>FALSE</v>
          </cell>
          <cell r="AK1283">
            <v>0</v>
          </cell>
          <cell r="AL1283">
            <v>45261</v>
          </cell>
          <cell r="AM1283">
            <v>45701</v>
          </cell>
          <cell r="AN1283">
            <v>1</v>
          </cell>
          <cell r="AO1283">
            <v>0</v>
          </cell>
          <cell r="AP1283" t="str">
            <v>-</v>
          </cell>
          <cell r="AQ1283" t="str">
            <v>-</v>
          </cell>
          <cell r="AR1283" t="str">
            <v>-</v>
          </cell>
          <cell r="AS1283" t="str">
            <v>-</v>
          </cell>
          <cell r="AT1283" t="str">
            <v>-</v>
          </cell>
          <cell r="AU1283" t="str">
            <v>-</v>
          </cell>
          <cell r="AV1283" t="str">
            <v/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 t="str">
            <v/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0</v>
          </cell>
          <cell r="BM1283" t="str">
            <v/>
          </cell>
          <cell r="BN1283">
            <v>0</v>
          </cell>
          <cell r="BO1283" t="str">
            <v/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0</v>
          </cell>
          <cell r="BU1283" t="str">
            <v/>
          </cell>
          <cell r="BV1283">
            <v>0</v>
          </cell>
          <cell r="BW1283">
            <v>7</v>
          </cell>
          <cell r="BX1283" t="str">
            <v>DOWNGRADE</v>
          </cell>
          <cell r="BY1283" t="str">
            <v>RESET</v>
          </cell>
        </row>
        <row r="1284">
          <cell r="A1284" t="str">
            <v>A1136</v>
          </cell>
          <cell r="B1284" t="str">
            <v>Klaudila Hanestya Selanno</v>
          </cell>
          <cell r="C1284" t="str">
            <v>TEMA C3</v>
          </cell>
          <cell r="D1284">
            <v>44921</v>
          </cell>
          <cell r="E1284" t="str">
            <v>Dec-22</v>
          </cell>
          <cell r="F1284" t="str">
            <v>EKSKLUSIF</v>
          </cell>
          <cell r="G1284" t="str">
            <v>EKSKLUSIF</v>
          </cell>
          <cell r="H1284" t="str">
            <v>EKSKLUSIF</v>
          </cell>
          <cell r="I1284" t="str">
            <v>EKSKLUSIF</v>
          </cell>
          <cell r="J1284" t="str">
            <v>EKSKLUSIF</v>
          </cell>
          <cell r="K1284" t="str">
            <v>EKSKLUSIF</v>
          </cell>
          <cell r="L1284" t="str">
            <v>EKSKLUSIF</v>
          </cell>
          <cell r="M1284">
            <v>16</v>
          </cell>
          <cell r="N1284">
            <v>42</v>
          </cell>
          <cell r="O1284">
            <v>37</v>
          </cell>
          <cell r="P1284">
            <v>38</v>
          </cell>
          <cell r="Q1284">
            <v>32</v>
          </cell>
          <cell r="R1284">
            <v>38</v>
          </cell>
          <cell r="S1284">
            <v>18</v>
          </cell>
          <cell r="T1284">
            <v>221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 t="str">
            <v>TIDAK</v>
          </cell>
          <cell r="AE1284" t="str">
            <v>TIDAK</v>
          </cell>
          <cell r="AF1284">
            <v>0</v>
          </cell>
          <cell r="AG1284">
            <v>3</v>
          </cell>
          <cell r="AH1284" t="str">
            <v>SAPHIRE</v>
          </cell>
          <cell r="AI1284">
            <v>0</v>
          </cell>
          <cell r="AJ1284" t="str">
            <v>FALSE</v>
          </cell>
          <cell r="AK1284">
            <v>0</v>
          </cell>
          <cell r="AL1284">
            <v>45261</v>
          </cell>
          <cell r="AM1284">
            <v>45701</v>
          </cell>
          <cell r="AN1284">
            <v>1</v>
          </cell>
          <cell r="AO1284">
            <v>0</v>
          </cell>
          <cell r="AP1284" t="str">
            <v>EKSKLUSIF</v>
          </cell>
          <cell r="AQ1284" t="str">
            <v>-</v>
          </cell>
          <cell r="AR1284" t="str">
            <v>-</v>
          </cell>
          <cell r="AS1284" t="str">
            <v>-</v>
          </cell>
          <cell r="AT1284" t="str">
            <v>-</v>
          </cell>
          <cell r="AU1284" t="str">
            <v>-</v>
          </cell>
          <cell r="AV1284" t="str">
            <v/>
          </cell>
          <cell r="AW1284">
            <v>8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8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15</v>
          </cell>
          <cell r="BH1284">
            <v>8</v>
          </cell>
          <cell r="BI1284">
            <v>0</v>
          </cell>
          <cell r="BJ1284">
            <v>0</v>
          </cell>
          <cell r="BK1284">
            <v>0</v>
          </cell>
          <cell r="BL1284">
            <v>0</v>
          </cell>
          <cell r="BM1284" t="str">
            <v/>
          </cell>
          <cell r="BN1284">
            <v>23</v>
          </cell>
          <cell r="BO1284">
            <v>0</v>
          </cell>
          <cell r="BP1284">
            <v>8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 t="str">
            <v/>
          </cell>
          <cell r="BV1284">
            <v>8</v>
          </cell>
          <cell r="BW1284">
            <v>5</v>
          </cell>
          <cell r="BX1284" t="str">
            <v>DOWNGRADE</v>
          </cell>
          <cell r="BY1284" t="str">
            <v>RESET</v>
          </cell>
        </row>
        <row r="1285">
          <cell r="A1285" t="str">
            <v>A3972</v>
          </cell>
          <cell r="B1285" t="str">
            <v>Kunang Kelana</v>
          </cell>
          <cell r="C1285" t="str">
            <v>TEMA C3</v>
          </cell>
          <cell r="D1285">
            <v>45384</v>
          </cell>
          <cell r="E1285" t="str">
            <v>Apr-24</v>
          </cell>
          <cell r="F1285" t="str">
            <v>-</v>
          </cell>
          <cell r="G1285" t="str">
            <v>-</v>
          </cell>
          <cell r="H1285" t="str">
            <v>-</v>
          </cell>
          <cell r="I1285" t="str">
            <v>-</v>
          </cell>
          <cell r="J1285" t="str">
            <v>REGULER</v>
          </cell>
          <cell r="K1285" t="str">
            <v>-</v>
          </cell>
          <cell r="L1285" t="str">
            <v>-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1</v>
          </cell>
          <cell r="R1285">
            <v>0</v>
          </cell>
          <cell r="S1285" t="str">
            <v/>
          </cell>
          <cell r="T1285">
            <v>1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1</v>
          </cell>
          <cell r="Z1285">
            <v>0</v>
          </cell>
          <cell r="AA1285" t="str">
            <v/>
          </cell>
          <cell r="AB1285">
            <v>1</v>
          </cell>
          <cell r="AC1285">
            <v>2</v>
          </cell>
          <cell r="AD1285" t="str">
            <v>TIDAK</v>
          </cell>
          <cell r="AE1285" t="str">
            <v>TIDAK</v>
          </cell>
          <cell r="AF1285">
            <v>1</v>
          </cell>
          <cell r="AG1285">
            <v>1</v>
          </cell>
          <cell r="AH1285" t="str">
            <v>SAPHIRE</v>
          </cell>
          <cell r="AI1285">
            <v>0</v>
          </cell>
          <cell r="AJ1285" t="str">
            <v>FALSE</v>
          </cell>
          <cell r="AK1285">
            <v>0</v>
          </cell>
          <cell r="AL1285">
            <v>45261</v>
          </cell>
          <cell r="AM1285">
            <v>45701</v>
          </cell>
          <cell r="AN1285">
            <v>1</v>
          </cell>
          <cell r="AO1285">
            <v>1</v>
          </cell>
          <cell r="AP1285" t="str">
            <v>-</v>
          </cell>
          <cell r="AQ1285" t="str">
            <v>-</v>
          </cell>
          <cell r="AR1285" t="str">
            <v>-</v>
          </cell>
          <cell r="AS1285" t="str">
            <v>-</v>
          </cell>
          <cell r="AT1285" t="str">
            <v>-</v>
          </cell>
          <cell r="AU1285" t="str">
            <v>-</v>
          </cell>
          <cell r="AV1285" t="str">
            <v/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 t="str">
            <v/>
          </cell>
          <cell r="BH1285">
            <v>0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 t="str">
            <v/>
          </cell>
          <cell r="BN1285">
            <v>0</v>
          </cell>
          <cell r="BO1285" t="str">
            <v/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  <cell r="BT1285">
            <v>0</v>
          </cell>
          <cell r="BU1285" t="str">
            <v/>
          </cell>
          <cell r="BV1285">
            <v>0</v>
          </cell>
          <cell r="BW1285">
            <v>7</v>
          </cell>
          <cell r="BX1285" t="str">
            <v>DOWNGRADE</v>
          </cell>
          <cell r="BY1285" t="str">
            <v>RESET</v>
          </cell>
        </row>
        <row r="1286">
          <cell r="A1286" t="str">
            <v>A3924</v>
          </cell>
          <cell r="B1286" t="str">
            <v>Lydia Novita Simanjuntak</v>
          </cell>
          <cell r="C1286" t="str">
            <v>TEMA C3</v>
          </cell>
          <cell r="D1286">
            <v>45369</v>
          </cell>
          <cell r="E1286" t="str">
            <v>Mar-24</v>
          </cell>
          <cell r="F1286" t="str">
            <v>-</v>
          </cell>
          <cell r="G1286" t="str">
            <v>-</v>
          </cell>
          <cell r="H1286" t="str">
            <v>-</v>
          </cell>
          <cell r="I1286" t="str">
            <v>REGULER</v>
          </cell>
          <cell r="J1286" t="str">
            <v>REGULER</v>
          </cell>
          <cell r="K1286" t="str">
            <v>REGULER</v>
          </cell>
          <cell r="L1286" t="str">
            <v>REGULER</v>
          </cell>
          <cell r="M1286">
            <v>0</v>
          </cell>
          <cell r="N1286">
            <v>0</v>
          </cell>
          <cell r="O1286">
            <v>0</v>
          </cell>
          <cell r="P1286">
            <v>9</v>
          </cell>
          <cell r="Q1286">
            <v>20</v>
          </cell>
          <cell r="R1286">
            <v>8</v>
          </cell>
          <cell r="S1286">
            <v>7</v>
          </cell>
          <cell r="T1286">
            <v>44</v>
          </cell>
          <cell r="U1286">
            <v>0</v>
          </cell>
          <cell r="V1286">
            <v>0</v>
          </cell>
          <cell r="W1286">
            <v>0</v>
          </cell>
          <cell r="X1286">
            <v>9</v>
          </cell>
          <cell r="Y1286">
            <v>20</v>
          </cell>
          <cell r="Z1286">
            <v>8</v>
          </cell>
          <cell r="AA1286">
            <v>7</v>
          </cell>
          <cell r="AB1286">
            <v>44</v>
          </cell>
          <cell r="AC1286">
            <v>0</v>
          </cell>
          <cell r="AD1286" t="str">
            <v>TIDAK</v>
          </cell>
          <cell r="AE1286" t="str">
            <v>TIDAK</v>
          </cell>
          <cell r="AF1286">
            <v>44</v>
          </cell>
          <cell r="AG1286">
            <v>1</v>
          </cell>
          <cell r="AH1286" t="str">
            <v>SAPHIRE</v>
          </cell>
          <cell r="AI1286">
            <v>0</v>
          </cell>
          <cell r="AJ1286" t="str">
            <v>FALSE</v>
          </cell>
          <cell r="AK1286">
            <v>0</v>
          </cell>
          <cell r="AL1286">
            <v>45261</v>
          </cell>
          <cell r="AM1286">
            <v>45701</v>
          </cell>
          <cell r="AN1286">
            <v>1</v>
          </cell>
          <cell r="AO1286">
            <v>44</v>
          </cell>
          <cell r="AP1286" t="str">
            <v>-</v>
          </cell>
          <cell r="AQ1286" t="str">
            <v>-</v>
          </cell>
          <cell r="AR1286" t="str">
            <v>-</v>
          </cell>
          <cell r="AS1286" t="str">
            <v>-</v>
          </cell>
          <cell r="AT1286" t="str">
            <v>-</v>
          </cell>
          <cell r="AU1286" t="str">
            <v>-</v>
          </cell>
          <cell r="AV1286" t="str">
            <v/>
          </cell>
          <cell r="AW1286">
            <v>22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22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 t="str">
            <v/>
          </cell>
          <cell r="BH1286">
            <v>22</v>
          </cell>
          <cell r="BI1286">
            <v>0</v>
          </cell>
          <cell r="BJ1286">
            <v>0</v>
          </cell>
          <cell r="BK1286">
            <v>0</v>
          </cell>
          <cell r="BL1286">
            <v>0</v>
          </cell>
          <cell r="BM1286" t="str">
            <v/>
          </cell>
          <cell r="BN1286">
            <v>22</v>
          </cell>
          <cell r="BO1286" t="str">
            <v/>
          </cell>
          <cell r="BP1286">
            <v>22</v>
          </cell>
          <cell r="BQ1286">
            <v>0</v>
          </cell>
          <cell r="BR1286">
            <v>0</v>
          </cell>
          <cell r="BS1286">
            <v>0</v>
          </cell>
          <cell r="BT1286">
            <v>0</v>
          </cell>
          <cell r="BU1286" t="str">
            <v/>
          </cell>
          <cell r="BV1286">
            <v>22</v>
          </cell>
          <cell r="BW1286">
            <v>6</v>
          </cell>
          <cell r="BX1286" t="str">
            <v>DOWNGRADE</v>
          </cell>
          <cell r="BY1286" t="str">
            <v>RESET</v>
          </cell>
        </row>
        <row r="1287">
          <cell r="A1287" t="str">
            <v>A3748</v>
          </cell>
          <cell r="B1287" t="str">
            <v>Margie Andiny Rafael</v>
          </cell>
          <cell r="C1287" t="str">
            <v>TEMA C3</v>
          </cell>
          <cell r="D1287">
            <v>45348</v>
          </cell>
          <cell r="E1287" t="str">
            <v>Feb-24</v>
          </cell>
          <cell r="F1287" t="str">
            <v>-</v>
          </cell>
          <cell r="G1287" t="str">
            <v>-</v>
          </cell>
          <cell r="H1287" t="str">
            <v>REGULER</v>
          </cell>
          <cell r="I1287" t="str">
            <v>REGULER</v>
          </cell>
          <cell r="J1287" t="str">
            <v>-</v>
          </cell>
          <cell r="K1287" t="str">
            <v>-</v>
          </cell>
          <cell r="L1287" t="str">
            <v>-</v>
          </cell>
          <cell r="M1287">
            <v>0</v>
          </cell>
          <cell r="N1287">
            <v>0</v>
          </cell>
          <cell r="O1287">
            <v>1</v>
          </cell>
          <cell r="P1287">
            <v>1</v>
          </cell>
          <cell r="Q1287">
            <v>0</v>
          </cell>
          <cell r="R1287">
            <v>0</v>
          </cell>
          <cell r="S1287" t="str">
            <v/>
          </cell>
          <cell r="T1287">
            <v>2</v>
          </cell>
          <cell r="U1287">
            <v>0</v>
          </cell>
          <cell r="V1287">
            <v>0</v>
          </cell>
          <cell r="W1287">
            <v>1</v>
          </cell>
          <cell r="X1287">
            <v>1</v>
          </cell>
          <cell r="Y1287">
            <v>0</v>
          </cell>
          <cell r="Z1287">
            <v>0</v>
          </cell>
          <cell r="AA1287" t="str">
            <v/>
          </cell>
          <cell r="AB1287">
            <v>2</v>
          </cell>
          <cell r="AC1287">
            <v>3</v>
          </cell>
          <cell r="AD1287" t="str">
            <v>DOWNGRADE</v>
          </cell>
          <cell r="AE1287" t="str">
            <v>RESET</v>
          </cell>
          <cell r="AF1287">
            <v>0</v>
          </cell>
          <cell r="AG1287">
            <v>1</v>
          </cell>
          <cell r="AH1287" t="str">
            <v>SAPHIRE</v>
          </cell>
          <cell r="AI1287">
            <v>0</v>
          </cell>
          <cell r="AJ1287" t="str">
            <v>FALSE</v>
          </cell>
          <cell r="AK1287">
            <v>0</v>
          </cell>
          <cell r="AL1287">
            <v>45261</v>
          </cell>
          <cell r="AM1287">
            <v>45701</v>
          </cell>
          <cell r="AN1287">
            <v>1</v>
          </cell>
          <cell r="AO1287">
            <v>0</v>
          </cell>
          <cell r="AP1287" t="str">
            <v>-</v>
          </cell>
          <cell r="AQ1287" t="str">
            <v>-</v>
          </cell>
          <cell r="AR1287" t="str">
            <v>-</v>
          </cell>
          <cell r="AS1287" t="str">
            <v>-</v>
          </cell>
          <cell r="AT1287" t="str">
            <v>-</v>
          </cell>
          <cell r="AU1287" t="str">
            <v>-</v>
          </cell>
          <cell r="AV1287" t="str">
            <v/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 t="str">
            <v/>
          </cell>
          <cell r="BH1287">
            <v>0</v>
          </cell>
          <cell r="BI1287">
            <v>0</v>
          </cell>
          <cell r="BJ1287">
            <v>0</v>
          </cell>
          <cell r="BK1287">
            <v>0</v>
          </cell>
          <cell r="BL1287">
            <v>0</v>
          </cell>
          <cell r="BM1287" t="str">
            <v/>
          </cell>
          <cell r="BN1287">
            <v>0</v>
          </cell>
          <cell r="BO1287" t="str">
            <v/>
          </cell>
          <cell r="BP1287">
            <v>0</v>
          </cell>
          <cell r="BQ1287">
            <v>0</v>
          </cell>
          <cell r="BR1287">
            <v>0</v>
          </cell>
          <cell r="BS1287">
            <v>0</v>
          </cell>
          <cell r="BT1287">
            <v>0</v>
          </cell>
          <cell r="BU1287" t="str">
            <v/>
          </cell>
          <cell r="BV1287">
            <v>0</v>
          </cell>
          <cell r="BW1287">
            <v>7</v>
          </cell>
          <cell r="BX1287" t="str">
            <v>DOWNGRADE</v>
          </cell>
          <cell r="BY1287" t="str">
            <v>RESET</v>
          </cell>
        </row>
        <row r="1288">
          <cell r="A1288" t="str">
            <v>A3269</v>
          </cell>
          <cell r="B1288" t="str">
            <v>Maria Carmelini</v>
          </cell>
          <cell r="C1288" t="str">
            <v>TEMA C3</v>
          </cell>
          <cell r="D1288">
            <v>45261</v>
          </cell>
          <cell r="E1288" t="str">
            <v>Dec-23</v>
          </cell>
          <cell r="F1288" t="str">
            <v>REGULER</v>
          </cell>
          <cell r="G1288" t="str">
            <v>REGULER</v>
          </cell>
          <cell r="H1288" t="str">
            <v>REGULER</v>
          </cell>
          <cell r="I1288" t="str">
            <v>REGULER</v>
          </cell>
          <cell r="J1288" t="str">
            <v>REGULER</v>
          </cell>
          <cell r="K1288" t="str">
            <v>REGULER</v>
          </cell>
          <cell r="L1288" t="str">
            <v>REGULER</v>
          </cell>
          <cell r="M1288">
            <v>6</v>
          </cell>
          <cell r="N1288">
            <v>35</v>
          </cell>
          <cell r="O1288">
            <v>25</v>
          </cell>
          <cell r="P1288">
            <v>34</v>
          </cell>
          <cell r="Q1288">
            <v>34</v>
          </cell>
          <cell r="R1288">
            <v>33</v>
          </cell>
          <cell r="S1288">
            <v>18</v>
          </cell>
          <cell r="T1288">
            <v>185</v>
          </cell>
          <cell r="U1288">
            <v>6</v>
          </cell>
          <cell r="V1288">
            <v>35</v>
          </cell>
          <cell r="W1288">
            <v>25</v>
          </cell>
          <cell r="X1288">
            <v>34</v>
          </cell>
          <cell r="Y1288">
            <v>34</v>
          </cell>
          <cell r="Z1288">
            <v>33</v>
          </cell>
          <cell r="AA1288">
            <v>18</v>
          </cell>
          <cell r="AB1288">
            <v>185</v>
          </cell>
          <cell r="AC1288">
            <v>0</v>
          </cell>
          <cell r="AD1288" t="str">
            <v>TIDAK</v>
          </cell>
          <cell r="AE1288" t="str">
            <v>TIDAK</v>
          </cell>
          <cell r="AF1288">
            <v>185</v>
          </cell>
          <cell r="AG1288">
            <v>1</v>
          </cell>
          <cell r="AH1288" t="str">
            <v>SAPHIRE</v>
          </cell>
          <cell r="AI1288">
            <v>0</v>
          </cell>
          <cell r="AJ1288" t="str">
            <v>Y</v>
          </cell>
          <cell r="AK1288">
            <v>0</v>
          </cell>
          <cell r="AL1288">
            <v>45261</v>
          </cell>
          <cell r="AM1288">
            <v>45701</v>
          </cell>
          <cell r="AN1288">
            <v>1</v>
          </cell>
          <cell r="AO1288">
            <v>185</v>
          </cell>
          <cell r="AP1288" t="str">
            <v>-</v>
          </cell>
          <cell r="AQ1288" t="str">
            <v>-</v>
          </cell>
          <cell r="AR1288" t="str">
            <v>REGULER</v>
          </cell>
          <cell r="AS1288" t="str">
            <v>REGULER</v>
          </cell>
          <cell r="AT1288" t="str">
            <v>-</v>
          </cell>
          <cell r="AU1288" t="str">
            <v>-</v>
          </cell>
          <cell r="AV1288" t="str">
            <v/>
          </cell>
          <cell r="AW1288">
            <v>35</v>
          </cell>
          <cell r="AX1288">
            <v>9</v>
          </cell>
          <cell r="AY1288">
            <v>3</v>
          </cell>
          <cell r="AZ1288">
            <v>0</v>
          </cell>
          <cell r="BA1288">
            <v>0</v>
          </cell>
          <cell r="BB1288">
            <v>35</v>
          </cell>
          <cell r="BC1288">
            <v>9</v>
          </cell>
          <cell r="BD1288">
            <v>3</v>
          </cell>
          <cell r="BE1288">
            <v>0</v>
          </cell>
          <cell r="BF1288">
            <v>0</v>
          </cell>
          <cell r="BG1288">
            <v>13</v>
          </cell>
          <cell r="BH1288">
            <v>35</v>
          </cell>
          <cell r="BI1288">
            <v>9</v>
          </cell>
          <cell r="BJ1288">
            <v>3</v>
          </cell>
          <cell r="BK1288">
            <v>0</v>
          </cell>
          <cell r="BL1288">
            <v>0</v>
          </cell>
          <cell r="BM1288" t="str">
            <v/>
          </cell>
          <cell r="BN1288">
            <v>60</v>
          </cell>
          <cell r="BO1288">
            <v>13</v>
          </cell>
          <cell r="BP1288">
            <v>35</v>
          </cell>
          <cell r="BQ1288">
            <v>9</v>
          </cell>
          <cell r="BR1288">
            <v>3</v>
          </cell>
          <cell r="BS1288">
            <v>0</v>
          </cell>
          <cell r="BT1288">
            <v>0</v>
          </cell>
          <cell r="BU1288" t="str">
            <v/>
          </cell>
          <cell r="BV1288">
            <v>60</v>
          </cell>
          <cell r="BW1288">
            <v>3</v>
          </cell>
          <cell r="BX1288" t="str">
            <v>DOWNGRADE</v>
          </cell>
          <cell r="BY1288" t="str">
            <v>RESET</v>
          </cell>
        </row>
        <row r="1289">
          <cell r="A1289" t="str">
            <v>A1506</v>
          </cell>
          <cell r="B1289" t="str">
            <v>Maya Lispia</v>
          </cell>
          <cell r="C1289" t="str">
            <v>TEMA C3</v>
          </cell>
          <cell r="D1289">
            <v>45002</v>
          </cell>
          <cell r="E1289" t="str">
            <v>Mar-23</v>
          </cell>
          <cell r="F1289" t="str">
            <v>EKSKLUSIF</v>
          </cell>
          <cell r="G1289" t="str">
            <v>EKSKLUSIF</v>
          </cell>
          <cell r="H1289" t="str">
            <v>EKSKLUSIF</v>
          </cell>
          <cell r="I1289" t="str">
            <v>EKSKLUSIF</v>
          </cell>
          <cell r="J1289" t="str">
            <v>EKSKLUSIF</v>
          </cell>
          <cell r="K1289" t="str">
            <v>EKSKLUSIF</v>
          </cell>
          <cell r="L1289" t="str">
            <v>-</v>
          </cell>
          <cell r="M1289">
            <v>16</v>
          </cell>
          <cell r="N1289">
            <v>44</v>
          </cell>
          <cell r="O1289">
            <v>35</v>
          </cell>
          <cell r="P1289">
            <v>38</v>
          </cell>
          <cell r="Q1289">
            <v>34</v>
          </cell>
          <cell r="R1289">
            <v>36</v>
          </cell>
          <cell r="S1289" t="str">
            <v/>
          </cell>
          <cell r="T1289">
            <v>203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 t="str">
            <v/>
          </cell>
          <cell r="AB1289">
            <v>0</v>
          </cell>
          <cell r="AC1289">
            <v>1</v>
          </cell>
          <cell r="AD1289" t="str">
            <v>TIDAK</v>
          </cell>
          <cell r="AE1289" t="str">
            <v>TIDAK</v>
          </cell>
          <cell r="AF1289">
            <v>0</v>
          </cell>
          <cell r="AG1289">
            <v>3</v>
          </cell>
          <cell r="AH1289" t="str">
            <v>SAPHIRE</v>
          </cell>
          <cell r="AI1289">
            <v>0</v>
          </cell>
          <cell r="AJ1289" t="str">
            <v>FALSE</v>
          </cell>
          <cell r="AK1289">
            <v>0</v>
          </cell>
          <cell r="AL1289">
            <v>45261</v>
          </cell>
          <cell r="AM1289">
            <v>45701</v>
          </cell>
          <cell r="AN1289">
            <v>1</v>
          </cell>
          <cell r="AO1289">
            <v>0</v>
          </cell>
          <cell r="AP1289" t="str">
            <v>-</v>
          </cell>
          <cell r="AQ1289" t="str">
            <v>-</v>
          </cell>
          <cell r="AR1289" t="str">
            <v>-</v>
          </cell>
          <cell r="AS1289" t="str">
            <v>-</v>
          </cell>
          <cell r="AT1289" t="str">
            <v>-</v>
          </cell>
          <cell r="AU1289" t="str">
            <v>-</v>
          </cell>
          <cell r="AV1289" t="str">
            <v/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 t="str">
            <v/>
          </cell>
          <cell r="BH1289">
            <v>0</v>
          </cell>
          <cell r="BI1289">
            <v>0</v>
          </cell>
          <cell r="BJ1289">
            <v>0</v>
          </cell>
          <cell r="BK1289">
            <v>0</v>
          </cell>
          <cell r="BL1289">
            <v>0</v>
          </cell>
          <cell r="BM1289" t="str">
            <v/>
          </cell>
          <cell r="BN1289">
            <v>0</v>
          </cell>
          <cell r="BO1289" t="str">
            <v/>
          </cell>
          <cell r="BP1289">
            <v>0</v>
          </cell>
          <cell r="BQ1289">
            <v>0</v>
          </cell>
          <cell r="BR1289">
            <v>0</v>
          </cell>
          <cell r="BS1289">
            <v>0</v>
          </cell>
          <cell r="BT1289">
            <v>0</v>
          </cell>
          <cell r="BU1289" t="str">
            <v/>
          </cell>
          <cell r="BV1289">
            <v>0</v>
          </cell>
          <cell r="BW1289">
            <v>7</v>
          </cell>
          <cell r="BX1289" t="str">
            <v>DOWNGRADE</v>
          </cell>
          <cell r="BY1289" t="str">
            <v>RESET</v>
          </cell>
        </row>
        <row r="1290">
          <cell r="A1290" t="str">
            <v>A3489</v>
          </cell>
          <cell r="B1290" t="str">
            <v>Mei Fita Utari</v>
          </cell>
          <cell r="C1290" t="str">
            <v>TEMA C3</v>
          </cell>
          <cell r="D1290">
            <v>45278</v>
          </cell>
          <cell r="E1290" t="str">
            <v>Dec-23</v>
          </cell>
          <cell r="F1290" t="str">
            <v>REGULER</v>
          </cell>
          <cell r="G1290" t="str">
            <v>REGULER</v>
          </cell>
          <cell r="H1290" t="str">
            <v>REGULER</v>
          </cell>
          <cell r="I1290" t="str">
            <v>REGULER</v>
          </cell>
          <cell r="J1290" t="str">
            <v>REGULER</v>
          </cell>
          <cell r="K1290" t="str">
            <v>REGULER</v>
          </cell>
          <cell r="L1290" t="str">
            <v>REGULER</v>
          </cell>
          <cell r="M1290">
            <v>13</v>
          </cell>
          <cell r="N1290">
            <v>25</v>
          </cell>
          <cell r="O1290">
            <v>18</v>
          </cell>
          <cell r="P1290">
            <v>16</v>
          </cell>
          <cell r="Q1290">
            <v>2</v>
          </cell>
          <cell r="R1290">
            <v>7</v>
          </cell>
          <cell r="S1290">
            <v>2</v>
          </cell>
          <cell r="T1290">
            <v>83</v>
          </cell>
          <cell r="U1290">
            <v>13</v>
          </cell>
          <cell r="V1290">
            <v>25</v>
          </cell>
          <cell r="W1290">
            <v>18</v>
          </cell>
          <cell r="X1290">
            <v>16</v>
          </cell>
          <cell r="Y1290">
            <v>2</v>
          </cell>
          <cell r="Z1290">
            <v>7</v>
          </cell>
          <cell r="AA1290">
            <v>2</v>
          </cell>
          <cell r="AB1290">
            <v>83</v>
          </cell>
          <cell r="AC1290">
            <v>0</v>
          </cell>
          <cell r="AD1290" t="str">
            <v>TIDAK</v>
          </cell>
          <cell r="AE1290" t="str">
            <v>TIDAK</v>
          </cell>
          <cell r="AF1290">
            <v>83</v>
          </cell>
          <cell r="AG1290">
            <v>1</v>
          </cell>
          <cell r="AH1290" t="str">
            <v>SAPHIRE</v>
          </cell>
          <cell r="AI1290">
            <v>0</v>
          </cell>
          <cell r="AJ1290" t="str">
            <v>Y</v>
          </cell>
          <cell r="AK1290">
            <v>0</v>
          </cell>
          <cell r="AL1290">
            <v>45261</v>
          </cell>
          <cell r="AM1290">
            <v>45701</v>
          </cell>
          <cell r="AN1290">
            <v>1</v>
          </cell>
          <cell r="AO1290">
            <v>83</v>
          </cell>
          <cell r="AP1290" t="str">
            <v>-</v>
          </cell>
          <cell r="AQ1290" t="str">
            <v>-</v>
          </cell>
          <cell r="AR1290" t="str">
            <v>-</v>
          </cell>
          <cell r="AS1290" t="str">
            <v>REGULER</v>
          </cell>
          <cell r="AT1290" t="str">
            <v>-</v>
          </cell>
          <cell r="AU1290" t="str">
            <v>-</v>
          </cell>
          <cell r="AV1290" t="str">
            <v/>
          </cell>
          <cell r="AW1290">
            <v>1</v>
          </cell>
          <cell r="AX1290">
            <v>0</v>
          </cell>
          <cell r="AY1290">
            <v>3</v>
          </cell>
          <cell r="AZ1290">
            <v>0</v>
          </cell>
          <cell r="BA1290">
            <v>0</v>
          </cell>
          <cell r="BB1290">
            <v>1</v>
          </cell>
          <cell r="BC1290">
            <v>0</v>
          </cell>
          <cell r="BD1290">
            <v>3</v>
          </cell>
          <cell r="BE1290">
            <v>0</v>
          </cell>
          <cell r="BF1290">
            <v>0</v>
          </cell>
          <cell r="BG1290" t="str">
            <v/>
          </cell>
          <cell r="BH1290">
            <v>1</v>
          </cell>
          <cell r="BI1290">
            <v>0</v>
          </cell>
          <cell r="BJ1290">
            <v>3</v>
          </cell>
          <cell r="BK1290">
            <v>0</v>
          </cell>
          <cell r="BL1290">
            <v>0</v>
          </cell>
          <cell r="BM1290" t="str">
            <v/>
          </cell>
          <cell r="BN1290">
            <v>4</v>
          </cell>
          <cell r="BO1290" t="str">
            <v/>
          </cell>
          <cell r="BP1290">
            <v>1</v>
          </cell>
          <cell r="BQ1290">
            <v>0</v>
          </cell>
          <cell r="BR1290">
            <v>3</v>
          </cell>
          <cell r="BS1290">
            <v>0</v>
          </cell>
          <cell r="BT1290">
            <v>0</v>
          </cell>
          <cell r="BU1290" t="str">
            <v/>
          </cell>
          <cell r="BV1290">
            <v>4</v>
          </cell>
          <cell r="BW1290">
            <v>5</v>
          </cell>
          <cell r="BX1290" t="str">
            <v>DOWNGRADE</v>
          </cell>
          <cell r="BY1290" t="str">
            <v>RESET</v>
          </cell>
        </row>
        <row r="1291">
          <cell r="A1291" t="str">
            <v>A1020</v>
          </cell>
          <cell r="B1291" t="str">
            <v>Meirina Christin Gea</v>
          </cell>
          <cell r="C1291" t="str">
            <v>TEMA C3</v>
          </cell>
          <cell r="D1291">
            <v>44921</v>
          </cell>
          <cell r="E1291" t="str">
            <v>Dec-22</v>
          </cell>
          <cell r="F1291" t="str">
            <v>EKSKLUSIF</v>
          </cell>
          <cell r="G1291" t="str">
            <v>EKSKLUSIF</v>
          </cell>
          <cell r="H1291" t="str">
            <v>EKSKLUSIF</v>
          </cell>
          <cell r="I1291" t="str">
            <v>EKSKLUSIF</v>
          </cell>
          <cell r="J1291" t="str">
            <v>EKSKLUSIF</v>
          </cell>
          <cell r="K1291" t="str">
            <v>-</v>
          </cell>
          <cell r="L1291" t="str">
            <v>-</v>
          </cell>
          <cell r="M1291">
            <v>18</v>
          </cell>
          <cell r="N1291">
            <v>44</v>
          </cell>
          <cell r="O1291">
            <v>36</v>
          </cell>
          <cell r="P1291">
            <v>38</v>
          </cell>
          <cell r="Q1291">
            <v>32</v>
          </cell>
          <cell r="R1291">
            <v>0</v>
          </cell>
          <cell r="S1291" t="str">
            <v/>
          </cell>
          <cell r="T1291">
            <v>168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 t="str">
            <v/>
          </cell>
          <cell r="AB1291">
            <v>0</v>
          </cell>
          <cell r="AC1291">
            <v>2</v>
          </cell>
          <cell r="AD1291" t="str">
            <v>TIDAK</v>
          </cell>
          <cell r="AE1291" t="str">
            <v>TIDAK</v>
          </cell>
          <cell r="AF1291">
            <v>0</v>
          </cell>
          <cell r="AG1291">
            <v>2</v>
          </cell>
          <cell r="AH1291" t="str">
            <v>SAPHIRE</v>
          </cell>
          <cell r="AI1291">
            <v>0</v>
          </cell>
          <cell r="AJ1291" t="str">
            <v>FALSE</v>
          </cell>
          <cell r="AK1291">
            <v>0</v>
          </cell>
          <cell r="AL1291">
            <v>45261</v>
          </cell>
          <cell r="AM1291">
            <v>45701</v>
          </cell>
          <cell r="AN1291">
            <v>1</v>
          </cell>
          <cell r="AO1291">
            <v>0</v>
          </cell>
          <cell r="AP1291" t="str">
            <v>-</v>
          </cell>
          <cell r="AQ1291" t="str">
            <v>-</v>
          </cell>
          <cell r="AR1291" t="str">
            <v>-</v>
          </cell>
          <cell r="AS1291" t="str">
            <v>-</v>
          </cell>
          <cell r="AT1291" t="str">
            <v>-</v>
          </cell>
          <cell r="AU1291" t="str">
            <v>-</v>
          </cell>
          <cell r="AV1291" t="str">
            <v/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 t="str">
            <v/>
          </cell>
          <cell r="BH1291">
            <v>0</v>
          </cell>
          <cell r="BI1291">
            <v>0</v>
          </cell>
          <cell r="BJ1291">
            <v>0</v>
          </cell>
          <cell r="BK1291">
            <v>0</v>
          </cell>
          <cell r="BL1291">
            <v>0</v>
          </cell>
          <cell r="BM1291" t="str">
            <v/>
          </cell>
          <cell r="BN1291">
            <v>0</v>
          </cell>
          <cell r="BO1291" t="str">
            <v/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  <cell r="BT1291">
            <v>0</v>
          </cell>
          <cell r="BU1291" t="str">
            <v/>
          </cell>
          <cell r="BV1291">
            <v>0</v>
          </cell>
          <cell r="BW1291">
            <v>7</v>
          </cell>
          <cell r="BX1291" t="str">
            <v>DOWNGRADE</v>
          </cell>
          <cell r="BY1291" t="str">
            <v>RESET</v>
          </cell>
        </row>
        <row r="1292">
          <cell r="A1292" t="str">
            <v>A0070</v>
          </cell>
          <cell r="B1292" t="str">
            <v>Melati Anjelina</v>
          </cell>
          <cell r="C1292" t="str">
            <v>TEMA C3</v>
          </cell>
          <cell r="D1292">
            <v>45222</v>
          </cell>
          <cell r="E1292" t="str">
            <v>Oct-23</v>
          </cell>
          <cell r="F1292" t="str">
            <v>REGULER</v>
          </cell>
          <cell r="G1292" t="str">
            <v>REGULER</v>
          </cell>
          <cell r="H1292" t="str">
            <v>REGULER</v>
          </cell>
          <cell r="I1292" t="str">
            <v>-</v>
          </cell>
          <cell r="J1292" t="str">
            <v>-</v>
          </cell>
          <cell r="K1292" t="str">
            <v>-</v>
          </cell>
          <cell r="L1292" t="str">
            <v>-</v>
          </cell>
          <cell r="M1292">
            <v>18</v>
          </cell>
          <cell r="N1292">
            <v>31</v>
          </cell>
          <cell r="O1292">
            <v>21</v>
          </cell>
          <cell r="P1292">
            <v>0</v>
          </cell>
          <cell r="Q1292">
            <v>0</v>
          </cell>
          <cell r="R1292">
            <v>0</v>
          </cell>
          <cell r="S1292" t="str">
            <v/>
          </cell>
          <cell r="T1292">
            <v>70</v>
          </cell>
          <cell r="U1292">
            <v>18</v>
          </cell>
          <cell r="V1292">
            <v>31</v>
          </cell>
          <cell r="W1292">
            <v>21</v>
          </cell>
          <cell r="X1292">
            <v>0</v>
          </cell>
          <cell r="Y1292">
            <v>0</v>
          </cell>
          <cell r="Z1292">
            <v>0</v>
          </cell>
          <cell r="AA1292" t="str">
            <v/>
          </cell>
          <cell r="AB1292">
            <v>70</v>
          </cell>
          <cell r="AC1292">
            <v>4</v>
          </cell>
          <cell r="AD1292" t="str">
            <v>DOWNGRADE</v>
          </cell>
          <cell r="AE1292" t="str">
            <v>RESET</v>
          </cell>
          <cell r="AF1292">
            <v>0</v>
          </cell>
          <cell r="AG1292">
            <v>1</v>
          </cell>
          <cell r="AH1292" t="str">
            <v>SAPHIRE</v>
          </cell>
          <cell r="AI1292">
            <v>0</v>
          </cell>
          <cell r="AJ1292" t="str">
            <v>FALSE</v>
          </cell>
          <cell r="AK1292">
            <v>0</v>
          </cell>
          <cell r="AL1292">
            <v>45261</v>
          </cell>
          <cell r="AM1292">
            <v>45701</v>
          </cell>
          <cell r="AN1292">
            <v>1</v>
          </cell>
          <cell r="AO1292">
            <v>0</v>
          </cell>
          <cell r="AP1292" t="str">
            <v>-</v>
          </cell>
          <cell r="AQ1292" t="str">
            <v>-</v>
          </cell>
          <cell r="AR1292" t="str">
            <v>-</v>
          </cell>
          <cell r="AS1292" t="str">
            <v>-</v>
          </cell>
          <cell r="AT1292" t="str">
            <v>-</v>
          </cell>
          <cell r="AU1292" t="str">
            <v>-</v>
          </cell>
          <cell r="AV1292" t="str">
            <v/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 t="str">
            <v/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 t="str">
            <v/>
          </cell>
          <cell r="BN1292">
            <v>0</v>
          </cell>
          <cell r="BO1292" t="str">
            <v/>
          </cell>
          <cell r="BP1292">
            <v>0</v>
          </cell>
          <cell r="BQ1292">
            <v>0</v>
          </cell>
          <cell r="BR1292">
            <v>0</v>
          </cell>
          <cell r="BS1292">
            <v>0</v>
          </cell>
          <cell r="BT1292">
            <v>0</v>
          </cell>
          <cell r="BU1292" t="str">
            <v/>
          </cell>
          <cell r="BV1292">
            <v>0</v>
          </cell>
          <cell r="BW1292">
            <v>7</v>
          </cell>
          <cell r="BX1292" t="str">
            <v>DOWNGRADE</v>
          </cell>
          <cell r="BY1292" t="str">
            <v>RESET</v>
          </cell>
        </row>
        <row r="1293">
          <cell r="A1293" t="str">
            <v>A3011</v>
          </cell>
          <cell r="B1293" t="str">
            <v>Mochammad Arvel</v>
          </cell>
          <cell r="C1293" t="str">
            <v>TEMA C3</v>
          </cell>
          <cell r="D1293">
            <v>45222</v>
          </cell>
          <cell r="E1293" t="str">
            <v>Oct-23</v>
          </cell>
          <cell r="F1293" t="str">
            <v>REGULER</v>
          </cell>
          <cell r="G1293" t="str">
            <v>REGULER</v>
          </cell>
          <cell r="H1293" t="str">
            <v>REGULER</v>
          </cell>
          <cell r="I1293" t="str">
            <v>REGULER</v>
          </cell>
          <cell r="J1293" t="str">
            <v>REGULER</v>
          </cell>
          <cell r="K1293" t="str">
            <v>REGULER</v>
          </cell>
          <cell r="L1293" t="str">
            <v>REGULER</v>
          </cell>
          <cell r="M1293">
            <v>5</v>
          </cell>
          <cell r="N1293">
            <v>19</v>
          </cell>
          <cell r="O1293">
            <v>14</v>
          </cell>
          <cell r="P1293">
            <v>16</v>
          </cell>
          <cell r="Q1293">
            <v>7</v>
          </cell>
          <cell r="R1293">
            <v>30</v>
          </cell>
          <cell r="S1293">
            <v>4</v>
          </cell>
          <cell r="T1293">
            <v>95</v>
          </cell>
          <cell r="U1293">
            <v>5</v>
          </cell>
          <cell r="V1293">
            <v>19</v>
          </cell>
          <cell r="W1293">
            <v>14</v>
          </cell>
          <cell r="X1293">
            <v>16</v>
          </cell>
          <cell r="Y1293">
            <v>7</v>
          </cell>
          <cell r="Z1293">
            <v>30</v>
          </cell>
          <cell r="AA1293">
            <v>4</v>
          </cell>
          <cell r="AB1293">
            <v>95</v>
          </cell>
          <cell r="AC1293">
            <v>0</v>
          </cell>
          <cell r="AD1293" t="str">
            <v>TIDAK</v>
          </cell>
          <cell r="AE1293" t="str">
            <v>TIDAK</v>
          </cell>
          <cell r="AF1293">
            <v>95</v>
          </cell>
          <cell r="AG1293">
            <v>2</v>
          </cell>
          <cell r="AH1293" t="str">
            <v>SAPHIRE</v>
          </cell>
          <cell r="AI1293">
            <v>0</v>
          </cell>
          <cell r="AJ1293" t="str">
            <v>Y</v>
          </cell>
          <cell r="AK1293">
            <v>0</v>
          </cell>
          <cell r="AL1293">
            <v>45261</v>
          </cell>
          <cell r="AM1293">
            <v>45701</v>
          </cell>
          <cell r="AN1293">
            <v>1</v>
          </cell>
          <cell r="AO1293">
            <v>95</v>
          </cell>
          <cell r="AP1293" t="str">
            <v>-</v>
          </cell>
          <cell r="AQ1293" t="str">
            <v>-</v>
          </cell>
          <cell r="AR1293" t="str">
            <v>-</v>
          </cell>
          <cell r="AS1293" t="str">
            <v>-</v>
          </cell>
          <cell r="AT1293" t="str">
            <v>-</v>
          </cell>
          <cell r="AU1293" t="str">
            <v>-</v>
          </cell>
          <cell r="AV1293" t="str">
            <v/>
          </cell>
          <cell r="AW1293">
            <v>10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10</v>
          </cell>
          <cell r="BC1293">
            <v>0</v>
          </cell>
          <cell r="BD1293">
            <v>13</v>
          </cell>
          <cell r="BE1293">
            <v>7</v>
          </cell>
          <cell r="BF1293">
            <v>0</v>
          </cell>
          <cell r="BG1293">
            <v>9</v>
          </cell>
          <cell r="BH1293">
            <v>10</v>
          </cell>
          <cell r="BI1293">
            <v>0</v>
          </cell>
          <cell r="BJ1293">
            <v>13</v>
          </cell>
          <cell r="BK1293">
            <v>7</v>
          </cell>
          <cell r="BL1293">
            <v>0</v>
          </cell>
          <cell r="BM1293" t="str">
            <v/>
          </cell>
          <cell r="BN1293">
            <v>39</v>
          </cell>
          <cell r="BO1293">
            <v>9</v>
          </cell>
          <cell r="BP1293">
            <v>10</v>
          </cell>
          <cell r="BQ1293">
            <v>0</v>
          </cell>
          <cell r="BR1293">
            <v>13</v>
          </cell>
          <cell r="BS1293">
            <v>7</v>
          </cell>
          <cell r="BT1293">
            <v>0</v>
          </cell>
          <cell r="BU1293" t="str">
            <v/>
          </cell>
          <cell r="BV1293">
            <v>39</v>
          </cell>
          <cell r="BW1293">
            <v>3</v>
          </cell>
          <cell r="BX1293" t="str">
            <v>DOWNGRADE</v>
          </cell>
          <cell r="BY1293" t="str">
            <v>TIDAK</v>
          </cell>
        </row>
        <row r="1294">
          <cell r="A1294" t="str">
            <v>A2747</v>
          </cell>
          <cell r="B1294" t="str">
            <v>Muhammad Abdurrahman Rofieq</v>
          </cell>
          <cell r="C1294" t="str">
            <v>TEMA C3</v>
          </cell>
          <cell r="D1294">
            <v>45128</v>
          </cell>
          <cell r="E1294" t="str">
            <v>Jul-23</v>
          </cell>
          <cell r="F1294" t="str">
            <v>REGULER</v>
          </cell>
          <cell r="G1294" t="str">
            <v>REGULER</v>
          </cell>
          <cell r="H1294" t="str">
            <v>REGULER</v>
          </cell>
          <cell r="I1294" t="str">
            <v>REGULER</v>
          </cell>
          <cell r="J1294" t="str">
            <v>-</v>
          </cell>
          <cell r="K1294" t="str">
            <v>-</v>
          </cell>
          <cell r="L1294" t="str">
            <v>-</v>
          </cell>
          <cell r="M1294">
            <v>18</v>
          </cell>
          <cell r="N1294">
            <v>40</v>
          </cell>
          <cell r="O1294">
            <v>9</v>
          </cell>
          <cell r="P1294">
            <v>6</v>
          </cell>
          <cell r="Q1294">
            <v>0</v>
          </cell>
          <cell r="R1294">
            <v>0</v>
          </cell>
          <cell r="S1294" t="str">
            <v/>
          </cell>
          <cell r="T1294">
            <v>73</v>
          </cell>
          <cell r="U1294">
            <v>18</v>
          </cell>
          <cell r="V1294">
            <v>40</v>
          </cell>
          <cell r="W1294">
            <v>9</v>
          </cell>
          <cell r="X1294">
            <v>6</v>
          </cell>
          <cell r="Y1294">
            <v>0</v>
          </cell>
          <cell r="Z1294">
            <v>0</v>
          </cell>
          <cell r="AA1294" t="str">
            <v/>
          </cell>
          <cell r="AB1294">
            <v>73</v>
          </cell>
          <cell r="AC1294">
            <v>3</v>
          </cell>
          <cell r="AD1294" t="str">
            <v>DOWNGRADE</v>
          </cell>
          <cell r="AE1294" t="str">
            <v>RESET</v>
          </cell>
          <cell r="AF1294">
            <v>0</v>
          </cell>
          <cell r="AG1294">
            <v>1</v>
          </cell>
          <cell r="AH1294" t="str">
            <v>SAPHIRE</v>
          </cell>
          <cell r="AI1294">
            <v>0</v>
          </cell>
          <cell r="AJ1294" t="str">
            <v>FALSE</v>
          </cell>
          <cell r="AK1294">
            <v>0</v>
          </cell>
          <cell r="AL1294">
            <v>45261</v>
          </cell>
          <cell r="AM1294">
            <v>45701</v>
          </cell>
          <cell r="AN1294">
            <v>1</v>
          </cell>
          <cell r="AO1294">
            <v>0</v>
          </cell>
          <cell r="AP1294" t="str">
            <v>-</v>
          </cell>
          <cell r="AQ1294" t="str">
            <v>-</v>
          </cell>
          <cell r="AR1294" t="str">
            <v>-</v>
          </cell>
          <cell r="AS1294" t="str">
            <v>-</v>
          </cell>
          <cell r="AT1294" t="str">
            <v>-</v>
          </cell>
          <cell r="AU1294" t="str">
            <v>-</v>
          </cell>
          <cell r="AV1294" t="str">
            <v/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 t="str">
            <v/>
          </cell>
          <cell r="BH1294">
            <v>0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 t="str">
            <v/>
          </cell>
          <cell r="BN1294">
            <v>0</v>
          </cell>
          <cell r="BO1294" t="str">
            <v/>
          </cell>
          <cell r="BP1294">
            <v>0</v>
          </cell>
          <cell r="BQ1294">
            <v>0</v>
          </cell>
          <cell r="BR1294">
            <v>0</v>
          </cell>
          <cell r="BS1294">
            <v>0</v>
          </cell>
          <cell r="BT1294">
            <v>0</v>
          </cell>
          <cell r="BU1294" t="str">
            <v/>
          </cell>
          <cell r="BV1294">
            <v>0</v>
          </cell>
          <cell r="BW1294">
            <v>7</v>
          </cell>
          <cell r="BX1294" t="str">
            <v>DOWNGRADE</v>
          </cell>
          <cell r="BY1294" t="str">
            <v>RESET</v>
          </cell>
        </row>
        <row r="1295">
          <cell r="A1295" t="str">
            <v>A3971</v>
          </cell>
          <cell r="B1295" t="str">
            <v>Muhammad Rafif Taufiqurrahman Susanto</v>
          </cell>
          <cell r="C1295" t="str">
            <v>TEMA C3</v>
          </cell>
          <cell r="D1295">
            <v>45387</v>
          </cell>
          <cell r="E1295" t="str">
            <v>Apr-24</v>
          </cell>
          <cell r="F1295" t="str">
            <v>-</v>
          </cell>
          <cell r="G1295" t="str">
            <v>-</v>
          </cell>
          <cell r="H1295" t="str">
            <v>-</v>
          </cell>
          <cell r="I1295" t="str">
            <v>-</v>
          </cell>
          <cell r="J1295" t="str">
            <v>REGULER</v>
          </cell>
          <cell r="K1295" t="str">
            <v>REGULER</v>
          </cell>
          <cell r="L1295" t="str">
            <v>-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7</v>
          </cell>
          <cell r="R1295">
            <v>9</v>
          </cell>
          <cell r="S1295" t="str">
            <v/>
          </cell>
          <cell r="T1295">
            <v>16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7</v>
          </cell>
          <cell r="Z1295">
            <v>9</v>
          </cell>
          <cell r="AA1295" t="str">
            <v/>
          </cell>
          <cell r="AB1295">
            <v>16</v>
          </cell>
          <cell r="AC1295">
            <v>1</v>
          </cell>
          <cell r="AD1295" t="str">
            <v>TIDAK</v>
          </cell>
          <cell r="AE1295" t="str">
            <v>TIDAK</v>
          </cell>
          <cell r="AF1295">
            <v>16</v>
          </cell>
          <cell r="AG1295">
            <v>1</v>
          </cell>
          <cell r="AH1295" t="str">
            <v>SAPHIRE</v>
          </cell>
          <cell r="AI1295">
            <v>0</v>
          </cell>
          <cell r="AJ1295" t="str">
            <v>FALSE</v>
          </cell>
          <cell r="AK1295">
            <v>0</v>
          </cell>
          <cell r="AL1295">
            <v>45261</v>
          </cell>
          <cell r="AM1295">
            <v>45701</v>
          </cell>
          <cell r="AN1295">
            <v>1</v>
          </cell>
          <cell r="AO1295">
            <v>16</v>
          </cell>
          <cell r="AP1295" t="str">
            <v>-</v>
          </cell>
          <cell r="AQ1295" t="str">
            <v>-</v>
          </cell>
          <cell r="AR1295" t="str">
            <v>-</v>
          </cell>
          <cell r="AS1295" t="str">
            <v>-</v>
          </cell>
          <cell r="AT1295" t="str">
            <v>-</v>
          </cell>
          <cell r="AU1295" t="str">
            <v>-</v>
          </cell>
          <cell r="AV1295" t="str">
            <v/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 t="str">
            <v/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 t="str">
            <v/>
          </cell>
          <cell r="BN1295">
            <v>0</v>
          </cell>
          <cell r="BO1295" t="str">
            <v/>
          </cell>
          <cell r="BP1295">
            <v>0</v>
          </cell>
          <cell r="BQ1295">
            <v>0</v>
          </cell>
          <cell r="BR1295">
            <v>0</v>
          </cell>
          <cell r="BS1295">
            <v>0</v>
          </cell>
          <cell r="BT1295">
            <v>0</v>
          </cell>
          <cell r="BU1295" t="str">
            <v/>
          </cell>
          <cell r="BV1295">
            <v>0</v>
          </cell>
          <cell r="BW1295">
            <v>7</v>
          </cell>
          <cell r="BX1295" t="str">
            <v>DOWNGRADE</v>
          </cell>
          <cell r="BY1295" t="str">
            <v>RESET</v>
          </cell>
        </row>
        <row r="1296">
          <cell r="A1296" t="str">
            <v>A3419</v>
          </cell>
          <cell r="B1296" t="str">
            <v>Muhammad Rizal</v>
          </cell>
          <cell r="C1296" t="str">
            <v>TEMA C3</v>
          </cell>
          <cell r="D1296">
            <v>45278</v>
          </cell>
          <cell r="E1296" t="str">
            <v>Dec-23</v>
          </cell>
          <cell r="F1296" t="str">
            <v>REGULER</v>
          </cell>
          <cell r="G1296" t="str">
            <v>REGULER</v>
          </cell>
          <cell r="H1296" t="str">
            <v>REGULER</v>
          </cell>
          <cell r="I1296" t="str">
            <v>-</v>
          </cell>
          <cell r="J1296" t="str">
            <v>-</v>
          </cell>
          <cell r="K1296" t="str">
            <v>-</v>
          </cell>
          <cell r="L1296" t="str">
            <v>-</v>
          </cell>
          <cell r="M1296">
            <v>1</v>
          </cell>
          <cell r="N1296">
            <v>6</v>
          </cell>
          <cell r="O1296">
            <v>1</v>
          </cell>
          <cell r="P1296">
            <v>0</v>
          </cell>
          <cell r="Q1296">
            <v>0</v>
          </cell>
          <cell r="R1296">
            <v>0</v>
          </cell>
          <cell r="S1296" t="str">
            <v/>
          </cell>
          <cell r="T1296">
            <v>8</v>
          </cell>
          <cell r="U1296">
            <v>1</v>
          </cell>
          <cell r="V1296">
            <v>6</v>
          </cell>
          <cell r="W1296">
            <v>1</v>
          </cell>
          <cell r="X1296">
            <v>0</v>
          </cell>
          <cell r="Y1296">
            <v>0</v>
          </cell>
          <cell r="Z1296">
            <v>0</v>
          </cell>
          <cell r="AA1296" t="str">
            <v/>
          </cell>
          <cell r="AB1296">
            <v>8</v>
          </cell>
          <cell r="AC1296">
            <v>4</v>
          </cell>
          <cell r="AD1296" t="str">
            <v>DOWNGRADE</v>
          </cell>
          <cell r="AE1296" t="str">
            <v>RESET</v>
          </cell>
          <cell r="AF1296">
            <v>0</v>
          </cell>
          <cell r="AG1296">
            <v>1</v>
          </cell>
          <cell r="AH1296" t="str">
            <v>SAPHIRE</v>
          </cell>
          <cell r="AI1296">
            <v>0</v>
          </cell>
          <cell r="AJ1296" t="str">
            <v>FALSE</v>
          </cell>
          <cell r="AK1296">
            <v>0</v>
          </cell>
          <cell r="AL1296">
            <v>45261</v>
          </cell>
          <cell r="AM1296">
            <v>45701</v>
          </cell>
          <cell r="AN1296">
            <v>1</v>
          </cell>
          <cell r="AO1296">
            <v>0</v>
          </cell>
          <cell r="AP1296" t="str">
            <v>-</v>
          </cell>
          <cell r="AQ1296" t="str">
            <v>-</v>
          </cell>
          <cell r="AR1296" t="str">
            <v>-</v>
          </cell>
          <cell r="AS1296" t="str">
            <v>-</v>
          </cell>
          <cell r="AT1296" t="str">
            <v>-</v>
          </cell>
          <cell r="AU1296" t="str">
            <v>-</v>
          </cell>
          <cell r="AV1296" t="str">
            <v/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 t="str">
            <v/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 t="str">
            <v/>
          </cell>
          <cell r="BN1296">
            <v>0</v>
          </cell>
          <cell r="BO1296" t="str">
            <v/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0</v>
          </cell>
          <cell r="BU1296" t="str">
            <v/>
          </cell>
          <cell r="BV1296">
            <v>0</v>
          </cell>
          <cell r="BW1296">
            <v>7</v>
          </cell>
          <cell r="BX1296" t="str">
            <v>DOWNGRADE</v>
          </cell>
          <cell r="BY1296" t="str">
            <v>RESET</v>
          </cell>
        </row>
        <row r="1297">
          <cell r="A1297" t="str">
            <v>A0535</v>
          </cell>
          <cell r="B1297" t="str">
            <v>N SERREN RASYA FITRI</v>
          </cell>
          <cell r="C1297" t="str">
            <v>TEMA C3</v>
          </cell>
          <cell r="D1297">
            <v>44879</v>
          </cell>
          <cell r="E1297" t="str">
            <v>Nov-22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 t="str">
            <v>REGULER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6</v>
          </cell>
          <cell r="T1297">
            <v>6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6</v>
          </cell>
          <cell r="AB1297">
            <v>6</v>
          </cell>
          <cell r="AC1297">
            <v>6</v>
          </cell>
          <cell r="AD1297" t="str">
            <v>DOWNGRADE</v>
          </cell>
          <cell r="AE1297" t="str">
            <v>RESET</v>
          </cell>
          <cell r="AF1297">
            <v>0</v>
          </cell>
          <cell r="AG1297">
            <v>1</v>
          </cell>
          <cell r="AH1297" t="str">
            <v>SAPHIRE</v>
          </cell>
          <cell r="AI1297">
            <v>0</v>
          </cell>
          <cell r="AJ1297" t="str">
            <v>FALSE</v>
          </cell>
          <cell r="AK1297">
            <v>0</v>
          </cell>
          <cell r="AL1297">
            <v>45261</v>
          </cell>
          <cell r="AM1297">
            <v>45701</v>
          </cell>
          <cell r="AN1297">
            <v>1</v>
          </cell>
          <cell r="AO1297">
            <v>0</v>
          </cell>
          <cell r="AP1297" t="str">
            <v>-</v>
          </cell>
          <cell r="AQ1297" t="str">
            <v>-</v>
          </cell>
          <cell r="AR1297" t="str">
            <v>-</v>
          </cell>
          <cell r="AS1297" t="str">
            <v>-</v>
          </cell>
          <cell r="AT1297" t="str">
            <v>-</v>
          </cell>
          <cell r="AU1297" t="str">
            <v>-</v>
          </cell>
          <cell r="AV1297" t="str">
            <v/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 t="str">
            <v/>
          </cell>
          <cell r="BH1297">
            <v>0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 t="str">
            <v/>
          </cell>
          <cell r="BN1297">
            <v>0</v>
          </cell>
          <cell r="BO1297" t="str">
            <v/>
          </cell>
          <cell r="BP1297">
            <v>0</v>
          </cell>
          <cell r="BQ1297">
            <v>0</v>
          </cell>
          <cell r="BR1297">
            <v>0</v>
          </cell>
          <cell r="BS1297">
            <v>0</v>
          </cell>
          <cell r="BT1297">
            <v>0</v>
          </cell>
          <cell r="BU1297" t="str">
            <v/>
          </cell>
          <cell r="BV1297">
            <v>0</v>
          </cell>
          <cell r="BW1297">
            <v>7</v>
          </cell>
          <cell r="BX1297" t="str">
            <v>DOWNGRADE</v>
          </cell>
          <cell r="BY1297" t="str">
            <v>RESET</v>
          </cell>
        </row>
        <row r="1298">
          <cell r="A1298" t="str">
            <v>A3750</v>
          </cell>
          <cell r="B1298" t="str">
            <v>Nathania Br Tarigan</v>
          </cell>
          <cell r="C1298" t="str">
            <v>TEMA C3</v>
          </cell>
          <cell r="D1298">
            <v>45344</v>
          </cell>
          <cell r="E1298" t="str">
            <v>Feb-24</v>
          </cell>
          <cell r="F1298" t="str">
            <v>-</v>
          </cell>
          <cell r="G1298" t="str">
            <v>-</v>
          </cell>
          <cell r="H1298" t="str">
            <v>REGULER</v>
          </cell>
          <cell r="I1298" t="str">
            <v>REGULER</v>
          </cell>
          <cell r="J1298" t="str">
            <v>REGULER</v>
          </cell>
          <cell r="K1298" t="str">
            <v>REGULER</v>
          </cell>
          <cell r="L1298" t="str">
            <v>REGULER</v>
          </cell>
          <cell r="M1298">
            <v>0</v>
          </cell>
          <cell r="N1298">
            <v>0</v>
          </cell>
          <cell r="O1298">
            <v>8</v>
          </cell>
          <cell r="P1298">
            <v>28</v>
          </cell>
          <cell r="Q1298">
            <v>22</v>
          </cell>
          <cell r="R1298">
            <v>20</v>
          </cell>
          <cell r="S1298">
            <v>3</v>
          </cell>
          <cell r="T1298">
            <v>81</v>
          </cell>
          <cell r="U1298">
            <v>0</v>
          </cell>
          <cell r="V1298">
            <v>0</v>
          </cell>
          <cell r="W1298">
            <v>8</v>
          </cell>
          <cell r="X1298">
            <v>28</v>
          </cell>
          <cell r="Y1298">
            <v>22</v>
          </cell>
          <cell r="Z1298">
            <v>20</v>
          </cell>
          <cell r="AA1298">
            <v>3</v>
          </cell>
          <cell r="AB1298">
            <v>81</v>
          </cell>
          <cell r="AC1298">
            <v>0</v>
          </cell>
          <cell r="AD1298" t="str">
            <v>TIDAK</v>
          </cell>
          <cell r="AE1298" t="str">
            <v>TIDAK</v>
          </cell>
          <cell r="AF1298">
            <v>81</v>
          </cell>
          <cell r="AG1298">
            <v>1</v>
          </cell>
          <cell r="AH1298" t="str">
            <v>SAPHIRE</v>
          </cell>
          <cell r="AI1298">
            <v>0</v>
          </cell>
          <cell r="AJ1298" t="str">
            <v>Y</v>
          </cell>
          <cell r="AK1298">
            <v>0</v>
          </cell>
          <cell r="AL1298">
            <v>45261</v>
          </cell>
          <cell r="AM1298">
            <v>45701</v>
          </cell>
          <cell r="AN1298">
            <v>1</v>
          </cell>
          <cell r="AO1298">
            <v>81</v>
          </cell>
          <cell r="AP1298" t="str">
            <v>-</v>
          </cell>
          <cell r="AQ1298" t="str">
            <v>-</v>
          </cell>
          <cell r="AR1298" t="str">
            <v>REGULER</v>
          </cell>
          <cell r="AS1298" t="str">
            <v>-</v>
          </cell>
          <cell r="AT1298" t="str">
            <v>-</v>
          </cell>
          <cell r="AU1298" t="str">
            <v>-</v>
          </cell>
          <cell r="AV1298" t="str">
            <v/>
          </cell>
          <cell r="AW1298">
            <v>0</v>
          </cell>
          <cell r="AX1298">
            <v>3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3</v>
          </cell>
          <cell r="BD1298">
            <v>0</v>
          </cell>
          <cell r="BE1298">
            <v>0</v>
          </cell>
          <cell r="BF1298">
            <v>0</v>
          </cell>
          <cell r="BG1298" t="str">
            <v/>
          </cell>
          <cell r="BH1298">
            <v>0</v>
          </cell>
          <cell r="BI1298">
            <v>3</v>
          </cell>
          <cell r="BJ1298">
            <v>0</v>
          </cell>
          <cell r="BK1298">
            <v>0</v>
          </cell>
          <cell r="BL1298">
            <v>0</v>
          </cell>
          <cell r="BM1298" t="str">
            <v/>
          </cell>
          <cell r="BN1298">
            <v>3</v>
          </cell>
          <cell r="BO1298" t="str">
            <v/>
          </cell>
          <cell r="BP1298">
            <v>0</v>
          </cell>
          <cell r="BQ1298">
            <v>3</v>
          </cell>
          <cell r="BR1298">
            <v>0</v>
          </cell>
          <cell r="BS1298">
            <v>0</v>
          </cell>
          <cell r="BT1298">
            <v>0</v>
          </cell>
          <cell r="BU1298" t="str">
            <v/>
          </cell>
          <cell r="BV1298">
            <v>3</v>
          </cell>
          <cell r="BW1298">
            <v>6</v>
          </cell>
          <cell r="BX1298" t="str">
            <v>DOWNGRADE</v>
          </cell>
          <cell r="BY1298" t="str">
            <v>RESET</v>
          </cell>
        </row>
        <row r="1299">
          <cell r="A1299" t="str">
            <v>A3925</v>
          </cell>
          <cell r="B1299" t="str">
            <v>Nila Gusmiyarni Andika Putri</v>
          </cell>
          <cell r="C1299" t="str">
            <v>TEMA C3</v>
          </cell>
          <cell r="D1299">
            <v>45369</v>
          </cell>
          <cell r="E1299" t="str">
            <v>Mar-24</v>
          </cell>
          <cell r="F1299" t="str">
            <v>-</v>
          </cell>
          <cell r="G1299" t="str">
            <v>-</v>
          </cell>
          <cell r="H1299" t="str">
            <v>-</v>
          </cell>
          <cell r="I1299" t="str">
            <v>REGULER</v>
          </cell>
          <cell r="J1299" t="str">
            <v>REGULER</v>
          </cell>
          <cell r="K1299" t="str">
            <v>REGULER</v>
          </cell>
          <cell r="L1299" t="str">
            <v>REGULER</v>
          </cell>
          <cell r="M1299">
            <v>0</v>
          </cell>
          <cell r="N1299">
            <v>0</v>
          </cell>
          <cell r="O1299">
            <v>0</v>
          </cell>
          <cell r="P1299">
            <v>12</v>
          </cell>
          <cell r="Q1299">
            <v>14</v>
          </cell>
          <cell r="R1299">
            <v>34</v>
          </cell>
          <cell r="S1299">
            <v>10</v>
          </cell>
          <cell r="T1299">
            <v>70</v>
          </cell>
          <cell r="U1299">
            <v>0</v>
          </cell>
          <cell r="V1299">
            <v>0</v>
          </cell>
          <cell r="W1299">
            <v>0</v>
          </cell>
          <cell r="X1299">
            <v>12</v>
          </cell>
          <cell r="Y1299">
            <v>14</v>
          </cell>
          <cell r="Z1299">
            <v>34</v>
          </cell>
          <cell r="AA1299">
            <v>10</v>
          </cell>
          <cell r="AB1299">
            <v>70</v>
          </cell>
          <cell r="AC1299">
            <v>0</v>
          </cell>
          <cell r="AD1299" t="str">
            <v>TIDAK</v>
          </cell>
          <cell r="AE1299" t="str">
            <v>TIDAK</v>
          </cell>
          <cell r="AF1299">
            <v>70</v>
          </cell>
          <cell r="AG1299">
            <v>2</v>
          </cell>
          <cell r="AH1299" t="str">
            <v>SAPHIRE</v>
          </cell>
          <cell r="AI1299">
            <v>0</v>
          </cell>
          <cell r="AJ1299" t="str">
            <v>Y</v>
          </cell>
          <cell r="AK1299">
            <v>0</v>
          </cell>
          <cell r="AL1299">
            <v>45261</v>
          </cell>
          <cell r="AM1299">
            <v>45701</v>
          </cell>
          <cell r="AN1299">
            <v>1</v>
          </cell>
          <cell r="AO1299">
            <v>70</v>
          </cell>
          <cell r="AP1299" t="str">
            <v>-</v>
          </cell>
          <cell r="AQ1299" t="str">
            <v>-</v>
          </cell>
          <cell r="AR1299" t="str">
            <v>-</v>
          </cell>
          <cell r="AS1299" t="str">
            <v>-</v>
          </cell>
          <cell r="AT1299" t="str">
            <v>-</v>
          </cell>
          <cell r="AU1299" t="str">
            <v>-</v>
          </cell>
          <cell r="AV1299" t="str">
            <v/>
          </cell>
          <cell r="AW1299">
            <v>32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32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10</v>
          </cell>
          <cell r="BH1299">
            <v>32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 t="str">
            <v/>
          </cell>
          <cell r="BN1299">
            <v>42</v>
          </cell>
          <cell r="BO1299">
            <v>10</v>
          </cell>
          <cell r="BP1299">
            <v>32</v>
          </cell>
          <cell r="BQ1299">
            <v>0</v>
          </cell>
          <cell r="BR1299">
            <v>0</v>
          </cell>
          <cell r="BS1299">
            <v>0</v>
          </cell>
          <cell r="BT1299">
            <v>0</v>
          </cell>
          <cell r="BU1299" t="str">
            <v/>
          </cell>
          <cell r="BV1299">
            <v>42</v>
          </cell>
          <cell r="BW1299">
            <v>5</v>
          </cell>
          <cell r="BX1299" t="str">
            <v>DOWNGRADE</v>
          </cell>
          <cell r="BY1299" t="str">
            <v>RESET</v>
          </cell>
        </row>
        <row r="1300">
          <cell r="A1300" t="str">
            <v>A3953</v>
          </cell>
          <cell r="B1300" t="str">
            <v>Nius Panggi</v>
          </cell>
          <cell r="C1300" t="str">
            <v>TEMA C3</v>
          </cell>
          <cell r="D1300">
            <v>45383</v>
          </cell>
          <cell r="E1300" t="str">
            <v>Apr-24</v>
          </cell>
          <cell r="F1300" t="str">
            <v>-</v>
          </cell>
          <cell r="G1300" t="str">
            <v>-</v>
          </cell>
          <cell r="H1300" t="str">
            <v>-</v>
          </cell>
          <cell r="I1300" t="str">
            <v>-</v>
          </cell>
          <cell r="J1300" t="str">
            <v>REGULER</v>
          </cell>
          <cell r="K1300" t="str">
            <v>REGULER</v>
          </cell>
          <cell r="L1300" t="str">
            <v>REGULER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17</v>
          </cell>
          <cell r="R1300">
            <v>20</v>
          </cell>
          <cell r="S1300">
            <v>17</v>
          </cell>
          <cell r="T1300">
            <v>54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17</v>
          </cell>
          <cell r="Z1300">
            <v>20</v>
          </cell>
          <cell r="AA1300">
            <v>17</v>
          </cell>
          <cell r="AB1300">
            <v>54</v>
          </cell>
          <cell r="AC1300">
            <v>0</v>
          </cell>
          <cell r="AD1300" t="str">
            <v>TIDAK</v>
          </cell>
          <cell r="AE1300" t="str">
            <v>TIDAK</v>
          </cell>
          <cell r="AF1300">
            <v>54</v>
          </cell>
          <cell r="AG1300">
            <v>1</v>
          </cell>
          <cell r="AH1300" t="str">
            <v>SAPHIRE</v>
          </cell>
          <cell r="AI1300">
            <v>0</v>
          </cell>
          <cell r="AJ1300" t="str">
            <v>FALSE</v>
          </cell>
          <cell r="AK1300">
            <v>0</v>
          </cell>
          <cell r="AL1300">
            <v>45261</v>
          </cell>
          <cell r="AM1300">
            <v>45701</v>
          </cell>
          <cell r="AN1300">
            <v>1</v>
          </cell>
          <cell r="AO1300">
            <v>54</v>
          </cell>
          <cell r="AP1300" t="str">
            <v>-</v>
          </cell>
          <cell r="AQ1300" t="str">
            <v>-</v>
          </cell>
          <cell r="AR1300" t="str">
            <v>REGULER</v>
          </cell>
          <cell r="AS1300" t="str">
            <v>-</v>
          </cell>
          <cell r="AT1300" t="str">
            <v>-</v>
          </cell>
          <cell r="AU1300" t="str">
            <v>-</v>
          </cell>
          <cell r="AV1300" t="str">
            <v/>
          </cell>
          <cell r="AW1300">
            <v>36</v>
          </cell>
          <cell r="AX1300">
            <v>2</v>
          </cell>
          <cell r="AY1300">
            <v>0</v>
          </cell>
          <cell r="AZ1300">
            <v>0</v>
          </cell>
          <cell r="BA1300">
            <v>0</v>
          </cell>
          <cell r="BB1300">
            <v>36</v>
          </cell>
          <cell r="BC1300">
            <v>2</v>
          </cell>
          <cell r="BD1300">
            <v>20</v>
          </cell>
          <cell r="BE1300">
            <v>3</v>
          </cell>
          <cell r="BF1300">
            <v>0</v>
          </cell>
          <cell r="BG1300">
            <v>13</v>
          </cell>
          <cell r="BH1300">
            <v>36</v>
          </cell>
          <cell r="BI1300">
            <v>2</v>
          </cell>
          <cell r="BJ1300">
            <v>20</v>
          </cell>
          <cell r="BK1300">
            <v>3</v>
          </cell>
          <cell r="BL1300">
            <v>0</v>
          </cell>
          <cell r="BM1300" t="str">
            <v/>
          </cell>
          <cell r="BN1300">
            <v>74</v>
          </cell>
          <cell r="BO1300">
            <v>13</v>
          </cell>
          <cell r="BP1300">
            <v>36</v>
          </cell>
          <cell r="BQ1300">
            <v>2</v>
          </cell>
          <cell r="BR1300">
            <v>20</v>
          </cell>
          <cell r="BS1300">
            <v>3</v>
          </cell>
          <cell r="BT1300">
            <v>0</v>
          </cell>
          <cell r="BU1300" t="str">
            <v/>
          </cell>
          <cell r="BV1300">
            <v>74</v>
          </cell>
          <cell r="BW1300">
            <v>2</v>
          </cell>
          <cell r="BX1300" t="str">
            <v>TIDAK</v>
          </cell>
          <cell r="BY1300" t="str">
            <v>TIDAK</v>
          </cell>
        </row>
        <row r="1301">
          <cell r="A1301" t="str">
            <v>A3014</v>
          </cell>
          <cell r="B1301" t="str">
            <v>Nyoman Sonny</v>
          </cell>
          <cell r="C1301" t="str">
            <v>TEMA C3</v>
          </cell>
          <cell r="D1301">
            <v>45219</v>
          </cell>
          <cell r="E1301" t="str">
            <v>Oct-23</v>
          </cell>
          <cell r="F1301" t="str">
            <v>REGULER</v>
          </cell>
          <cell r="G1301" t="str">
            <v>-</v>
          </cell>
          <cell r="H1301" t="str">
            <v>REGULER</v>
          </cell>
          <cell r="I1301" t="str">
            <v>REGULER</v>
          </cell>
          <cell r="J1301" t="str">
            <v>REGULER</v>
          </cell>
          <cell r="K1301" t="str">
            <v>-</v>
          </cell>
          <cell r="L1301" t="str">
            <v>-</v>
          </cell>
          <cell r="M1301">
            <v>4</v>
          </cell>
          <cell r="N1301">
            <v>0</v>
          </cell>
          <cell r="O1301">
            <v>26</v>
          </cell>
          <cell r="P1301">
            <v>20</v>
          </cell>
          <cell r="Q1301">
            <v>4</v>
          </cell>
          <cell r="R1301">
            <v>0</v>
          </cell>
          <cell r="S1301" t="str">
            <v/>
          </cell>
          <cell r="T1301">
            <v>54</v>
          </cell>
          <cell r="U1301">
            <v>4</v>
          </cell>
          <cell r="V1301">
            <v>0</v>
          </cell>
          <cell r="W1301">
            <v>26</v>
          </cell>
          <cell r="X1301">
            <v>20</v>
          </cell>
          <cell r="Y1301">
            <v>4</v>
          </cell>
          <cell r="Z1301">
            <v>0</v>
          </cell>
          <cell r="AA1301" t="str">
            <v/>
          </cell>
          <cell r="AB1301">
            <v>54</v>
          </cell>
          <cell r="AC1301">
            <v>3</v>
          </cell>
          <cell r="AD1301" t="str">
            <v>DOWNGRADE</v>
          </cell>
          <cell r="AE1301" t="str">
            <v>TIDAK</v>
          </cell>
          <cell r="AF1301">
            <v>27</v>
          </cell>
          <cell r="AG1301">
            <v>2</v>
          </cell>
          <cell r="AH1301" t="str">
            <v>SAPHIRE</v>
          </cell>
          <cell r="AI1301">
            <v>0</v>
          </cell>
          <cell r="AJ1301" t="str">
            <v>FALSE</v>
          </cell>
          <cell r="AK1301">
            <v>0</v>
          </cell>
          <cell r="AL1301">
            <v>45261</v>
          </cell>
          <cell r="AM1301">
            <v>45701</v>
          </cell>
          <cell r="AN1301">
            <v>1</v>
          </cell>
          <cell r="AO1301">
            <v>27</v>
          </cell>
          <cell r="AP1301" t="str">
            <v>-</v>
          </cell>
          <cell r="AQ1301" t="str">
            <v>-</v>
          </cell>
          <cell r="AR1301" t="str">
            <v>-</v>
          </cell>
          <cell r="AS1301" t="str">
            <v>-</v>
          </cell>
          <cell r="AT1301" t="str">
            <v>-</v>
          </cell>
          <cell r="AU1301" t="str">
            <v>-</v>
          </cell>
          <cell r="AV1301" t="str">
            <v/>
          </cell>
          <cell r="AW1301">
            <v>4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4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13</v>
          </cell>
          <cell r="BH1301">
            <v>4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 t="str">
            <v/>
          </cell>
          <cell r="BN1301">
            <v>17</v>
          </cell>
          <cell r="BO1301">
            <v>13</v>
          </cell>
          <cell r="BP1301">
            <v>4</v>
          </cell>
          <cell r="BQ1301">
            <v>0</v>
          </cell>
          <cell r="BR1301">
            <v>0</v>
          </cell>
          <cell r="BS1301">
            <v>0</v>
          </cell>
          <cell r="BT1301">
            <v>0</v>
          </cell>
          <cell r="BU1301" t="str">
            <v/>
          </cell>
          <cell r="BV1301">
            <v>17</v>
          </cell>
          <cell r="BW1301">
            <v>5</v>
          </cell>
          <cell r="BX1301" t="str">
            <v>DOWNGRADE</v>
          </cell>
          <cell r="BY1301" t="str">
            <v>RESET</v>
          </cell>
        </row>
        <row r="1302">
          <cell r="A1302" t="str">
            <v>A3842</v>
          </cell>
          <cell r="B1302" t="str">
            <v>Putri Hudaya</v>
          </cell>
          <cell r="C1302" t="str">
            <v>TEMA C3</v>
          </cell>
          <cell r="D1302">
            <v>45373</v>
          </cell>
          <cell r="E1302" t="str">
            <v>Mar-24</v>
          </cell>
          <cell r="F1302" t="str">
            <v>-</v>
          </cell>
          <cell r="G1302" t="str">
            <v>-</v>
          </cell>
          <cell r="H1302" t="str">
            <v>-</v>
          </cell>
          <cell r="I1302" t="str">
            <v>REGULER</v>
          </cell>
          <cell r="J1302" t="str">
            <v>REGULER</v>
          </cell>
          <cell r="K1302" t="str">
            <v>REGULER</v>
          </cell>
          <cell r="L1302" t="str">
            <v>-</v>
          </cell>
          <cell r="M1302">
            <v>0</v>
          </cell>
          <cell r="N1302">
            <v>0</v>
          </cell>
          <cell r="O1302">
            <v>0</v>
          </cell>
          <cell r="P1302">
            <v>6</v>
          </cell>
          <cell r="Q1302">
            <v>21</v>
          </cell>
          <cell r="R1302">
            <v>2</v>
          </cell>
          <cell r="S1302" t="str">
            <v/>
          </cell>
          <cell r="T1302">
            <v>29</v>
          </cell>
          <cell r="U1302">
            <v>0</v>
          </cell>
          <cell r="V1302">
            <v>0</v>
          </cell>
          <cell r="W1302">
            <v>0</v>
          </cell>
          <cell r="X1302">
            <v>6</v>
          </cell>
          <cell r="Y1302">
            <v>21</v>
          </cell>
          <cell r="Z1302">
            <v>2</v>
          </cell>
          <cell r="AA1302" t="str">
            <v/>
          </cell>
          <cell r="AB1302">
            <v>29</v>
          </cell>
          <cell r="AC1302">
            <v>1</v>
          </cell>
          <cell r="AD1302" t="str">
            <v>TIDAK</v>
          </cell>
          <cell r="AE1302" t="str">
            <v>TIDAK</v>
          </cell>
          <cell r="AF1302">
            <v>29</v>
          </cell>
          <cell r="AG1302">
            <v>1</v>
          </cell>
          <cell r="AH1302" t="str">
            <v>SAPHIRE</v>
          </cell>
          <cell r="AI1302">
            <v>0</v>
          </cell>
          <cell r="AJ1302" t="str">
            <v>FALSE</v>
          </cell>
          <cell r="AK1302">
            <v>0</v>
          </cell>
          <cell r="AL1302">
            <v>45261</v>
          </cell>
          <cell r="AM1302">
            <v>45701</v>
          </cell>
          <cell r="AN1302">
            <v>1</v>
          </cell>
          <cell r="AO1302">
            <v>29</v>
          </cell>
          <cell r="AP1302" t="str">
            <v>-</v>
          </cell>
          <cell r="AQ1302" t="str">
            <v>-</v>
          </cell>
          <cell r="AR1302" t="str">
            <v>-</v>
          </cell>
          <cell r="AS1302" t="str">
            <v>-</v>
          </cell>
          <cell r="AT1302" t="str">
            <v>-</v>
          </cell>
          <cell r="AU1302" t="str">
            <v>-</v>
          </cell>
          <cell r="AV1302" t="str">
            <v/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 t="str">
            <v/>
          </cell>
          <cell r="BH1302">
            <v>0</v>
          </cell>
          <cell r="BI1302">
            <v>0</v>
          </cell>
          <cell r="BJ1302">
            <v>0</v>
          </cell>
          <cell r="BK1302">
            <v>0</v>
          </cell>
          <cell r="BL1302">
            <v>0</v>
          </cell>
          <cell r="BM1302" t="str">
            <v/>
          </cell>
          <cell r="BN1302">
            <v>0</v>
          </cell>
          <cell r="BO1302" t="str">
            <v/>
          </cell>
          <cell r="BP1302">
            <v>0</v>
          </cell>
          <cell r="BQ1302">
            <v>0</v>
          </cell>
          <cell r="BR1302">
            <v>0</v>
          </cell>
          <cell r="BS1302">
            <v>0</v>
          </cell>
          <cell r="BT1302">
            <v>0</v>
          </cell>
          <cell r="BU1302" t="str">
            <v/>
          </cell>
          <cell r="BV1302">
            <v>0</v>
          </cell>
          <cell r="BW1302">
            <v>7</v>
          </cell>
          <cell r="BX1302" t="str">
            <v>DOWNGRADE</v>
          </cell>
          <cell r="BY1302" t="str">
            <v>RESET</v>
          </cell>
        </row>
        <row r="1303">
          <cell r="A1303" t="str">
            <v>A3843</v>
          </cell>
          <cell r="B1303" t="str">
            <v>Putri Marceliana Aryanto</v>
          </cell>
          <cell r="C1303" t="str">
            <v>TEMA C3</v>
          </cell>
          <cell r="D1303">
            <v>45383</v>
          </cell>
          <cell r="E1303" t="str">
            <v>Apr-24</v>
          </cell>
          <cell r="F1303" t="str">
            <v>-</v>
          </cell>
          <cell r="G1303" t="str">
            <v>-</v>
          </cell>
          <cell r="H1303" t="str">
            <v>-</v>
          </cell>
          <cell r="I1303" t="str">
            <v>-</v>
          </cell>
          <cell r="J1303" t="str">
            <v>REGULER</v>
          </cell>
          <cell r="K1303" t="str">
            <v>REGULER</v>
          </cell>
          <cell r="L1303" t="str">
            <v>REGULER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9</v>
          </cell>
          <cell r="R1303">
            <v>16</v>
          </cell>
          <cell r="S1303">
            <v>1</v>
          </cell>
          <cell r="T1303">
            <v>26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9</v>
          </cell>
          <cell r="Z1303">
            <v>16</v>
          </cell>
          <cell r="AA1303">
            <v>1</v>
          </cell>
          <cell r="AB1303">
            <v>26</v>
          </cell>
          <cell r="AC1303">
            <v>0</v>
          </cell>
          <cell r="AD1303" t="str">
            <v>TIDAK</v>
          </cell>
          <cell r="AE1303" t="str">
            <v>TIDAK</v>
          </cell>
          <cell r="AF1303">
            <v>26</v>
          </cell>
          <cell r="AG1303">
            <v>1</v>
          </cell>
          <cell r="AH1303" t="str">
            <v>SAPHIRE</v>
          </cell>
          <cell r="AI1303">
            <v>0</v>
          </cell>
          <cell r="AJ1303" t="str">
            <v>FALSE</v>
          </cell>
          <cell r="AK1303">
            <v>0</v>
          </cell>
          <cell r="AL1303">
            <v>45261</v>
          </cell>
          <cell r="AM1303">
            <v>45701</v>
          </cell>
          <cell r="AN1303">
            <v>1</v>
          </cell>
          <cell r="AO1303">
            <v>26</v>
          </cell>
          <cell r="AP1303" t="str">
            <v>-</v>
          </cell>
          <cell r="AQ1303" t="str">
            <v>-</v>
          </cell>
          <cell r="AR1303" t="str">
            <v>-</v>
          </cell>
          <cell r="AS1303" t="str">
            <v>-</v>
          </cell>
          <cell r="AT1303" t="str">
            <v>-</v>
          </cell>
          <cell r="AU1303" t="str">
            <v>-</v>
          </cell>
          <cell r="AV1303" t="str">
            <v/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 t="str">
            <v/>
          </cell>
          <cell r="BH1303">
            <v>0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 t="str">
            <v/>
          </cell>
          <cell r="BN1303">
            <v>0</v>
          </cell>
          <cell r="BO1303" t="str">
            <v/>
          </cell>
          <cell r="BP1303">
            <v>0</v>
          </cell>
          <cell r="BQ1303">
            <v>0</v>
          </cell>
          <cell r="BR1303">
            <v>0</v>
          </cell>
          <cell r="BS1303">
            <v>0</v>
          </cell>
          <cell r="BT1303">
            <v>0</v>
          </cell>
          <cell r="BU1303" t="str">
            <v/>
          </cell>
          <cell r="BV1303">
            <v>0</v>
          </cell>
          <cell r="BW1303">
            <v>7</v>
          </cell>
          <cell r="BX1303" t="str">
            <v>DOWNGRADE</v>
          </cell>
          <cell r="BY1303" t="str">
            <v>RESET</v>
          </cell>
        </row>
        <row r="1304">
          <cell r="A1304" t="str">
            <v>A1875</v>
          </cell>
          <cell r="B1304" t="str">
            <v>Ridha Septi</v>
          </cell>
          <cell r="C1304" t="str">
            <v>TEMA C3</v>
          </cell>
          <cell r="D1304">
            <v>45049</v>
          </cell>
          <cell r="E1304" t="str">
            <v>May-23</v>
          </cell>
          <cell r="F1304" t="str">
            <v>REGULER</v>
          </cell>
          <cell r="G1304" t="str">
            <v>REGULER</v>
          </cell>
          <cell r="H1304" t="str">
            <v>-</v>
          </cell>
          <cell r="I1304" t="str">
            <v>-</v>
          </cell>
          <cell r="J1304" t="str">
            <v>-</v>
          </cell>
          <cell r="K1304" t="str">
            <v>-</v>
          </cell>
          <cell r="L1304" t="str">
            <v>-</v>
          </cell>
          <cell r="M1304">
            <v>0</v>
          </cell>
          <cell r="N1304">
            <v>2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 t="str">
            <v/>
          </cell>
          <cell r="T1304">
            <v>2</v>
          </cell>
          <cell r="U1304">
            <v>0</v>
          </cell>
          <cell r="V1304">
            <v>2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 t="str">
            <v/>
          </cell>
          <cell r="AB1304">
            <v>2</v>
          </cell>
          <cell r="AC1304">
            <v>6</v>
          </cell>
          <cell r="AD1304" t="str">
            <v>DOWNGRADE</v>
          </cell>
          <cell r="AE1304" t="str">
            <v>RESET</v>
          </cell>
          <cell r="AF1304">
            <v>0</v>
          </cell>
          <cell r="AG1304">
            <v>1</v>
          </cell>
          <cell r="AH1304" t="str">
            <v>SAPHIRE</v>
          </cell>
          <cell r="AI1304">
            <v>0</v>
          </cell>
          <cell r="AJ1304" t="str">
            <v>FALSE</v>
          </cell>
          <cell r="AK1304">
            <v>0</v>
          </cell>
          <cell r="AL1304">
            <v>45261</v>
          </cell>
          <cell r="AM1304">
            <v>45701</v>
          </cell>
          <cell r="AN1304">
            <v>1</v>
          </cell>
          <cell r="AO1304">
            <v>0</v>
          </cell>
          <cell r="AP1304" t="str">
            <v>-</v>
          </cell>
          <cell r="AQ1304" t="str">
            <v>-</v>
          </cell>
          <cell r="AR1304" t="str">
            <v>-</v>
          </cell>
          <cell r="AS1304" t="str">
            <v>-</v>
          </cell>
          <cell r="AT1304" t="str">
            <v>-</v>
          </cell>
          <cell r="AU1304" t="str">
            <v>-</v>
          </cell>
          <cell r="AV1304" t="str">
            <v/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 t="str">
            <v/>
          </cell>
          <cell r="BH1304">
            <v>0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 t="str">
            <v/>
          </cell>
          <cell r="BN1304">
            <v>0</v>
          </cell>
          <cell r="BO1304" t="str">
            <v/>
          </cell>
          <cell r="BP1304">
            <v>0</v>
          </cell>
          <cell r="BQ1304">
            <v>0</v>
          </cell>
          <cell r="BR1304">
            <v>0</v>
          </cell>
          <cell r="BS1304">
            <v>0</v>
          </cell>
          <cell r="BT1304">
            <v>0</v>
          </cell>
          <cell r="BU1304" t="str">
            <v/>
          </cell>
          <cell r="BV1304">
            <v>0</v>
          </cell>
          <cell r="BW1304">
            <v>7</v>
          </cell>
          <cell r="BX1304" t="str">
            <v>DOWNGRADE</v>
          </cell>
          <cell r="BY1304" t="str">
            <v>RESET</v>
          </cell>
        </row>
        <row r="1305">
          <cell r="A1305" t="str">
            <v>A2491</v>
          </cell>
          <cell r="B1305" t="str">
            <v>Rishon Astungkara</v>
          </cell>
          <cell r="C1305" t="str">
            <v>TEMA C3</v>
          </cell>
          <cell r="D1305">
            <v>45125</v>
          </cell>
          <cell r="E1305" t="str">
            <v>Jul-23</v>
          </cell>
          <cell r="F1305" t="str">
            <v>REGULER</v>
          </cell>
          <cell r="G1305" t="str">
            <v>REGULER</v>
          </cell>
          <cell r="H1305" t="str">
            <v>EKSKLUSIF</v>
          </cell>
          <cell r="I1305" t="str">
            <v>EKSKLUSIF</v>
          </cell>
          <cell r="J1305" t="str">
            <v>EKSKLUSIF</v>
          </cell>
          <cell r="K1305" t="str">
            <v>-</v>
          </cell>
          <cell r="L1305" t="str">
            <v>-</v>
          </cell>
          <cell r="M1305">
            <v>12</v>
          </cell>
          <cell r="N1305">
            <v>40</v>
          </cell>
          <cell r="O1305">
            <v>38</v>
          </cell>
          <cell r="P1305">
            <v>38</v>
          </cell>
          <cell r="Q1305">
            <v>32</v>
          </cell>
          <cell r="R1305">
            <v>0</v>
          </cell>
          <cell r="S1305" t="str">
            <v/>
          </cell>
          <cell r="T1305">
            <v>160</v>
          </cell>
          <cell r="U1305">
            <v>12</v>
          </cell>
          <cell r="V1305">
            <v>40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 t="str">
            <v/>
          </cell>
          <cell r="AB1305">
            <v>52</v>
          </cell>
          <cell r="AC1305">
            <v>2</v>
          </cell>
          <cell r="AD1305" t="str">
            <v>TIDAK</v>
          </cell>
          <cell r="AE1305" t="str">
            <v>TIDAK</v>
          </cell>
          <cell r="AF1305">
            <v>52</v>
          </cell>
          <cell r="AG1305">
            <v>1</v>
          </cell>
          <cell r="AH1305" t="str">
            <v>SAPHIRE</v>
          </cell>
          <cell r="AI1305">
            <v>0</v>
          </cell>
          <cell r="AJ1305" t="str">
            <v>FALSE</v>
          </cell>
          <cell r="AK1305">
            <v>0</v>
          </cell>
          <cell r="AL1305">
            <v>45261</v>
          </cell>
          <cell r="AM1305">
            <v>45701</v>
          </cell>
          <cell r="AN1305">
            <v>1</v>
          </cell>
          <cell r="AO1305">
            <v>52</v>
          </cell>
          <cell r="AP1305" t="str">
            <v>-</v>
          </cell>
          <cell r="AQ1305" t="str">
            <v>-</v>
          </cell>
          <cell r="AR1305" t="str">
            <v>-</v>
          </cell>
          <cell r="AS1305" t="str">
            <v>-</v>
          </cell>
          <cell r="AT1305" t="str">
            <v>-</v>
          </cell>
          <cell r="AU1305" t="str">
            <v>-</v>
          </cell>
          <cell r="AV1305" t="str">
            <v/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 t="str">
            <v/>
          </cell>
          <cell r="BH1305">
            <v>0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 t="str">
            <v/>
          </cell>
          <cell r="BN1305">
            <v>0</v>
          </cell>
          <cell r="BO1305" t="str">
            <v/>
          </cell>
          <cell r="BP1305">
            <v>0</v>
          </cell>
          <cell r="BQ1305">
            <v>0</v>
          </cell>
          <cell r="BR1305">
            <v>0</v>
          </cell>
          <cell r="BS1305">
            <v>0</v>
          </cell>
          <cell r="BT1305">
            <v>0</v>
          </cell>
          <cell r="BU1305" t="str">
            <v/>
          </cell>
          <cell r="BV1305">
            <v>0</v>
          </cell>
          <cell r="BW1305">
            <v>7</v>
          </cell>
          <cell r="BX1305" t="str">
            <v>DOWNGRADE</v>
          </cell>
          <cell r="BY1305" t="str">
            <v>RESET</v>
          </cell>
        </row>
        <row r="1306">
          <cell r="A1306" t="str">
            <v>A3952</v>
          </cell>
          <cell r="B1306" t="str">
            <v>RISKIYAH WULANDARI</v>
          </cell>
          <cell r="C1306" t="str">
            <v>TEMA C3</v>
          </cell>
          <cell r="D1306" t="str">
            <v>16 Mei 2024</v>
          </cell>
          <cell r="E1306" t="str">
            <v>16 Mei 2024</v>
          </cell>
          <cell r="F1306" t="str">
            <v>-</v>
          </cell>
          <cell r="G1306" t="str">
            <v>-</v>
          </cell>
          <cell r="H1306" t="str">
            <v>-</v>
          </cell>
          <cell r="I1306" t="str">
            <v>-</v>
          </cell>
          <cell r="J1306" t="str">
            <v>-</v>
          </cell>
          <cell r="K1306" t="str">
            <v>REGULER</v>
          </cell>
          <cell r="L1306" t="str">
            <v>REGULER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7</v>
          </cell>
          <cell r="S1306">
            <v>8</v>
          </cell>
          <cell r="T1306">
            <v>15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7</v>
          </cell>
          <cell r="AA1306">
            <v>8</v>
          </cell>
          <cell r="AB1306">
            <v>15</v>
          </cell>
          <cell r="AC1306">
            <v>5</v>
          </cell>
          <cell r="AD1306" t="str">
            <v>DOWNGRADE</v>
          </cell>
          <cell r="AE1306" t="str">
            <v>RESET</v>
          </cell>
          <cell r="AF1306">
            <v>0</v>
          </cell>
          <cell r="AG1306">
            <v>1</v>
          </cell>
          <cell r="AH1306" t="str">
            <v>SAPHIRE</v>
          </cell>
          <cell r="AI1306">
            <v>0</v>
          </cell>
          <cell r="AJ1306" t="str">
            <v>FALSE</v>
          </cell>
          <cell r="AK1306">
            <v>0</v>
          </cell>
          <cell r="AL1306">
            <v>45261</v>
          </cell>
          <cell r="AM1306">
            <v>45701</v>
          </cell>
          <cell r="AN1306">
            <v>1</v>
          </cell>
          <cell r="AO1306">
            <v>0</v>
          </cell>
          <cell r="AP1306" t="str">
            <v>-</v>
          </cell>
          <cell r="AQ1306" t="str">
            <v>-</v>
          </cell>
          <cell r="AR1306" t="str">
            <v>-</v>
          </cell>
          <cell r="AS1306" t="str">
            <v>-</v>
          </cell>
          <cell r="AT1306" t="str">
            <v>-</v>
          </cell>
          <cell r="AU1306" t="str">
            <v>-</v>
          </cell>
          <cell r="AV1306" t="str">
            <v/>
          </cell>
          <cell r="AW1306">
            <v>0</v>
          </cell>
          <cell r="AX1306">
            <v>13</v>
          </cell>
          <cell r="AY1306">
            <v>0</v>
          </cell>
          <cell r="AZ1306">
            <v>0</v>
          </cell>
          <cell r="BA1306">
            <v>0</v>
          </cell>
          <cell r="BB1306">
            <v>24</v>
          </cell>
          <cell r="BC1306">
            <v>13</v>
          </cell>
          <cell r="BD1306">
            <v>0</v>
          </cell>
          <cell r="BE1306">
            <v>0</v>
          </cell>
          <cell r="BF1306">
            <v>0</v>
          </cell>
          <cell r="BG1306" t="str">
            <v/>
          </cell>
          <cell r="BH1306">
            <v>24</v>
          </cell>
          <cell r="BI1306">
            <v>13</v>
          </cell>
          <cell r="BJ1306">
            <v>0</v>
          </cell>
          <cell r="BK1306">
            <v>0</v>
          </cell>
          <cell r="BL1306">
            <v>0</v>
          </cell>
          <cell r="BM1306" t="str">
            <v/>
          </cell>
          <cell r="BN1306">
            <v>37</v>
          </cell>
          <cell r="BO1306" t="str">
            <v/>
          </cell>
          <cell r="BP1306">
            <v>24</v>
          </cell>
          <cell r="BQ1306">
            <v>13</v>
          </cell>
          <cell r="BR1306">
            <v>0</v>
          </cell>
          <cell r="BS1306">
            <v>0</v>
          </cell>
          <cell r="BT1306">
            <v>0</v>
          </cell>
          <cell r="BU1306" t="str">
            <v/>
          </cell>
          <cell r="BV1306">
            <v>37</v>
          </cell>
          <cell r="BW1306">
            <v>5</v>
          </cell>
          <cell r="BX1306" t="str">
            <v>DOWNGRADE</v>
          </cell>
          <cell r="BY1306" t="str">
            <v>RESET</v>
          </cell>
        </row>
        <row r="1307">
          <cell r="A1307" t="str">
            <v>A3411</v>
          </cell>
          <cell r="B1307" t="str">
            <v>Santo Simarmata</v>
          </cell>
          <cell r="C1307" t="str">
            <v>TEMA C3</v>
          </cell>
          <cell r="D1307">
            <v>45274</v>
          </cell>
          <cell r="E1307" t="str">
            <v>Dec-23</v>
          </cell>
          <cell r="F1307" t="str">
            <v>REGULER</v>
          </cell>
          <cell r="G1307" t="str">
            <v>REGULER</v>
          </cell>
          <cell r="H1307" t="str">
            <v>REGULER</v>
          </cell>
          <cell r="I1307" t="str">
            <v>REGULER</v>
          </cell>
          <cell r="J1307" t="str">
            <v>EKSKLUSIF</v>
          </cell>
          <cell r="K1307" t="str">
            <v>EKSKLUSIF</v>
          </cell>
          <cell r="L1307" t="str">
            <v>EKSKLUSIF</v>
          </cell>
          <cell r="M1307">
            <v>17</v>
          </cell>
          <cell r="N1307">
            <v>38</v>
          </cell>
          <cell r="O1307">
            <v>35</v>
          </cell>
          <cell r="P1307">
            <v>33</v>
          </cell>
          <cell r="Q1307">
            <v>33</v>
          </cell>
          <cell r="R1307">
            <v>39</v>
          </cell>
          <cell r="S1307">
            <v>20</v>
          </cell>
          <cell r="T1307">
            <v>215</v>
          </cell>
          <cell r="U1307">
            <v>17</v>
          </cell>
          <cell r="V1307">
            <v>38</v>
          </cell>
          <cell r="W1307">
            <v>35</v>
          </cell>
          <cell r="X1307">
            <v>33</v>
          </cell>
          <cell r="Y1307">
            <v>0</v>
          </cell>
          <cell r="Z1307">
            <v>0</v>
          </cell>
          <cell r="AA1307">
            <v>0</v>
          </cell>
          <cell r="AB1307">
            <v>123</v>
          </cell>
          <cell r="AC1307">
            <v>0</v>
          </cell>
          <cell r="AD1307" t="str">
            <v>TIDAK</v>
          </cell>
          <cell r="AE1307" t="str">
            <v>TIDAK</v>
          </cell>
          <cell r="AF1307">
            <v>123</v>
          </cell>
          <cell r="AG1307">
            <v>1</v>
          </cell>
          <cell r="AH1307" t="str">
            <v>SAPHIRE</v>
          </cell>
          <cell r="AI1307">
            <v>0</v>
          </cell>
          <cell r="AJ1307" t="str">
            <v>Y</v>
          </cell>
          <cell r="AK1307">
            <v>0</v>
          </cell>
          <cell r="AL1307">
            <v>45261</v>
          </cell>
          <cell r="AM1307">
            <v>45701</v>
          </cell>
          <cell r="AN1307">
            <v>1</v>
          </cell>
          <cell r="AO1307">
            <v>123</v>
          </cell>
          <cell r="AP1307" t="str">
            <v>EKSKLUSIF</v>
          </cell>
          <cell r="AQ1307" t="str">
            <v>-</v>
          </cell>
          <cell r="AR1307" t="str">
            <v>-</v>
          </cell>
          <cell r="AS1307" t="str">
            <v>-</v>
          </cell>
          <cell r="AT1307" t="str">
            <v>-</v>
          </cell>
          <cell r="AU1307" t="str">
            <v>-</v>
          </cell>
          <cell r="AV1307" t="str">
            <v/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17</v>
          </cell>
          <cell r="BH1307">
            <v>0</v>
          </cell>
          <cell r="BI1307">
            <v>0</v>
          </cell>
          <cell r="BJ1307">
            <v>0</v>
          </cell>
          <cell r="BK1307">
            <v>0</v>
          </cell>
          <cell r="BL1307">
            <v>0</v>
          </cell>
          <cell r="BM1307" t="str">
            <v/>
          </cell>
          <cell r="BN1307">
            <v>17</v>
          </cell>
          <cell r="BO1307">
            <v>0</v>
          </cell>
          <cell r="BP1307">
            <v>0</v>
          </cell>
          <cell r="BQ1307">
            <v>0</v>
          </cell>
          <cell r="BR1307">
            <v>0</v>
          </cell>
          <cell r="BS1307">
            <v>0</v>
          </cell>
          <cell r="BT1307">
            <v>0</v>
          </cell>
          <cell r="BU1307" t="str">
            <v/>
          </cell>
          <cell r="BV1307">
            <v>0</v>
          </cell>
          <cell r="BW1307">
            <v>6</v>
          </cell>
          <cell r="BX1307" t="str">
            <v>DOWNGRADE</v>
          </cell>
          <cell r="BY1307" t="str">
            <v>RESET</v>
          </cell>
        </row>
        <row r="1308">
          <cell r="A1308" t="str">
            <v>A3325</v>
          </cell>
          <cell r="B1308" t="str">
            <v>Sarah Noveina Putri</v>
          </cell>
          <cell r="C1308" t="str">
            <v>TEMA C3</v>
          </cell>
          <cell r="D1308">
            <v>45260</v>
          </cell>
          <cell r="E1308" t="str">
            <v>Nov-23</v>
          </cell>
          <cell r="F1308" t="str">
            <v>REGULER</v>
          </cell>
          <cell r="G1308" t="str">
            <v>REGULER</v>
          </cell>
          <cell r="H1308" t="str">
            <v>REGULER</v>
          </cell>
          <cell r="I1308" t="str">
            <v>-</v>
          </cell>
          <cell r="J1308" t="str">
            <v>-</v>
          </cell>
          <cell r="K1308" t="str">
            <v>-</v>
          </cell>
          <cell r="L1308" t="str">
            <v>-</v>
          </cell>
          <cell r="M1308">
            <v>9</v>
          </cell>
          <cell r="N1308">
            <v>36</v>
          </cell>
          <cell r="O1308">
            <v>18</v>
          </cell>
          <cell r="P1308">
            <v>0</v>
          </cell>
          <cell r="Q1308">
            <v>0</v>
          </cell>
          <cell r="R1308">
            <v>0</v>
          </cell>
          <cell r="S1308" t="str">
            <v/>
          </cell>
          <cell r="T1308">
            <v>63</v>
          </cell>
          <cell r="U1308">
            <v>9</v>
          </cell>
          <cell r="V1308">
            <v>36</v>
          </cell>
          <cell r="W1308">
            <v>18</v>
          </cell>
          <cell r="X1308">
            <v>0</v>
          </cell>
          <cell r="Y1308">
            <v>0</v>
          </cell>
          <cell r="Z1308">
            <v>0</v>
          </cell>
          <cell r="AA1308" t="str">
            <v/>
          </cell>
          <cell r="AB1308">
            <v>63</v>
          </cell>
          <cell r="AC1308">
            <v>4</v>
          </cell>
          <cell r="AD1308" t="str">
            <v>DOWNGRADE</v>
          </cell>
          <cell r="AE1308" t="str">
            <v>RESET</v>
          </cell>
          <cell r="AF1308">
            <v>0</v>
          </cell>
          <cell r="AG1308">
            <v>1</v>
          </cell>
          <cell r="AH1308" t="str">
            <v>SAPHIRE</v>
          </cell>
          <cell r="AI1308">
            <v>0</v>
          </cell>
          <cell r="AJ1308" t="str">
            <v>FALSE</v>
          </cell>
          <cell r="AK1308">
            <v>0</v>
          </cell>
          <cell r="AL1308">
            <v>45261</v>
          </cell>
          <cell r="AM1308">
            <v>45701</v>
          </cell>
          <cell r="AN1308">
            <v>1</v>
          </cell>
          <cell r="AO1308">
            <v>0</v>
          </cell>
          <cell r="AP1308" t="str">
            <v>-</v>
          </cell>
          <cell r="AQ1308" t="str">
            <v>-</v>
          </cell>
          <cell r="AR1308" t="str">
            <v>-</v>
          </cell>
          <cell r="AS1308" t="str">
            <v>-</v>
          </cell>
          <cell r="AT1308" t="str">
            <v>-</v>
          </cell>
          <cell r="AU1308" t="str">
            <v>-</v>
          </cell>
          <cell r="AV1308" t="str">
            <v/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 t="str">
            <v/>
          </cell>
          <cell r="BH1308">
            <v>0</v>
          </cell>
          <cell r="BI1308">
            <v>0</v>
          </cell>
          <cell r="BJ1308">
            <v>0</v>
          </cell>
          <cell r="BK1308">
            <v>0</v>
          </cell>
          <cell r="BL1308">
            <v>0</v>
          </cell>
          <cell r="BM1308" t="str">
            <v/>
          </cell>
          <cell r="BN1308">
            <v>0</v>
          </cell>
          <cell r="BO1308" t="str">
            <v/>
          </cell>
          <cell r="BP1308">
            <v>0</v>
          </cell>
          <cell r="BQ1308">
            <v>0</v>
          </cell>
          <cell r="BR1308">
            <v>0</v>
          </cell>
          <cell r="BS1308">
            <v>0</v>
          </cell>
          <cell r="BT1308">
            <v>0</v>
          </cell>
          <cell r="BU1308" t="str">
            <v/>
          </cell>
          <cell r="BV1308">
            <v>0</v>
          </cell>
          <cell r="BW1308">
            <v>7</v>
          </cell>
          <cell r="BX1308" t="str">
            <v>DOWNGRADE</v>
          </cell>
          <cell r="BY1308" t="str">
            <v>RESET</v>
          </cell>
        </row>
        <row r="1309">
          <cell r="A1309" t="str">
            <v>A0944</v>
          </cell>
          <cell r="B1309" t="str">
            <v>SHAKIRA GIZELA DEWI PUTRI NANDIA</v>
          </cell>
          <cell r="C1309" t="str">
            <v>TEMA C3</v>
          </cell>
          <cell r="D1309">
            <v>45097</v>
          </cell>
          <cell r="E1309" t="str">
            <v>Jun-23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 t="str">
            <v>REGULER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6</v>
          </cell>
          <cell r="T1309">
            <v>6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6</v>
          </cell>
          <cell r="AB1309">
            <v>6</v>
          </cell>
          <cell r="AC1309">
            <v>6</v>
          </cell>
          <cell r="AD1309" t="str">
            <v>DOWNGRADE</v>
          </cell>
          <cell r="AE1309" t="str">
            <v>RESET</v>
          </cell>
          <cell r="AF1309">
            <v>0</v>
          </cell>
          <cell r="AG1309">
            <v>1</v>
          </cell>
          <cell r="AH1309" t="str">
            <v>SAPHIRE</v>
          </cell>
          <cell r="AI1309">
            <v>0</v>
          </cell>
          <cell r="AJ1309" t="str">
            <v>FALSE</v>
          </cell>
          <cell r="AK1309">
            <v>0</v>
          </cell>
          <cell r="AL1309">
            <v>45261</v>
          </cell>
          <cell r="AM1309">
            <v>45701</v>
          </cell>
          <cell r="AN1309">
            <v>1</v>
          </cell>
          <cell r="AO1309">
            <v>0</v>
          </cell>
          <cell r="AP1309" t="str">
            <v>-</v>
          </cell>
          <cell r="AQ1309" t="str">
            <v>-</v>
          </cell>
          <cell r="AR1309" t="str">
            <v>REGULER</v>
          </cell>
          <cell r="AS1309" t="str">
            <v>REGULER</v>
          </cell>
          <cell r="AT1309" t="str">
            <v>REGULER</v>
          </cell>
          <cell r="AU1309" t="str">
            <v>REGULER</v>
          </cell>
          <cell r="AV1309" t="str">
            <v/>
          </cell>
          <cell r="AW1309">
            <v>34</v>
          </cell>
          <cell r="AX1309">
            <v>16</v>
          </cell>
          <cell r="AY1309">
            <v>29</v>
          </cell>
          <cell r="AZ1309">
            <v>40</v>
          </cell>
          <cell r="BA1309">
            <v>27</v>
          </cell>
          <cell r="BB1309">
            <v>34</v>
          </cell>
          <cell r="BC1309">
            <v>16</v>
          </cell>
          <cell r="BD1309">
            <v>29</v>
          </cell>
          <cell r="BE1309">
            <v>40</v>
          </cell>
          <cell r="BF1309">
            <v>27</v>
          </cell>
          <cell r="BG1309">
            <v>9</v>
          </cell>
          <cell r="BH1309">
            <v>34</v>
          </cell>
          <cell r="BI1309">
            <v>16</v>
          </cell>
          <cell r="BJ1309">
            <v>29</v>
          </cell>
          <cell r="BK1309">
            <v>40</v>
          </cell>
          <cell r="BL1309">
            <v>27</v>
          </cell>
          <cell r="BM1309" t="str">
            <v/>
          </cell>
          <cell r="BN1309">
            <v>155</v>
          </cell>
          <cell r="BO1309">
            <v>9</v>
          </cell>
          <cell r="BP1309">
            <v>34</v>
          </cell>
          <cell r="BQ1309">
            <v>16</v>
          </cell>
          <cell r="BR1309">
            <v>29</v>
          </cell>
          <cell r="BS1309">
            <v>40</v>
          </cell>
          <cell r="BT1309">
            <v>27</v>
          </cell>
          <cell r="BU1309" t="str">
            <v/>
          </cell>
          <cell r="BV1309">
            <v>155</v>
          </cell>
          <cell r="BW1309">
            <v>1</v>
          </cell>
          <cell r="BX1309" t="str">
            <v>TIDAK</v>
          </cell>
          <cell r="BY1309" t="str">
            <v>TIDAK</v>
          </cell>
        </row>
        <row r="1310">
          <cell r="A1310" t="str">
            <v>A4103</v>
          </cell>
          <cell r="B1310" t="str">
            <v>SITI AMELIA</v>
          </cell>
          <cell r="C1310" t="str">
            <v>TEMA C3</v>
          </cell>
          <cell r="D1310">
            <v>45455</v>
          </cell>
          <cell r="E1310" t="str">
            <v>Jun-24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 t="str">
            <v>REGULER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6</v>
          </cell>
          <cell r="T1310">
            <v>6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6</v>
          </cell>
          <cell r="AB1310">
            <v>6</v>
          </cell>
          <cell r="AC1310">
            <v>0</v>
          </cell>
          <cell r="AD1310" t="str">
            <v>TIDAK</v>
          </cell>
          <cell r="AE1310" t="str">
            <v>TIDAK</v>
          </cell>
          <cell r="AF1310">
            <v>6</v>
          </cell>
          <cell r="AG1310">
            <v>1</v>
          </cell>
          <cell r="AH1310" t="str">
            <v>SAPHIRE</v>
          </cell>
          <cell r="AI1310">
            <v>0</v>
          </cell>
          <cell r="AJ1310" t="str">
            <v>FALSE</v>
          </cell>
          <cell r="AK1310">
            <v>0</v>
          </cell>
          <cell r="AL1310">
            <v>45261</v>
          </cell>
          <cell r="AM1310">
            <v>45701</v>
          </cell>
          <cell r="AN1310">
            <v>1</v>
          </cell>
          <cell r="AO1310">
            <v>6</v>
          </cell>
          <cell r="AP1310" t="str">
            <v>-</v>
          </cell>
          <cell r="AQ1310" t="str">
            <v>-</v>
          </cell>
          <cell r="AR1310" t="str">
            <v>-</v>
          </cell>
          <cell r="AS1310" t="str">
            <v>-</v>
          </cell>
          <cell r="AT1310" t="str">
            <v>-</v>
          </cell>
          <cell r="AU1310" t="str">
            <v>-</v>
          </cell>
          <cell r="AV1310" t="str">
            <v/>
          </cell>
          <cell r="AW1310">
            <v>42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42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15</v>
          </cell>
          <cell r="BH1310">
            <v>42</v>
          </cell>
          <cell r="BI1310">
            <v>0</v>
          </cell>
          <cell r="BJ1310">
            <v>0</v>
          </cell>
          <cell r="BK1310">
            <v>0</v>
          </cell>
          <cell r="BL1310">
            <v>0</v>
          </cell>
          <cell r="BM1310" t="str">
            <v/>
          </cell>
          <cell r="BN1310">
            <v>57</v>
          </cell>
          <cell r="BO1310">
            <v>15</v>
          </cell>
          <cell r="BP1310">
            <v>42</v>
          </cell>
          <cell r="BQ1310">
            <v>0</v>
          </cell>
          <cell r="BR1310">
            <v>0</v>
          </cell>
          <cell r="BS1310">
            <v>0</v>
          </cell>
          <cell r="BT1310">
            <v>0</v>
          </cell>
          <cell r="BU1310" t="str">
            <v/>
          </cell>
          <cell r="BV1310">
            <v>57</v>
          </cell>
          <cell r="BW1310">
            <v>5</v>
          </cell>
          <cell r="BX1310" t="str">
            <v>DOWNGRADE</v>
          </cell>
          <cell r="BY1310" t="str">
            <v>RESET</v>
          </cell>
        </row>
        <row r="1311">
          <cell r="A1311" t="str">
            <v>A2152</v>
          </cell>
          <cell r="B1311" t="str">
            <v>Skolastika Carissa Belinda</v>
          </cell>
          <cell r="C1311" t="str">
            <v>TEMA C3</v>
          </cell>
          <cell r="D1311">
            <v>45048</v>
          </cell>
          <cell r="E1311" t="str">
            <v>May-23</v>
          </cell>
          <cell r="F1311" t="str">
            <v>REGULER</v>
          </cell>
          <cell r="G1311" t="str">
            <v>REGULER</v>
          </cell>
          <cell r="H1311" t="str">
            <v>REGULER</v>
          </cell>
          <cell r="I1311" t="str">
            <v>REGULER</v>
          </cell>
          <cell r="J1311" t="str">
            <v>REGULER</v>
          </cell>
          <cell r="K1311" t="str">
            <v>REGULER</v>
          </cell>
          <cell r="L1311" t="str">
            <v>REGULER</v>
          </cell>
          <cell r="M1311">
            <v>4</v>
          </cell>
          <cell r="N1311">
            <v>27</v>
          </cell>
          <cell r="O1311">
            <v>14</v>
          </cell>
          <cell r="P1311">
            <v>5</v>
          </cell>
          <cell r="Q1311">
            <v>6</v>
          </cell>
          <cell r="R1311">
            <v>12</v>
          </cell>
          <cell r="S1311">
            <v>5</v>
          </cell>
          <cell r="T1311">
            <v>73</v>
          </cell>
          <cell r="U1311">
            <v>4</v>
          </cell>
          <cell r="V1311">
            <v>27</v>
          </cell>
          <cell r="W1311">
            <v>14</v>
          </cell>
          <cell r="X1311">
            <v>5</v>
          </cell>
          <cell r="Y1311">
            <v>6</v>
          </cell>
          <cell r="Z1311">
            <v>12</v>
          </cell>
          <cell r="AA1311">
            <v>5</v>
          </cell>
          <cell r="AB1311">
            <v>73</v>
          </cell>
          <cell r="AC1311">
            <v>0</v>
          </cell>
          <cell r="AD1311" t="str">
            <v>TIDAK</v>
          </cell>
          <cell r="AE1311" t="str">
            <v>TIDAK</v>
          </cell>
          <cell r="AF1311">
            <v>73</v>
          </cell>
          <cell r="AG1311">
            <v>3</v>
          </cell>
          <cell r="AH1311" t="str">
            <v>SAPHIRE</v>
          </cell>
          <cell r="AI1311">
            <v>0</v>
          </cell>
          <cell r="AJ1311" t="str">
            <v>Y</v>
          </cell>
          <cell r="AK1311">
            <v>0</v>
          </cell>
          <cell r="AL1311">
            <v>45261</v>
          </cell>
          <cell r="AM1311">
            <v>45701</v>
          </cell>
          <cell r="AN1311">
            <v>1</v>
          </cell>
          <cell r="AO1311">
            <v>73</v>
          </cell>
          <cell r="AP1311" t="str">
            <v>-</v>
          </cell>
          <cell r="AQ1311" t="str">
            <v>-</v>
          </cell>
          <cell r="AR1311" t="str">
            <v>-</v>
          </cell>
          <cell r="AS1311" t="str">
            <v>-</v>
          </cell>
          <cell r="AT1311" t="str">
            <v>-</v>
          </cell>
          <cell r="AU1311" t="str">
            <v>-</v>
          </cell>
          <cell r="AV1311" t="str">
            <v/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5</v>
          </cell>
          <cell r="BH1311">
            <v>0</v>
          </cell>
          <cell r="BI1311">
            <v>0</v>
          </cell>
          <cell r="BJ1311">
            <v>0</v>
          </cell>
          <cell r="BK1311">
            <v>0</v>
          </cell>
          <cell r="BL1311">
            <v>0</v>
          </cell>
          <cell r="BM1311" t="str">
            <v/>
          </cell>
          <cell r="BN1311">
            <v>5</v>
          </cell>
          <cell r="BO1311">
            <v>5</v>
          </cell>
          <cell r="BP1311">
            <v>0</v>
          </cell>
          <cell r="BQ1311">
            <v>0</v>
          </cell>
          <cell r="BR1311">
            <v>0</v>
          </cell>
          <cell r="BS1311">
            <v>0</v>
          </cell>
          <cell r="BT1311">
            <v>0</v>
          </cell>
          <cell r="BU1311" t="str">
            <v/>
          </cell>
          <cell r="BV1311">
            <v>5</v>
          </cell>
          <cell r="BW1311">
            <v>6</v>
          </cell>
          <cell r="BX1311" t="str">
            <v>DOWNGRADE</v>
          </cell>
          <cell r="BY1311" t="str">
            <v>RESET</v>
          </cell>
        </row>
        <row r="1312">
          <cell r="A1312" t="str">
            <v>A0475</v>
          </cell>
          <cell r="B1312" t="str">
            <v>Sonya Kristiani</v>
          </cell>
          <cell r="C1312" t="str">
            <v>TEMA C3</v>
          </cell>
          <cell r="D1312">
            <v>45223</v>
          </cell>
          <cell r="E1312" t="str">
            <v>Oct-23</v>
          </cell>
          <cell r="F1312" t="str">
            <v>REGULER</v>
          </cell>
          <cell r="G1312" t="str">
            <v>-</v>
          </cell>
          <cell r="H1312" t="str">
            <v>REGULER</v>
          </cell>
          <cell r="I1312" t="str">
            <v>-</v>
          </cell>
          <cell r="J1312" t="str">
            <v>-</v>
          </cell>
          <cell r="K1312" t="str">
            <v>-</v>
          </cell>
          <cell r="L1312" t="str">
            <v>-</v>
          </cell>
          <cell r="M1312">
            <v>0</v>
          </cell>
          <cell r="N1312">
            <v>0</v>
          </cell>
          <cell r="O1312">
            <v>19</v>
          </cell>
          <cell r="P1312">
            <v>0</v>
          </cell>
          <cell r="Q1312">
            <v>0</v>
          </cell>
          <cell r="R1312">
            <v>0</v>
          </cell>
          <cell r="S1312" t="str">
            <v/>
          </cell>
          <cell r="T1312">
            <v>19</v>
          </cell>
          <cell r="U1312">
            <v>0</v>
          </cell>
          <cell r="V1312">
            <v>0</v>
          </cell>
          <cell r="W1312">
            <v>19</v>
          </cell>
          <cell r="X1312">
            <v>0</v>
          </cell>
          <cell r="Y1312">
            <v>0</v>
          </cell>
          <cell r="Z1312">
            <v>0</v>
          </cell>
          <cell r="AA1312" t="str">
            <v/>
          </cell>
          <cell r="AB1312">
            <v>19</v>
          </cell>
          <cell r="AC1312">
            <v>6</v>
          </cell>
          <cell r="AD1312" t="str">
            <v>DOWNGRADE</v>
          </cell>
          <cell r="AE1312" t="str">
            <v>RESET</v>
          </cell>
          <cell r="AF1312">
            <v>0</v>
          </cell>
          <cell r="AG1312">
            <v>1</v>
          </cell>
          <cell r="AH1312" t="str">
            <v>SAPHIRE</v>
          </cell>
          <cell r="AI1312">
            <v>0</v>
          </cell>
          <cell r="AJ1312" t="str">
            <v>FALSE</v>
          </cell>
          <cell r="AK1312">
            <v>0</v>
          </cell>
          <cell r="AL1312">
            <v>45261</v>
          </cell>
          <cell r="AM1312">
            <v>45701</v>
          </cell>
          <cell r="AN1312">
            <v>1</v>
          </cell>
          <cell r="AO1312">
            <v>0</v>
          </cell>
          <cell r="AP1312" t="str">
            <v>-</v>
          </cell>
          <cell r="AQ1312" t="str">
            <v>-</v>
          </cell>
          <cell r="AR1312" t="str">
            <v>-</v>
          </cell>
          <cell r="AS1312" t="str">
            <v>-</v>
          </cell>
          <cell r="AT1312" t="str">
            <v>-</v>
          </cell>
          <cell r="AU1312" t="str">
            <v>-</v>
          </cell>
          <cell r="AV1312" t="str">
            <v/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 t="str">
            <v/>
          </cell>
          <cell r="BH1312">
            <v>0</v>
          </cell>
          <cell r="BI1312">
            <v>0</v>
          </cell>
          <cell r="BJ1312">
            <v>0</v>
          </cell>
          <cell r="BK1312">
            <v>0</v>
          </cell>
          <cell r="BL1312">
            <v>0</v>
          </cell>
          <cell r="BM1312" t="str">
            <v/>
          </cell>
          <cell r="BN1312">
            <v>0</v>
          </cell>
          <cell r="BO1312" t="str">
            <v/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  <cell r="BT1312">
            <v>0</v>
          </cell>
          <cell r="BU1312" t="str">
            <v/>
          </cell>
          <cell r="BV1312">
            <v>0</v>
          </cell>
          <cell r="BW1312">
            <v>7</v>
          </cell>
          <cell r="BX1312" t="str">
            <v>DOWNGRADE</v>
          </cell>
          <cell r="BY1312" t="str">
            <v>RESET</v>
          </cell>
        </row>
        <row r="1313">
          <cell r="A1313" t="str">
            <v>A3998</v>
          </cell>
          <cell r="B1313" t="str">
            <v>Tabitha Elisabeth Munthe</v>
          </cell>
          <cell r="C1313" t="str">
            <v>TEMA C3</v>
          </cell>
          <cell r="D1313">
            <v>45398</v>
          </cell>
          <cell r="E1313" t="str">
            <v>Apr-24</v>
          </cell>
          <cell r="F1313" t="str">
            <v>-</v>
          </cell>
          <cell r="G1313" t="str">
            <v>-</v>
          </cell>
          <cell r="H1313" t="str">
            <v>-</v>
          </cell>
          <cell r="I1313" t="str">
            <v>-</v>
          </cell>
          <cell r="J1313" t="str">
            <v>REGULER</v>
          </cell>
          <cell r="K1313" t="str">
            <v>-</v>
          </cell>
          <cell r="L1313" t="str">
            <v>REGULER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16</v>
          </cell>
          <cell r="R1313">
            <v>0</v>
          </cell>
          <cell r="S1313">
            <v>5</v>
          </cell>
          <cell r="T1313">
            <v>21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16</v>
          </cell>
          <cell r="Z1313">
            <v>0</v>
          </cell>
          <cell r="AA1313">
            <v>5</v>
          </cell>
          <cell r="AB1313">
            <v>21</v>
          </cell>
          <cell r="AC1313">
            <v>1</v>
          </cell>
          <cell r="AD1313" t="str">
            <v>TIDAK</v>
          </cell>
          <cell r="AE1313" t="str">
            <v>TIDAK</v>
          </cell>
          <cell r="AF1313">
            <v>21</v>
          </cell>
          <cell r="AG1313">
            <v>1</v>
          </cell>
          <cell r="AH1313" t="str">
            <v>SAPHIRE</v>
          </cell>
          <cell r="AI1313">
            <v>0</v>
          </cell>
          <cell r="AJ1313" t="str">
            <v>FALSE</v>
          </cell>
          <cell r="AK1313">
            <v>0</v>
          </cell>
          <cell r="AL1313">
            <v>45261</v>
          </cell>
          <cell r="AM1313">
            <v>45701</v>
          </cell>
          <cell r="AN1313">
            <v>1</v>
          </cell>
          <cell r="AO1313">
            <v>21</v>
          </cell>
          <cell r="AP1313" t="str">
            <v>-</v>
          </cell>
          <cell r="AQ1313" t="str">
            <v>-</v>
          </cell>
          <cell r="AR1313" t="str">
            <v>-</v>
          </cell>
          <cell r="AS1313" t="str">
            <v>REGULER</v>
          </cell>
          <cell r="AT1313" t="str">
            <v>-</v>
          </cell>
          <cell r="AU1313" t="str">
            <v>-</v>
          </cell>
          <cell r="AV1313" t="str">
            <v/>
          </cell>
          <cell r="AW1313">
            <v>0</v>
          </cell>
          <cell r="AX1313">
            <v>0</v>
          </cell>
          <cell r="AY1313">
            <v>2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2</v>
          </cell>
          <cell r="BE1313">
            <v>0</v>
          </cell>
          <cell r="BF1313">
            <v>0</v>
          </cell>
          <cell r="BG1313" t="str">
            <v/>
          </cell>
          <cell r="BH1313">
            <v>0</v>
          </cell>
          <cell r="BI1313">
            <v>0</v>
          </cell>
          <cell r="BJ1313">
            <v>2</v>
          </cell>
          <cell r="BK1313">
            <v>0</v>
          </cell>
          <cell r="BL1313">
            <v>0</v>
          </cell>
          <cell r="BM1313" t="str">
            <v/>
          </cell>
          <cell r="BN1313">
            <v>2</v>
          </cell>
          <cell r="BO1313" t="str">
            <v/>
          </cell>
          <cell r="BP1313">
            <v>0</v>
          </cell>
          <cell r="BQ1313">
            <v>0</v>
          </cell>
          <cell r="BR1313">
            <v>2</v>
          </cell>
          <cell r="BS1313">
            <v>0</v>
          </cell>
          <cell r="BT1313">
            <v>0</v>
          </cell>
          <cell r="BU1313" t="str">
            <v/>
          </cell>
          <cell r="BV1313">
            <v>2</v>
          </cell>
          <cell r="BW1313">
            <v>6</v>
          </cell>
          <cell r="BX1313" t="str">
            <v>DOWNGRADE</v>
          </cell>
          <cell r="BY1313" t="str">
            <v>RESET</v>
          </cell>
        </row>
        <row r="1314">
          <cell r="A1314" t="str">
            <v>A2124</v>
          </cell>
          <cell r="B1314" t="str">
            <v>Teuku Radja Ankasah</v>
          </cell>
          <cell r="C1314" t="str">
            <v>TEMA C3</v>
          </cell>
          <cell r="D1314">
            <v>45048</v>
          </cell>
          <cell r="E1314" t="str">
            <v>May-23</v>
          </cell>
          <cell r="F1314" t="str">
            <v>EKSKLUSIF</v>
          </cell>
          <cell r="G1314" t="str">
            <v>EKSKLUSIF</v>
          </cell>
          <cell r="H1314" t="str">
            <v>REGULER</v>
          </cell>
          <cell r="I1314" t="str">
            <v>EKSKLUSIF</v>
          </cell>
          <cell r="J1314" t="str">
            <v>EKSKLUSIF</v>
          </cell>
          <cell r="K1314" t="str">
            <v>EKSKLUSIF</v>
          </cell>
          <cell r="L1314" t="str">
            <v>-</v>
          </cell>
          <cell r="M1314">
            <v>18</v>
          </cell>
          <cell r="N1314">
            <v>42</v>
          </cell>
          <cell r="O1314">
            <v>2</v>
          </cell>
          <cell r="P1314">
            <v>37</v>
          </cell>
          <cell r="Q1314">
            <v>34</v>
          </cell>
          <cell r="R1314">
            <v>38</v>
          </cell>
          <cell r="S1314">
            <v>0</v>
          </cell>
          <cell r="T1314">
            <v>171</v>
          </cell>
          <cell r="U1314">
            <v>0</v>
          </cell>
          <cell r="V1314">
            <v>0</v>
          </cell>
          <cell r="W1314">
            <v>2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2</v>
          </cell>
          <cell r="AC1314">
            <v>1</v>
          </cell>
          <cell r="AD1314" t="str">
            <v>TIDAK</v>
          </cell>
          <cell r="AE1314" t="str">
            <v>TIDAK</v>
          </cell>
          <cell r="AF1314">
            <v>2</v>
          </cell>
          <cell r="AG1314">
            <v>3</v>
          </cell>
          <cell r="AH1314" t="str">
            <v>SAPHIRE</v>
          </cell>
          <cell r="AI1314">
            <v>0</v>
          </cell>
          <cell r="AJ1314" t="str">
            <v>FALSE</v>
          </cell>
          <cell r="AK1314">
            <v>0</v>
          </cell>
          <cell r="AL1314">
            <v>45261</v>
          </cell>
          <cell r="AM1314">
            <v>45701</v>
          </cell>
          <cell r="AN1314">
            <v>1</v>
          </cell>
          <cell r="AO1314">
            <v>2</v>
          </cell>
          <cell r="AP1314" t="str">
            <v>-</v>
          </cell>
          <cell r="AQ1314" t="str">
            <v>-</v>
          </cell>
          <cell r="AR1314" t="str">
            <v>-</v>
          </cell>
          <cell r="AS1314" t="str">
            <v>-</v>
          </cell>
          <cell r="AT1314" t="str">
            <v>-</v>
          </cell>
          <cell r="AU1314" t="str">
            <v>-</v>
          </cell>
          <cell r="AV1314" t="str">
            <v/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 t="str">
            <v/>
          </cell>
          <cell r="BH1314">
            <v>0</v>
          </cell>
          <cell r="BI1314">
            <v>0</v>
          </cell>
          <cell r="BJ1314">
            <v>0</v>
          </cell>
          <cell r="BK1314">
            <v>0</v>
          </cell>
          <cell r="BL1314">
            <v>0</v>
          </cell>
          <cell r="BM1314" t="str">
            <v/>
          </cell>
          <cell r="BN1314">
            <v>0</v>
          </cell>
          <cell r="BO1314" t="str">
            <v/>
          </cell>
          <cell r="BP1314">
            <v>0</v>
          </cell>
          <cell r="BQ1314">
            <v>0</v>
          </cell>
          <cell r="BR1314">
            <v>0</v>
          </cell>
          <cell r="BS1314">
            <v>0</v>
          </cell>
          <cell r="BT1314">
            <v>0</v>
          </cell>
          <cell r="BU1314" t="str">
            <v/>
          </cell>
          <cell r="BV1314">
            <v>0</v>
          </cell>
          <cell r="BW1314">
            <v>7</v>
          </cell>
          <cell r="BX1314" t="str">
            <v>DOWNGRADE</v>
          </cell>
          <cell r="BY1314" t="str">
            <v>RESET</v>
          </cell>
        </row>
        <row r="1315">
          <cell r="A1315" t="str">
            <v>A2910</v>
          </cell>
          <cell r="B1315" t="str">
            <v>Vonny Indria Sari</v>
          </cell>
          <cell r="C1315" t="str">
            <v>TEMA C3</v>
          </cell>
          <cell r="D1315">
            <v>45173</v>
          </cell>
          <cell r="E1315" t="str">
            <v>Sep-23</v>
          </cell>
          <cell r="F1315" t="str">
            <v>REGULER</v>
          </cell>
          <cell r="G1315" t="str">
            <v>REGULER</v>
          </cell>
          <cell r="H1315" t="str">
            <v>-</v>
          </cell>
          <cell r="I1315" t="str">
            <v>REGULER</v>
          </cell>
          <cell r="J1315" t="str">
            <v>-</v>
          </cell>
          <cell r="K1315" t="str">
            <v>-</v>
          </cell>
          <cell r="L1315" t="str">
            <v>-</v>
          </cell>
          <cell r="M1315">
            <v>10</v>
          </cell>
          <cell r="N1315">
            <v>14</v>
          </cell>
          <cell r="O1315">
            <v>0</v>
          </cell>
          <cell r="P1315">
            <v>18</v>
          </cell>
          <cell r="Q1315">
            <v>0</v>
          </cell>
          <cell r="R1315">
            <v>0</v>
          </cell>
          <cell r="S1315" t="str">
            <v/>
          </cell>
          <cell r="T1315">
            <v>42</v>
          </cell>
          <cell r="U1315">
            <v>10</v>
          </cell>
          <cell r="V1315">
            <v>14</v>
          </cell>
          <cell r="W1315">
            <v>0</v>
          </cell>
          <cell r="X1315">
            <v>18</v>
          </cell>
          <cell r="Y1315">
            <v>0</v>
          </cell>
          <cell r="Z1315">
            <v>0</v>
          </cell>
          <cell r="AA1315" t="str">
            <v/>
          </cell>
          <cell r="AB1315">
            <v>42</v>
          </cell>
          <cell r="AC1315">
            <v>4</v>
          </cell>
          <cell r="AD1315" t="str">
            <v>DOWNGRADE</v>
          </cell>
          <cell r="AE1315" t="str">
            <v>RESET</v>
          </cell>
          <cell r="AF1315">
            <v>0</v>
          </cell>
          <cell r="AG1315">
            <v>3</v>
          </cell>
          <cell r="AH1315" t="str">
            <v>SAPHIRE</v>
          </cell>
          <cell r="AI1315">
            <v>0</v>
          </cell>
          <cell r="AJ1315" t="str">
            <v>FALSE</v>
          </cell>
          <cell r="AK1315">
            <v>0</v>
          </cell>
          <cell r="AL1315">
            <v>45261</v>
          </cell>
          <cell r="AM1315">
            <v>45701</v>
          </cell>
          <cell r="AN1315">
            <v>1</v>
          </cell>
          <cell r="AO1315">
            <v>0</v>
          </cell>
          <cell r="AP1315" t="str">
            <v>-</v>
          </cell>
          <cell r="AQ1315" t="str">
            <v>-</v>
          </cell>
          <cell r="AR1315" t="str">
            <v>-</v>
          </cell>
          <cell r="AS1315" t="str">
            <v>-</v>
          </cell>
          <cell r="AT1315" t="str">
            <v>-</v>
          </cell>
          <cell r="AU1315" t="str">
            <v>-</v>
          </cell>
          <cell r="AV1315" t="str">
            <v/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 t="str">
            <v/>
          </cell>
          <cell r="BH1315">
            <v>0</v>
          </cell>
          <cell r="BI1315">
            <v>0</v>
          </cell>
          <cell r="BJ1315">
            <v>0</v>
          </cell>
          <cell r="BK1315">
            <v>0</v>
          </cell>
          <cell r="BL1315">
            <v>0</v>
          </cell>
          <cell r="BM1315" t="str">
            <v/>
          </cell>
          <cell r="BN1315">
            <v>0</v>
          </cell>
          <cell r="BO1315" t="str">
            <v/>
          </cell>
          <cell r="BP1315">
            <v>0</v>
          </cell>
          <cell r="BQ1315">
            <v>0</v>
          </cell>
          <cell r="BR1315">
            <v>0</v>
          </cell>
          <cell r="BS1315">
            <v>0</v>
          </cell>
          <cell r="BT1315">
            <v>0</v>
          </cell>
          <cell r="BU1315" t="str">
            <v/>
          </cell>
          <cell r="BV1315">
            <v>0</v>
          </cell>
          <cell r="BW1315">
            <v>7</v>
          </cell>
          <cell r="BX1315" t="str">
            <v>DOWNGRADE</v>
          </cell>
          <cell r="BY1315" t="str">
            <v>RESET</v>
          </cell>
        </row>
        <row r="1316">
          <cell r="A1316" t="str">
            <v>A3265</v>
          </cell>
          <cell r="B1316" t="str">
            <v>Yolanda Andaresta</v>
          </cell>
          <cell r="C1316" t="str">
            <v>TEMA C3</v>
          </cell>
          <cell r="D1316">
            <v>45244</v>
          </cell>
          <cell r="E1316" t="str">
            <v>Nov-23</v>
          </cell>
          <cell r="F1316" t="str">
            <v>REGULER</v>
          </cell>
          <cell r="G1316" t="str">
            <v>REGULER</v>
          </cell>
          <cell r="H1316" t="str">
            <v>REGULER</v>
          </cell>
          <cell r="I1316" t="str">
            <v>REGULER</v>
          </cell>
          <cell r="J1316" t="str">
            <v>REGULER</v>
          </cell>
          <cell r="K1316" t="str">
            <v>REGULER</v>
          </cell>
          <cell r="L1316" t="str">
            <v>EKSKLUSIF</v>
          </cell>
          <cell r="M1316">
            <v>9</v>
          </cell>
          <cell r="N1316">
            <v>24</v>
          </cell>
          <cell r="O1316">
            <v>28</v>
          </cell>
          <cell r="P1316">
            <v>18</v>
          </cell>
          <cell r="Q1316">
            <v>27</v>
          </cell>
          <cell r="R1316">
            <v>31</v>
          </cell>
          <cell r="S1316">
            <v>768</v>
          </cell>
          <cell r="T1316">
            <v>905</v>
          </cell>
          <cell r="U1316">
            <v>9</v>
          </cell>
          <cell r="V1316">
            <v>24</v>
          </cell>
          <cell r="W1316">
            <v>28</v>
          </cell>
          <cell r="X1316">
            <v>18</v>
          </cell>
          <cell r="Y1316">
            <v>27</v>
          </cell>
          <cell r="Z1316">
            <v>31</v>
          </cell>
          <cell r="AA1316">
            <v>0</v>
          </cell>
          <cell r="AB1316">
            <v>137</v>
          </cell>
          <cell r="AC1316">
            <v>0</v>
          </cell>
          <cell r="AD1316" t="str">
            <v>TIDAK</v>
          </cell>
          <cell r="AE1316" t="str">
            <v>TIDAK</v>
          </cell>
          <cell r="AF1316">
            <v>137</v>
          </cell>
          <cell r="AG1316">
            <v>3</v>
          </cell>
          <cell r="AH1316" t="str">
            <v>SAPHIRE</v>
          </cell>
          <cell r="AI1316">
            <v>0</v>
          </cell>
          <cell r="AJ1316" t="str">
            <v>Y</v>
          </cell>
          <cell r="AK1316">
            <v>0</v>
          </cell>
          <cell r="AL1316">
            <v>45261</v>
          </cell>
          <cell r="AM1316">
            <v>45701</v>
          </cell>
          <cell r="AN1316">
            <v>1</v>
          </cell>
          <cell r="AO1316">
            <v>137</v>
          </cell>
          <cell r="AP1316" t="str">
            <v>EKSKLUSIF</v>
          </cell>
          <cell r="AQ1316" t="str">
            <v>-</v>
          </cell>
          <cell r="AR1316" t="str">
            <v>EKSKLUSIF</v>
          </cell>
          <cell r="AS1316" t="str">
            <v>REGULER</v>
          </cell>
          <cell r="AT1316" t="str">
            <v>REGULER</v>
          </cell>
          <cell r="AU1316" t="str">
            <v>REGULER</v>
          </cell>
          <cell r="AV1316" t="str">
            <v/>
          </cell>
          <cell r="AW1316">
            <v>45</v>
          </cell>
          <cell r="AX1316">
            <v>39</v>
          </cell>
          <cell r="AY1316">
            <v>39</v>
          </cell>
          <cell r="AZ1316">
            <v>47</v>
          </cell>
          <cell r="BA1316">
            <v>42</v>
          </cell>
          <cell r="BB1316">
            <v>45</v>
          </cell>
          <cell r="BC1316">
            <v>39</v>
          </cell>
          <cell r="BD1316">
            <v>39</v>
          </cell>
          <cell r="BE1316">
            <v>47</v>
          </cell>
          <cell r="BF1316">
            <v>42</v>
          </cell>
          <cell r="BG1316">
            <v>13</v>
          </cell>
          <cell r="BH1316">
            <v>45</v>
          </cell>
          <cell r="BI1316">
            <v>39</v>
          </cell>
          <cell r="BJ1316">
            <v>39</v>
          </cell>
          <cell r="BK1316">
            <v>47</v>
          </cell>
          <cell r="BL1316">
            <v>42</v>
          </cell>
          <cell r="BM1316">
            <v>22</v>
          </cell>
          <cell r="BN1316">
            <v>247</v>
          </cell>
          <cell r="BO1316">
            <v>0</v>
          </cell>
          <cell r="BP1316">
            <v>45</v>
          </cell>
          <cell r="BQ1316">
            <v>0</v>
          </cell>
          <cell r="BR1316">
            <v>39</v>
          </cell>
          <cell r="BS1316">
            <v>47</v>
          </cell>
          <cell r="BT1316">
            <v>42</v>
          </cell>
          <cell r="BU1316">
            <v>22</v>
          </cell>
          <cell r="BV1316">
            <v>195</v>
          </cell>
          <cell r="BW1316">
            <v>0</v>
          </cell>
          <cell r="BX1316" t="str">
            <v>TIDAK</v>
          </cell>
          <cell r="BY1316" t="str">
            <v>TIDAK</v>
          </cell>
        </row>
        <row r="1317">
          <cell r="A1317" t="str">
            <v>A1754</v>
          </cell>
          <cell r="B1317" t="str">
            <v>ZANETAXINA PUDIHANG</v>
          </cell>
          <cell r="C1317" t="str">
            <v>TEMA C3</v>
          </cell>
          <cell r="D1317">
            <v>45475</v>
          </cell>
          <cell r="E1317" t="str">
            <v>Jul-24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 t="str">
            <v>-</v>
          </cell>
          <cell r="AQ1317" t="str">
            <v>-</v>
          </cell>
          <cell r="AR1317" t="str">
            <v>-</v>
          </cell>
          <cell r="AS1317" t="str">
            <v>REGULER</v>
          </cell>
          <cell r="AT1317" t="str">
            <v>-</v>
          </cell>
          <cell r="AU1317" t="str">
            <v>-</v>
          </cell>
          <cell r="AV1317" t="str">
            <v/>
          </cell>
          <cell r="AW1317">
            <v>15</v>
          </cell>
          <cell r="AX1317">
            <v>0</v>
          </cell>
          <cell r="AY1317">
            <v>3</v>
          </cell>
          <cell r="AZ1317">
            <v>0</v>
          </cell>
          <cell r="BA1317">
            <v>0</v>
          </cell>
          <cell r="BB1317">
            <v>15</v>
          </cell>
          <cell r="BC1317">
            <v>0</v>
          </cell>
          <cell r="BD1317">
            <v>3</v>
          </cell>
          <cell r="BE1317">
            <v>0</v>
          </cell>
          <cell r="BF1317">
            <v>0</v>
          </cell>
          <cell r="BG1317">
            <v>0</v>
          </cell>
          <cell r="BH1317">
            <v>15</v>
          </cell>
          <cell r="BI1317">
            <v>0</v>
          </cell>
          <cell r="BJ1317">
            <v>3</v>
          </cell>
          <cell r="BK1317">
            <v>0</v>
          </cell>
          <cell r="BL1317">
            <v>0</v>
          </cell>
          <cell r="BM1317" t="str">
            <v/>
          </cell>
          <cell r="BN1317">
            <v>18</v>
          </cell>
          <cell r="BO1317">
            <v>0</v>
          </cell>
          <cell r="BP1317">
            <v>15</v>
          </cell>
          <cell r="BQ1317">
            <v>0</v>
          </cell>
          <cell r="BR1317">
            <v>3</v>
          </cell>
          <cell r="BS1317">
            <v>0</v>
          </cell>
          <cell r="BT1317">
            <v>0</v>
          </cell>
          <cell r="BU1317" t="str">
            <v/>
          </cell>
          <cell r="BV1317">
            <v>18</v>
          </cell>
          <cell r="BW1317">
            <v>4</v>
          </cell>
          <cell r="BX1317" t="str">
            <v>DOWNGRADE</v>
          </cell>
          <cell r="BY1317" t="str">
            <v>RESET</v>
          </cell>
        </row>
        <row r="1318">
          <cell r="A1318" t="str">
            <v>A4129</v>
          </cell>
          <cell r="B1318" t="str">
            <v>MERLINDA ASTUTI</v>
          </cell>
          <cell r="C1318" t="str">
            <v>TEMA C3</v>
          </cell>
          <cell r="D1318">
            <v>45474</v>
          </cell>
          <cell r="E1318" t="str">
            <v>Jul-24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 t="str">
            <v>-</v>
          </cell>
          <cell r="AQ1318" t="str">
            <v>-</v>
          </cell>
          <cell r="AR1318" t="str">
            <v>REGULER</v>
          </cell>
          <cell r="AS1318" t="str">
            <v>REGULER</v>
          </cell>
          <cell r="AT1318" t="str">
            <v>REGULER</v>
          </cell>
          <cell r="AU1318" t="str">
            <v>REGULER</v>
          </cell>
          <cell r="AV1318" t="str">
            <v/>
          </cell>
          <cell r="AW1318">
            <v>45</v>
          </cell>
          <cell r="AX1318">
            <v>23</v>
          </cell>
          <cell r="AY1318">
            <v>31</v>
          </cell>
          <cell r="AZ1318">
            <v>45</v>
          </cell>
          <cell r="BA1318">
            <v>38</v>
          </cell>
          <cell r="BB1318">
            <v>45</v>
          </cell>
          <cell r="BC1318">
            <v>23</v>
          </cell>
          <cell r="BD1318">
            <v>31</v>
          </cell>
          <cell r="BE1318">
            <v>45</v>
          </cell>
          <cell r="BF1318">
            <v>38</v>
          </cell>
          <cell r="BG1318">
            <v>0</v>
          </cell>
          <cell r="BH1318">
            <v>45</v>
          </cell>
          <cell r="BI1318">
            <v>23</v>
          </cell>
          <cell r="BJ1318">
            <v>31</v>
          </cell>
          <cell r="BK1318">
            <v>45</v>
          </cell>
          <cell r="BL1318">
            <v>38</v>
          </cell>
          <cell r="BM1318">
            <v>20</v>
          </cell>
          <cell r="BN1318">
            <v>202</v>
          </cell>
          <cell r="BO1318">
            <v>0</v>
          </cell>
          <cell r="BP1318">
            <v>45</v>
          </cell>
          <cell r="BQ1318">
            <v>23</v>
          </cell>
          <cell r="BR1318">
            <v>31</v>
          </cell>
          <cell r="BS1318">
            <v>45</v>
          </cell>
          <cell r="BT1318">
            <v>38</v>
          </cell>
          <cell r="BU1318">
            <v>20</v>
          </cell>
          <cell r="BV1318">
            <v>202</v>
          </cell>
          <cell r="BW1318">
            <v>0</v>
          </cell>
          <cell r="BX1318" t="str">
            <v>TIDAK</v>
          </cell>
          <cell r="BY1318" t="str">
            <v>TIDAK</v>
          </cell>
        </row>
        <row r="1319">
          <cell r="A1319" t="str">
            <v>A4004</v>
          </cell>
          <cell r="B1319" t="str">
            <v>ANNISA NUR LATHIFAH</v>
          </cell>
          <cell r="C1319" t="str">
            <v>TEMA C3</v>
          </cell>
          <cell r="D1319">
            <v>45484</v>
          </cell>
          <cell r="E1319" t="str">
            <v>Jul-24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 t="str">
            <v>-</v>
          </cell>
          <cell r="AQ1319" t="str">
            <v>-</v>
          </cell>
          <cell r="AR1319" t="str">
            <v>-</v>
          </cell>
          <cell r="AS1319" t="str">
            <v>-</v>
          </cell>
          <cell r="AT1319" t="str">
            <v>-</v>
          </cell>
          <cell r="AU1319" t="str">
            <v>-</v>
          </cell>
          <cell r="AV1319" t="str">
            <v/>
          </cell>
          <cell r="AW1319">
            <v>1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1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1</v>
          </cell>
          <cell r="BI1319">
            <v>0</v>
          </cell>
          <cell r="BJ1319">
            <v>0</v>
          </cell>
          <cell r="BK1319">
            <v>0</v>
          </cell>
          <cell r="BL1319">
            <v>0</v>
          </cell>
          <cell r="BM1319" t="str">
            <v/>
          </cell>
          <cell r="BN1319">
            <v>1</v>
          </cell>
          <cell r="BO1319">
            <v>0</v>
          </cell>
          <cell r="BP1319">
            <v>1</v>
          </cell>
          <cell r="BQ1319">
            <v>0</v>
          </cell>
          <cell r="BR1319">
            <v>0</v>
          </cell>
          <cell r="BS1319">
            <v>0</v>
          </cell>
          <cell r="BT1319">
            <v>0</v>
          </cell>
          <cell r="BU1319" t="str">
            <v/>
          </cell>
          <cell r="BV1319">
            <v>1</v>
          </cell>
          <cell r="BW1319">
            <v>5</v>
          </cell>
          <cell r="BX1319" t="str">
            <v>DOWNGRADE</v>
          </cell>
          <cell r="BY1319" t="str">
            <v>RESET</v>
          </cell>
        </row>
        <row r="1320">
          <cell r="A1320" t="str">
            <v>A4005</v>
          </cell>
          <cell r="B1320" t="str">
            <v>FADHILA FATHIN ZAHRA</v>
          </cell>
          <cell r="C1320" t="str">
            <v>TEMA C3</v>
          </cell>
          <cell r="D1320">
            <v>45484</v>
          </cell>
          <cell r="E1320" t="str">
            <v>Jul-24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 t="str">
            <v>-</v>
          </cell>
          <cell r="AQ1320" t="str">
            <v>-</v>
          </cell>
          <cell r="AR1320" t="str">
            <v>-</v>
          </cell>
          <cell r="AS1320" t="str">
            <v>-</v>
          </cell>
          <cell r="AT1320" t="str">
            <v>-</v>
          </cell>
          <cell r="AU1320" t="str">
            <v>-</v>
          </cell>
          <cell r="AV1320" t="str">
            <v/>
          </cell>
          <cell r="AW1320">
            <v>1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1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1</v>
          </cell>
          <cell r="BI1320">
            <v>0</v>
          </cell>
          <cell r="BJ1320">
            <v>0</v>
          </cell>
          <cell r="BK1320">
            <v>0</v>
          </cell>
          <cell r="BL1320">
            <v>0</v>
          </cell>
          <cell r="BM1320" t="str">
            <v/>
          </cell>
          <cell r="BN1320">
            <v>1</v>
          </cell>
          <cell r="BO1320">
            <v>0</v>
          </cell>
          <cell r="BP1320">
            <v>1</v>
          </cell>
          <cell r="BQ1320">
            <v>0</v>
          </cell>
          <cell r="BR1320">
            <v>0</v>
          </cell>
          <cell r="BS1320">
            <v>0</v>
          </cell>
          <cell r="BT1320">
            <v>0</v>
          </cell>
          <cell r="BU1320" t="str">
            <v/>
          </cell>
          <cell r="BV1320">
            <v>1</v>
          </cell>
          <cell r="BW1320">
            <v>5</v>
          </cell>
          <cell r="BX1320" t="str">
            <v>DOWNGRADE</v>
          </cell>
          <cell r="BY1320" t="str">
            <v>RESET</v>
          </cell>
        </row>
        <row r="1321">
          <cell r="A1321" t="str">
            <v>A4174</v>
          </cell>
          <cell r="B1321" t="str">
            <v>AMANDA ALMA KASIH CHRISTINE</v>
          </cell>
          <cell r="C1321" t="str">
            <v>TEMA C3</v>
          </cell>
          <cell r="D1321">
            <v>45483</v>
          </cell>
          <cell r="E1321" t="str">
            <v>Jul-24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 t="str">
            <v>-</v>
          </cell>
          <cell r="AQ1321" t="str">
            <v>-</v>
          </cell>
          <cell r="AR1321" t="str">
            <v>REGULER</v>
          </cell>
          <cell r="AS1321" t="str">
            <v>REGULER</v>
          </cell>
          <cell r="AT1321" t="str">
            <v>-</v>
          </cell>
          <cell r="AU1321" t="str">
            <v>REGULER</v>
          </cell>
          <cell r="AV1321" t="str">
            <v/>
          </cell>
          <cell r="AW1321">
            <v>24</v>
          </cell>
          <cell r="AX1321">
            <v>19</v>
          </cell>
          <cell r="AY1321">
            <v>9</v>
          </cell>
          <cell r="AZ1321">
            <v>0</v>
          </cell>
          <cell r="BA1321">
            <v>2</v>
          </cell>
          <cell r="BB1321">
            <v>24</v>
          </cell>
          <cell r="BC1321">
            <v>19</v>
          </cell>
          <cell r="BD1321">
            <v>9</v>
          </cell>
          <cell r="BE1321">
            <v>0</v>
          </cell>
          <cell r="BF1321">
            <v>2</v>
          </cell>
          <cell r="BG1321">
            <v>0</v>
          </cell>
          <cell r="BH1321">
            <v>24</v>
          </cell>
          <cell r="BI1321">
            <v>19</v>
          </cell>
          <cell r="BJ1321">
            <v>9</v>
          </cell>
          <cell r="BK1321">
            <v>0</v>
          </cell>
          <cell r="BL1321">
            <v>2</v>
          </cell>
          <cell r="BM1321" t="str">
            <v/>
          </cell>
          <cell r="BN1321">
            <v>54</v>
          </cell>
          <cell r="BO1321">
            <v>0</v>
          </cell>
          <cell r="BP1321">
            <v>24</v>
          </cell>
          <cell r="BQ1321">
            <v>19</v>
          </cell>
          <cell r="BR1321">
            <v>9</v>
          </cell>
          <cell r="BS1321">
            <v>0</v>
          </cell>
          <cell r="BT1321">
            <v>2</v>
          </cell>
          <cell r="BU1321" t="str">
            <v/>
          </cell>
          <cell r="BV1321">
            <v>54</v>
          </cell>
          <cell r="BW1321">
            <v>2</v>
          </cell>
          <cell r="BX1321" t="str">
            <v>TIDAK</v>
          </cell>
          <cell r="BY1321" t="str">
            <v>TIDAK</v>
          </cell>
        </row>
        <row r="1322">
          <cell r="A1322" t="str">
            <v>A4176</v>
          </cell>
          <cell r="B1322" t="str">
            <v>HALIFAH SHAFIRA</v>
          </cell>
          <cell r="C1322" t="str">
            <v>TEMA C3</v>
          </cell>
          <cell r="D1322">
            <v>45484</v>
          </cell>
          <cell r="E1322" t="str">
            <v>Jul-24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 t="str">
            <v>-</v>
          </cell>
          <cell r="AQ1322" t="str">
            <v>-</v>
          </cell>
          <cell r="AR1322" t="str">
            <v>REGULER</v>
          </cell>
          <cell r="AS1322" t="str">
            <v>REGULER</v>
          </cell>
          <cell r="AT1322" t="str">
            <v>REGULER</v>
          </cell>
          <cell r="AU1322" t="str">
            <v>REGULER</v>
          </cell>
          <cell r="AV1322" t="str">
            <v/>
          </cell>
          <cell r="AW1322">
            <v>23</v>
          </cell>
          <cell r="AX1322">
            <v>28</v>
          </cell>
          <cell r="AY1322">
            <v>35</v>
          </cell>
          <cell r="AZ1322">
            <v>39</v>
          </cell>
          <cell r="BA1322">
            <v>43</v>
          </cell>
          <cell r="BB1322">
            <v>23</v>
          </cell>
          <cell r="BC1322">
            <v>28</v>
          </cell>
          <cell r="BD1322">
            <v>35</v>
          </cell>
          <cell r="BE1322">
            <v>39</v>
          </cell>
          <cell r="BF1322">
            <v>43</v>
          </cell>
          <cell r="BG1322">
            <v>0</v>
          </cell>
          <cell r="BH1322">
            <v>23</v>
          </cell>
          <cell r="BI1322">
            <v>28</v>
          </cell>
          <cell r="BJ1322">
            <v>35</v>
          </cell>
          <cell r="BK1322">
            <v>39</v>
          </cell>
          <cell r="BL1322">
            <v>43</v>
          </cell>
          <cell r="BM1322">
            <v>3</v>
          </cell>
          <cell r="BN1322">
            <v>171</v>
          </cell>
          <cell r="BO1322">
            <v>0</v>
          </cell>
          <cell r="BP1322">
            <v>23</v>
          </cell>
          <cell r="BQ1322">
            <v>28</v>
          </cell>
          <cell r="BR1322">
            <v>35</v>
          </cell>
          <cell r="BS1322">
            <v>39</v>
          </cell>
          <cell r="BT1322">
            <v>43</v>
          </cell>
          <cell r="BU1322">
            <v>3</v>
          </cell>
          <cell r="BV1322">
            <v>171</v>
          </cell>
          <cell r="BW1322">
            <v>0</v>
          </cell>
          <cell r="BX1322" t="str">
            <v>TIDAK</v>
          </cell>
          <cell r="BY1322" t="str">
            <v>TIDAK</v>
          </cell>
        </row>
        <row r="1323">
          <cell r="A1323" t="str">
            <v>A4175</v>
          </cell>
          <cell r="B1323" t="str">
            <v>FEBBYANCHA GARCIA</v>
          </cell>
          <cell r="C1323" t="str">
            <v>TEMA C3</v>
          </cell>
          <cell r="D1323">
            <v>45484</v>
          </cell>
          <cell r="E1323" t="str">
            <v>Jul-24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 t="str">
            <v>-</v>
          </cell>
          <cell r="AQ1323" t="str">
            <v>-</v>
          </cell>
          <cell r="AR1323" t="str">
            <v>-</v>
          </cell>
          <cell r="AS1323" t="str">
            <v>REGULER</v>
          </cell>
          <cell r="AT1323" t="str">
            <v>-</v>
          </cell>
          <cell r="AU1323" t="str">
            <v>-</v>
          </cell>
          <cell r="AV1323" t="str">
            <v/>
          </cell>
          <cell r="AW1323">
            <v>27</v>
          </cell>
          <cell r="AX1323">
            <v>0</v>
          </cell>
          <cell r="AY1323">
            <v>3</v>
          </cell>
          <cell r="AZ1323">
            <v>0</v>
          </cell>
          <cell r="BA1323">
            <v>0</v>
          </cell>
          <cell r="BB1323">
            <v>27</v>
          </cell>
          <cell r="BC1323">
            <v>0</v>
          </cell>
          <cell r="BD1323">
            <v>3</v>
          </cell>
          <cell r="BE1323">
            <v>0</v>
          </cell>
          <cell r="BF1323">
            <v>0</v>
          </cell>
          <cell r="BG1323">
            <v>0</v>
          </cell>
          <cell r="BH1323">
            <v>27</v>
          </cell>
          <cell r="BI1323">
            <v>0</v>
          </cell>
          <cell r="BJ1323">
            <v>3</v>
          </cell>
          <cell r="BK1323">
            <v>0</v>
          </cell>
          <cell r="BL1323">
            <v>0</v>
          </cell>
          <cell r="BM1323" t="str">
            <v/>
          </cell>
          <cell r="BN1323">
            <v>30</v>
          </cell>
          <cell r="BO1323">
            <v>0</v>
          </cell>
          <cell r="BP1323">
            <v>27</v>
          </cell>
          <cell r="BQ1323">
            <v>0</v>
          </cell>
          <cell r="BR1323">
            <v>3</v>
          </cell>
          <cell r="BS1323">
            <v>0</v>
          </cell>
          <cell r="BT1323">
            <v>0</v>
          </cell>
          <cell r="BU1323" t="str">
            <v/>
          </cell>
          <cell r="BV1323">
            <v>30</v>
          </cell>
          <cell r="BW1323">
            <v>4</v>
          </cell>
          <cell r="BX1323" t="str">
            <v>DOWNGRADE</v>
          </cell>
          <cell r="BY1323" t="str">
            <v>RESET</v>
          </cell>
        </row>
        <row r="1324">
          <cell r="A1324" t="str">
            <v>A4177</v>
          </cell>
          <cell r="B1324" t="str">
            <v>LIZA ABELIA</v>
          </cell>
          <cell r="C1324" t="str">
            <v>TEMA C3</v>
          </cell>
          <cell r="D1324">
            <v>45485</v>
          </cell>
          <cell r="E1324" t="str">
            <v>Jul-24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 t="str">
            <v>-</v>
          </cell>
          <cell r="AQ1324" t="str">
            <v>-</v>
          </cell>
          <cell r="AR1324" t="str">
            <v>-</v>
          </cell>
          <cell r="AS1324" t="str">
            <v>REGULER</v>
          </cell>
          <cell r="AT1324" t="str">
            <v>-</v>
          </cell>
          <cell r="AU1324" t="str">
            <v>-</v>
          </cell>
          <cell r="AV1324" t="str">
            <v/>
          </cell>
          <cell r="AW1324">
            <v>17</v>
          </cell>
          <cell r="AX1324">
            <v>0</v>
          </cell>
          <cell r="AY1324">
            <v>2</v>
          </cell>
          <cell r="AZ1324">
            <v>0</v>
          </cell>
          <cell r="BA1324">
            <v>0</v>
          </cell>
          <cell r="BB1324">
            <v>17</v>
          </cell>
          <cell r="BC1324">
            <v>0</v>
          </cell>
          <cell r="BD1324">
            <v>2</v>
          </cell>
          <cell r="BE1324">
            <v>0</v>
          </cell>
          <cell r="BF1324">
            <v>0</v>
          </cell>
          <cell r="BG1324">
            <v>0</v>
          </cell>
          <cell r="BH1324">
            <v>17</v>
          </cell>
          <cell r="BI1324">
            <v>0</v>
          </cell>
          <cell r="BJ1324">
            <v>2</v>
          </cell>
          <cell r="BK1324">
            <v>0</v>
          </cell>
          <cell r="BL1324">
            <v>0</v>
          </cell>
          <cell r="BM1324" t="str">
            <v/>
          </cell>
          <cell r="BN1324">
            <v>19</v>
          </cell>
          <cell r="BO1324">
            <v>0</v>
          </cell>
          <cell r="BP1324">
            <v>17</v>
          </cell>
          <cell r="BQ1324">
            <v>0</v>
          </cell>
          <cell r="BR1324">
            <v>2</v>
          </cell>
          <cell r="BS1324">
            <v>0</v>
          </cell>
          <cell r="BT1324">
            <v>0</v>
          </cell>
          <cell r="BU1324" t="str">
            <v/>
          </cell>
          <cell r="BV1324">
            <v>19</v>
          </cell>
          <cell r="BW1324">
            <v>4</v>
          </cell>
          <cell r="BX1324" t="str">
            <v>DOWNGRADE</v>
          </cell>
          <cell r="BY1324" t="str">
            <v>RESET</v>
          </cell>
        </row>
        <row r="1325">
          <cell r="A1325" t="str">
            <v>A4155</v>
          </cell>
          <cell r="B1325" t="str">
            <v>KATARINA ARETA</v>
          </cell>
          <cell r="C1325" t="str">
            <v>TEMA C3</v>
          </cell>
          <cell r="D1325">
            <v>45489</v>
          </cell>
          <cell r="E1325" t="str">
            <v>Jul-24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 t="str">
            <v>-</v>
          </cell>
          <cell r="AQ1325" t="str">
            <v>-</v>
          </cell>
          <cell r="AR1325" t="str">
            <v>-</v>
          </cell>
          <cell r="AS1325" t="str">
            <v>-</v>
          </cell>
          <cell r="AT1325" t="str">
            <v>-</v>
          </cell>
          <cell r="AU1325" t="str">
            <v>-</v>
          </cell>
          <cell r="AV1325" t="str">
            <v/>
          </cell>
          <cell r="AW1325">
            <v>1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1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1</v>
          </cell>
          <cell r="BI1325">
            <v>0</v>
          </cell>
          <cell r="BJ1325">
            <v>0</v>
          </cell>
          <cell r="BK1325">
            <v>0</v>
          </cell>
          <cell r="BL1325">
            <v>0</v>
          </cell>
          <cell r="BM1325" t="str">
            <v/>
          </cell>
          <cell r="BN1325">
            <v>1</v>
          </cell>
          <cell r="BO1325">
            <v>0</v>
          </cell>
          <cell r="BP1325">
            <v>1</v>
          </cell>
          <cell r="BQ1325">
            <v>0</v>
          </cell>
          <cell r="BR1325">
            <v>0</v>
          </cell>
          <cell r="BS1325">
            <v>0</v>
          </cell>
          <cell r="BT1325">
            <v>0</v>
          </cell>
          <cell r="BU1325" t="str">
            <v/>
          </cell>
          <cell r="BV1325">
            <v>1</v>
          </cell>
          <cell r="BW1325">
            <v>5</v>
          </cell>
          <cell r="BX1325" t="str">
            <v>DOWNGRADE</v>
          </cell>
          <cell r="BY1325" t="str">
            <v>RESET</v>
          </cell>
        </row>
        <row r="1326">
          <cell r="A1326" t="str">
            <v>A4156</v>
          </cell>
          <cell r="B1326" t="str">
            <v>ANGELIA DESIRE</v>
          </cell>
          <cell r="C1326" t="str">
            <v>TEMA C3</v>
          </cell>
          <cell r="D1326">
            <v>45489</v>
          </cell>
          <cell r="E1326" t="str">
            <v>Jul-24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 t="str">
            <v>-</v>
          </cell>
          <cell r="AQ1326" t="str">
            <v>-</v>
          </cell>
          <cell r="AR1326" t="str">
            <v>REGULER</v>
          </cell>
          <cell r="AS1326" t="str">
            <v>REGULER</v>
          </cell>
          <cell r="AT1326" t="str">
            <v>-</v>
          </cell>
          <cell r="AU1326" t="str">
            <v>-</v>
          </cell>
          <cell r="AV1326" t="str">
            <v/>
          </cell>
          <cell r="AW1326">
            <v>16</v>
          </cell>
          <cell r="AX1326">
            <v>11</v>
          </cell>
          <cell r="AY1326">
            <v>5</v>
          </cell>
          <cell r="AZ1326">
            <v>0</v>
          </cell>
          <cell r="BA1326">
            <v>0</v>
          </cell>
          <cell r="BB1326">
            <v>16</v>
          </cell>
          <cell r="BC1326">
            <v>11</v>
          </cell>
          <cell r="BD1326">
            <v>5</v>
          </cell>
          <cell r="BE1326">
            <v>0</v>
          </cell>
          <cell r="BF1326">
            <v>0</v>
          </cell>
          <cell r="BG1326">
            <v>0</v>
          </cell>
          <cell r="BH1326">
            <v>16</v>
          </cell>
          <cell r="BI1326">
            <v>11</v>
          </cell>
          <cell r="BJ1326">
            <v>5</v>
          </cell>
          <cell r="BK1326">
            <v>0</v>
          </cell>
          <cell r="BL1326">
            <v>0</v>
          </cell>
          <cell r="BM1326" t="str">
            <v/>
          </cell>
          <cell r="BN1326">
            <v>32</v>
          </cell>
          <cell r="BO1326">
            <v>0</v>
          </cell>
          <cell r="BP1326">
            <v>16</v>
          </cell>
          <cell r="BQ1326">
            <v>11</v>
          </cell>
          <cell r="BR1326">
            <v>5</v>
          </cell>
          <cell r="BS1326">
            <v>0</v>
          </cell>
          <cell r="BT1326">
            <v>0</v>
          </cell>
          <cell r="BU1326" t="str">
            <v/>
          </cell>
          <cell r="BV1326">
            <v>32</v>
          </cell>
          <cell r="BW1326">
            <v>3</v>
          </cell>
          <cell r="BX1326" t="str">
            <v>DOWNGRADE</v>
          </cell>
          <cell r="BY1326" t="str">
            <v>RESET</v>
          </cell>
        </row>
        <row r="1327">
          <cell r="A1327" t="str">
            <v>A4157</v>
          </cell>
          <cell r="B1327" t="str">
            <v>AMABELLE FELLYTA</v>
          </cell>
          <cell r="C1327" t="str">
            <v>TEMA C3</v>
          </cell>
          <cell r="D1327">
            <v>45495</v>
          </cell>
          <cell r="E1327" t="str">
            <v>Jul-24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 t="str">
            <v>-</v>
          </cell>
          <cell r="AQ1327" t="str">
            <v>-</v>
          </cell>
          <cell r="AR1327" t="str">
            <v>REGULER</v>
          </cell>
          <cell r="AS1327" t="str">
            <v>REGULER</v>
          </cell>
          <cell r="AT1327" t="str">
            <v>REGULER</v>
          </cell>
          <cell r="AU1327" t="str">
            <v>-</v>
          </cell>
          <cell r="AV1327" t="str">
            <v/>
          </cell>
          <cell r="AW1327">
            <v>8</v>
          </cell>
          <cell r="AX1327">
            <v>6</v>
          </cell>
          <cell r="AY1327">
            <v>3</v>
          </cell>
          <cell r="AZ1327">
            <v>12</v>
          </cell>
          <cell r="BA1327">
            <v>0</v>
          </cell>
          <cell r="BB1327">
            <v>8</v>
          </cell>
          <cell r="BC1327">
            <v>6</v>
          </cell>
          <cell r="BD1327">
            <v>3</v>
          </cell>
          <cell r="BE1327">
            <v>12</v>
          </cell>
          <cell r="BF1327">
            <v>0</v>
          </cell>
          <cell r="BG1327">
            <v>0</v>
          </cell>
          <cell r="BH1327">
            <v>8</v>
          </cell>
          <cell r="BI1327">
            <v>6</v>
          </cell>
          <cell r="BJ1327">
            <v>3</v>
          </cell>
          <cell r="BK1327">
            <v>12</v>
          </cell>
          <cell r="BL1327">
            <v>0</v>
          </cell>
          <cell r="BM1327" t="str">
            <v/>
          </cell>
          <cell r="BN1327">
            <v>29</v>
          </cell>
          <cell r="BO1327">
            <v>0</v>
          </cell>
          <cell r="BP1327">
            <v>8</v>
          </cell>
          <cell r="BQ1327">
            <v>6</v>
          </cell>
          <cell r="BR1327">
            <v>3</v>
          </cell>
          <cell r="BS1327">
            <v>12</v>
          </cell>
          <cell r="BT1327">
            <v>0</v>
          </cell>
          <cell r="BU1327" t="str">
            <v/>
          </cell>
          <cell r="BV1327">
            <v>29</v>
          </cell>
          <cell r="BW1327">
            <v>2</v>
          </cell>
          <cell r="BX1327" t="str">
            <v>TIDAK</v>
          </cell>
          <cell r="BY1327" t="str">
            <v>TIDAK</v>
          </cell>
        </row>
        <row r="1328">
          <cell r="A1328" t="str">
            <v>A4187</v>
          </cell>
          <cell r="B1328" t="str">
            <v>PRISCILLA HILARY KUSUMANINGRUM</v>
          </cell>
          <cell r="C1328" t="str">
            <v>TEMA C3</v>
          </cell>
          <cell r="D1328">
            <v>45496</v>
          </cell>
          <cell r="E1328" t="str">
            <v>Jul-24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 t="str">
            <v>-</v>
          </cell>
          <cell r="AQ1328" t="str">
            <v>-</v>
          </cell>
          <cell r="AR1328" t="str">
            <v>REGULER</v>
          </cell>
          <cell r="AS1328" t="str">
            <v>-</v>
          </cell>
          <cell r="AT1328" t="str">
            <v>-</v>
          </cell>
          <cell r="AU1328" t="str">
            <v>-</v>
          </cell>
          <cell r="AV1328" t="str">
            <v/>
          </cell>
          <cell r="AW1328">
            <v>2</v>
          </cell>
          <cell r="AX1328">
            <v>1</v>
          </cell>
          <cell r="AY1328">
            <v>0</v>
          </cell>
          <cell r="AZ1328">
            <v>0</v>
          </cell>
          <cell r="BA1328">
            <v>0</v>
          </cell>
          <cell r="BB1328">
            <v>2</v>
          </cell>
          <cell r="BC1328">
            <v>1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2</v>
          </cell>
          <cell r="BI1328">
            <v>1</v>
          </cell>
          <cell r="BJ1328">
            <v>0</v>
          </cell>
          <cell r="BK1328">
            <v>0</v>
          </cell>
          <cell r="BL1328">
            <v>0</v>
          </cell>
          <cell r="BM1328" t="str">
            <v/>
          </cell>
          <cell r="BN1328">
            <v>3</v>
          </cell>
          <cell r="BO1328">
            <v>0</v>
          </cell>
          <cell r="BP1328">
            <v>2</v>
          </cell>
          <cell r="BQ1328">
            <v>1</v>
          </cell>
          <cell r="BR1328">
            <v>0</v>
          </cell>
          <cell r="BS1328">
            <v>0</v>
          </cell>
          <cell r="BT1328">
            <v>0</v>
          </cell>
          <cell r="BU1328" t="str">
            <v/>
          </cell>
          <cell r="BV1328">
            <v>3</v>
          </cell>
          <cell r="BW1328">
            <v>4</v>
          </cell>
          <cell r="BX1328" t="str">
            <v>DOWNGRADE</v>
          </cell>
          <cell r="BY1328" t="str">
            <v>RESET</v>
          </cell>
        </row>
        <row r="1329">
          <cell r="A1329" t="str">
            <v>A4183</v>
          </cell>
          <cell r="B1329" t="str">
            <v>INDAH SUMIYARSIH</v>
          </cell>
          <cell r="C1329" t="str">
            <v>TEMA C3</v>
          </cell>
          <cell r="D1329">
            <v>45497</v>
          </cell>
          <cell r="E1329" t="str">
            <v>Jul-24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 t="str">
            <v>-</v>
          </cell>
          <cell r="AQ1329" t="str">
            <v>-</v>
          </cell>
          <cell r="AR1329" t="str">
            <v>REGULER</v>
          </cell>
          <cell r="AS1329" t="str">
            <v>-</v>
          </cell>
          <cell r="AT1329" t="str">
            <v>-</v>
          </cell>
          <cell r="AU1329" t="str">
            <v>-</v>
          </cell>
          <cell r="AV1329" t="str">
            <v/>
          </cell>
          <cell r="AW1329">
            <v>4</v>
          </cell>
          <cell r="AX1329">
            <v>3</v>
          </cell>
          <cell r="AY1329">
            <v>0</v>
          </cell>
          <cell r="AZ1329">
            <v>0</v>
          </cell>
          <cell r="BA1329">
            <v>0</v>
          </cell>
          <cell r="BB1329">
            <v>4</v>
          </cell>
          <cell r="BC1329">
            <v>3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4</v>
          </cell>
          <cell r="BI1329">
            <v>3</v>
          </cell>
          <cell r="BJ1329">
            <v>0</v>
          </cell>
          <cell r="BK1329">
            <v>0</v>
          </cell>
          <cell r="BL1329">
            <v>0</v>
          </cell>
          <cell r="BM1329" t="str">
            <v/>
          </cell>
          <cell r="BN1329">
            <v>7</v>
          </cell>
          <cell r="BO1329">
            <v>0</v>
          </cell>
          <cell r="BP1329">
            <v>4</v>
          </cell>
          <cell r="BQ1329">
            <v>3</v>
          </cell>
          <cell r="BR1329">
            <v>0</v>
          </cell>
          <cell r="BS1329">
            <v>0</v>
          </cell>
          <cell r="BT1329">
            <v>0</v>
          </cell>
          <cell r="BU1329" t="str">
            <v/>
          </cell>
          <cell r="BV1329">
            <v>7</v>
          </cell>
          <cell r="BW1329">
            <v>4</v>
          </cell>
          <cell r="BX1329" t="str">
            <v>DOWNGRADE</v>
          </cell>
          <cell r="BY1329" t="str">
            <v>RESET</v>
          </cell>
        </row>
        <row r="1330">
          <cell r="A1330" t="str">
            <v>A4185</v>
          </cell>
          <cell r="B1330" t="str">
            <v>NOVIENDA VALENCIA</v>
          </cell>
          <cell r="C1330" t="str">
            <v>TEMA C3</v>
          </cell>
          <cell r="D1330">
            <v>45492</v>
          </cell>
          <cell r="E1330" t="str">
            <v>Jul-24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 t="str">
            <v>-</v>
          </cell>
          <cell r="AQ1330" t="str">
            <v>-</v>
          </cell>
          <cell r="AR1330" t="str">
            <v>-</v>
          </cell>
          <cell r="AS1330" t="str">
            <v>-</v>
          </cell>
          <cell r="AT1330" t="str">
            <v>-</v>
          </cell>
          <cell r="AU1330" t="str">
            <v>-</v>
          </cell>
          <cell r="AV1330" t="str">
            <v/>
          </cell>
          <cell r="AW1330">
            <v>11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11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11</v>
          </cell>
          <cell r="BI1330">
            <v>0</v>
          </cell>
          <cell r="BJ1330">
            <v>0</v>
          </cell>
          <cell r="BK1330">
            <v>0</v>
          </cell>
          <cell r="BL1330">
            <v>0</v>
          </cell>
          <cell r="BM1330" t="str">
            <v/>
          </cell>
          <cell r="BN1330">
            <v>11</v>
          </cell>
          <cell r="BO1330">
            <v>0</v>
          </cell>
          <cell r="BP1330">
            <v>11</v>
          </cell>
          <cell r="BQ1330">
            <v>0</v>
          </cell>
          <cell r="BR1330">
            <v>0</v>
          </cell>
          <cell r="BS1330">
            <v>0</v>
          </cell>
          <cell r="BT1330">
            <v>0</v>
          </cell>
          <cell r="BU1330" t="str">
            <v/>
          </cell>
          <cell r="BV1330">
            <v>11</v>
          </cell>
          <cell r="BW1330">
            <v>5</v>
          </cell>
          <cell r="BX1330" t="str">
            <v>DOWNGRADE</v>
          </cell>
          <cell r="BY1330" t="str">
            <v>RESET</v>
          </cell>
        </row>
        <row r="1331">
          <cell r="A1331" t="str">
            <v>A4219</v>
          </cell>
          <cell r="B1331" t="str">
            <v>GILANG RIDHO PRABOWO</v>
          </cell>
          <cell r="C1331" t="str">
            <v>TEMA C3</v>
          </cell>
          <cell r="D1331">
            <v>45537</v>
          </cell>
          <cell r="E1331" t="str">
            <v>Sep-24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 t="str">
            <v>-</v>
          </cell>
          <cell r="AQ1331" t="str">
            <v>-</v>
          </cell>
          <cell r="AR1331" t="str">
            <v>-</v>
          </cell>
          <cell r="AS1331" t="str">
            <v>REGULER</v>
          </cell>
          <cell r="AT1331" t="str">
            <v>REGULER</v>
          </cell>
          <cell r="AU1331" t="str">
            <v>-</v>
          </cell>
          <cell r="AV1331" t="str">
            <v/>
          </cell>
          <cell r="AW1331">
            <v>0</v>
          </cell>
          <cell r="AX1331">
            <v>0</v>
          </cell>
          <cell r="AY1331">
            <v>20</v>
          </cell>
          <cell r="AZ1331">
            <v>2</v>
          </cell>
          <cell r="BA1331">
            <v>0</v>
          </cell>
          <cell r="BB1331">
            <v>0</v>
          </cell>
          <cell r="BC1331">
            <v>0</v>
          </cell>
          <cell r="BD1331">
            <v>20</v>
          </cell>
          <cell r="BE1331">
            <v>2</v>
          </cell>
          <cell r="BF1331">
            <v>0</v>
          </cell>
          <cell r="BG1331" t="str">
            <v/>
          </cell>
          <cell r="BH1331">
            <v>0</v>
          </cell>
          <cell r="BI1331">
            <v>0</v>
          </cell>
          <cell r="BJ1331">
            <v>20</v>
          </cell>
          <cell r="BK1331">
            <v>2</v>
          </cell>
          <cell r="BL1331">
            <v>0</v>
          </cell>
          <cell r="BM1331" t="str">
            <v/>
          </cell>
          <cell r="BN1331">
            <v>22</v>
          </cell>
          <cell r="BO1331" t="str">
            <v/>
          </cell>
          <cell r="BP1331">
            <v>0</v>
          </cell>
          <cell r="BQ1331">
            <v>0</v>
          </cell>
          <cell r="BR1331">
            <v>20</v>
          </cell>
          <cell r="BS1331">
            <v>2</v>
          </cell>
          <cell r="BT1331">
            <v>0</v>
          </cell>
          <cell r="BU1331" t="str">
            <v/>
          </cell>
          <cell r="BV1331">
            <v>22</v>
          </cell>
          <cell r="BW1331">
            <v>2</v>
          </cell>
          <cell r="BX1331" t="str">
            <v>TIDAK</v>
          </cell>
          <cell r="BY1331" t="str">
            <v>TIDAK</v>
          </cell>
        </row>
        <row r="1332">
          <cell r="A1332" t="str">
            <v>A4220</v>
          </cell>
          <cell r="B1332" t="str">
            <v>IZA UMI NUR HIKMAH</v>
          </cell>
          <cell r="C1332" t="str">
            <v>TEMA C3</v>
          </cell>
          <cell r="D1332">
            <v>45539</v>
          </cell>
          <cell r="E1332" t="str">
            <v>Sep-24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 t="str">
            <v>-</v>
          </cell>
          <cell r="AQ1332" t="str">
            <v>-</v>
          </cell>
          <cell r="AR1332" t="str">
            <v>-</v>
          </cell>
          <cell r="AS1332" t="str">
            <v>REGULER</v>
          </cell>
          <cell r="AT1332" t="str">
            <v>-</v>
          </cell>
          <cell r="AU1332" t="str">
            <v>-</v>
          </cell>
          <cell r="AV1332" t="str">
            <v/>
          </cell>
          <cell r="AW1332">
            <v>0</v>
          </cell>
          <cell r="AX1332">
            <v>0</v>
          </cell>
          <cell r="AY1332">
            <v>26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26</v>
          </cell>
          <cell r="BE1332">
            <v>0</v>
          </cell>
          <cell r="BF1332">
            <v>0</v>
          </cell>
          <cell r="BG1332" t="str">
            <v/>
          </cell>
          <cell r="BH1332">
            <v>0</v>
          </cell>
          <cell r="BI1332">
            <v>0</v>
          </cell>
          <cell r="BJ1332">
            <v>26</v>
          </cell>
          <cell r="BK1332">
            <v>0</v>
          </cell>
          <cell r="BL1332">
            <v>0</v>
          </cell>
          <cell r="BM1332" t="str">
            <v/>
          </cell>
          <cell r="BN1332">
            <v>26</v>
          </cell>
          <cell r="BO1332" t="str">
            <v/>
          </cell>
          <cell r="BP1332">
            <v>0</v>
          </cell>
          <cell r="BQ1332">
            <v>0</v>
          </cell>
          <cell r="BR1332">
            <v>26</v>
          </cell>
          <cell r="BS1332">
            <v>0</v>
          </cell>
          <cell r="BT1332">
            <v>0</v>
          </cell>
          <cell r="BU1332" t="str">
            <v/>
          </cell>
          <cell r="BV1332">
            <v>26</v>
          </cell>
          <cell r="BW1332">
            <v>3</v>
          </cell>
          <cell r="BX1332" t="str">
            <v>DOWNGRADE</v>
          </cell>
          <cell r="BY1332" t="str">
            <v>RESET</v>
          </cell>
        </row>
        <row r="1333">
          <cell r="A1333" t="str">
            <v>A4345</v>
          </cell>
          <cell r="B1333" t="str">
            <v>HEIDY ADELINE</v>
          </cell>
          <cell r="C1333" t="str">
            <v>TEMA C3</v>
          </cell>
          <cell r="D1333">
            <v>45572</v>
          </cell>
          <cell r="E1333" t="str">
            <v>Oct-24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 t="str">
            <v>-</v>
          </cell>
          <cell r="AQ1333" t="str">
            <v>-</v>
          </cell>
          <cell r="AR1333" t="str">
            <v>-</v>
          </cell>
          <cell r="AS1333" t="str">
            <v>-</v>
          </cell>
          <cell r="AT1333" t="str">
            <v>REGULER</v>
          </cell>
          <cell r="AU1333" t="str">
            <v>REGULER</v>
          </cell>
          <cell r="AV1333" t="str">
            <v/>
          </cell>
          <cell r="AW1333">
            <v>0</v>
          </cell>
          <cell r="AX1333">
            <v>0</v>
          </cell>
          <cell r="AY1333">
            <v>0</v>
          </cell>
          <cell r="AZ1333">
            <v>35</v>
          </cell>
          <cell r="BA1333">
            <v>34</v>
          </cell>
          <cell r="BB1333">
            <v>0</v>
          </cell>
          <cell r="BC1333">
            <v>0</v>
          </cell>
          <cell r="BD1333">
            <v>0</v>
          </cell>
          <cell r="BE1333">
            <v>35</v>
          </cell>
          <cell r="BF1333">
            <v>34</v>
          </cell>
          <cell r="BG1333" t="str">
            <v/>
          </cell>
          <cell r="BH1333">
            <v>0</v>
          </cell>
          <cell r="BI1333">
            <v>0</v>
          </cell>
          <cell r="BJ1333">
            <v>0</v>
          </cell>
          <cell r="BK1333">
            <v>35</v>
          </cell>
          <cell r="BL1333">
            <v>34</v>
          </cell>
          <cell r="BM1333">
            <v>18</v>
          </cell>
          <cell r="BN1333">
            <v>87</v>
          </cell>
          <cell r="BO1333" t="str">
            <v/>
          </cell>
          <cell r="BP1333">
            <v>0</v>
          </cell>
          <cell r="BQ1333">
            <v>0</v>
          </cell>
          <cell r="BR1333">
            <v>0</v>
          </cell>
          <cell r="BS1333">
            <v>35</v>
          </cell>
          <cell r="BT1333">
            <v>34</v>
          </cell>
          <cell r="BU1333">
            <v>18</v>
          </cell>
          <cell r="BV1333">
            <v>87</v>
          </cell>
          <cell r="BW1333">
            <v>0</v>
          </cell>
          <cell r="BX1333" t="str">
            <v>TIDAK</v>
          </cell>
          <cell r="BY1333" t="str">
            <v>TIDAK</v>
          </cell>
        </row>
        <row r="1334">
          <cell r="A1334" t="str">
            <v>A4377</v>
          </cell>
          <cell r="B1334" t="str">
            <v>ANNISA SAFITRI</v>
          </cell>
          <cell r="C1334" t="str">
            <v>TEMA C3</v>
          </cell>
          <cell r="D1334">
            <v>45577</v>
          </cell>
          <cell r="E1334" t="str">
            <v>Oct-24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 t="str">
            <v>-</v>
          </cell>
          <cell r="AQ1334" t="str">
            <v>-</v>
          </cell>
          <cell r="AR1334" t="str">
            <v>-</v>
          </cell>
          <cell r="AS1334" t="str">
            <v>-</v>
          </cell>
          <cell r="AT1334" t="str">
            <v>REGULER</v>
          </cell>
          <cell r="AU1334" t="str">
            <v>REGULER</v>
          </cell>
          <cell r="AV1334" t="str">
            <v/>
          </cell>
          <cell r="AW1334">
            <v>0</v>
          </cell>
          <cell r="AX1334">
            <v>0</v>
          </cell>
          <cell r="AY1334">
            <v>0</v>
          </cell>
          <cell r="AZ1334">
            <v>17</v>
          </cell>
          <cell r="BA1334">
            <v>9</v>
          </cell>
          <cell r="BB1334">
            <v>0</v>
          </cell>
          <cell r="BC1334">
            <v>0</v>
          </cell>
          <cell r="BD1334">
            <v>0</v>
          </cell>
          <cell r="BE1334">
            <v>17</v>
          </cell>
          <cell r="BF1334">
            <v>9</v>
          </cell>
          <cell r="BG1334" t="str">
            <v/>
          </cell>
          <cell r="BH1334">
            <v>0</v>
          </cell>
          <cell r="BI1334">
            <v>0</v>
          </cell>
          <cell r="BJ1334">
            <v>0</v>
          </cell>
          <cell r="BK1334">
            <v>17</v>
          </cell>
          <cell r="BL1334">
            <v>9</v>
          </cell>
          <cell r="BM1334">
            <v>11</v>
          </cell>
          <cell r="BN1334">
            <v>37</v>
          </cell>
          <cell r="BO1334" t="str">
            <v/>
          </cell>
          <cell r="BP1334">
            <v>0</v>
          </cell>
          <cell r="BQ1334">
            <v>0</v>
          </cell>
          <cell r="BR1334">
            <v>0</v>
          </cell>
          <cell r="BS1334">
            <v>17</v>
          </cell>
          <cell r="BT1334">
            <v>9</v>
          </cell>
          <cell r="BU1334">
            <v>11</v>
          </cell>
          <cell r="BV1334">
            <v>37</v>
          </cell>
          <cell r="BW1334">
            <v>0</v>
          </cell>
          <cell r="BX1334" t="str">
            <v>TIDAK</v>
          </cell>
          <cell r="BY1334" t="str">
            <v>TIDAK</v>
          </cell>
        </row>
        <row r="1335">
          <cell r="A1335" t="str">
            <v>A4378</v>
          </cell>
          <cell r="B1335" t="str">
            <v>REZA MUHAMMAD NASHIR</v>
          </cell>
          <cell r="C1335" t="str">
            <v>TEMA C3</v>
          </cell>
          <cell r="D1335">
            <v>45577</v>
          </cell>
          <cell r="E1335" t="str">
            <v>Oct-24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 t="str">
            <v>-</v>
          </cell>
          <cell r="AQ1335" t="str">
            <v>-</v>
          </cell>
          <cell r="AR1335" t="str">
            <v>-</v>
          </cell>
          <cell r="AS1335" t="str">
            <v>-</v>
          </cell>
          <cell r="AT1335" t="str">
            <v>REGULER</v>
          </cell>
          <cell r="AU1335" t="str">
            <v>-</v>
          </cell>
          <cell r="AV1335" t="str">
            <v/>
          </cell>
          <cell r="AW1335">
            <v>0</v>
          </cell>
          <cell r="AX1335">
            <v>0</v>
          </cell>
          <cell r="AY1335">
            <v>0</v>
          </cell>
          <cell r="AZ1335">
            <v>18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18</v>
          </cell>
          <cell r="BF1335">
            <v>0</v>
          </cell>
          <cell r="BG1335" t="str">
            <v/>
          </cell>
          <cell r="BH1335">
            <v>0</v>
          </cell>
          <cell r="BI1335">
            <v>0</v>
          </cell>
          <cell r="BJ1335">
            <v>0</v>
          </cell>
          <cell r="BK1335">
            <v>18</v>
          </cell>
          <cell r="BL1335">
            <v>0</v>
          </cell>
          <cell r="BM1335" t="str">
            <v/>
          </cell>
          <cell r="BN1335">
            <v>18</v>
          </cell>
          <cell r="BO1335" t="str">
            <v/>
          </cell>
          <cell r="BP1335">
            <v>0</v>
          </cell>
          <cell r="BQ1335">
            <v>0</v>
          </cell>
          <cell r="BR1335">
            <v>0</v>
          </cell>
          <cell r="BS1335">
            <v>18</v>
          </cell>
          <cell r="BT1335">
            <v>0</v>
          </cell>
          <cell r="BU1335" t="str">
            <v/>
          </cell>
          <cell r="BV1335">
            <v>18</v>
          </cell>
          <cell r="BW1335">
            <v>2</v>
          </cell>
          <cell r="BX1335" t="str">
            <v>TIDAK</v>
          </cell>
          <cell r="BY1335" t="str">
            <v>TIDAK</v>
          </cell>
        </row>
        <row r="1336">
          <cell r="A1336" t="str">
            <v>A4394</v>
          </cell>
          <cell r="B1336" t="str">
            <v>AYU ANA WIDIASTUTIK</v>
          </cell>
          <cell r="C1336" t="str">
            <v>TEMA C3</v>
          </cell>
          <cell r="D1336">
            <v>45584</v>
          </cell>
          <cell r="E1336" t="str">
            <v>Oct-24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 t="str">
            <v>-</v>
          </cell>
          <cell r="AQ1336" t="str">
            <v>-</v>
          </cell>
          <cell r="AR1336" t="str">
            <v>-</v>
          </cell>
          <cell r="AS1336" t="str">
            <v>-</v>
          </cell>
          <cell r="AT1336" t="str">
            <v>REGULER</v>
          </cell>
          <cell r="AU1336" t="str">
            <v>REGULER</v>
          </cell>
          <cell r="AV1336" t="str">
            <v/>
          </cell>
          <cell r="AW1336">
            <v>0</v>
          </cell>
          <cell r="AX1336">
            <v>0</v>
          </cell>
          <cell r="AY1336">
            <v>0</v>
          </cell>
          <cell r="AZ1336">
            <v>16</v>
          </cell>
          <cell r="BA1336">
            <v>23</v>
          </cell>
          <cell r="BB1336">
            <v>0</v>
          </cell>
          <cell r="BC1336">
            <v>0</v>
          </cell>
          <cell r="BD1336">
            <v>0</v>
          </cell>
          <cell r="BE1336">
            <v>16</v>
          </cell>
          <cell r="BF1336">
            <v>23</v>
          </cell>
          <cell r="BG1336" t="str">
            <v/>
          </cell>
          <cell r="BH1336">
            <v>0</v>
          </cell>
          <cell r="BI1336">
            <v>0</v>
          </cell>
          <cell r="BJ1336">
            <v>0</v>
          </cell>
          <cell r="BK1336">
            <v>16</v>
          </cell>
          <cell r="BL1336">
            <v>23</v>
          </cell>
          <cell r="BM1336">
            <v>16</v>
          </cell>
          <cell r="BN1336">
            <v>55</v>
          </cell>
          <cell r="BO1336" t="str">
            <v/>
          </cell>
          <cell r="BP1336">
            <v>0</v>
          </cell>
          <cell r="BQ1336">
            <v>0</v>
          </cell>
          <cell r="BR1336">
            <v>0</v>
          </cell>
          <cell r="BS1336">
            <v>16</v>
          </cell>
          <cell r="BT1336">
            <v>23</v>
          </cell>
          <cell r="BU1336">
            <v>16</v>
          </cell>
          <cell r="BV1336">
            <v>55</v>
          </cell>
          <cell r="BW1336">
            <v>0</v>
          </cell>
          <cell r="BX1336" t="str">
            <v>TIDAK</v>
          </cell>
          <cell r="BY1336" t="str">
            <v>TIDAK</v>
          </cell>
        </row>
        <row r="1337">
          <cell r="A1337" t="str">
            <v>A4390</v>
          </cell>
          <cell r="B1337" t="str">
            <v>MEITA NILAM SENTIKA</v>
          </cell>
          <cell r="C1337" t="str">
            <v>TEMA C3</v>
          </cell>
          <cell r="D1337">
            <v>45589</v>
          </cell>
          <cell r="E1337" t="str">
            <v>Oct-24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 t="str">
            <v>-</v>
          </cell>
          <cell r="AQ1337" t="str">
            <v>-</v>
          </cell>
          <cell r="AR1337" t="str">
            <v>-</v>
          </cell>
          <cell r="AS1337" t="str">
            <v>-</v>
          </cell>
          <cell r="AT1337" t="str">
            <v>REGULER</v>
          </cell>
          <cell r="AU1337" t="str">
            <v>REGULER</v>
          </cell>
          <cell r="AV1337" t="str">
            <v/>
          </cell>
          <cell r="AW1337">
            <v>0</v>
          </cell>
          <cell r="AX1337">
            <v>0</v>
          </cell>
          <cell r="AY1337">
            <v>0</v>
          </cell>
          <cell r="AZ1337">
            <v>3</v>
          </cell>
          <cell r="BA1337">
            <v>23</v>
          </cell>
          <cell r="BB1337">
            <v>0</v>
          </cell>
          <cell r="BC1337">
            <v>0</v>
          </cell>
          <cell r="BD1337">
            <v>0</v>
          </cell>
          <cell r="BE1337">
            <v>3</v>
          </cell>
          <cell r="BF1337">
            <v>23</v>
          </cell>
          <cell r="BG1337" t="str">
            <v/>
          </cell>
          <cell r="BH1337">
            <v>0</v>
          </cell>
          <cell r="BI1337">
            <v>0</v>
          </cell>
          <cell r="BJ1337">
            <v>0</v>
          </cell>
          <cell r="BK1337">
            <v>3</v>
          </cell>
          <cell r="BL1337">
            <v>23</v>
          </cell>
          <cell r="BM1337" t="str">
            <v/>
          </cell>
          <cell r="BN1337">
            <v>26</v>
          </cell>
          <cell r="BO1337" t="str">
            <v/>
          </cell>
          <cell r="BP1337">
            <v>0</v>
          </cell>
          <cell r="BQ1337">
            <v>0</v>
          </cell>
          <cell r="BR1337">
            <v>0</v>
          </cell>
          <cell r="BS1337">
            <v>3</v>
          </cell>
          <cell r="BT1337">
            <v>23</v>
          </cell>
          <cell r="BU1337" t="str">
            <v/>
          </cell>
          <cell r="BV1337">
            <v>26</v>
          </cell>
          <cell r="BW1337">
            <v>1</v>
          </cell>
          <cell r="BX1337" t="str">
            <v>TIDAK</v>
          </cell>
          <cell r="BY1337" t="str">
            <v>TIDAK</v>
          </cell>
        </row>
        <row r="1338">
          <cell r="A1338" t="str">
            <v>A4391</v>
          </cell>
          <cell r="B1338" t="str">
            <v>LINTANG KINANTHI WIDI</v>
          </cell>
          <cell r="C1338" t="str">
            <v>TEMA C3</v>
          </cell>
          <cell r="D1338">
            <v>45590</v>
          </cell>
          <cell r="E1338" t="str">
            <v>Oct-24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 t="str">
            <v>-</v>
          </cell>
          <cell r="AQ1338" t="str">
            <v>-</v>
          </cell>
          <cell r="AR1338" t="str">
            <v>-</v>
          </cell>
          <cell r="AS1338" t="str">
            <v>-</v>
          </cell>
          <cell r="AT1338" t="str">
            <v>REGULER</v>
          </cell>
          <cell r="AU1338" t="str">
            <v>REGULER</v>
          </cell>
          <cell r="AV1338" t="str">
            <v/>
          </cell>
          <cell r="AW1338">
            <v>0</v>
          </cell>
          <cell r="AX1338">
            <v>0</v>
          </cell>
          <cell r="AY1338">
            <v>0</v>
          </cell>
          <cell r="AZ1338">
            <v>5</v>
          </cell>
          <cell r="BA1338">
            <v>28</v>
          </cell>
          <cell r="BB1338">
            <v>0</v>
          </cell>
          <cell r="BC1338">
            <v>0</v>
          </cell>
          <cell r="BD1338">
            <v>0</v>
          </cell>
          <cell r="BE1338">
            <v>5</v>
          </cell>
          <cell r="BF1338">
            <v>28</v>
          </cell>
          <cell r="BG1338" t="str">
            <v/>
          </cell>
          <cell r="BH1338">
            <v>0</v>
          </cell>
          <cell r="BI1338">
            <v>0</v>
          </cell>
          <cell r="BJ1338">
            <v>0</v>
          </cell>
          <cell r="BK1338">
            <v>5</v>
          </cell>
          <cell r="BL1338">
            <v>28</v>
          </cell>
          <cell r="BM1338">
            <v>21</v>
          </cell>
          <cell r="BN1338">
            <v>54</v>
          </cell>
          <cell r="BO1338" t="str">
            <v/>
          </cell>
          <cell r="BP1338">
            <v>0</v>
          </cell>
          <cell r="BQ1338">
            <v>0</v>
          </cell>
          <cell r="BR1338">
            <v>0</v>
          </cell>
          <cell r="BS1338">
            <v>5</v>
          </cell>
          <cell r="BT1338">
            <v>28</v>
          </cell>
          <cell r="BU1338">
            <v>21</v>
          </cell>
          <cell r="BV1338">
            <v>54</v>
          </cell>
          <cell r="BW1338">
            <v>0</v>
          </cell>
          <cell r="BX1338" t="str">
            <v>TIDAK</v>
          </cell>
          <cell r="BY1338" t="str">
            <v>TIDAK</v>
          </cell>
        </row>
        <row r="1339">
          <cell r="A1339" t="str">
            <v>A4389</v>
          </cell>
          <cell r="B1339" t="str">
            <v>GRACIA LISTY PURNOMO</v>
          </cell>
          <cell r="C1339" t="str">
            <v>TEMA C3</v>
          </cell>
          <cell r="D1339">
            <v>45600</v>
          </cell>
          <cell r="E1339" t="str">
            <v>Nov-24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 t="str">
            <v>-</v>
          </cell>
          <cell r="AQ1339" t="str">
            <v>-</v>
          </cell>
          <cell r="AR1339" t="str">
            <v>-</v>
          </cell>
          <cell r="AS1339" t="str">
            <v>-</v>
          </cell>
          <cell r="AT1339" t="str">
            <v>-</v>
          </cell>
          <cell r="AU1339" t="str">
            <v>REGULER</v>
          </cell>
          <cell r="AV1339" t="str">
            <v/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2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2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  <cell r="BK1339">
            <v>0</v>
          </cell>
          <cell r="BL1339">
            <v>2</v>
          </cell>
          <cell r="BM1339" t="str">
            <v/>
          </cell>
          <cell r="BN1339">
            <v>2</v>
          </cell>
          <cell r="BO1339">
            <v>0</v>
          </cell>
          <cell r="BP1339">
            <v>0</v>
          </cell>
          <cell r="BQ1339">
            <v>0</v>
          </cell>
          <cell r="BR1339">
            <v>0</v>
          </cell>
          <cell r="BS1339">
            <v>0</v>
          </cell>
          <cell r="BT1339">
            <v>2</v>
          </cell>
          <cell r="BU1339" t="str">
            <v/>
          </cell>
          <cell r="BV1339">
            <v>2</v>
          </cell>
          <cell r="BW1339">
            <v>1</v>
          </cell>
          <cell r="BX1339" t="str">
            <v>TIDAK</v>
          </cell>
          <cell r="BY1339" t="str">
            <v>TIDAK</v>
          </cell>
        </row>
        <row r="1340">
          <cell r="A1340" t="str">
            <v>A4392</v>
          </cell>
          <cell r="B1340" t="str">
            <v>DWI AGUNG NUGROHO</v>
          </cell>
          <cell r="C1340" t="str">
            <v>TEMA C3</v>
          </cell>
          <cell r="D1340">
            <v>45598</v>
          </cell>
          <cell r="E1340" t="str">
            <v>Nov-24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 t="str">
            <v>-</v>
          </cell>
          <cell r="AQ1340" t="str">
            <v>-</v>
          </cell>
          <cell r="AR1340" t="str">
            <v>-</v>
          </cell>
          <cell r="AS1340" t="str">
            <v>-</v>
          </cell>
          <cell r="AT1340" t="str">
            <v>-</v>
          </cell>
          <cell r="AU1340" t="str">
            <v>REGULER</v>
          </cell>
          <cell r="AV1340" t="str">
            <v/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17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17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17</v>
          </cell>
          <cell r="BM1340">
            <v>7</v>
          </cell>
          <cell r="BN1340">
            <v>24</v>
          </cell>
          <cell r="BO1340">
            <v>0</v>
          </cell>
          <cell r="BP1340">
            <v>0</v>
          </cell>
          <cell r="BQ1340">
            <v>0</v>
          </cell>
          <cell r="BR1340">
            <v>0</v>
          </cell>
          <cell r="BS1340">
            <v>0</v>
          </cell>
          <cell r="BT1340">
            <v>17</v>
          </cell>
          <cell r="BU1340">
            <v>7</v>
          </cell>
          <cell r="BV1340">
            <v>24</v>
          </cell>
          <cell r="BW1340">
            <v>0</v>
          </cell>
          <cell r="BX1340" t="str">
            <v>TIDAK</v>
          </cell>
          <cell r="BY1340" t="str">
            <v>TIDAK</v>
          </cell>
        </row>
        <row r="1341">
          <cell r="A1341" t="str">
            <v>A4393</v>
          </cell>
          <cell r="B1341" t="str">
            <v>MARIA EVITA</v>
          </cell>
          <cell r="C1341" t="str">
            <v>TEMA C3</v>
          </cell>
          <cell r="D1341">
            <v>45600</v>
          </cell>
          <cell r="E1341" t="str">
            <v>Nov-24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 t="str">
            <v>-</v>
          </cell>
          <cell r="AQ1341" t="str">
            <v>-</v>
          </cell>
          <cell r="AR1341" t="str">
            <v>-</v>
          </cell>
          <cell r="AS1341" t="str">
            <v>-</v>
          </cell>
          <cell r="AT1341" t="str">
            <v>-</v>
          </cell>
          <cell r="AU1341" t="str">
            <v>REGULER</v>
          </cell>
          <cell r="AV1341" t="str">
            <v/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5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5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5</v>
          </cell>
          <cell r="BM1341">
            <v>21</v>
          </cell>
          <cell r="BN1341">
            <v>26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  <cell r="BT1341">
            <v>5</v>
          </cell>
          <cell r="BU1341">
            <v>21</v>
          </cell>
          <cell r="BV1341">
            <v>26</v>
          </cell>
          <cell r="BW1341">
            <v>0</v>
          </cell>
          <cell r="BX1341" t="str">
            <v>TIDAK</v>
          </cell>
          <cell r="BY1341" t="str">
            <v>TIDAK</v>
          </cell>
        </row>
        <row r="1342">
          <cell r="A1342" t="str">
            <v>A1261</v>
          </cell>
          <cell r="B1342" t="str">
            <v>A MISBAHUL ULUM</v>
          </cell>
          <cell r="C1342" t="str">
            <v>TEMA C3</v>
          </cell>
          <cell r="D1342">
            <v>45612</v>
          </cell>
          <cell r="E1342" t="str">
            <v>Nov-24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4</v>
          </cell>
          <cell r="BM1342">
            <v>14</v>
          </cell>
          <cell r="BN1342">
            <v>18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  <cell r="BT1342">
            <v>4</v>
          </cell>
          <cell r="BU1342">
            <v>14</v>
          </cell>
          <cell r="BV1342">
            <v>18</v>
          </cell>
          <cell r="BW1342">
            <v>0</v>
          </cell>
          <cell r="BX1342" t="str">
            <v>TIDAK</v>
          </cell>
          <cell r="BY1342" t="str">
            <v>TIDAK</v>
          </cell>
        </row>
        <row r="1343">
          <cell r="A1343" t="str">
            <v>A4637</v>
          </cell>
          <cell r="B1343" t="str">
            <v>MUHAMMAD SIDIQ BIMA PANGESTU</v>
          </cell>
          <cell r="C1343" t="str">
            <v>TEMA C3</v>
          </cell>
          <cell r="D1343" t="str">
            <v/>
          </cell>
          <cell r="E1343" t="str">
            <v/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  <cell r="BK1343">
            <v>0</v>
          </cell>
          <cell r="BL1343">
            <v>0</v>
          </cell>
          <cell r="BM1343">
            <v>0</v>
          </cell>
          <cell r="BN1343">
            <v>0</v>
          </cell>
          <cell r="BO1343">
            <v>0</v>
          </cell>
          <cell r="BP1343">
            <v>0</v>
          </cell>
          <cell r="BQ1343">
            <v>0</v>
          </cell>
          <cell r="BR1343">
            <v>0</v>
          </cell>
          <cell r="BS1343">
            <v>0</v>
          </cell>
          <cell r="BT1343">
            <v>0</v>
          </cell>
          <cell r="BU1343">
            <v>0</v>
          </cell>
          <cell r="BV1343">
            <v>0</v>
          </cell>
          <cell r="BW1343">
            <v>0</v>
          </cell>
          <cell r="BX1343">
            <v>0</v>
          </cell>
          <cell r="BY1343">
            <v>0</v>
          </cell>
        </row>
        <row r="1344">
          <cell r="A1344" t="str">
            <v>A4636</v>
          </cell>
          <cell r="B1344" t="str">
            <v>SULAIMAN NGABDULLOH</v>
          </cell>
          <cell r="C1344" t="str">
            <v>TEMA C3</v>
          </cell>
          <cell r="D1344" t="str">
            <v/>
          </cell>
          <cell r="E1344" t="str">
            <v/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  <cell r="BK1344">
            <v>0</v>
          </cell>
          <cell r="BL1344">
            <v>0</v>
          </cell>
          <cell r="BM1344">
            <v>0</v>
          </cell>
          <cell r="BN1344">
            <v>0</v>
          </cell>
          <cell r="BO1344">
            <v>0</v>
          </cell>
          <cell r="BP1344">
            <v>0</v>
          </cell>
          <cell r="BQ1344">
            <v>0</v>
          </cell>
          <cell r="BR1344">
            <v>0</v>
          </cell>
          <cell r="BS1344">
            <v>0</v>
          </cell>
          <cell r="BT1344">
            <v>0</v>
          </cell>
          <cell r="BU1344">
            <v>0</v>
          </cell>
          <cell r="BV1344">
            <v>0</v>
          </cell>
          <cell r="BW1344">
            <v>0</v>
          </cell>
          <cell r="BX1344">
            <v>0</v>
          </cell>
          <cell r="BY1344">
            <v>0</v>
          </cell>
        </row>
        <row r="1345">
          <cell r="A1345" t="str">
            <v>A3648</v>
          </cell>
          <cell r="B1345" t="str">
            <v>Adinda Vanessa</v>
          </cell>
          <cell r="C1345" t="str">
            <v>TEMA HAJI</v>
          </cell>
          <cell r="D1345">
            <v>45307</v>
          </cell>
          <cell r="E1345" t="str">
            <v>Jan-24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4</v>
          </cell>
          <cell r="O1345">
            <v>9</v>
          </cell>
          <cell r="P1345">
            <v>8</v>
          </cell>
          <cell r="Q1345">
            <v>11</v>
          </cell>
          <cell r="R1345">
            <v>0</v>
          </cell>
          <cell r="S1345">
            <v>3</v>
          </cell>
          <cell r="T1345">
            <v>35</v>
          </cell>
          <cell r="U1345">
            <v>0</v>
          </cell>
          <cell r="V1345">
            <v>4</v>
          </cell>
          <cell r="W1345">
            <v>9</v>
          </cell>
          <cell r="X1345">
            <v>8</v>
          </cell>
          <cell r="Y1345">
            <v>11</v>
          </cell>
          <cell r="Z1345">
            <v>0</v>
          </cell>
          <cell r="AA1345">
            <v>3</v>
          </cell>
          <cell r="AB1345">
            <v>35</v>
          </cell>
          <cell r="AC1345">
            <v>1</v>
          </cell>
          <cell r="AD1345" t="str">
            <v>TIDAK</v>
          </cell>
          <cell r="AE1345" t="str">
            <v>TIDAK</v>
          </cell>
          <cell r="AF1345">
            <v>35</v>
          </cell>
          <cell r="AG1345">
            <v>1</v>
          </cell>
          <cell r="AH1345" t="str">
            <v>SAPHIRE</v>
          </cell>
          <cell r="AI1345">
            <v>0</v>
          </cell>
          <cell r="AJ1345" t="str">
            <v>FALSE</v>
          </cell>
          <cell r="AK1345">
            <v>0</v>
          </cell>
          <cell r="AL1345">
            <v>45261</v>
          </cell>
          <cell r="AM1345">
            <v>45701</v>
          </cell>
          <cell r="AN1345">
            <v>1</v>
          </cell>
          <cell r="AO1345">
            <v>35</v>
          </cell>
          <cell r="AP1345" t="str">
            <v>-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 t="str">
            <v/>
          </cell>
          <cell r="AW1345">
            <v>6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6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11</v>
          </cell>
          <cell r="BH1345">
            <v>6</v>
          </cell>
          <cell r="BI1345">
            <v>0</v>
          </cell>
          <cell r="BJ1345">
            <v>0</v>
          </cell>
          <cell r="BK1345">
            <v>0</v>
          </cell>
          <cell r="BL1345">
            <v>0</v>
          </cell>
          <cell r="BM1345" t="str">
            <v/>
          </cell>
          <cell r="BN1345">
            <v>17</v>
          </cell>
          <cell r="BO1345">
            <v>11</v>
          </cell>
          <cell r="BP1345">
            <v>6</v>
          </cell>
          <cell r="BQ1345">
            <v>0</v>
          </cell>
          <cell r="BR1345">
            <v>0</v>
          </cell>
          <cell r="BS1345">
            <v>0</v>
          </cell>
          <cell r="BT1345">
            <v>0</v>
          </cell>
          <cell r="BU1345" t="str">
            <v/>
          </cell>
          <cell r="BV1345">
            <v>17</v>
          </cell>
          <cell r="BW1345">
            <v>5</v>
          </cell>
          <cell r="BX1345" t="str">
            <v>DOWNGRADE</v>
          </cell>
          <cell r="BY1345" t="str">
            <v>RESET</v>
          </cell>
        </row>
        <row r="1346">
          <cell r="A1346" t="str">
            <v>A4080</v>
          </cell>
          <cell r="B1346" t="str">
            <v>AHMAD MIFTAH KAMALUDDIN</v>
          </cell>
          <cell r="C1346" t="str">
            <v>TEMA HAJI</v>
          </cell>
          <cell r="D1346">
            <v>45451</v>
          </cell>
          <cell r="E1346" t="str">
            <v>Jun-24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1</v>
          </cell>
          <cell r="T1346">
            <v>1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1</v>
          </cell>
          <cell r="AB1346">
            <v>1</v>
          </cell>
          <cell r="AC1346">
            <v>0</v>
          </cell>
          <cell r="AD1346" t="str">
            <v>TIDAK</v>
          </cell>
          <cell r="AE1346" t="str">
            <v>TIDAK</v>
          </cell>
          <cell r="AF1346">
            <v>1</v>
          </cell>
          <cell r="AG1346">
            <v>1</v>
          </cell>
          <cell r="AH1346" t="str">
            <v>SAPHIRE</v>
          </cell>
          <cell r="AI1346">
            <v>0</v>
          </cell>
          <cell r="AJ1346" t="str">
            <v>FALSE</v>
          </cell>
          <cell r="AK1346">
            <v>0</v>
          </cell>
          <cell r="AL1346">
            <v>45261</v>
          </cell>
          <cell r="AM1346">
            <v>45701</v>
          </cell>
          <cell r="AN1346">
            <v>1</v>
          </cell>
          <cell r="AO1346">
            <v>1</v>
          </cell>
          <cell r="AP1346" t="str">
            <v>-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 t="str">
            <v/>
          </cell>
          <cell r="AW1346">
            <v>19</v>
          </cell>
          <cell r="AX1346">
            <v>37</v>
          </cell>
          <cell r="AY1346">
            <v>21</v>
          </cell>
          <cell r="AZ1346">
            <v>0</v>
          </cell>
          <cell r="BA1346">
            <v>2</v>
          </cell>
          <cell r="BB1346">
            <v>19</v>
          </cell>
          <cell r="BC1346">
            <v>37</v>
          </cell>
          <cell r="BD1346">
            <v>21</v>
          </cell>
          <cell r="BE1346">
            <v>0</v>
          </cell>
          <cell r="BF1346">
            <v>2</v>
          </cell>
          <cell r="BG1346">
            <v>8</v>
          </cell>
          <cell r="BH1346">
            <v>19</v>
          </cell>
          <cell r="BI1346">
            <v>37</v>
          </cell>
          <cell r="BJ1346">
            <v>21</v>
          </cell>
          <cell r="BK1346">
            <v>0</v>
          </cell>
          <cell r="BL1346">
            <v>2</v>
          </cell>
          <cell r="BM1346" t="str">
            <v/>
          </cell>
          <cell r="BN1346">
            <v>87</v>
          </cell>
          <cell r="BO1346">
            <v>8</v>
          </cell>
          <cell r="BP1346">
            <v>19</v>
          </cell>
          <cell r="BQ1346">
            <v>37</v>
          </cell>
          <cell r="BR1346">
            <v>21</v>
          </cell>
          <cell r="BS1346">
            <v>0</v>
          </cell>
          <cell r="BT1346">
            <v>2</v>
          </cell>
          <cell r="BU1346" t="str">
            <v/>
          </cell>
          <cell r="BV1346">
            <v>87</v>
          </cell>
          <cell r="BW1346">
            <v>2</v>
          </cell>
          <cell r="BX1346" t="str">
            <v>TIDAK</v>
          </cell>
          <cell r="BY1346" t="str">
            <v>TIDAK</v>
          </cell>
        </row>
        <row r="1347">
          <cell r="A1347" t="str">
            <v>A2012</v>
          </cell>
          <cell r="B1347" t="str">
            <v>AINI SHOFWATI</v>
          </cell>
          <cell r="C1347" t="str">
            <v>TEMA HAJI</v>
          </cell>
          <cell r="D1347">
            <v>45446</v>
          </cell>
          <cell r="E1347" t="str">
            <v>Jun-24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19</v>
          </cell>
          <cell r="T1347">
            <v>19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19</v>
          </cell>
          <cell r="AB1347">
            <v>19</v>
          </cell>
          <cell r="AC1347">
            <v>0</v>
          </cell>
          <cell r="AD1347" t="str">
            <v>TIDAK</v>
          </cell>
          <cell r="AE1347" t="str">
            <v>TIDAK</v>
          </cell>
          <cell r="AF1347">
            <v>19</v>
          </cell>
          <cell r="AG1347">
            <v>1</v>
          </cell>
          <cell r="AH1347" t="str">
            <v>SAPHIRE</v>
          </cell>
          <cell r="AI1347">
            <v>0</v>
          </cell>
          <cell r="AJ1347" t="str">
            <v>FALSE</v>
          </cell>
          <cell r="AK1347">
            <v>0</v>
          </cell>
          <cell r="AL1347">
            <v>45261</v>
          </cell>
          <cell r="AM1347">
            <v>45701</v>
          </cell>
          <cell r="AN1347">
            <v>1</v>
          </cell>
          <cell r="AO1347">
            <v>19</v>
          </cell>
          <cell r="AP1347" t="str">
            <v>-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 t="str">
            <v/>
          </cell>
          <cell r="AW1347">
            <v>38</v>
          </cell>
          <cell r="AX1347">
            <v>13</v>
          </cell>
          <cell r="AY1347">
            <v>0</v>
          </cell>
          <cell r="AZ1347">
            <v>0</v>
          </cell>
          <cell r="BA1347">
            <v>0</v>
          </cell>
          <cell r="BB1347">
            <v>38</v>
          </cell>
          <cell r="BC1347">
            <v>13</v>
          </cell>
          <cell r="BD1347">
            <v>0</v>
          </cell>
          <cell r="BE1347">
            <v>0</v>
          </cell>
          <cell r="BF1347">
            <v>0</v>
          </cell>
          <cell r="BG1347">
            <v>6</v>
          </cell>
          <cell r="BH1347">
            <v>38</v>
          </cell>
          <cell r="BI1347">
            <v>13</v>
          </cell>
          <cell r="BJ1347">
            <v>0</v>
          </cell>
          <cell r="BK1347">
            <v>0</v>
          </cell>
          <cell r="BL1347">
            <v>0</v>
          </cell>
          <cell r="BM1347" t="str">
            <v/>
          </cell>
          <cell r="BN1347">
            <v>57</v>
          </cell>
          <cell r="BO1347">
            <v>6</v>
          </cell>
          <cell r="BP1347">
            <v>38</v>
          </cell>
          <cell r="BQ1347">
            <v>13</v>
          </cell>
          <cell r="BR1347">
            <v>0</v>
          </cell>
          <cell r="BS1347">
            <v>0</v>
          </cell>
          <cell r="BT1347">
            <v>0</v>
          </cell>
          <cell r="BU1347" t="str">
            <v/>
          </cell>
          <cell r="BV1347">
            <v>57</v>
          </cell>
          <cell r="BW1347">
            <v>4</v>
          </cell>
          <cell r="BX1347" t="str">
            <v>DOWNGRADE</v>
          </cell>
          <cell r="BY1347" t="str">
            <v>RESET</v>
          </cell>
        </row>
        <row r="1348">
          <cell r="A1348" t="str">
            <v>A3627</v>
          </cell>
          <cell r="B1348" t="str">
            <v>Alif Hafiz</v>
          </cell>
          <cell r="C1348" t="str">
            <v>TEMA HAJI</v>
          </cell>
          <cell r="D1348">
            <v>45303</v>
          </cell>
          <cell r="E1348" t="str">
            <v>Jan-24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30</v>
          </cell>
          <cell r="O1348">
            <v>39</v>
          </cell>
          <cell r="P1348">
            <v>38</v>
          </cell>
          <cell r="Q1348">
            <v>8</v>
          </cell>
          <cell r="R1348">
            <v>0</v>
          </cell>
          <cell r="S1348" t="str">
            <v/>
          </cell>
          <cell r="T1348">
            <v>115</v>
          </cell>
          <cell r="U1348">
            <v>0</v>
          </cell>
          <cell r="V1348">
            <v>30</v>
          </cell>
          <cell r="W1348">
            <v>39</v>
          </cell>
          <cell r="X1348">
            <v>38</v>
          </cell>
          <cell r="Y1348">
            <v>8</v>
          </cell>
          <cell r="Z1348">
            <v>0</v>
          </cell>
          <cell r="AA1348" t="str">
            <v/>
          </cell>
          <cell r="AB1348">
            <v>115</v>
          </cell>
          <cell r="AC1348">
            <v>2</v>
          </cell>
          <cell r="AD1348" t="str">
            <v>TIDAK</v>
          </cell>
          <cell r="AE1348" t="str">
            <v>TIDAK</v>
          </cell>
          <cell r="AF1348">
            <v>115</v>
          </cell>
          <cell r="AG1348">
            <v>1</v>
          </cell>
          <cell r="AH1348" t="str">
            <v>SAPHIRE</v>
          </cell>
          <cell r="AI1348">
            <v>0</v>
          </cell>
          <cell r="AJ1348" t="str">
            <v>Y</v>
          </cell>
          <cell r="AK1348">
            <v>0</v>
          </cell>
          <cell r="AL1348">
            <v>45261</v>
          </cell>
          <cell r="AM1348">
            <v>45701</v>
          </cell>
          <cell r="AN1348">
            <v>1</v>
          </cell>
          <cell r="AO1348">
            <v>115</v>
          </cell>
          <cell r="AP1348" t="str">
            <v>-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 t="str">
            <v/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 t="str">
            <v/>
          </cell>
          <cell r="BH1348">
            <v>0</v>
          </cell>
          <cell r="BI1348">
            <v>0</v>
          </cell>
          <cell r="BJ1348">
            <v>0</v>
          </cell>
          <cell r="BK1348">
            <v>0</v>
          </cell>
          <cell r="BL1348">
            <v>0</v>
          </cell>
          <cell r="BM1348" t="str">
            <v/>
          </cell>
          <cell r="BN1348">
            <v>0</v>
          </cell>
          <cell r="BO1348" t="str">
            <v/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  <cell r="BT1348">
            <v>0</v>
          </cell>
          <cell r="BU1348" t="str">
            <v/>
          </cell>
          <cell r="BV1348">
            <v>0</v>
          </cell>
          <cell r="BW1348">
            <v>7</v>
          </cell>
          <cell r="BX1348" t="str">
            <v>DOWNGRADE</v>
          </cell>
          <cell r="BY1348" t="str">
            <v>RESET</v>
          </cell>
        </row>
        <row r="1349">
          <cell r="A1349" t="str">
            <v>A4014</v>
          </cell>
          <cell r="B1349" t="str">
            <v>AMBARWATI AMBARWATI</v>
          </cell>
          <cell r="C1349" t="str">
            <v>TEMA HAJI</v>
          </cell>
          <cell r="D1349">
            <v>45414</v>
          </cell>
          <cell r="E1349" t="str">
            <v>May-24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11</v>
          </cell>
          <cell r="S1349">
            <v>9</v>
          </cell>
          <cell r="T1349">
            <v>20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11</v>
          </cell>
          <cell r="AA1349">
            <v>9</v>
          </cell>
          <cell r="AB1349">
            <v>20</v>
          </cell>
          <cell r="AC1349">
            <v>0</v>
          </cell>
          <cell r="AD1349" t="str">
            <v>TIDAK</v>
          </cell>
          <cell r="AE1349" t="str">
            <v>TIDAK</v>
          </cell>
          <cell r="AF1349">
            <v>20</v>
          </cell>
          <cell r="AG1349">
            <v>1</v>
          </cell>
          <cell r="AH1349" t="str">
            <v>SAPHIRE</v>
          </cell>
          <cell r="AI1349">
            <v>0</v>
          </cell>
          <cell r="AJ1349" t="str">
            <v>FALSE</v>
          </cell>
          <cell r="AK1349">
            <v>0</v>
          </cell>
          <cell r="AL1349">
            <v>45261</v>
          </cell>
          <cell r="AM1349">
            <v>45701</v>
          </cell>
          <cell r="AN1349">
            <v>1</v>
          </cell>
          <cell r="AO1349">
            <v>20</v>
          </cell>
          <cell r="AP1349" t="str">
            <v>-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 t="str">
            <v/>
          </cell>
          <cell r="AW1349">
            <v>8</v>
          </cell>
          <cell r="AX1349">
            <v>17</v>
          </cell>
          <cell r="AY1349">
            <v>4</v>
          </cell>
          <cell r="AZ1349">
            <v>0</v>
          </cell>
          <cell r="BA1349">
            <v>0</v>
          </cell>
          <cell r="BB1349">
            <v>8</v>
          </cell>
          <cell r="BC1349">
            <v>17</v>
          </cell>
          <cell r="BD1349">
            <v>4</v>
          </cell>
          <cell r="BE1349">
            <v>0</v>
          </cell>
          <cell r="BF1349">
            <v>0</v>
          </cell>
          <cell r="BG1349">
            <v>7</v>
          </cell>
          <cell r="BH1349">
            <v>8</v>
          </cell>
          <cell r="BI1349">
            <v>17</v>
          </cell>
          <cell r="BJ1349">
            <v>4</v>
          </cell>
          <cell r="BK1349">
            <v>0</v>
          </cell>
          <cell r="BL1349">
            <v>0</v>
          </cell>
          <cell r="BM1349" t="str">
            <v/>
          </cell>
          <cell r="BN1349">
            <v>36</v>
          </cell>
          <cell r="BO1349">
            <v>7</v>
          </cell>
          <cell r="BP1349">
            <v>8</v>
          </cell>
          <cell r="BQ1349">
            <v>17</v>
          </cell>
          <cell r="BR1349">
            <v>4</v>
          </cell>
          <cell r="BS1349">
            <v>0</v>
          </cell>
          <cell r="BT1349">
            <v>0</v>
          </cell>
          <cell r="BU1349" t="str">
            <v/>
          </cell>
          <cell r="BV1349">
            <v>36</v>
          </cell>
          <cell r="BW1349">
            <v>3</v>
          </cell>
          <cell r="BX1349" t="str">
            <v>DOWNGRADE</v>
          </cell>
          <cell r="BY1349" t="str">
            <v>RESET</v>
          </cell>
        </row>
        <row r="1350">
          <cell r="A1350" t="str">
            <v>A3651</v>
          </cell>
          <cell r="B1350" t="str">
            <v>Amelina Damayanti</v>
          </cell>
          <cell r="C1350" t="str">
            <v>TEMA HAJI</v>
          </cell>
          <cell r="D1350">
            <v>45304</v>
          </cell>
          <cell r="E1350" t="str">
            <v>Jan-24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18</v>
          </cell>
          <cell r="O1350">
            <v>27</v>
          </cell>
          <cell r="P1350">
            <v>32</v>
          </cell>
          <cell r="Q1350">
            <v>31</v>
          </cell>
          <cell r="R1350">
            <v>33</v>
          </cell>
          <cell r="S1350">
            <v>15</v>
          </cell>
          <cell r="T1350">
            <v>156</v>
          </cell>
          <cell r="U1350">
            <v>0</v>
          </cell>
          <cell r="V1350">
            <v>18</v>
          </cell>
          <cell r="W1350">
            <v>27</v>
          </cell>
          <cell r="X1350">
            <v>32</v>
          </cell>
          <cell r="Y1350">
            <v>31</v>
          </cell>
          <cell r="Z1350">
            <v>33</v>
          </cell>
          <cell r="AA1350">
            <v>15</v>
          </cell>
          <cell r="AB1350">
            <v>156</v>
          </cell>
          <cell r="AC1350">
            <v>0</v>
          </cell>
          <cell r="AD1350" t="str">
            <v>TIDAK</v>
          </cell>
          <cell r="AE1350" t="str">
            <v>TIDAK</v>
          </cell>
          <cell r="AF1350">
            <v>156</v>
          </cell>
          <cell r="AG1350">
            <v>1</v>
          </cell>
          <cell r="AH1350" t="str">
            <v>SAPHIRE</v>
          </cell>
          <cell r="AI1350">
            <v>0</v>
          </cell>
          <cell r="AJ1350" t="str">
            <v>Y</v>
          </cell>
          <cell r="AK1350">
            <v>0</v>
          </cell>
          <cell r="AL1350">
            <v>45261</v>
          </cell>
          <cell r="AM1350">
            <v>45701</v>
          </cell>
          <cell r="AN1350">
            <v>1</v>
          </cell>
          <cell r="AO1350">
            <v>156</v>
          </cell>
          <cell r="AP1350" t="str">
            <v>-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 t="str">
            <v/>
          </cell>
          <cell r="AW1350">
            <v>1</v>
          </cell>
          <cell r="AX1350">
            <v>1</v>
          </cell>
          <cell r="AY1350">
            <v>0</v>
          </cell>
          <cell r="AZ1350">
            <v>0</v>
          </cell>
          <cell r="BA1350">
            <v>0</v>
          </cell>
          <cell r="BB1350">
            <v>1</v>
          </cell>
          <cell r="BC1350">
            <v>1</v>
          </cell>
          <cell r="BD1350">
            <v>0</v>
          </cell>
          <cell r="BE1350">
            <v>0</v>
          </cell>
          <cell r="BF1350">
            <v>0</v>
          </cell>
          <cell r="BG1350">
            <v>12</v>
          </cell>
          <cell r="BH1350">
            <v>1</v>
          </cell>
          <cell r="BI1350">
            <v>1</v>
          </cell>
          <cell r="BJ1350">
            <v>0</v>
          </cell>
          <cell r="BK1350">
            <v>0</v>
          </cell>
          <cell r="BL1350">
            <v>0</v>
          </cell>
          <cell r="BM1350" t="str">
            <v/>
          </cell>
          <cell r="BN1350">
            <v>14</v>
          </cell>
          <cell r="BO1350">
            <v>12</v>
          </cell>
          <cell r="BP1350">
            <v>1</v>
          </cell>
          <cell r="BQ1350">
            <v>1</v>
          </cell>
          <cell r="BR1350">
            <v>0</v>
          </cell>
          <cell r="BS1350">
            <v>0</v>
          </cell>
          <cell r="BT1350">
            <v>0</v>
          </cell>
          <cell r="BU1350" t="str">
            <v/>
          </cell>
          <cell r="BV1350">
            <v>14</v>
          </cell>
          <cell r="BW1350">
            <v>4</v>
          </cell>
          <cell r="BX1350" t="str">
            <v>DOWNGRADE</v>
          </cell>
          <cell r="BY1350" t="str">
            <v>RESET</v>
          </cell>
        </row>
        <row r="1351">
          <cell r="A1351" t="str">
            <v>A3647</v>
          </cell>
          <cell r="B1351" t="str">
            <v>Areta Waney</v>
          </cell>
          <cell r="C1351" t="str">
            <v>TEMA HAJI</v>
          </cell>
          <cell r="D1351">
            <v>45304</v>
          </cell>
          <cell r="E1351" t="str">
            <v>Jan-24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19</v>
          </cell>
          <cell r="O1351">
            <v>6</v>
          </cell>
          <cell r="P1351">
            <v>0</v>
          </cell>
          <cell r="Q1351">
            <v>8</v>
          </cell>
          <cell r="R1351">
            <v>0</v>
          </cell>
          <cell r="S1351" t="str">
            <v/>
          </cell>
          <cell r="T1351">
            <v>33</v>
          </cell>
          <cell r="U1351">
            <v>0</v>
          </cell>
          <cell r="V1351">
            <v>19</v>
          </cell>
          <cell r="W1351">
            <v>6</v>
          </cell>
          <cell r="X1351">
            <v>0</v>
          </cell>
          <cell r="Y1351">
            <v>8</v>
          </cell>
          <cell r="Z1351">
            <v>0</v>
          </cell>
          <cell r="AA1351" t="str">
            <v/>
          </cell>
          <cell r="AB1351">
            <v>33</v>
          </cell>
          <cell r="AC1351">
            <v>3</v>
          </cell>
          <cell r="AD1351" t="str">
            <v>DOWNGRADE</v>
          </cell>
          <cell r="AE1351" t="str">
            <v>TIDAK</v>
          </cell>
          <cell r="AF1351">
            <v>16.5</v>
          </cell>
          <cell r="AG1351">
            <v>1</v>
          </cell>
          <cell r="AH1351" t="str">
            <v>SAPHIRE</v>
          </cell>
          <cell r="AI1351">
            <v>0</v>
          </cell>
          <cell r="AJ1351" t="str">
            <v>FALSE</v>
          </cell>
          <cell r="AK1351">
            <v>0</v>
          </cell>
          <cell r="AL1351">
            <v>45261</v>
          </cell>
          <cell r="AM1351">
            <v>45701</v>
          </cell>
          <cell r="AN1351">
            <v>1</v>
          </cell>
          <cell r="AO1351">
            <v>16.5</v>
          </cell>
          <cell r="AP1351" t="str">
            <v>-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 t="str">
            <v/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 t="str">
            <v/>
          </cell>
          <cell r="BH1351">
            <v>0</v>
          </cell>
          <cell r="BI1351">
            <v>0</v>
          </cell>
          <cell r="BJ1351">
            <v>0</v>
          </cell>
          <cell r="BK1351">
            <v>0</v>
          </cell>
          <cell r="BL1351">
            <v>0</v>
          </cell>
          <cell r="BM1351" t="str">
            <v/>
          </cell>
          <cell r="BN1351">
            <v>0</v>
          </cell>
          <cell r="BO1351" t="str">
            <v/>
          </cell>
          <cell r="BP1351">
            <v>0</v>
          </cell>
          <cell r="BQ1351">
            <v>0</v>
          </cell>
          <cell r="BR1351">
            <v>0</v>
          </cell>
          <cell r="BS1351">
            <v>0</v>
          </cell>
          <cell r="BT1351">
            <v>0</v>
          </cell>
          <cell r="BU1351" t="str">
            <v/>
          </cell>
          <cell r="BV1351">
            <v>0</v>
          </cell>
          <cell r="BW1351">
            <v>7</v>
          </cell>
          <cell r="BX1351" t="str">
            <v>DOWNGRADE</v>
          </cell>
          <cell r="BY1351" t="str">
            <v>RESET</v>
          </cell>
        </row>
        <row r="1352">
          <cell r="A1352" t="str">
            <v>A3701</v>
          </cell>
          <cell r="B1352" t="str">
            <v>Aurelia Trimaris Salakkau</v>
          </cell>
          <cell r="C1352" t="str">
            <v>TEMA HAJI</v>
          </cell>
          <cell r="D1352">
            <v>45318</v>
          </cell>
          <cell r="E1352" t="str">
            <v>Jan-24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1</v>
          </cell>
          <cell r="O1352">
            <v>33</v>
          </cell>
          <cell r="P1352">
            <v>35</v>
          </cell>
          <cell r="Q1352">
            <v>20</v>
          </cell>
          <cell r="R1352">
            <v>12</v>
          </cell>
          <cell r="S1352">
            <v>3</v>
          </cell>
          <cell r="T1352">
            <v>104</v>
          </cell>
          <cell r="U1352">
            <v>0</v>
          </cell>
          <cell r="V1352">
            <v>1</v>
          </cell>
          <cell r="W1352">
            <v>33</v>
          </cell>
          <cell r="X1352">
            <v>35</v>
          </cell>
          <cell r="Y1352">
            <v>20</v>
          </cell>
          <cell r="Z1352">
            <v>12</v>
          </cell>
          <cell r="AA1352">
            <v>3</v>
          </cell>
          <cell r="AB1352">
            <v>104</v>
          </cell>
          <cell r="AC1352">
            <v>0</v>
          </cell>
          <cell r="AD1352" t="str">
            <v>TIDAK</v>
          </cell>
          <cell r="AE1352" t="str">
            <v>TIDAK</v>
          </cell>
          <cell r="AF1352">
            <v>104</v>
          </cell>
          <cell r="AG1352">
            <v>1</v>
          </cell>
          <cell r="AH1352" t="str">
            <v>SAPHIRE</v>
          </cell>
          <cell r="AI1352">
            <v>0</v>
          </cell>
          <cell r="AJ1352" t="str">
            <v>Y</v>
          </cell>
          <cell r="AK1352">
            <v>0</v>
          </cell>
          <cell r="AL1352">
            <v>45261</v>
          </cell>
          <cell r="AM1352">
            <v>45701</v>
          </cell>
          <cell r="AN1352">
            <v>1</v>
          </cell>
          <cell r="AO1352">
            <v>104</v>
          </cell>
          <cell r="AP1352" t="str">
            <v>-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 t="str">
            <v/>
          </cell>
          <cell r="AW1352">
            <v>11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11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 t="str">
            <v/>
          </cell>
          <cell r="BH1352">
            <v>11</v>
          </cell>
          <cell r="BI1352">
            <v>0</v>
          </cell>
          <cell r="BJ1352">
            <v>0</v>
          </cell>
          <cell r="BK1352">
            <v>0</v>
          </cell>
          <cell r="BL1352">
            <v>0</v>
          </cell>
          <cell r="BM1352" t="str">
            <v/>
          </cell>
          <cell r="BN1352">
            <v>11</v>
          </cell>
          <cell r="BO1352" t="str">
            <v/>
          </cell>
          <cell r="BP1352">
            <v>11</v>
          </cell>
          <cell r="BQ1352">
            <v>0</v>
          </cell>
          <cell r="BR1352">
            <v>0</v>
          </cell>
          <cell r="BS1352">
            <v>0</v>
          </cell>
          <cell r="BT1352">
            <v>0</v>
          </cell>
          <cell r="BU1352" t="str">
            <v/>
          </cell>
          <cell r="BV1352">
            <v>11</v>
          </cell>
          <cell r="BW1352">
            <v>6</v>
          </cell>
          <cell r="BX1352" t="str">
            <v>DOWNGRADE</v>
          </cell>
          <cell r="BY1352" t="str">
            <v>RESET</v>
          </cell>
        </row>
        <row r="1353">
          <cell r="A1353" t="str">
            <v>A3628</v>
          </cell>
          <cell r="B1353" t="str">
            <v>Cynthia Olga Handoko</v>
          </cell>
          <cell r="C1353" t="str">
            <v>TEMA HAJI</v>
          </cell>
          <cell r="D1353">
            <v>45303</v>
          </cell>
          <cell r="E1353" t="str">
            <v>Jan-24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13</v>
          </cell>
          <cell r="O1353">
            <v>5</v>
          </cell>
          <cell r="P1353">
            <v>8</v>
          </cell>
          <cell r="Q1353">
            <v>14</v>
          </cell>
          <cell r="R1353">
            <v>0</v>
          </cell>
          <cell r="S1353" t="str">
            <v/>
          </cell>
          <cell r="T1353">
            <v>40</v>
          </cell>
          <cell r="U1353">
            <v>0</v>
          </cell>
          <cell r="V1353">
            <v>13</v>
          </cell>
          <cell r="W1353">
            <v>5</v>
          </cell>
          <cell r="X1353">
            <v>8</v>
          </cell>
          <cell r="Y1353">
            <v>14</v>
          </cell>
          <cell r="Z1353">
            <v>0</v>
          </cell>
          <cell r="AA1353" t="str">
            <v/>
          </cell>
          <cell r="AB1353">
            <v>40</v>
          </cell>
          <cell r="AC1353">
            <v>2</v>
          </cell>
          <cell r="AD1353" t="str">
            <v>TIDAK</v>
          </cell>
          <cell r="AE1353" t="str">
            <v>TIDAK</v>
          </cell>
          <cell r="AF1353">
            <v>40</v>
          </cell>
          <cell r="AG1353">
            <v>1</v>
          </cell>
          <cell r="AH1353" t="str">
            <v>SAPHIRE</v>
          </cell>
          <cell r="AI1353">
            <v>0</v>
          </cell>
          <cell r="AJ1353" t="str">
            <v>FALSE</v>
          </cell>
          <cell r="AK1353">
            <v>0</v>
          </cell>
          <cell r="AL1353">
            <v>45261</v>
          </cell>
          <cell r="AM1353">
            <v>45701</v>
          </cell>
          <cell r="AN1353">
            <v>1</v>
          </cell>
          <cell r="AO1353">
            <v>40</v>
          </cell>
          <cell r="AP1353" t="str">
            <v>-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 t="str">
            <v/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12</v>
          </cell>
          <cell r="BH1353">
            <v>0</v>
          </cell>
          <cell r="BI1353">
            <v>0</v>
          </cell>
          <cell r="BJ1353">
            <v>0</v>
          </cell>
          <cell r="BK1353">
            <v>0</v>
          </cell>
          <cell r="BL1353">
            <v>0</v>
          </cell>
          <cell r="BM1353" t="str">
            <v/>
          </cell>
          <cell r="BN1353">
            <v>12</v>
          </cell>
          <cell r="BO1353">
            <v>12</v>
          </cell>
          <cell r="BP1353">
            <v>0</v>
          </cell>
          <cell r="BQ1353">
            <v>0</v>
          </cell>
          <cell r="BR1353">
            <v>0</v>
          </cell>
          <cell r="BS1353">
            <v>0</v>
          </cell>
          <cell r="BT1353">
            <v>0</v>
          </cell>
          <cell r="BU1353" t="str">
            <v/>
          </cell>
          <cell r="BV1353">
            <v>12</v>
          </cell>
          <cell r="BW1353">
            <v>6</v>
          </cell>
          <cell r="BX1353" t="str">
            <v>DOWNGRADE</v>
          </cell>
          <cell r="BY1353" t="str">
            <v>RESET</v>
          </cell>
        </row>
        <row r="1354">
          <cell r="A1354" t="str">
            <v>A3707</v>
          </cell>
          <cell r="B1354" t="str">
            <v>Dea Oksana Siagian</v>
          </cell>
          <cell r="C1354" t="str">
            <v>TEMA HAJI</v>
          </cell>
          <cell r="D1354">
            <v>45323</v>
          </cell>
          <cell r="E1354" t="str">
            <v>Feb-24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12</v>
          </cell>
          <cell r="P1354">
            <v>12</v>
          </cell>
          <cell r="Q1354">
            <v>11</v>
          </cell>
          <cell r="R1354">
            <v>0</v>
          </cell>
          <cell r="S1354" t="str">
            <v/>
          </cell>
          <cell r="T1354">
            <v>35</v>
          </cell>
          <cell r="U1354">
            <v>0</v>
          </cell>
          <cell r="V1354">
            <v>0</v>
          </cell>
          <cell r="W1354">
            <v>12</v>
          </cell>
          <cell r="X1354">
            <v>12</v>
          </cell>
          <cell r="Y1354">
            <v>11</v>
          </cell>
          <cell r="Z1354">
            <v>0</v>
          </cell>
          <cell r="AA1354" t="str">
            <v/>
          </cell>
          <cell r="AB1354">
            <v>35</v>
          </cell>
          <cell r="AC1354">
            <v>2</v>
          </cell>
          <cell r="AD1354" t="str">
            <v>TIDAK</v>
          </cell>
          <cell r="AE1354" t="str">
            <v>TIDAK</v>
          </cell>
          <cell r="AF1354">
            <v>35</v>
          </cell>
          <cell r="AG1354">
            <v>1</v>
          </cell>
          <cell r="AH1354" t="str">
            <v>SAPHIRE</v>
          </cell>
          <cell r="AI1354">
            <v>0</v>
          </cell>
          <cell r="AJ1354" t="str">
            <v>FALSE</v>
          </cell>
          <cell r="AK1354">
            <v>0</v>
          </cell>
          <cell r="AL1354">
            <v>45261</v>
          </cell>
          <cell r="AM1354">
            <v>45701</v>
          </cell>
          <cell r="AN1354">
            <v>1</v>
          </cell>
          <cell r="AO1354">
            <v>35</v>
          </cell>
          <cell r="AP1354" t="str">
            <v>-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 t="str">
            <v/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1</v>
          </cell>
          <cell r="BH1354">
            <v>0</v>
          </cell>
          <cell r="BI1354">
            <v>0</v>
          </cell>
          <cell r="BJ1354">
            <v>0</v>
          </cell>
          <cell r="BK1354">
            <v>0</v>
          </cell>
          <cell r="BL1354">
            <v>0</v>
          </cell>
          <cell r="BM1354" t="str">
            <v/>
          </cell>
          <cell r="BN1354">
            <v>1</v>
          </cell>
          <cell r="BO1354">
            <v>1</v>
          </cell>
          <cell r="BP1354">
            <v>0</v>
          </cell>
          <cell r="BQ1354">
            <v>0</v>
          </cell>
          <cell r="BR1354">
            <v>0</v>
          </cell>
          <cell r="BS1354">
            <v>0</v>
          </cell>
          <cell r="BT1354">
            <v>0</v>
          </cell>
          <cell r="BU1354" t="str">
            <v/>
          </cell>
          <cell r="BV1354">
            <v>1</v>
          </cell>
          <cell r="BW1354">
            <v>6</v>
          </cell>
          <cell r="BX1354" t="str">
            <v>DOWNGRADE</v>
          </cell>
          <cell r="BY1354" t="str">
            <v>RESET</v>
          </cell>
        </row>
        <row r="1355">
          <cell r="A1355" t="str">
            <v>A3706</v>
          </cell>
          <cell r="B1355" t="str">
            <v>Devi Famelia</v>
          </cell>
          <cell r="C1355" t="str">
            <v>TEMA HAJI</v>
          </cell>
          <cell r="D1355">
            <v>45318</v>
          </cell>
          <cell r="E1355" t="str">
            <v>Jan-24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1</v>
          </cell>
          <cell r="O1355">
            <v>3</v>
          </cell>
          <cell r="P1355">
            <v>0</v>
          </cell>
          <cell r="Q1355">
            <v>0</v>
          </cell>
          <cell r="R1355">
            <v>0</v>
          </cell>
          <cell r="S1355" t="str">
            <v/>
          </cell>
          <cell r="T1355">
            <v>4</v>
          </cell>
          <cell r="U1355">
            <v>0</v>
          </cell>
          <cell r="V1355">
            <v>1</v>
          </cell>
          <cell r="W1355">
            <v>3</v>
          </cell>
          <cell r="X1355">
            <v>0</v>
          </cell>
          <cell r="Y1355">
            <v>0</v>
          </cell>
          <cell r="Z1355">
            <v>0</v>
          </cell>
          <cell r="AA1355" t="str">
            <v/>
          </cell>
          <cell r="AB1355">
            <v>4</v>
          </cell>
          <cell r="AC1355">
            <v>4</v>
          </cell>
          <cell r="AD1355" t="str">
            <v>DOWNGRADE</v>
          </cell>
          <cell r="AE1355" t="str">
            <v>RESET</v>
          </cell>
          <cell r="AF1355">
            <v>0</v>
          </cell>
          <cell r="AG1355">
            <v>1</v>
          </cell>
          <cell r="AH1355" t="str">
            <v>SAPHIRE</v>
          </cell>
          <cell r="AI1355">
            <v>0</v>
          </cell>
          <cell r="AJ1355" t="str">
            <v>FALSE</v>
          </cell>
          <cell r="AK1355">
            <v>0</v>
          </cell>
          <cell r="AL1355">
            <v>45261</v>
          </cell>
          <cell r="AM1355">
            <v>45701</v>
          </cell>
          <cell r="AN1355">
            <v>1</v>
          </cell>
          <cell r="AO1355">
            <v>0</v>
          </cell>
          <cell r="AP1355" t="str">
            <v>-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 t="str">
            <v/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 t="str">
            <v/>
          </cell>
          <cell r="BH1355">
            <v>0</v>
          </cell>
          <cell r="BI1355">
            <v>0</v>
          </cell>
          <cell r="BJ1355">
            <v>0</v>
          </cell>
          <cell r="BK1355">
            <v>0</v>
          </cell>
          <cell r="BL1355">
            <v>0</v>
          </cell>
          <cell r="BM1355" t="str">
            <v/>
          </cell>
          <cell r="BN1355">
            <v>0</v>
          </cell>
          <cell r="BO1355" t="str">
            <v/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  <cell r="BT1355">
            <v>0</v>
          </cell>
          <cell r="BU1355" t="str">
            <v/>
          </cell>
          <cell r="BV1355">
            <v>0</v>
          </cell>
          <cell r="BW1355">
            <v>7</v>
          </cell>
          <cell r="BX1355" t="str">
            <v>DOWNGRADE</v>
          </cell>
          <cell r="BY1355" t="str">
            <v>RESET</v>
          </cell>
        </row>
        <row r="1356">
          <cell r="A1356" t="str">
            <v>A3638</v>
          </cell>
          <cell r="B1356" t="str">
            <v>Dhito Maharsa</v>
          </cell>
          <cell r="C1356" t="str">
            <v>TEMA HAJI</v>
          </cell>
          <cell r="D1356">
            <v>45372</v>
          </cell>
          <cell r="E1356" t="str">
            <v>Mar-24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3</v>
          </cell>
          <cell r="Q1356">
            <v>10</v>
          </cell>
          <cell r="R1356">
            <v>15</v>
          </cell>
          <cell r="S1356" t="str">
            <v/>
          </cell>
          <cell r="T1356">
            <v>28</v>
          </cell>
          <cell r="U1356">
            <v>0</v>
          </cell>
          <cell r="V1356">
            <v>0</v>
          </cell>
          <cell r="W1356">
            <v>0</v>
          </cell>
          <cell r="X1356">
            <v>3</v>
          </cell>
          <cell r="Y1356">
            <v>10</v>
          </cell>
          <cell r="Z1356">
            <v>15</v>
          </cell>
          <cell r="AA1356" t="str">
            <v/>
          </cell>
          <cell r="AB1356">
            <v>28</v>
          </cell>
          <cell r="AC1356">
            <v>1</v>
          </cell>
          <cell r="AD1356" t="str">
            <v>TIDAK</v>
          </cell>
          <cell r="AE1356" t="str">
            <v>TIDAK</v>
          </cell>
          <cell r="AF1356">
            <v>28</v>
          </cell>
          <cell r="AG1356">
            <v>1</v>
          </cell>
          <cell r="AH1356" t="str">
            <v>SAPHIRE</v>
          </cell>
          <cell r="AI1356">
            <v>0</v>
          </cell>
          <cell r="AJ1356" t="str">
            <v>FALSE</v>
          </cell>
          <cell r="AK1356">
            <v>0</v>
          </cell>
          <cell r="AL1356">
            <v>45261</v>
          </cell>
          <cell r="AM1356">
            <v>45701</v>
          </cell>
          <cell r="AN1356">
            <v>1</v>
          </cell>
          <cell r="AO1356">
            <v>28</v>
          </cell>
          <cell r="AP1356" t="str">
            <v>-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 t="str">
            <v/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 t="str">
            <v/>
          </cell>
          <cell r="BH1356">
            <v>0</v>
          </cell>
          <cell r="BI1356">
            <v>0</v>
          </cell>
          <cell r="BJ1356">
            <v>0</v>
          </cell>
          <cell r="BK1356">
            <v>0</v>
          </cell>
          <cell r="BL1356">
            <v>0</v>
          </cell>
          <cell r="BM1356" t="str">
            <v/>
          </cell>
          <cell r="BN1356">
            <v>0</v>
          </cell>
          <cell r="BO1356" t="str">
            <v/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  <cell r="BT1356">
            <v>0</v>
          </cell>
          <cell r="BU1356" t="str">
            <v/>
          </cell>
          <cell r="BV1356">
            <v>0</v>
          </cell>
          <cell r="BW1356">
            <v>7</v>
          </cell>
          <cell r="BX1356" t="str">
            <v>DOWNGRADE</v>
          </cell>
          <cell r="BY1356" t="str">
            <v>RESET</v>
          </cell>
        </row>
        <row r="1357">
          <cell r="A1357" t="str">
            <v>A2951</v>
          </cell>
          <cell r="B1357" t="str">
            <v>Dinar Apriliana</v>
          </cell>
          <cell r="C1357" t="str">
            <v>TEMA HAJI</v>
          </cell>
          <cell r="D1357">
            <v>45374</v>
          </cell>
          <cell r="E1357" t="str">
            <v>Mar-24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1</v>
          </cell>
          <cell r="Q1357">
            <v>0</v>
          </cell>
          <cell r="R1357">
            <v>0</v>
          </cell>
          <cell r="S1357" t="str">
            <v/>
          </cell>
          <cell r="T1357">
            <v>1</v>
          </cell>
          <cell r="U1357">
            <v>0</v>
          </cell>
          <cell r="V1357">
            <v>0</v>
          </cell>
          <cell r="W1357">
            <v>0</v>
          </cell>
          <cell r="X1357">
            <v>1</v>
          </cell>
          <cell r="Y1357">
            <v>0</v>
          </cell>
          <cell r="Z1357">
            <v>0</v>
          </cell>
          <cell r="AA1357" t="str">
            <v/>
          </cell>
          <cell r="AB1357">
            <v>1</v>
          </cell>
          <cell r="AC1357">
            <v>3</v>
          </cell>
          <cell r="AD1357" t="str">
            <v>DOWNGRADE</v>
          </cell>
          <cell r="AE1357" t="str">
            <v>RESET</v>
          </cell>
          <cell r="AF1357">
            <v>0</v>
          </cell>
          <cell r="AG1357">
            <v>1</v>
          </cell>
          <cell r="AH1357" t="str">
            <v>SAPHIRE</v>
          </cell>
          <cell r="AI1357">
            <v>0</v>
          </cell>
          <cell r="AJ1357" t="str">
            <v>FALSE</v>
          </cell>
          <cell r="AK1357">
            <v>0</v>
          </cell>
          <cell r="AL1357">
            <v>45261</v>
          </cell>
          <cell r="AM1357">
            <v>45701</v>
          </cell>
          <cell r="AN1357">
            <v>1</v>
          </cell>
          <cell r="AO1357">
            <v>0</v>
          </cell>
          <cell r="AP1357" t="str">
            <v>-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 t="str">
            <v/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 t="str">
            <v/>
          </cell>
          <cell r="BH1357">
            <v>0</v>
          </cell>
          <cell r="BI1357">
            <v>0</v>
          </cell>
          <cell r="BJ1357">
            <v>0</v>
          </cell>
          <cell r="BK1357">
            <v>0</v>
          </cell>
          <cell r="BL1357">
            <v>0</v>
          </cell>
          <cell r="BM1357" t="str">
            <v/>
          </cell>
          <cell r="BN1357">
            <v>0</v>
          </cell>
          <cell r="BO1357" t="str">
            <v/>
          </cell>
          <cell r="BP1357">
            <v>0</v>
          </cell>
          <cell r="BQ1357">
            <v>0</v>
          </cell>
          <cell r="BR1357">
            <v>0</v>
          </cell>
          <cell r="BS1357">
            <v>0</v>
          </cell>
          <cell r="BT1357">
            <v>0</v>
          </cell>
          <cell r="BU1357" t="str">
            <v/>
          </cell>
          <cell r="BV1357">
            <v>0</v>
          </cell>
          <cell r="BW1357">
            <v>7</v>
          </cell>
          <cell r="BX1357" t="str">
            <v>DOWNGRADE</v>
          </cell>
          <cell r="BY1357" t="str">
            <v>RESET</v>
          </cell>
        </row>
        <row r="1358">
          <cell r="A1358">
            <v>90789</v>
          </cell>
          <cell r="B1358" t="str">
            <v>Dita Widiartami</v>
          </cell>
          <cell r="C1358" t="str">
            <v>TEMA HAJI</v>
          </cell>
          <cell r="D1358">
            <v>45293</v>
          </cell>
          <cell r="E1358" t="str">
            <v>Jan-24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1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 t="str">
            <v/>
          </cell>
          <cell r="T1358">
            <v>1</v>
          </cell>
          <cell r="U1358">
            <v>0</v>
          </cell>
          <cell r="V1358">
            <v>1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 t="str">
            <v/>
          </cell>
          <cell r="AB1358">
            <v>1</v>
          </cell>
          <cell r="AC1358">
            <v>6</v>
          </cell>
          <cell r="AD1358" t="str">
            <v>DOWNGRADE</v>
          </cell>
          <cell r="AE1358" t="str">
            <v>RESET</v>
          </cell>
          <cell r="AF1358">
            <v>0</v>
          </cell>
          <cell r="AG1358">
            <v>1</v>
          </cell>
          <cell r="AH1358" t="str">
            <v>SAPHIRE</v>
          </cell>
          <cell r="AI1358">
            <v>0</v>
          </cell>
          <cell r="AJ1358" t="str">
            <v>FALSE</v>
          </cell>
          <cell r="AK1358">
            <v>0</v>
          </cell>
          <cell r="AL1358">
            <v>45261</v>
          </cell>
          <cell r="AM1358">
            <v>45701</v>
          </cell>
          <cell r="AN1358">
            <v>1</v>
          </cell>
          <cell r="AO1358">
            <v>0</v>
          </cell>
          <cell r="AP1358" t="str">
            <v>-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 t="str">
            <v/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 t="str">
            <v/>
          </cell>
          <cell r="BH1358">
            <v>0</v>
          </cell>
          <cell r="BI1358">
            <v>0</v>
          </cell>
          <cell r="BJ1358">
            <v>0</v>
          </cell>
          <cell r="BK1358">
            <v>0</v>
          </cell>
          <cell r="BL1358">
            <v>0</v>
          </cell>
          <cell r="BM1358" t="str">
            <v/>
          </cell>
          <cell r="BN1358">
            <v>0</v>
          </cell>
          <cell r="BO1358" t="str">
            <v/>
          </cell>
          <cell r="BP1358">
            <v>0</v>
          </cell>
          <cell r="BQ1358">
            <v>0</v>
          </cell>
          <cell r="BR1358">
            <v>0</v>
          </cell>
          <cell r="BS1358">
            <v>0</v>
          </cell>
          <cell r="BT1358">
            <v>0</v>
          </cell>
          <cell r="BU1358" t="str">
            <v/>
          </cell>
          <cell r="BV1358">
            <v>0</v>
          </cell>
          <cell r="BW1358">
            <v>7</v>
          </cell>
          <cell r="BX1358" t="str">
            <v>DOWNGRADE</v>
          </cell>
          <cell r="BY1358" t="str">
            <v>RESET</v>
          </cell>
        </row>
        <row r="1359">
          <cell r="A1359" t="str">
            <v>A3703</v>
          </cell>
          <cell r="B1359" t="str">
            <v>Eduardus Jerry Kurniadi</v>
          </cell>
          <cell r="C1359" t="str">
            <v>TEMA HAJI</v>
          </cell>
          <cell r="D1359">
            <v>45318</v>
          </cell>
          <cell r="E1359" t="str">
            <v>Jan-24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5</v>
          </cell>
          <cell r="O1359">
            <v>33</v>
          </cell>
          <cell r="P1359">
            <v>40</v>
          </cell>
          <cell r="Q1359">
            <v>0</v>
          </cell>
          <cell r="R1359">
            <v>17</v>
          </cell>
          <cell r="S1359">
            <v>3</v>
          </cell>
          <cell r="T1359">
            <v>98</v>
          </cell>
          <cell r="U1359">
            <v>0</v>
          </cell>
          <cell r="V1359">
            <v>5</v>
          </cell>
          <cell r="W1359">
            <v>33</v>
          </cell>
          <cell r="X1359">
            <v>40</v>
          </cell>
          <cell r="Y1359">
            <v>0</v>
          </cell>
          <cell r="Z1359">
            <v>17</v>
          </cell>
          <cell r="AA1359">
            <v>3</v>
          </cell>
          <cell r="AB1359">
            <v>98</v>
          </cell>
          <cell r="AC1359">
            <v>1</v>
          </cell>
          <cell r="AD1359" t="str">
            <v>TIDAK</v>
          </cell>
          <cell r="AE1359" t="str">
            <v>TIDAK</v>
          </cell>
          <cell r="AF1359">
            <v>98</v>
          </cell>
          <cell r="AG1359">
            <v>1</v>
          </cell>
          <cell r="AH1359" t="str">
            <v>SAPHIRE</v>
          </cell>
          <cell r="AI1359">
            <v>0</v>
          </cell>
          <cell r="AJ1359" t="str">
            <v>Y</v>
          </cell>
          <cell r="AK1359">
            <v>0</v>
          </cell>
          <cell r="AL1359">
            <v>45261</v>
          </cell>
          <cell r="AM1359">
            <v>45701</v>
          </cell>
          <cell r="AN1359">
            <v>1</v>
          </cell>
          <cell r="AO1359">
            <v>98</v>
          </cell>
          <cell r="AP1359" t="str">
            <v>-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 t="str">
            <v/>
          </cell>
          <cell r="AW1359">
            <v>12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12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5</v>
          </cell>
          <cell r="BH1359">
            <v>12</v>
          </cell>
          <cell r="BI1359">
            <v>0</v>
          </cell>
          <cell r="BJ1359">
            <v>0</v>
          </cell>
          <cell r="BK1359">
            <v>0</v>
          </cell>
          <cell r="BL1359">
            <v>0</v>
          </cell>
          <cell r="BM1359" t="str">
            <v/>
          </cell>
          <cell r="BN1359">
            <v>17</v>
          </cell>
          <cell r="BO1359">
            <v>5</v>
          </cell>
          <cell r="BP1359">
            <v>12</v>
          </cell>
          <cell r="BQ1359">
            <v>0</v>
          </cell>
          <cell r="BR1359">
            <v>0</v>
          </cell>
          <cell r="BS1359">
            <v>0</v>
          </cell>
          <cell r="BT1359">
            <v>0</v>
          </cell>
          <cell r="BU1359" t="str">
            <v/>
          </cell>
          <cell r="BV1359">
            <v>17</v>
          </cell>
          <cell r="BW1359">
            <v>5</v>
          </cell>
          <cell r="BX1359" t="str">
            <v>DOWNGRADE</v>
          </cell>
          <cell r="BY1359" t="str">
            <v>RESET</v>
          </cell>
        </row>
        <row r="1360">
          <cell r="A1360" t="str">
            <v>A4042</v>
          </cell>
          <cell r="B1360" t="str">
            <v>EKO WISNU MUBIYARDI</v>
          </cell>
          <cell r="C1360" t="str">
            <v>TEMA HAJI</v>
          </cell>
          <cell r="D1360">
            <v>45437</v>
          </cell>
          <cell r="E1360" t="str">
            <v>May-24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1</v>
          </cell>
          <cell r="S1360">
            <v>0</v>
          </cell>
          <cell r="T1360">
            <v>1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1</v>
          </cell>
          <cell r="AA1360">
            <v>0</v>
          </cell>
          <cell r="AB1360">
            <v>1</v>
          </cell>
          <cell r="AC1360">
            <v>1</v>
          </cell>
          <cell r="AD1360" t="str">
            <v>TIDAK</v>
          </cell>
          <cell r="AE1360" t="str">
            <v>TIDAK</v>
          </cell>
          <cell r="AF1360">
            <v>1</v>
          </cell>
          <cell r="AG1360">
            <v>1</v>
          </cell>
          <cell r="AH1360" t="str">
            <v>SAPHIRE</v>
          </cell>
          <cell r="AI1360">
            <v>0</v>
          </cell>
          <cell r="AJ1360" t="str">
            <v>FALSE</v>
          </cell>
          <cell r="AK1360">
            <v>0</v>
          </cell>
          <cell r="AL1360">
            <v>45261</v>
          </cell>
          <cell r="AM1360">
            <v>45701</v>
          </cell>
          <cell r="AN1360">
            <v>1</v>
          </cell>
          <cell r="AO1360">
            <v>1</v>
          </cell>
          <cell r="AP1360" t="str">
            <v>-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 t="str">
            <v/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 t="str">
            <v/>
          </cell>
          <cell r="BH1360">
            <v>0</v>
          </cell>
          <cell r="BI1360">
            <v>0</v>
          </cell>
          <cell r="BJ1360">
            <v>0</v>
          </cell>
          <cell r="BK1360">
            <v>0</v>
          </cell>
          <cell r="BL1360">
            <v>0</v>
          </cell>
          <cell r="BM1360" t="str">
            <v/>
          </cell>
          <cell r="BN1360">
            <v>0</v>
          </cell>
          <cell r="BO1360" t="str">
            <v/>
          </cell>
          <cell r="BP1360">
            <v>0</v>
          </cell>
          <cell r="BQ1360">
            <v>0</v>
          </cell>
          <cell r="BR1360">
            <v>0</v>
          </cell>
          <cell r="BS1360">
            <v>0</v>
          </cell>
          <cell r="BT1360">
            <v>0</v>
          </cell>
          <cell r="BU1360" t="str">
            <v/>
          </cell>
          <cell r="BV1360">
            <v>0</v>
          </cell>
          <cell r="BW1360">
            <v>7</v>
          </cell>
          <cell r="BX1360" t="str">
            <v>DOWNGRADE</v>
          </cell>
          <cell r="BY1360" t="str">
            <v>RESET</v>
          </cell>
        </row>
        <row r="1361">
          <cell r="A1361" t="str">
            <v>A3708</v>
          </cell>
          <cell r="B1361" t="str">
            <v>Engri Sulistiawati</v>
          </cell>
          <cell r="C1361" t="str">
            <v>TEMA HAJI</v>
          </cell>
          <cell r="D1361">
            <v>45318</v>
          </cell>
          <cell r="E1361" t="str">
            <v>Jan-24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2</v>
          </cell>
          <cell r="O1361">
            <v>8</v>
          </cell>
          <cell r="P1361">
            <v>0</v>
          </cell>
          <cell r="Q1361">
            <v>0</v>
          </cell>
          <cell r="R1361">
            <v>0</v>
          </cell>
          <cell r="S1361" t="str">
            <v/>
          </cell>
          <cell r="T1361">
            <v>10</v>
          </cell>
          <cell r="U1361">
            <v>0</v>
          </cell>
          <cell r="V1361">
            <v>2</v>
          </cell>
          <cell r="W1361">
            <v>8</v>
          </cell>
          <cell r="X1361">
            <v>0</v>
          </cell>
          <cell r="Y1361">
            <v>0</v>
          </cell>
          <cell r="Z1361">
            <v>0</v>
          </cell>
          <cell r="AA1361" t="str">
            <v/>
          </cell>
          <cell r="AB1361">
            <v>10</v>
          </cell>
          <cell r="AC1361">
            <v>4</v>
          </cell>
          <cell r="AD1361" t="str">
            <v>DOWNGRADE</v>
          </cell>
          <cell r="AE1361" t="str">
            <v>RESET</v>
          </cell>
          <cell r="AF1361">
            <v>0</v>
          </cell>
          <cell r="AG1361">
            <v>1</v>
          </cell>
          <cell r="AH1361" t="str">
            <v>SAPHIRE</v>
          </cell>
          <cell r="AI1361">
            <v>0</v>
          </cell>
          <cell r="AJ1361" t="str">
            <v>FALSE</v>
          </cell>
          <cell r="AK1361">
            <v>0</v>
          </cell>
          <cell r="AL1361">
            <v>45261</v>
          </cell>
          <cell r="AM1361">
            <v>45701</v>
          </cell>
          <cell r="AN1361">
            <v>1</v>
          </cell>
          <cell r="AO1361">
            <v>0</v>
          </cell>
          <cell r="AP1361" t="str">
            <v>-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 t="str">
            <v/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 t="str">
            <v/>
          </cell>
          <cell r="BH1361">
            <v>0</v>
          </cell>
          <cell r="BI1361">
            <v>0</v>
          </cell>
          <cell r="BJ1361">
            <v>0</v>
          </cell>
          <cell r="BK1361">
            <v>0</v>
          </cell>
          <cell r="BL1361">
            <v>0</v>
          </cell>
          <cell r="BM1361" t="str">
            <v/>
          </cell>
          <cell r="BN1361">
            <v>0</v>
          </cell>
          <cell r="BO1361" t="str">
            <v/>
          </cell>
          <cell r="BP1361">
            <v>0</v>
          </cell>
          <cell r="BQ1361">
            <v>0</v>
          </cell>
          <cell r="BR1361">
            <v>0</v>
          </cell>
          <cell r="BS1361">
            <v>0</v>
          </cell>
          <cell r="BT1361">
            <v>0</v>
          </cell>
          <cell r="BU1361" t="str">
            <v/>
          </cell>
          <cell r="BV1361">
            <v>0</v>
          </cell>
          <cell r="BW1361">
            <v>7</v>
          </cell>
          <cell r="BX1361" t="str">
            <v>DOWNGRADE</v>
          </cell>
          <cell r="BY1361" t="str">
            <v>RESET</v>
          </cell>
        </row>
        <row r="1362">
          <cell r="A1362" t="str">
            <v>A4027</v>
          </cell>
          <cell r="B1362" t="str">
            <v>FARHAN ADRIAN</v>
          </cell>
          <cell r="C1362" t="str">
            <v>TEMA HAJI</v>
          </cell>
          <cell r="D1362">
            <v>45414</v>
          </cell>
          <cell r="E1362" t="str">
            <v>May-24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8</v>
          </cell>
          <cell r="S1362">
            <v>9</v>
          </cell>
          <cell r="T1362">
            <v>17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8</v>
          </cell>
          <cell r="AA1362">
            <v>9</v>
          </cell>
          <cell r="AB1362">
            <v>17</v>
          </cell>
          <cell r="AC1362">
            <v>0</v>
          </cell>
          <cell r="AD1362" t="str">
            <v>TIDAK</v>
          </cell>
          <cell r="AE1362" t="str">
            <v>TIDAK</v>
          </cell>
          <cell r="AF1362">
            <v>17</v>
          </cell>
          <cell r="AG1362">
            <v>1</v>
          </cell>
          <cell r="AH1362" t="str">
            <v>SAPHIRE</v>
          </cell>
          <cell r="AI1362">
            <v>0</v>
          </cell>
          <cell r="AJ1362" t="str">
            <v>FALSE</v>
          </cell>
          <cell r="AK1362">
            <v>0</v>
          </cell>
          <cell r="AL1362">
            <v>45261</v>
          </cell>
          <cell r="AM1362">
            <v>45701</v>
          </cell>
          <cell r="AN1362">
            <v>1</v>
          </cell>
          <cell r="AO1362">
            <v>17</v>
          </cell>
          <cell r="AP1362" t="str">
            <v>-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 t="str">
            <v/>
          </cell>
          <cell r="AW1362">
            <v>6</v>
          </cell>
          <cell r="AX1362">
            <v>2</v>
          </cell>
          <cell r="AY1362">
            <v>30</v>
          </cell>
          <cell r="AZ1362">
            <v>13</v>
          </cell>
          <cell r="BA1362">
            <v>17</v>
          </cell>
          <cell r="BB1362">
            <v>6</v>
          </cell>
          <cell r="BC1362">
            <v>2</v>
          </cell>
          <cell r="BD1362">
            <v>30</v>
          </cell>
          <cell r="BE1362">
            <v>13</v>
          </cell>
          <cell r="BF1362">
            <v>17</v>
          </cell>
          <cell r="BG1362">
            <v>10</v>
          </cell>
          <cell r="BH1362">
            <v>6</v>
          </cell>
          <cell r="BI1362">
            <v>2</v>
          </cell>
          <cell r="BJ1362">
            <v>30</v>
          </cell>
          <cell r="BK1362">
            <v>13</v>
          </cell>
          <cell r="BL1362">
            <v>17</v>
          </cell>
          <cell r="BM1362">
            <v>20</v>
          </cell>
          <cell r="BN1362">
            <v>98</v>
          </cell>
          <cell r="BO1362">
            <v>10</v>
          </cell>
          <cell r="BP1362">
            <v>6</v>
          </cell>
          <cell r="BQ1362">
            <v>2</v>
          </cell>
          <cell r="BR1362">
            <v>30</v>
          </cell>
          <cell r="BS1362">
            <v>13</v>
          </cell>
          <cell r="BT1362">
            <v>17</v>
          </cell>
          <cell r="BU1362">
            <v>20</v>
          </cell>
          <cell r="BV1362">
            <v>98</v>
          </cell>
          <cell r="BW1362">
            <v>0</v>
          </cell>
          <cell r="BX1362" t="str">
            <v>TIDAK</v>
          </cell>
          <cell r="BY1362" t="str">
            <v>TIDAK</v>
          </cell>
        </row>
        <row r="1363">
          <cell r="A1363" t="str">
            <v>A4028</v>
          </cell>
          <cell r="B1363" t="str">
            <v>FARHAN UBAYDILLAH</v>
          </cell>
          <cell r="C1363" t="str">
            <v>TEMA HAJI</v>
          </cell>
          <cell r="D1363">
            <v>45430</v>
          </cell>
          <cell r="E1363" t="str">
            <v>May-24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3</v>
          </cell>
          <cell r="S1363">
            <v>5</v>
          </cell>
          <cell r="T1363">
            <v>8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3</v>
          </cell>
          <cell r="AA1363">
            <v>5</v>
          </cell>
          <cell r="AB1363">
            <v>8</v>
          </cell>
          <cell r="AC1363">
            <v>0</v>
          </cell>
          <cell r="AD1363" t="str">
            <v>TIDAK</v>
          </cell>
          <cell r="AE1363" t="str">
            <v>TIDAK</v>
          </cell>
          <cell r="AF1363">
            <v>8</v>
          </cell>
          <cell r="AG1363">
            <v>1</v>
          </cell>
          <cell r="AH1363" t="str">
            <v>SAPHIRE</v>
          </cell>
          <cell r="AI1363">
            <v>0</v>
          </cell>
          <cell r="AJ1363" t="str">
            <v>FALSE</v>
          </cell>
          <cell r="AK1363">
            <v>0</v>
          </cell>
          <cell r="AL1363">
            <v>45261</v>
          </cell>
          <cell r="AM1363">
            <v>45701</v>
          </cell>
          <cell r="AN1363">
            <v>1</v>
          </cell>
          <cell r="AO1363">
            <v>8</v>
          </cell>
          <cell r="AP1363" t="str">
            <v>-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 t="str">
            <v/>
          </cell>
          <cell r="AW1363">
            <v>3</v>
          </cell>
          <cell r="AX1363">
            <v>0</v>
          </cell>
          <cell r="AY1363">
            <v>0</v>
          </cell>
          <cell r="AZ1363">
            <v>8</v>
          </cell>
          <cell r="BA1363">
            <v>0</v>
          </cell>
          <cell r="BB1363">
            <v>3</v>
          </cell>
          <cell r="BC1363">
            <v>0</v>
          </cell>
          <cell r="BD1363">
            <v>0</v>
          </cell>
          <cell r="BE1363">
            <v>8</v>
          </cell>
          <cell r="BF1363">
            <v>0</v>
          </cell>
          <cell r="BG1363" t="str">
            <v/>
          </cell>
          <cell r="BH1363">
            <v>3</v>
          </cell>
          <cell r="BI1363">
            <v>0</v>
          </cell>
          <cell r="BJ1363">
            <v>0</v>
          </cell>
          <cell r="BK1363">
            <v>8</v>
          </cell>
          <cell r="BL1363">
            <v>0</v>
          </cell>
          <cell r="BM1363" t="str">
            <v/>
          </cell>
          <cell r="BN1363">
            <v>11</v>
          </cell>
          <cell r="BO1363" t="str">
            <v/>
          </cell>
          <cell r="BP1363">
            <v>3</v>
          </cell>
          <cell r="BQ1363">
            <v>0</v>
          </cell>
          <cell r="BR1363">
            <v>0</v>
          </cell>
          <cell r="BS1363">
            <v>8</v>
          </cell>
          <cell r="BT1363">
            <v>0</v>
          </cell>
          <cell r="BU1363" t="str">
            <v/>
          </cell>
          <cell r="BV1363">
            <v>11</v>
          </cell>
          <cell r="BW1363">
            <v>5</v>
          </cell>
          <cell r="BX1363" t="str">
            <v>DOWNGRADE</v>
          </cell>
          <cell r="BY1363" t="str">
            <v>TIDAK</v>
          </cell>
        </row>
        <row r="1364">
          <cell r="A1364" t="str">
            <v>A3527</v>
          </cell>
          <cell r="B1364" t="str">
            <v>Ferlindo Jon</v>
          </cell>
          <cell r="C1364" t="str">
            <v>TEMA HAJI</v>
          </cell>
          <cell r="D1364">
            <v>45294</v>
          </cell>
          <cell r="E1364" t="str">
            <v>Jan-24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25</v>
          </cell>
          <cell r="O1364">
            <v>13</v>
          </cell>
          <cell r="P1364">
            <v>4</v>
          </cell>
          <cell r="Q1364">
            <v>3</v>
          </cell>
          <cell r="R1364">
            <v>0</v>
          </cell>
          <cell r="S1364">
            <v>1</v>
          </cell>
          <cell r="T1364">
            <v>46</v>
          </cell>
          <cell r="U1364">
            <v>0</v>
          </cell>
          <cell r="V1364">
            <v>25</v>
          </cell>
          <cell r="W1364">
            <v>13</v>
          </cell>
          <cell r="X1364">
            <v>4</v>
          </cell>
          <cell r="Y1364">
            <v>3</v>
          </cell>
          <cell r="Z1364">
            <v>0</v>
          </cell>
          <cell r="AA1364">
            <v>1</v>
          </cell>
          <cell r="AB1364">
            <v>46</v>
          </cell>
          <cell r="AC1364">
            <v>1</v>
          </cell>
          <cell r="AD1364" t="str">
            <v>TIDAK</v>
          </cell>
          <cell r="AE1364" t="str">
            <v>TIDAK</v>
          </cell>
          <cell r="AF1364">
            <v>46</v>
          </cell>
          <cell r="AG1364">
            <v>1</v>
          </cell>
          <cell r="AH1364" t="str">
            <v>SAPHIRE</v>
          </cell>
          <cell r="AI1364">
            <v>0</v>
          </cell>
          <cell r="AJ1364" t="str">
            <v>FALSE</v>
          </cell>
          <cell r="AK1364">
            <v>0</v>
          </cell>
          <cell r="AL1364">
            <v>45261</v>
          </cell>
          <cell r="AM1364">
            <v>45701</v>
          </cell>
          <cell r="AN1364">
            <v>1</v>
          </cell>
          <cell r="AO1364">
            <v>46</v>
          </cell>
          <cell r="AP1364" t="str">
            <v>-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 t="str">
            <v/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 t="str">
            <v/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0</v>
          </cell>
          <cell r="BM1364" t="str">
            <v/>
          </cell>
          <cell r="BN1364">
            <v>0</v>
          </cell>
          <cell r="BO1364" t="str">
            <v/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  <cell r="BT1364">
            <v>0</v>
          </cell>
          <cell r="BU1364" t="str">
            <v/>
          </cell>
          <cell r="BV1364">
            <v>0</v>
          </cell>
          <cell r="BW1364">
            <v>7</v>
          </cell>
          <cell r="BX1364" t="str">
            <v>DOWNGRADE</v>
          </cell>
          <cell r="BY1364" t="str">
            <v>RESET</v>
          </cell>
        </row>
        <row r="1365">
          <cell r="A1365" t="str">
            <v>A4081</v>
          </cell>
          <cell r="B1365" t="str">
            <v>GINA YUSNI</v>
          </cell>
          <cell r="C1365" t="str">
            <v>TEMA HAJI</v>
          </cell>
          <cell r="D1365">
            <v>45455</v>
          </cell>
          <cell r="E1365" t="str">
            <v>Jun-24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1</v>
          </cell>
          <cell r="T1365">
            <v>1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1</v>
          </cell>
          <cell r="AB1365">
            <v>1</v>
          </cell>
          <cell r="AC1365">
            <v>0</v>
          </cell>
          <cell r="AD1365" t="str">
            <v>TIDAK</v>
          </cell>
          <cell r="AE1365" t="str">
            <v>TIDAK</v>
          </cell>
          <cell r="AF1365">
            <v>1</v>
          </cell>
          <cell r="AG1365">
            <v>1</v>
          </cell>
          <cell r="AH1365" t="str">
            <v>SAPHIRE</v>
          </cell>
          <cell r="AI1365">
            <v>0</v>
          </cell>
          <cell r="AJ1365" t="str">
            <v>FALSE</v>
          </cell>
          <cell r="AK1365">
            <v>0</v>
          </cell>
          <cell r="AL1365">
            <v>45261</v>
          </cell>
          <cell r="AM1365">
            <v>45701</v>
          </cell>
          <cell r="AN1365">
            <v>1</v>
          </cell>
          <cell r="AO1365">
            <v>1</v>
          </cell>
          <cell r="AP1365" t="str">
            <v>-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 t="str">
            <v/>
          </cell>
          <cell r="AW1365">
            <v>5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5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2</v>
          </cell>
          <cell r="BH1365">
            <v>5</v>
          </cell>
          <cell r="BI1365">
            <v>0</v>
          </cell>
          <cell r="BJ1365">
            <v>0</v>
          </cell>
          <cell r="BK1365">
            <v>0</v>
          </cell>
          <cell r="BL1365">
            <v>0</v>
          </cell>
          <cell r="BM1365" t="str">
            <v/>
          </cell>
          <cell r="BN1365">
            <v>7</v>
          </cell>
          <cell r="BO1365">
            <v>2</v>
          </cell>
          <cell r="BP1365">
            <v>5</v>
          </cell>
          <cell r="BQ1365">
            <v>0</v>
          </cell>
          <cell r="BR1365">
            <v>0</v>
          </cell>
          <cell r="BS1365">
            <v>0</v>
          </cell>
          <cell r="BT1365">
            <v>0</v>
          </cell>
          <cell r="BU1365" t="str">
            <v/>
          </cell>
          <cell r="BV1365">
            <v>7</v>
          </cell>
          <cell r="BW1365">
            <v>5</v>
          </cell>
          <cell r="BX1365" t="str">
            <v>DOWNGRADE</v>
          </cell>
          <cell r="BY1365" t="str">
            <v>RESET</v>
          </cell>
        </row>
        <row r="1366">
          <cell r="A1366" t="str">
            <v>A3649</v>
          </cell>
          <cell r="B1366" t="str">
            <v>Girna Ramadhani</v>
          </cell>
          <cell r="C1366" t="str">
            <v>TEMA HAJI</v>
          </cell>
          <cell r="D1366">
            <v>45304</v>
          </cell>
          <cell r="E1366" t="str">
            <v>Jan-24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5</v>
          </cell>
          <cell r="O1366">
            <v>33</v>
          </cell>
          <cell r="P1366">
            <v>42</v>
          </cell>
          <cell r="Q1366">
            <v>38</v>
          </cell>
          <cell r="R1366">
            <v>34</v>
          </cell>
          <cell r="S1366">
            <v>0</v>
          </cell>
          <cell r="T1366">
            <v>152</v>
          </cell>
          <cell r="U1366">
            <v>0</v>
          </cell>
          <cell r="V1366">
            <v>5</v>
          </cell>
          <cell r="W1366">
            <v>33</v>
          </cell>
          <cell r="X1366">
            <v>42</v>
          </cell>
          <cell r="Y1366">
            <v>38</v>
          </cell>
          <cell r="Z1366">
            <v>34</v>
          </cell>
          <cell r="AA1366">
            <v>0</v>
          </cell>
          <cell r="AB1366">
            <v>152</v>
          </cell>
          <cell r="AC1366">
            <v>1</v>
          </cell>
          <cell r="AD1366" t="str">
            <v>TIDAK</v>
          </cell>
          <cell r="AE1366" t="str">
            <v>TIDAK</v>
          </cell>
          <cell r="AF1366">
            <v>152</v>
          </cell>
          <cell r="AG1366">
            <v>1</v>
          </cell>
          <cell r="AH1366" t="str">
            <v>SAPHIRE</v>
          </cell>
          <cell r="AI1366">
            <v>0</v>
          </cell>
          <cell r="AJ1366" t="str">
            <v>Y</v>
          </cell>
          <cell r="AK1366">
            <v>0</v>
          </cell>
          <cell r="AL1366">
            <v>45261</v>
          </cell>
          <cell r="AM1366">
            <v>45701</v>
          </cell>
          <cell r="AN1366">
            <v>1</v>
          </cell>
          <cell r="AO1366">
            <v>152</v>
          </cell>
          <cell r="AP1366" t="str">
            <v>-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 t="str">
            <v/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 t="str">
            <v/>
          </cell>
          <cell r="BH1366">
            <v>0</v>
          </cell>
          <cell r="BI1366">
            <v>0</v>
          </cell>
          <cell r="BJ1366">
            <v>0</v>
          </cell>
          <cell r="BK1366">
            <v>0</v>
          </cell>
          <cell r="BL1366">
            <v>0</v>
          </cell>
          <cell r="BM1366" t="str">
            <v/>
          </cell>
          <cell r="BN1366">
            <v>0</v>
          </cell>
          <cell r="BO1366" t="str">
            <v/>
          </cell>
          <cell r="BP1366">
            <v>0</v>
          </cell>
          <cell r="BQ1366">
            <v>0</v>
          </cell>
          <cell r="BR1366">
            <v>0</v>
          </cell>
          <cell r="BS1366">
            <v>0</v>
          </cell>
          <cell r="BT1366">
            <v>0</v>
          </cell>
          <cell r="BU1366" t="str">
            <v/>
          </cell>
          <cell r="BV1366">
            <v>0</v>
          </cell>
          <cell r="BW1366">
            <v>7</v>
          </cell>
          <cell r="BX1366" t="str">
            <v>DOWNGRADE</v>
          </cell>
          <cell r="BY1366" t="str">
            <v>RESET</v>
          </cell>
        </row>
        <row r="1367">
          <cell r="A1367" t="str">
            <v>A3685</v>
          </cell>
          <cell r="B1367" t="str">
            <v>Henok Christovel Valentino Mewengkang</v>
          </cell>
          <cell r="C1367" t="str">
            <v>TEMA HAJI</v>
          </cell>
          <cell r="D1367">
            <v>45318</v>
          </cell>
          <cell r="E1367" t="str">
            <v>Jan-24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1</v>
          </cell>
          <cell r="O1367">
            <v>15</v>
          </cell>
          <cell r="P1367">
            <v>42</v>
          </cell>
          <cell r="Q1367">
            <v>38</v>
          </cell>
          <cell r="R1367">
            <v>39</v>
          </cell>
          <cell r="S1367">
            <v>22</v>
          </cell>
          <cell r="T1367">
            <v>157</v>
          </cell>
          <cell r="U1367">
            <v>0</v>
          </cell>
          <cell r="V1367">
            <v>1</v>
          </cell>
          <cell r="W1367">
            <v>15</v>
          </cell>
          <cell r="X1367">
            <v>42</v>
          </cell>
          <cell r="Y1367">
            <v>38</v>
          </cell>
          <cell r="Z1367">
            <v>39</v>
          </cell>
          <cell r="AA1367">
            <v>22</v>
          </cell>
          <cell r="AB1367">
            <v>157</v>
          </cell>
          <cell r="AC1367">
            <v>0</v>
          </cell>
          <cell r="AD1367" t="str">
            <v>TIDAK</v>
          </cell>
          <cell r="AE1367" t="str">
            <v>TIDAK</v>
          </cell>
          <cell r="AF1367">
            <v>157</v>
          </cell>
          <cell r="AG1367">
            <v>1</v>
          </cell>
          <cell r="AH1367" t="str">
            <v>SAPHIRE</v>
          </cell>
          <cell r="AI1367">
            <v>0</v>
          </cell>
          <cell r="AJ1367" t="str">
            <v>Y</v>
          </cell>
          <cell r="AK1367">
            <v>0</v>
          </cell>
          <cell r="AL1367">
            <v>45261</v>
          </cell>
          <cell r="AM1367">
            <v>45701</v>
          </cell>
          <cell r="AN1367">
            <v>1</v>
          </cell>
          <cell r="AO1367">
            <v>157</v>
          </cell>
          <cell r="AP1367" t="str">
            <v>-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 t="str">
            <v/>
          </cell>
          <cell r="AW1367">
            <v>45</v>
          </cell>
          <cell r="AX1367">
            <v>44</v>
          </cell>
          <cell r="AY1367">
            <v>38</v>
          </cell>
          <cell r="AZ1367">
            <v>40</v>
          </cell>
          <cell r="BA1367">
            <v>33</v>
          </cell>
          <cell r="BB1367">
            <v>45</v>
          </cell>
          <cell r="BC1367">
            <v>44</v>
          </cell>
          <cell r="BD1367">
            <v>38</v>
          </cell>
          <cell r="BE1367">
            <v>40</v>
          </cell>
          <cell r="BF1367">
            <v>33</v>
          </cell>
          <cell r="BG1367">
            <v>19</v>
          </cell>
          <cell r="BH1367">
            <v>45</v>
          </cell>
          <cell r="BI1367">
            <v>44</v>
          </cell>
          <cell r="BJ1367">
            <v>38</v>
          </cell>
          <cell r="BK1367">
            <v>40</v>
          </cell>
          <cell r="BL1367">
            <v>33</v>
          </cell>
          <cell r="BM1367">
            <v>14</v>
          </cell>
          <cell r="BN1367">
            <v>233</v>
          </cell>
          <cell r="BO1367">
            <v>19</v>
          </cell>
          <cell r="BP1367">
            <v>45</v>
          </cell>
          <cell r="BQ1367">
            <v>44</v>
          </cell>
          <cell r="BR1367">
            <v>38</v>
          </cell>
          <cell r="BS1367">
            <v>40</v>
          </cell>
          <cell r="BT1367">
            <v>33</v>
          </cell>
          <cell r="BU1367">
            <v>14</v>
          </cell>
          <cell r="BV1367">
            <v>233</v>
          </cell>
          <cell r="BW1367">
            <v>0</v>
          </cell>
          <cell r="BX1367" t="str">
            <v>TIDAK</v>
          </cell>
          <cell r="BY1367" t="str">
            <v>TIDAK</v>
          </cell>
        </row>
        <row r="1368">
          <cell r="A1368" t="str">
            <v>A4082</v>
          </cell>
          <cell r="B1368" t="str">
            <v>IRANI SALSABILA</v>
          </cell>
          <cell r="C1368" t="str">
            <v>TEMA HAJI</v>
          </cell>
          <cell r="D1368">
            <v>45455</v>
          </cell>
          <cell r="E1368" t="str">
            <v>Jun-24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1</v>
          </cell>
          <cell r="T1368">
            <v>1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1</v>
          </cell>
          <cell r="AB1368">
            <v>1</v>
          </cell>
          <cell r="AC1368">
            <v>0</v>
          </cell>
          <cell r="AD1368" t="str">
            <v>TIDAK</v>
          </cell>
          <cell r="AE1368" t="str">
            <v>TIDAK</v>
          </cell>
          <cell r="AF1368">
            <v>1</v>
          </cell>
          <cell r="AG1368">
            <v>1</v>
          </cell>
          <cell r="AH1368" t="str">
            <v>SAPHIRE</v>
          </cell>
          <cell r="AI1368">
            <v>0</v>
          </cell>
          <cell r="AJ1368" t="str">
            <v>FALSE</v>
          </cell>
          <cell r="AK1368">
            <v>0</v>
          </cell>
          <cell r="AL1368">
            <v>45261</v>
          </cell>
          <cell r="AM1368">
            <v>45701</v>
          </cell>
          <cell r="AN1368">
            <v>1</v>
          </cell>
          <cell r="AO1368">
            <v>1</v>
          </cell>
          <cell r="AP1368" t="str">
            <v>-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 t="str">
            <v/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1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 t="str">
            <v/>
          </cell>
          <cell r="BN1368">
            <v>1</v>
          </cell>
          <cell r="BO1368">
            <v>1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  <cell r="BT1368">
            <v>0</v>
          </cell>
          <cell r="BU1368" t="str">
            <v/>
          </cell>
          <cell r="BV1368">
            <v>1</v>
          </cell>
          <cell r="BW1368">
            <v>6</v>
          </cell>
          <cell r="BX1368" t="str">
            <v>DOWNGRADE</v>
          </cell>
          <cell r="BY1368" t="str">
            <v>RESET</v>
          </cell>
        </row>
        <row r="1369">
          <cell r="A1369" t="str">
            <v>A3954</v>
          </cell>
          <cell r="B1369" t="str">
            <v>Justian Pilar Prambar Galaphuri</v>
          </cell>
          <cell r="C1369" t="str">
            <v>TEMA HAJI</v>
          </cell>
          <cell r="D1369">
            <v>45381</v>
          </cell>
          <cell r="E1369" t="str">
            <v>Mar-24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1</v>
          </cell>
          <cell r="Q1369">
            <v>10</v>
          </cell>
          <cell r="R1369">
            <v>18</v>
          </cell>
          <cell r="S1369">
            <v>1</v>
          </cell>
          <cell r="T1369">
            <v>30</v>
          </cell>
          <cell r="U1369">
            <v>0</v>
          </cell>
          <cell r="V1369">
            <v>0</v>
          </cell>
          <cell r="W1369">
            <v>0</v>
          </cell>
          <cell r="X1369">
            <v>1</v>
          </cell>
          <cell r="Y1369">
            <v>10</v>
          </cell>
          <cell r="Z1369">
            <v>18</v>
          </cell>
          <cell r="AA1369">
            <v>1</v>
          </cell>
          <cell r="AB1369">
            <v>30</v>
          </cell>
          <cell r="AC1369">
            <v>0</v>
          </cell>
          <cell r="AD1369" t="str">
            <v>TIDAK</v>
          </cell>
          <cell r="AE1369" t="str">
            <v>TIDAK</v>
          </cell>
          <cell r="AF1369">
            <v>30</v>
          </cell>
          <cell r="AG1369">
            <v>1</v>
          </cell>
          <cell r="AH1369" t="str">
            <v>SAPHIRE</v>
          </cell>
          <cell r="AI1369">
            <v>0</v>
          </cell>
          <cell r="AJ1369" t="str">
            <v>FALSE</v>
          </cell>
          <cell r="AK1369">
            <v>0</v>
          </cell>
          <cell r="AL1369">
            <v>45261</v>
          </cell>
          <cell r="AM1369">
            <v>45701</v>
          </cell>
          <cell r="AN1369">
            <v>1</v>
          </cell>
          <cell r="AO1369">
            <v>30</v>
          </cell>
          <cell r="AP1369" t="str">
            <v>-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 t="str">
            <v/>
          </cell>
          <cell r="AW1369">
            <v>0</v>
          </cell>
          <cell r="AX1369">
            <v>4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4</v>
          </cell>
          <cell r="BD1369">
            <v>0</v>
          </cell>
          <cell r="BE1369">
            <v>0</v>
          </cell>
          <cell r="BF1369">
            <v>0</v>
          </cell>
          <cell r="BG1369" t="str">
            <v/>
          </cell>
          <cell r="BH1369">
            <v>0</v>
          </cell>
          <cell r="BI1369">
            <v>4</v>
          </cell>
          <cell r="BJ1369">
            <v>0</v>
          </cell>
          <cell r="BK1369">
            <v>0</v>
          </cell>
          <cell r="BL1369">
            <v>0</v>
          </cell>
          <cell r="BM1369" t="str">
            <v/>
          </cell>
          <cell r="BN1369">
            <v>4</v>
          </cell>
          <cell r="BO1369" t="str">
            <v/>
          </cell>
          <cell r="BP1369">
            <v>0</v>
          </cell>
          <cell r="BQ1369">
            <v>4</v>
          </cell>
          <cell r="BR1369">
            <v>0</v>
          </cell>
          <cell r="BS1369">
            <v>0</v>
          </cell>
          <cell r="BT1369">
            <v>0</v>
          </cell>
          <cell r="BU1369" t="str">
            <v/>
          </cell>
          <cell r="BV1369">
            <v>4</v>
          </cell>
          <cell r="BW1369">
            <v>6</v>
          </cell>
          <cell r="BX1369" t="str">
            <v>DOWNGRADE</v>
          </cell>
          <cell r="BY1369" t="str">
            <v>RESET</v>
          </cell>
        </row>
        <row r="1370">
          <cell r="A1370" t="str">
            <v>A3709</v>
          </cell>
          <cell r="B1370" t="str">
            <v>Kayla Putria Elfreda</v>
          </cell>
          <cell r="C1370" t="str">
            <v>TEMA HAJI</v>
          </cell>
          <cell r="D1370">
            <v>45318</v>
          </cell>
          <cell r="E1370" t="str">
            <v>Jan-24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4</v>
          </cell>
          <cell r="O1370">
            <v>10</v>
          </cell>
          <cell r="P1370">
            <v>0</v>
          </cell>
          <cell r="Q1370">
            <v>1</v>
          </cell>
          <cell r="R1370">
            <v>0</v>
          </cell>
          <cell r="S1370" t="str">
            <v/>
          </cell>
          <cell r="T1370">
            <v>15</v>
          </cell>
          <cell r="U1370">
            <v>0</v>
          </cell>
          <cell r="V1370">
            <v>4</v>
          </cell>
          <cell r="W1370">
            <v>10</v>
          </cell>
          <cell r="X1370">
            <v>0</v>
          </cell>
          <cell r="Y1370">
            <v>1</v>
          </cell>
          <cell r="Z1370">
            <v>0</v>
          </cell>
          <cell r="AA1370" t="str">
            <v/>
          </cell>
          <cell r="AB1370">
            <v>15</v>
          </cell>
          <cell r="AC1370">
            <v>3</v>
          </cell>
          <cell r="AD1370" t="str">
            <v>DOWNGRADE</v>
          </cell>
          <cell r="AE1370" t="str">
            <v>TIDAK</v>
          </cell>
          <cell r="AF1370">
            <v>7.5</v>
          </cell>
          <cell r="AG1370">
            <v>1</v>
          </cell>
          <cell r="AH1370" t="str">
            <v>SAPHIRE</v>
          </cell>
          <cell r="AI1370">
            <v>0</v>
          </cell>
          <cell r="AJ1370" t="str">
            <v>FALSE</v>
          </cell>
          <cell r="AK1370">
            <v>0</v>
          </cell>
          <cell r="AL1370">
            <v>45261</v>
          </cell>
          <cell r="AM1370">
            <v>45701</v>
          </cell>
          <cell r="AN1370">
            <v>1</v>
          </cell>
          <cell r="AO1370">
            <v>7.5</v>
          </cell>
          <cell r="AP1370" t="str">
            <v>-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 t="str">
            <v/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 t="str">
            <v/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 t="str">
            <v/>
          </cell>
          <cell r="BN1370">
            <v>0</v>
          </cell>
          <cell r="BO1370" t="str">
            <v/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  <cell r="BT1370">
            <v>0</v>
          </cell>
          <cell r="BU1370" t="str">
            <v/>
          </cell>
          <cell r="BV1370">
            <v>0</v>
          </cell>
          <cell r="BW1370">
            <v>7</v>
          </cell>
          <cell r="BX1370" t="str">
            <v>DOWNGRADE</v>
          </cell>
          <cell r="BY1370" t="str">
            <v>RESET</v>
          </cell>
        </row>
        <row r="1371">
          <cell r="A1371" t="str">
            <v>A3537</v>
          </cell>
          <cell r="B1371" t="str">
            <v>Khoiriyah Ayu Saputri</v>
          </cell>
          <cell r="C1371" t="str">
            <v>TEMA HAJI</v>
          </cell>
          <cell r="D1371">
            <v>45293</v>
          </cell>
          <cell r="E1371" t="str">
            <v>Jan-24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42</v>
          </cell>
          <cell r="O1371">
            <v>13</v>
          </cell>
          <cell r="P1371">
            <v>0</v>
          </cell>
          <cell r="Q1371">
            <v>0</v>
          </cell>
          <cell r="R1371">
            <v>0</v>
          </cell>
          <cell r="S1371" t="str">
            <v/>
          </cell>
          <cell r="T1371">
            <v>55</v>
          </cell>
          <cell r="U1371">
            <v>0</v>
          </cell>
          <cell r="V1371">
            <v>42</v>
          </cell>
          <cell r="W1371">
            <v>13</v>
          </cell>
          <cell r="X1371">
            <v>0</v>
          </cell>
          <cell r="Y1371">
            <v>0</v>
          </cell>
          <cell r="Z1371">
            <v>0</v>
          </cell>
          <cell r="AA1371" t="str">
            <v/>
          </cell>
          <cell r="AB1371">
            <v>55</v>
          </cell>
          <cell r="AC1371">
            <v>4</v>
          </cell>
          <cell r="AD1371" t="str">
            <v>DOWNGRADE</v>
          </cell>
          <cell r="AE1371" t="str">
            <v>RESET</v>
          </cell>
          <cell r="AF1371">
            <v>0</v>
          </cell>
          <cell r="AG1371">
            <v>1</v>
          </cell>
          <cell r="AH1371" t="str">
            <v>SAPHIRE</v>
          </cell>
          <cell r="AI1371">
            <v>0</v>
          </cell>
          <cell r="AJ1371" t="str">
            <v>FALSE</v>
          </cell>
          <cell r="AK1371">
            <v>0</v>
          </cell>
          <cell r="AL1371">
            <v>45261</v>
          </cell>
          <cell r="AM1371">
            <v>45701</v>
          </cell>
          <cell r="AN1371">
            <v>1</v>
          </cell>
          <cell r="AO1371">
            <v>0</v>
          </cell>
          <cell r="AP1371" t="str">
            <v>-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 t="str">
            <v/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 t="str">
            <v/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 t="str">
            <v/>
          </cell>
          <cell r="BN1371">
            <v>0</v>
          </cell>
          <cell r="BO1371" t="str">
            <v/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 t="str">
            <v/>
          </cell>
          <cell r="BV1371">
            <v>0</v>
          </cell>
          <cell r="BW1371">
            <v>7</v>
          </cell>
          <cell r="BX1371" t="str">
            <v>DOWNGRADE</v>
          </cell>
          <cell r="BY1371" t="str">
            <v>RESET</v>
          </cell>
        </row>
        <row r="1372">
          <cell r="A1372" t="str">
            <v>A3629</v>
          </cell>
          <cell r="B1372" t="str">
            <v>Lia Anisa</v>
          </cell>
          <cell r="C1372" t="str">
            <v>TEMA HAJI</v>
          </cell>
          <cell r="D1372">
            <v>45306</v>
          </cell>
          <cell r="E1372" t="str">
            <v>Jan-24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14</v>
          </cell>
          <cell r="O1372">
            <v>33</v>
          </cell>
          <cell r="P1372">
            <v>15</v>
          </cell>
          <cell r="Q1372">
            <v>0</v>
          </cell>
          <cell r="R1372">
            <v>29</v>
          </cell>
          <cell r="S1372">
            <v>1</v>
          </cell>
          <cell r="T1372">
            <v>92</v>
          </cell>
          <cell r="U1372">
            <v>0</v>
          </cell>
          <cell r="V1372">
            <v>14</v>
          </cell>
          <cell r="W1372">
            <v>33</v>
          </cell>
          <cell r="X1372">
            <v>15</v>
          </cell>
          <cell r="Y1372">
            <v>0</v>
          </cell>
          <cell r="Z1372">
            <v>29</v>
          </cell>
          <cell r="AA1372">
            <v>1</v>
          </cell>
          <cell r="AB1372">
            <v>92</v>
          </cell>
          <cell r="AC1372">
            <v>1</v>
          </cell>
          <cell r="AD1372" t="str">
            <v>TIDAK</v>
          </cell>
          <cell r="AE1372" t="str">
            <v>TIDAK</v>
          </cell>
          <cell r="AF1372">
            <v>92</v>
          </cell>
          <cell r="AG1372">
            <v>1</v>
          </cell>
          <cell r="AH1372" t="str">
            <v>SAPHIRE</v>
          </cell>
          <cell r="AI1372">
            <v>0</v>
          </cell>
          <cell r="AJ1372" t="str">
            <v>Y</v>
          </cell>
          <cell r="AK1372">
            <v>0</v>
          </cell>
          <cell r="AL1372">
            <v>45261</v>
          </cell>
          <cell r="AM1372">
            <v>45701</v>
          </cell>
          <cell r="AN1372">
            <v>1</v>
          </cell>
          <cell r="AO1372">
            <v>92</v>
          </cell>
          <cell r="AP1372" t="str">
            <v>-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 t="str">
            <v/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 t="str">
            <v/>
          </cell>
          <cell r="BH1372">
            <v>0</v>
          </cell>
          <cell r="BI1372">
            <v>0</v>
          </cell>
          <cell r="BJ1372">
            <v>0</v>
          </cell>
          <cell r="BK1372">
            <v>0</v>
          </cell>
          <cell r="BL1372">
            <v>0</v>
          </cell>
          <cell r="BM1372" t="str">
            <v/>
          </cell>
          <cell r="BN1372">
            <v>0</v>
          </cell>
          <cell r="BO1372" t="str">
            <v/>
          </cell>
          <cell r="BP1372">
            <v>0</v>
          </cell>
          <cell r="BQ1372">
            <v>0</v>
          </cell>
          <cell r="BR1372">
            <v>0</v>
          </cell>
          <cell r="BS1372">
            <v>0</v>
          </cell>
          <cell r="BT1372">
            <v>0</v>
          </cell>
          <cell r="BU1372" t="str">
            <v/>
          </cell>
          <cell r="BV1372">
            <v>0</v>
          </cell>
          <cell r="BW1372">
            <v>7</v>
          </cell>
          <cell r="BX1372" t="str">
            <v>DOWNGRADE</v>
          </cell>
          <cell r="BY1372" t="str">
            <v>RESET</v>
          </cell>
        </row>
        <row r="1373">
          <cell r="A1373" t="str">
            <v>A3531</v>
          </cell>
          <cell r="B1373" t="str">
            <v>Lia Saefa Sadiyah</v>
          </cell>
          <cell r="C1373" t="str">
            <v>TEMA HAJI</v>
          </cell>
          <cell r="D1373">
            <v>45294</v>
          </cell>
          <cell r="E1373" t="str">
            <v>Jan-24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26</v>
          </cell>
          <cell r="O1373">
            <v>0</v>
          </cell>
          <cell r="P1373">
            <v>16</v>
          </cell>
          <cell r="Q1373">
            <v>0</v>
          </cell>
          <cell r="R1373">
            <v>25</v>
          </cell>
          <cell r="S1373">
            <v>6</v>
          </cell>
          <cell r="T1373">
            <v>73</v>
          </cell>
          <cell r="U1373">
            <v>0</v>
          </cell>
          <cell r="V1373">
            <v>26</v>
          </cell>
          <cell r="W1373">
            <v>0</v>
          </cell>
          <cell r="X1373">
            <v>16</v>
          </cell>
          <cell r="Y1373">
            <v>0</v>
          </cell>
          <cell r="Z1373">
            <v>25</v>
          </cell>
          <cell r="AA1373">
            <v>6</v>
          </cell>
          <cell r="AB1373">
            <v>73</v>
          </cell>
          <cell r="AC1373">
            <v>2</v>
          </cell>
          <cell r="AD1373" t="str">
            <v>TIDAK</v>
          </cell>
          <cell r="AE1373" t="str">
            <v>TIDAK</v>
          </cell>
          <cell r="AF1373">
            <v>73</v>
          </cell>
          <cell r="AG1373">
            <v>1</v>
          </cell>
          <cell r="AH1373" t="str">
            <v>SAPHIRE</v>
          </cell>
          <cell r="AI1373">
            <v>0</v>
          </cell>
          <cell r="AJ1373" t="str">
            <v>Y</v>
          </cell>
          <cell r="AK1373">
            <v>0</v>
          </cell>
          <cell r="AL1373">
            <v>45261</v>
          </cell>
          <cell r="AM1373">
            <v>45701</v>
          </cell>
          <cell r="AN1373">
            <v>1</v>
          </cell>
          <cell r="AO1373">
            <v>73</v>
          </cell>
          <cell r="AP1373" t="str">
            <v>-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 t="str">
            <v/>
          </cell>
          <cell r="AW1373">
            <v>1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1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3</v>
          </cell>
          <cell r="BH1373">
            <v>1</v>
          </cell>
          <cell r="BI1373">
            <v>0</v>
          </cell>
          <cell r="BJ1373">
            <v>0</v>
          </cell>
          <cell r="BK1373">
            <v>0</v>
          </cell>
          <cell r="BL1373">
            <v>0</v>
          </cell>
          <cell r="BM1373">
            <v>0</v>
          </cell>
          <cell r="BN1373">
            <v>4</v>
          </cell>
          <cell r="BO1373">
            <v>3</v>
          </cell>
          <cell r="BP1373">
            <v>1</v>
          </cell>
          <cell r="BQ1373">
            <v>0</v>
          </cell>
          <cell r="BR1373">
            <v>0</v>
          </cell>
          <cell r="BS1373">
            <v>0</v>
          </cell>
          <cell r="BT1373">
            <v>0</v>
          </cell>
          <cell r="BU1373">
            <v>0</v>
          </cell>
          <cell r="BV1373">
            <v>4</v>
          </cell>
          <cell r="BW1373">
            <v>5</v>
          </cell>
          <cell r="BX1373" t="str">
            <v>DOWNGRADE</v>
          </cell>
          <cell r="BY1373" t="str">
            <v>RESET</v>
          </cell>
        </row>
        <row r="1374">
          <cell r="A1374" t="str">
            <v>A3526</v>
          </cell>
          <cell r="B1374" t="str">
            <v>Lina Yusantika</v>
          </cell>
          <cell r="C1374" t="str">
            <v>TEMA HAJI</v>
          </cell>
          <cell r="D1374">
            <v>45293</v>
          </cell>
          <cell r="E1374" t="str">
            <v>Jan-24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37</v>
          </cell>
          <cell r="O1374">
            <v>4</v>
          </cell>
          <cell r="P1374">
            <v>1</v>
          </cell>
          <cell r="Q1374">
            <v>0</v>
          </cell>
          <cell r="R1374">
            <v>0</v>
          </cell>
          <cell r="S1374" t="str">
            <v/>
          </cell>
          <cell r="T1374">
            <v>42</v>
          </cell>
          <cell r="U1374">
            <v>0</v>
          </cell>
          <cell r="V1374">
            <v>37</v>
          </cell>
          <cell r="W1374">
            <v>4</v>
          </cell>
          <cell r="X1374">
            <v>1</v>
          </cell>
          <cell r="Y1374">
            <v>0</v>
          </cell>
          <cell r="Z1374">
            <v>0</v>
          </cell>
          <cell r="AA1374" t="str">
            <v/>
          </cell>
          <cell r="AB1374">
            <v>42</v>
          </cell>
          <cell r="AC1374">
            <v>3</v>
          </cell>
          <cell r="AD1374" t="str">
            <v>DOWNGRADE</v>
          </cell>
          <cell r="AE1374" t="str">
            <v>RESET</v>
          </cell>
          <cell r="AF1374">
            <v>0</v>
          </cell>
          <cell r="AG1374">
            <v>1</v>
          </cell>
          <cell r="AH1374" t="str">
            <v>SAPHIRE</v>
          </cell>
          <cell r="AI1374">
            <v>0</v>
          </cell>
          <cell r="AJ1374" t="str">
            <v>FALSE</v>
          </cell>
          <cell r="AK1374">
            <v>0</v>
          </cell>
          <cell r="AL1374">
            <v>45261</v>
          </cell>
          <cell r="AM1374">
            <v>45701</v>
          </cell>
          <cell r="AN1374">
            <v>1</v>
          </cell>
          <cell r="AO1374">
            <v>0</v>
          </cell>
          <cell r="AP1374" t="str">
            <v>-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 t="str">
            <v/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 t="str">
            <v/>
          </cell>
          <cell r="BH1374">
            <v>0</v>
          </cell>
          <cell r="BI1374">
            <v>0</v>
          </cell>
          <cell r="BJ1374">
            <v>0</v>
          </cell>
          <cell r="BK1374">
            <v>0</v>
          </cell>
          <cell r="BL1374">
            <v>0</v>
          </cell>
          <cell r="BM1374" t="str">
            <v/>
          </cell>
          <cell r="BN1374">
            <v>0</v>
          </cell>
          <cell r="BO1374" t="str">
            <v/>
          </cell>
          <cell r="BP1374">
            <v>0</v>
          </cell>
          <cell r="BQ1374">
            <v>0</v>
          </cell>
          <cell r="BR1374">
            <v>0</v>
          </cell>
          <cell r="BS1374">
            <v>0</v>
          </cell>
          <cell r="BT1374">
            <v>0</v>
          </cell>
          <cell r="BU1374" t="str">
            <v/>
          </cell>
          <cell r="BV1374">
            <v>0</v>
          </cell>
          <cell r="BW1374">
            <v>7</v>
          </cell>
          <cell r="BX1374" t="str">
            <v>DOWNGRADE</v>
          </cell>
          <cell r="BY1374" t="str">
            <v>RESET</v>
          </cell>
        </row>
        <row r="1375">
          <cell r="A1375" t="str">
            <v>A3957</v>
          </cell>
          <cell r="B1375" t="str">
            <v>Mar Ah Nur Ardillah</v>
          </cell>
          <cell r="C1375" t="str">
            <v>TEMA HAJI</v>
          </cell>
          <cell r="D1375">
            <v>45401</v>
          </cell>
          <cell r="E1375" t="str">
            <v>Apr-24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4</v>
          </cell>
          <cell r="R1375">
            <v>5</v>
          </cell>
          <cell r="S1375" t="str">
            <v/>
          </cell>
          <cell r="T1375">
            <v>9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4</v>
          </cell>
          <cell r="Z1375">
            <v>5</v>
          </cell>
          <cell r="AA1375" t="str">
            <v/>
          </cell>
          <cell r="AB1375">
            <v>9</v>
          </cell>
          <cell r="AC1375">
            <v>1</v>
          </cell>
          <cell r="AD1375" t="str">
            <v>TIDAK</v>
          </cell>
          <cell r="AE1375" t="str">
            <v>TIDAK</v>
          </cell>
          <cell r="AF1375">
            <v>9</v>
          </cell>
          <cell r="AG1375">
            <v>1</v>
          </cell>
          <cell r="AH1375" t="str">
            <v>SAPHIRE</v>
          </cell>
          <cell r="AI1375">
            <v>0</v>
          </cell>
          <cell r="AJ1375" t="str">
            <v>FALSE</v>
          </cell>
          <cell r="AK1375">
            <v>0</v>
          </cell>
          <cell r="AL1375">
            <v>45261</v>
          </cell>
          <cell r="AM1375">
            <v>45701</v>
          </cell>
          <cell r="AN1375">
            <v>1</v>
          </cell>
          <cell r="AO1375">
            <v>9</v>
          </cell>
          <cell r="AP1375" t="str">
            <v>-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 t="str">
            <v/>
          </cell>
          <cell r="AW1375">
            <v>2</v>
          </cell>
          <cell r="AX1375">
            <v>8</v>
          </cell>
          <cell r="AY1375">
            <v>2</v>
          </cell>
          <cell r="AZ1375">
            <v>0</v>
          </cell>
          <cell r="BA1375">
            <v>0</v>
          </cell>
          <cell r="BB1375">
            <v>2</v>
          </cell>
          <cell r="BC1375">
            <v>8</v>
          </cell>
          <cell r="BD1375">
            <v>2</v>
          </cell>
          <cell r="BE1375">
            <v>0</v>
          </cell>
          <cell r="BF1375">
            <v>0</v>
          </cell>
          <cell r="BG1375">
            <v>2</v>
          </cell>
          <cell r="BH1375">
            <v>2</v>
          </cell>
          <cell r="BI1375">
            <v>8</v>
          </cell>
          <cell r="BJ1375">
            <v>2</v>
          </cell>
          <cell r="BK1375">
            <v>0</v>
          </cell>
          <cell r="BL1375">
            <v>0</v>
          </cell>
          <cell r="BM1375" t="str">
            <v/>
          </cell>
          <cell r="BN1375">
            <v>14</v>
          </cell>
          <cell r="BO1375">
            <v>2</v>
          </cell>
          <cell r="BP1375">
            <v>2</v>
          </cell>
          <cell r="BQ1375">
            <v>8</v>
          </cell>
          <cell r="BR1375">
            <v>2</v>
          </cell>
          <cell r="BS1375">
            <v>0</v>
          </cell>
          <cell r="BT1375">
            <v>0</v>
          </cell>
          <cell r="BU1375" t="str">
            <v/>
          </cell>
          <cell r="BV1375">
            <v>14</v>
          </cell>
          <cell r="BW1375">
            <v>3</v>
          </cell>
          <cell r="BX1375" t="str">
            <v>DOWNGRADE</v>
          </cell>
          <cell r="BY1375" t="str">
            <v>RESET</v>
          </cell>
        </row>
        <row r="1376">
          <cell r="A1376" t="str">
            <v>A3956</v>
          </cell>
          <cell r="B1376" t="str">
            <v>Maratun Sholikhah</v>
          </cell>
          <cell r="C1376" t="str">
            <v>TEMA HAJI</v>
          </cell>
          <cell r="D1376">
            <v>45381</v>
          </cell>
          <cell r="E1376" t="str">
            <v>Mar-24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1</v>
          </cell>
          <cell r="Q1376">
            <v>18</v>
          </cell>
          <cell r="R1376">
            <v>18</v>
          </cell>
          <cell r="S1376">
            <v>10</v>
          </cell>
          <cell r="T1376">
            <v>47</v>
          </cell>
          <cell r="U1376">
            <v>0</v>
          </cell>
          <cell r="V1376">
            <v>0</v>
          </cell>
          <cell r="W1376">
            <v>0</v>
          </cell>
          <cell r="X1376">
            <v>1</v>
          </cell>
          <cell r="Y1376">
            <v>18</v>
          </cell>
          <cell r="Z1376">
            <v>18</v>
          </cell>
          <cell r="AA1376">
            <v>10</v>
          </cell>
          <cell r="AB1376">
            <v>47</v>
          </cell>
          <cell r="AC1376">
            <v>0</v>
          </cell>
          <cell r="AD1376" t="str">
            <v>TIDAK</v>
          </cell>
          <cell r="AE1376" t="str">
            <v>TIDAK</v>
          </cell>
          <cell r="AF1376">
            <v>47</v>
          </cell>
          <cell r="AG1376">
            <v>1</v>
          </cell>
          <cell r="AH1376" t="str">
            <v>SAPHIRE</v>
          </cell>
          <cell r="AI1376">
            <v>0</v>
          </cell>
          <cell r="AJ1376" t="str">
            <v>FALSE</v>
          </cell>
          <cell r="AK1376">
            <v>0</v>
          </cell>
          <cell r="AL1376">
            <v>45261</v>
          </cell>
          <cell r="AM1376">
            <v>45701</v>
          </cell>
          <cell r="AN1376">
            <v>1</v>
          </cell>
          <cell r="AO1376">
            <v>47</v>
          </cell>
          <cell r="AP1376" t="str">
            <v>-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 t="str">
            <v/>
          </cell>
          <cell r="AW1376">
            <v>22</v>
          </cell>
          <cell r="AX1376">
            <v>0</v>
          </cell>
          <cell r="AY1376">
            <v>0</v>
          </cell>
          <cell r="AZ1376">
            <v>1</v>
          </cell>
          <cell r="BA1376">
            <v>0</v>
          </cell>
          <cell r="BB1376">
            <v>22</v>
          </cell>
          <cell r="BC1376">
            <v>0</v>
          </cell>
          <cell r="BD1376">
            <v>0</v>
          </cell>
          <cell r="BE1376">
            <v>1</v>
          </cell>
          <cell r="BF1376">
            <v>0</v>
          </cell>
          <cell r="BG1376">
            <v>14</v>
          </cell>
          <cell r="BH1376">
            <v>22</v>
          </cell>
          <cell r="BI1376">
            <v>0</v>
          </cell>
          <cell r="BJ1376">
            <v>0</v>
          </cell>
          <cell r="BK1376">
            <v>1</v>
          </cell>
          <cell r="BL1376">
            <v>0</v>
          </cell>
          <cell r="BM1376">
            <v>1</v>
          </cell>
          <cell r="BN1376">
            <v>38</v>
          </cell>
          <cell r="BO1376">
            <v>14</v>
          </cell>
          <cell r="BP1376">
            <v>22</v>
          </cell>
          <cell r="BQ1376">
            <v>0</v>
          </cell>
          <cell r="BR1376">
            <v>0</v>
          </cell>
          <cell r="BS1376">
            <v>1</v>
          </cell>
          <cell r="BT1376">
            <v>0</v>
          </cell>
          <cell r="BU1376">
            <v>1</v>
          </cell>
          <cell r="BV1376">
            <v>38</v>
          </cell>
          <cell r="BW1376">
            <v>3</v>
          </cell>
          <cell r="BX1376" t="str">
            <v>DOWNGRADE</v>
          </cell>
          <cell r="BY1376" t="str">
            <v>TIDAK</v>
          </cell>
        </row>
        <row r="1377">
          <cell r="A1377" t="str">
            <v>A3452</v>
          </cell>
          <cell r="B1377" t="str">
            <v>Mifta Indriastiti</v>
          </cell>
          <cell r="C1377" t="str">
            <v>TEMA HAJI</v>
          </cell>
          <cell r="D1377">
            <v>45304</v>
          </cell>
          <cell r="E1377" t="str">
            <v>Jan-24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9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 t="str">
            <v/>
          </cell>
          <cell r="T1377">
            <v>9</v>
          </cell>
          <cell r="U1377">
            <v>0</v>
          </cell>
          <cell r="V1377">
            <v>9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 t="str">
            <v/>
          </cell>
          <cell r="AB1377">
            <v>9</v>
          </cell>
          <cell r="AC1377">
            <v>5</v>
          </cell>
          <cell r="AD1377" t="str">
            <v>DOWNGRADE</v>
          </cell>
          <cell r="AE1377" t="str">
            <v>RESET</v>
          </cell>
          <cell r="AF1377">
            <v>0</v>
          </cell>
          <cell r="AG1377">
            <v>1</v>
          </cell>
          <cell r="AH1377" t="str">
            <v>SAPHIRE</v>
          </cell>
          <cell r="AI1377">
            <v>0</v>
          </cell>
          <cell r="AJ1377" t="str">
            <v>FALSE</v>
          </cell>
          <cell r="AK1377">
            <v>0</v>
          </cell>
          <cell r="AL1377">
            <v>45261</v>
          </cell>
          <cell r="AM1377">
            <v>45701</v>
          </cell>
          <cell r="AN1377">
            <v>1</v>
          </cell>
          <cell r="AO1377">
            <v>0</v>
          </cell>
          <cell r="AP1377" t="str">
            <v>-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 t="str">
            <v/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 t="str">
            <v/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 t="str">
            <v/>
          </cell>
          <cell r="BN1377">
            <v>0</v>
          </cell>
          <cell r="BO1377" t="str">
            <v/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  <cell r="BT1377">
            <v>0</v>
          </cell>
          <cell r="BU1377" t="str">
            <v/>
          </cell>
          <cell r="BV1377">
            <v>0</v>
          </cell>
          <cell r="BW1377">
            <v>7</v>
          </cell>
          <cell r="BX1377" t="str">
            <v>DOWNGRADE</v>
          </cell>
          <cell r="BY1377" t="str">
            <v>RESET</v>
          </cell>
        </row>
        <row r="1378">
          <cell r="A1378" t="str">
            <v>A3528</v>
          </cell>
          <cell r="B1378" t="str">
            <v>Moch Reza Fahlevi</v>
          </cell>
          <cell r="C1378" t="str">
            <v>TEMA HAJI</v>
          </cell>
          <cell r="D1378">
            <v>45293</v>
          </cell>
          <cell r="E1378" t="str">
            <v>Jan-24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18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 t="str">
            <v/>
          </cell>
          <cell r="T1378">
            <v>18</v>
          </cell>
          <cell r="U1378">
            <v>0</v>
          </cell>
          <cell r="V1378">
            <v>18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 t="str">
            <v/>
          </cell>
          <cell r="AB1378">
            <v>18</v>
          </cell>
          <cell r="AC1378">
            <v>5</v>
          </cell>
          <cell r="AD1378" t="str">
            <v>DOWNGRADE</v>
          </cell>
          <cell r="AE1378" t="str">
            <v>RESET</v>
          </cell>
          <cell r="AF1378">
            <v>0</v>
          </cell>
          <cell r="AG1378">
            <v>1</v>
          </cell>
          <cell r="AH1378" t="str">
            <v>SAPHIRE</v>
          </cell>
          <cell r="AI1378">
            <v>0</v>
          </cell>
          <cell r="AJ1378" t="str">
            <v>FALSE</v>
          </cell>
          <cell r="AK1378">
            <v>0</v>
          </cell>
          <cell r="AL1378">
            <v>45261</v>
          </cell>
          <cell r="AM1378">
            <v>45701</v>
          </cell>
          <cell r="AN1378">
            <v>1</v>
          </cell>
          <cell r="AO1378">
            <v>0</v>
          </cell>
          <cell r="AP1378" t="str">
            <v>-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 t="str">
            <v/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 t="str">
            <v/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 t="str">
            <v/>
          </cell>
          <cell r="BN1378">
            <v>0</v>
          </cell>
          <cell r="BO1378" t="str">
            <v/>
          </cell>
          <cell r="BP1378">
            <v>0</v>
          </cell>
          <cell r="BQ1378">
            <v>0</v>
          </cell>
          <cell r="BR1378">
            <v>0</v>
          </cell>
          <cell r="BS1378">
            <v>0</v>
          </cell>
          <cell r="BT1378">
            <v>0</v>
          </cell>
          <cell r="BU1378" t="str">
            <v/>
          </cell>
          <cell r="BV1378">
            <v>0</v>
          </cell>
          <cell r="BW1378">
            <v>7</v>
          </cell>
          <cell r="BX1378" t="str">
            <v>DOWNGRADE</v>
          </cell>
          <cell r="BY1378" t="str">
            <v>RESET</v>
          </cell>
        </row>
        <row r="1379">
          <cell r="A1379" t="str">
            <v>A3654</v>
          </cell>
          <cell r="B1379" t="str">
            <v>Muhamad Saifurrahman Wahid</v>
          </cell>
          <cell r="C1379" t="str">
            <v>TEMA HAJI</v>
          </cell>
          <cell r="D1379">
            <v>45304</v>
          </cell>
          <cell r="E1379" t="str">
            <v>Jan-24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3</v>
          </cell>
          <cell r="O1379">
            <v>0</v>
          </cell>
          <cell r="P1379">
            <v>15</v>
          </cell>
          <cell r="Q1379">
            <v>9</v>
          </cell>
          <cell r="R1379">
            <v>38</v>
          </cell>
          <cell r="S1379">
            <v>14</v>
          </cell>
          <cell r="T1379">
            <v>79</v>
          </cell>
          <cell r="U1379">
            <v>0</v>
          </cell>
          <cell r="V1379">
            <v>3</v>
          </cell>
          <cell r="W1379">
            <v>0</v>
          </cell>
          <cell r="X1379">
            <v>15</v>
          </cell>
          <cell r="Y1379">
            <v>9</v>
          </cell>
          <cell r="Z1379">
            <v>38</v>
          </cell>
          <cell r="AA1379">
            <v>14</v>
          </cell>
          <cell r="AB1379">
            <v>79</v>
          </cell>
          <cell r="AC1379">
            <v>1</v>
          </cell>
          <cell r="AD1379" t="str">
            <v>TIDAK</v>
          </cell>
          <cell r="AE1379" t="str">
            <v>TIDAK</v>
          </cell>
          <cell r="AF1379">
            <v>79</v>
          </cell>
          <cell r="AG1379">
            <v>1</v>
          </cell>
          <cell r="AH1379" t="str">
            <v>SAPHIRE</v>
          </cell>
          <cell r="AI1379">
            <v>0</v>
          </cell>
          <cell r="AJ1379" t="str">
            <v>Y</v>
          </cell>
          <cell r="AK1379">
            <v>0</v>
          </cell>
          <cell r="AL1379">
            <v>45261</v>
          </cell>
          <cell r="AM1379">
            <v>45701</v>
          </cell>
          <cell r="AN1379">
            <v>1</v>
          </cell>
          <cell r="AO1379">
            <v>79</v>
          </cell>
          <cell r="AP1379" t="str">
            <v>-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 t="str">
            <v/>
          </cell>
          <cell r="AW1379">
            <v>38</v>
          </cell>
          <cell r="AX1379">
            <v>39</v>
          </cell>
          <cell r="AY1379">
            <v>24</v>
          </cell>
          <cell r="AZ1379">
            <v>30</v>
          </cell>
          <cell r="BA1379">
            <v>26</v>
          </cell>
          <cell r="BB1379">
            <v>38</v>
          </cell>
          <cell r="BC1379">
            <v>39</v>
          </cell>
          <cell r="BD1379">
            <v>24</v>
          </cell>
          <cell r="BE1379">
            <v>30</v>
          </cell>
          <cell r="BF1379">
            <v>26</v>
          </cell>
          <cell r="BG1379">
            <v>13</v>
          </cell>
          <cell r="BH1379">
            <v>38</v>
          </cell>
          <cell r="BI1379">
            <v>39</v>
          </cell>
          <cell r="BJ1379">
            <v>24</v>
          </cell>
          <cell r="BK1379">
            <v>30</v>
          </cell>
          <cell r="BL1379">
            <v>26</v>
          </cell>
          <cell r="BM1379">
            <v>14</v>
          </cell>
          <cell r="BN1379">
            <v>184</v>
          </cell>
          <cell r="BO1379">
            <v>13</v>
          </cell>
          <cell r="BP1379">
            <v>38</v>
          </cell>
          <cell r="BQ1379">
            <v>39</v>
          </cell>
          <cell r="BR1379">
            <v>24</v>
          </cell>
          <cell r="BS1379">
            <v>30</v>
          </cell>
          <cell r="BT1379">
            <v>26</v>
          </cell>
          <cell r="BU1379">
            <v>14</v>
          </cell>
          <cell r="BV1379">
            <v>184</v>
          </cell>
          <cell r="BW1379">
            <v>0</v>
          </cell>
          <cell r="BX1379" t="str">
            <v>TIDAK</v>
          </cell>
          <cell r="BY1379" t="str">
            <v>TIDAK</v>
          </cell>
        </row>
        <row r="1380">
          <cell r="A1380" t="str">
            <v>A3525</v>
          </cell>
          <cell r="B1380" t="str">
            <v>Nasihatun Toyibah</v>
          </cell>
          <cell r="C1380" t="str">
            <v>TEMA HAJI</v>
          </cell>
          <cell r="D1380">
            <v>45294</v>
          </cell>
          <cell r="E1380" t="str">
            <v>Jan-24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32</v>
          </cell>
          <cell r="O1380">
            <v>8</v>
          </cell>
          <cell r="P1380">
            <v>0</v>
          </cell>
          <cell r="Q1380">
            <v>0</v>
          </cell>
          <cell r="R1380">
            <v>0</v>
          </cell>
          <cell r="S1380" t="str">
            <v/>
          </cell>
          <cell r="T1380">
            <v>40</v>
          </cell>
          <cell r="U1380">
            <v>0</v>
          </cell>
          <cell r="V1380">
            <v>32</v>
          </cell>
          <cell r="W1380">
            <v>8</v>
          </cell>
          <cell r="X1380">
            <v>0</v>
          </cell>
          <cell r="Y1380">
            <v>0</v>
          </cell>
          <cell r="Z1380">
            <v>0</v>
          </cell>
          <cell r="AA1380" t="str">
            <v/>
          </cell>
          <cell r="AB1380">
            <v>40</v>
          </cell>
          <cell r="AC1380">
            <v>4</v>
          </cell>
          <cell r="AD1380" t="str">
            <v>DOWNGRADE</v>
          </cell>
          <cell r="AE1380" t="str">
            <v>RESET</v>
          </cell>
          <cell r="AF1380">
            <v>0</v>
          </cell>
          <cell r="AG1380">
            <v>1</v>
          </cell>
          <cell r="AH1380" t="str">
            <v>SAPHIRE</v>
          </cell>
          <cell r="AI1380">
            <v>0</v>
          </cell>
          <cell r="AJ1380" t="str">
            <v>FALSE</v>
          </cell>
          <cell r="AK1380">
            <v>0</v>
          </cell>
          <cell r="AL1380">
            <v>45261</v>
          </cell>
          <cell r="AM1380">
            <v>45701</v>
          </cell>
          <cell r="AN1380">
            <v>1</v>
          </cell>
          <cell r="AO1380">
            <v>0</v>
          </cell>
          <cell r="AP1380" t="str">
            <v>-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 t="str">
            <v/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 t="str">
            <v/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 t="str">
            <v/>
          </cell>
          <cell r="BN1380">
            <v>0</v>
          </cell>
          <cell r="BO1380" t="str">
            <v/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 t="str">
            <v/>
          </cell>
          <cell r="BV1380">
            <v>0</v>
          </cell>
          <cell r="BW1380">
            <v>7</v>
          </cell>
          <cell r="BX1380" t="str">
            <v>DOWNGRADE</v>
          </cell>
          <cell r="BY1380" t="str">
            <v>RESET</v>
          </cell>
        </row>
        <row r="1381">
          <cell r="A1381" t="str">
            <v>A3687</v>
          </cell>
          <cell r="B1381" t="str">
            <v>Rangga Maulana Arrazy</v>
          </cell>
          <cell r="C1381" t="str">
            <v>TEMA HAJI</v>
          </cell>
          <cell r="D1381">
            <v>45322</v>
          </cell>
          <cell r="E1381" t="str">
            <v>Jan-24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1</v>
          </cell>
          <cell r="O1381">
            <v>10</v>
          </cell>
          <cell r="P1381">
            <v>12</v>
          </cell>
          <cell r="Q1381">
            <v>0</v>
          </cell>
          <cell r="R1381">
            <v>0</v>
          </cell>
          <cell r="S1381" t="str">
            <v/>
          </cell>
          <cell r="T1381">
            <v>23</v>
          </cell>
          <cell r="U1381">
            <v>0</v>
          </cell>
          <cell r="V1381">
            <v>1</v>
          </cell>
          <cell r="W1381">
            <v>10</v>
          </cell>
          <cell r="X1381">
            <v>12</v>
          </cell>
          <cell r="Y1381">
            <v>0</v>
          </cell>
          <cell r="Z1381">
            <v>0</v>
          </cell>
          <cell r="AA1381" t="str">
            <v/>
          </cell>
          <cell r="AB1381">
            <v>23</v>
          </cell>
          <cell r="AC1381">
            <v>3</v>
          </cell>
          <cell r="AD1381" t="str">
            <v>DOWNGRADE</v>
          </cell>
          <cell r="AE1381" t="str">
            <v>RESET</v>
          </cell>
          <cell r="AF1381">
            <v>0</v>
          </cell>
          <cell r="AG1381">
            <v>1</v>
          </cell>
          <cell r="AH1381" t="str">
            <v>SAPHIRE</v>
          </cell>
          <cell r="AI1381">
            <v>0</v>
          </cell>
          <cell r="AJ1381" t="str">
            <v>FALSE</v>
          </cell>
          <cell r="AK1381">
            <v>0</v>
          </cell>
          <cell r="AL1381">
            <v>45261</v>
          </cell>
          <cell r="AM1381">
            <v>45701</v>
          </cell>
          <cell r="AN1381">
            <v>1</v>
          </cell>
          <cell r="AO1381">
            <v>0</v>
          </cell>
          <cell r="AP1381" t="str">
            <v>-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 t="str">
            <v/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 t="str">
            <v/>
          </cell>
          <cell r="BH1381">
            <v>0</v>
          </cell>
          <cell r="BI1381">
            <v>0</v>
          </cell>
          <cell r="BJ1381">
            <v>0</v>
          </cell>
          <cell r="BK1381">
            <v>0</v>
          </cell>
          <cell r="BL1381">
            <v>0</v>
          </cell>
          <cell r="BM1381" t="str">
            <v/>
          </cell>
          <cell r="BN1381">
            <v>0</v>
          </cell>
          <cell r="BO1381" t="str">
            <v/>
          </cell>
          <cell r="BP1381">
            <v>0</v>
          </cell>
          <cell r="BQ1381">
            <v>0</v>
          </cell>
          <cell r="BR1381">
            <v>0</v>
          </cell>
          <cell r="BS1381">
            <v>0</v>
          </cell>
          <cell r="BT1381">
            <v>0</v>
          </cell>
          <cell r="BU1381" t="str">
            <v/>
          </cell>
          <cell r="BV1381">
            <v>0</v>
          </cell>
          <cell r="BW1381">
            <v>7</v>
          </cell>
          <cell r="BX1381" t="str">
            <v>DOWNGRADE</v>
          </cell>
          <cell r="BY1381" t="str">
            <v>RESET</v>
          </cell>
        </row>
        <row r="1382">
          <cell r="A1382" t="str">
            <v>A3955</v>
          </cell>
          <cell r="B1382" t="str">
            <v>Rennyta Puspitasari</v>
          </cell>
          <cell r="C1382" t="str">
            <v>TEMA HAJI</v>
          </cell>
          <cell r="D1382">
            <v>45384</v>
          </cell>
          <cell r="E1382" t="str">
            <v>Apr-24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21</v>
          </cell>
          <cell r="R1382">
            <v>17</v>
          </cell>
          <cell r="S1382">
            <v>6</v>
          </cell>
          <cell r="T1382">
            <v>44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21</v>
          </cell>
          <cell r="Z1382">
            <v>17</v>
          </cell>
          <cell r="AA1382">
            <v>6</v>
          </cell>
          <cell r="AB1382">
            <v>44</v>
          </cell>
          <cell r="AC1382">
            <v>0</v>
          </cell>
          <cell r="AD1382" t="str">
            <v>TIDAK</v>
          </cell>
          <cell r="AE1382" t="str">
            <v>TIDAK</v>
          </cell>
          <cell r="AF1382">
            <v>44</v>
          </cell>
          <cell r="AG1382">
            <v>1</v>
          </cell>
          <cell r="AH1382" t="str">
            <v>SAPHIRE</v>
          </cell>
          <cell r="AI1382">
            <v>0</v>
          </cell>
          <cell r="AJ1382" t="str">
            <v>FALSE</v>
          </cell>
          <cell r="AK1382">
            <v>0</v>
          </cell>
          <cell r="AL1382">
            <v>45261</v>
          </cell>
          <cell r="AM1382">
            <v>45701</v>
          </cell>
          <cell r="AN1382">
            <v>1</v>
          </cell>
          <cell r="AO1382">
            <v>44</v>
          </cell>
          <cell r="AP1382" t="str">
            <v>-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 t="str">
            <v/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 t="str">
            <v/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 t="str">
            <v/>
          </cell>
          <cell r="BN1382">
            <v>0</v>
          </cell>
          <cell r="BO1382" t="str">
            <v/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 t="str">
            <v/>
          </cell>
          <cell r="BV1382">
            <v>0</v>
          </cell>
          <cell r="BW1382">
            <v>7</v>
          </cell>
          <cell r="BX1382" t="str">
            <v>DOWNGRADE</v>
          </cell>
          <cell r="BY1382" t="str">
            <v>RESET</v>
          </cell>
        </row>
        <row r="1383">
          <cell r="A1383" t="str">
            <v>A3646</v>
          </cell>
          <cell r="B1383" t="str">
            <v>Risa Listiani Putri</v>
          </cell>
          <cell r="C1383" t="str">
            <v>TEMA HAJI</v>
          </cell>
          <cell r="D1383">
            <v>45304</v>
          </cell>
          <cell r="E1383" t="str">
            <v>Jan-24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27</v>
          </cell>
          <cell r="O1383">
            <v>41</v>
          </cell>
          <cell r="P1383">
            <v>30</v>
          </cell>
          <cell r="Q1383">
            <v>35</v>
          </cell>
          <cell r="R1383">
            <v>30</v>
          </cell>
          <cell r="S1383">
            <v>0</v>
          </cell>
          <cell r="T1383">
            <v>163</v>
          </cell>
          <cell r="U1383">
            <v>0</v>
          </cell>
          <cell r="V1383">
            <v>27</v>
          </cell>
          <cell r="W1383">
            <v>41</v>
          </cell>
          <cell r="X1383">
            <v>30</v>
          </cell>
          <cell r="Y1383">
            <v>35</v>
          </cell>
          <cell r="Z1383">
            <v>30</v>
          </cell>
          <cell r="AA1383">
            <v>0</v>
          </cell>
          <cell r="AB1383">
            <v>163</v>
          </cell>
          <cell r="AC1383">
            <v>1</v>
          </cell>
          <cell r="AD1383" t="str">
            <v>TIDAK</v>
          </cell>
          <cell r="AE1383" t="str">
            <v>TIDAK</v>
          </cell>
          <cell r="AF1383">
            <v>163</v>
          </cell>
          <cell r="AG1383">
            <v>1</v>
          </cell>
          <cell r="AH1383" t="str">
            <v>SAPHIRE</v>
          </cell>
          <cell r="AI1383">
            <v>0</v>
          </cell>
          <cell r="AJ1383" t="str">
            <v>Y</v>
          </cell>
          <cell r="AK1383">
            <v>0</v>
          </cell>
          <cell r="AL1383">
            <v>45261</v>
          </cell>
          <cell r="AM1383">
            <v>45701</v>
          </cell>
          <cell r="AN1383">
            <v>1</v>
          </cell>
          <cell r="AO1383">
            <v>163</v>
          </cell>
          <cell r="AP1383" t="str">
            <v>-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 t="str">
            <v/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 t="str">
            <v/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 t="str">
            <v/>
          </cell>
          <cell r="BN1383">
            <v>0</v>
          </cell>
          <cell r="BO1383" t="str">
            <v/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 t="str">
            <v/>
          </cell>
          <cell r="BV1383">
            <v>0</v>
          </cell>
          <cell r="BW1383">
            <v>7</v>
          </cell>
          <cell r="BX1383" t="str">
            <v>DOWNGRADE</v>
          </cell>
          <cell r="BY1383" t="str">
            <v>RESET</v>
          </cell>
        </row>
        <row r="1384">
          <cell r="A1384" t="str">
            <v>A4015</v>
          </cell>
          <cell r="B1384" t="str">
            <v>RUTH MEY LANI CHANDRA</v>
          </cell>
          <cell r="C1384" t="str">
            <v>TEMA HAJI</v>
          </cell>
          <cell r="D1384">
            <v>45414</v>
          </cell>
          <cell r="E1384" t="str">
            <v>May-24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23</v>
          </cell>
          <cell r="S1384">
            <v>14</v>
          </cell>
          <cell r="T1384">
            <v>37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23</v>
          </cell>
          <cell r="AA1384">
            <v>14</v>
          </cell>
          <cell r="AB1384">
            <v>37</v>
          </cell>
          <cell r="AC1384">
            <v>0</v>
          </cell>
          <cell r="AD1384" t="str">
            <v>TIDAK</v>
          </cell>
          <cell r="AE1384" t="str">
            <v>TIDAK</v>
          </cell>
          <cell r="AF1384">
            <v>37</v>
          </cell>
          <cell r="AG1384">
            <v>1</v>
          </cell>
          <cell r="AH1384" t="str">
            <v>SAPHIRE</v>
          </cell>
          <cell r="AI1384">
            <v>0</v>
          </cell>
          <cell r="AJ1384" t="str">
            <v>FALSE</v>
          </cell>
          <cell r="AK1384">
            <v>0</v>
          </cell>
          <cell r="AL1384">
            <v>45261</v>
          </cell>
          <cell r="AM1384">
            <v>45701</v>
          </cell>
          <cell r="AN1384">
            <v>1</v>
          </cell>
          <cell r="AO1384">
            <v>37</v>
          </cell>
          <cell r="AP1384" t="str">
            <v>-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 t="str">
            <v/>
          </cell>
          <cell r="AW1384">
            <v>34</v>
          </cell>
          <cell r="AX1384">
            <v>8</v>
          </cell>
          <cell r="AY1384">
            <v>14</v>
          </cell>
          <cell r="AZ1384">
            <v>0</v>
          </cell>
          <cell r="BA1384">
            <v>0</v>
          </cell>
          <cell r="BB1384">
            <v>34</v>
          </cell>
          <cell r="BC1384">
            <v>8</v>
          </cell>
          <cell r="BD1384">
            <v>14</v>
          </cell>
          <cell r="BE1384">
            <v>0</v>
          </cell>
          <cell r="BF1384">
            <v>0</v>
          </cell>
          <cell r="BG1384">
            <v>10</v>
          </cell>
          <cell r="BH1384">
            <v>34</v>
          </cell>
          <cell r="BI1384">
            <v>8</v>
          </cell>
          <cell r="BJ1384">
            <v>14</v>
          </cell>
          <cell r="BK1384">
            <v>0</v>
          </cell>
          <cell r="BL1384">
            <v>0</v>
          </cell>
          <cell r="BM1384" t="str">
            <v/>
          </cell>
          <cell r="BN1384">
            <v>66</v>
          </cell>
          <cell r="BO1384">
            <v>10</v>
          </cell>
          <cell r="BP1384">
            <v>34</v>
          </cell>
          <cell r="BQ1384">
            <v>8</v>
          </cell>
          <cell r="BR1384">
            <v>14</v>
          </cell>
          <cell r="BS1384">
            <v>0</v>
          </cell>
          <cell r="BT1384">
            <v>0</v>
          </cell>
          <cell r="BU1384" t="str">
            <v/>
          </cell>
          <cell r="BV1384">
            <v>66</v>
          </cell>
          <cell r="BW1384">
            <v>3</v>
          </cell>
          <cell r="BX1384" t="str">
            <v>DOWNGRADE</v>
          </cell>
          <cell r="BY1384" t="str">
            <v>RESET</v>
          </cell>
        </row>
        <row r="1385">
          <cell r="A1385" t="str">
            <v>A3530</v>
          </cell>
          <cell r="B1385" t="str">
            <v>Siti Afifah</v>
          </cell>
          <cell r="C1385" t="str">
            <v>TEMA HAJI</v>
          </cell>
          <cell r="D1385">
            <v>45293</v>
          </cell>
          <cell r="E1385" t="str">
            <v>Jan-24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42</v>
          </cell>
          <cell r="O1385">
            <v>16</v>
          </cell>
          <cell r="P1385">
            <v>7</v>
          </cell>
          <cell r="Q1385">
            <v>8</v>
          </cell>
          <cell r="R1385">
            <v>3</v>
          </cell>
          <cell r="S1385">
            <v>3</v>
          </cell>
          <cell r="T1385">
            <v>79</v>
          </cell>
          <cell r="U1385">
            <v>0</v>
          </cell>
          <cell r="V1385">
            <v>42</v>
          </cell>
          <cell r="W1385">
            <v>16</v>
          </cell>
          <cell r="X1385">
            <v>7</v>
          </cell>
          <cell r="Y1385">
            <v>8</v>
          </cell>
          <cell r="Z1385">
            <v>3</v>
          </cell>
          <cell r="AA1385">
            <v>3</v>
          </cell>
          <cell r="AB1385">
            <v>79</v>
          </cell>
          <cell r="AC1385">
            <v>0</v>
          </cell>
          <cell r="AD1385" t="str">
            <v>TIDAK</v>
          </cell>
          <cell r="AE1385" t="str">
            <v>TIDAK</v>
          </cell>
          <cell r="AF1385">
            <v>79</v>
          </cell>
          <cell r="AG1385">
            <v>1</v>
          </cell>
          <cell r="AH1385" t="str">
            <v>SAPHIRE</v>
          </cell>
          <cell r="AI1385">
            <v>0</v>
          </cell>
          <cell r="AJ1385" t="str">
            <v>Y</v>
          </cell>
          <cell r="AK1385">
            <v>0</v>
          </cell>
          <cell r="AL1385">
            <v>45261</v>
          </cell>
          <cell r="AM1385">
            <v>45701</v>
          </cell>
          <cell r="AN1385">
            <v>1</v>
          </cell>
          <cell r="AO1385">
            <v>79</v>
          </cell>
          <cell r="AP1385" t="str">
            <v>-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 t="str">
            <v/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22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22</v>
          </cell>
          <cell r="BG1385">
            <v>9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22</v>
          </cell>
          <cell r="BM1385">
            <v>19</v>
          </cell>
          <cell r="BN1385">
            <v>50</v>
          </cell>
          <cell r="BO1385">
            <v>9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22</v>
          </cell>
          <cell r="BU1385">
            <v>19</v>
          </cell>
          <cell r="BV1385">
            <v>50</v>
          </cell>
          <cell r="BW1385">
            <v>4</v>
          </cell>
          <cell r="BX1385" t="str">
            <v>DOWNGRADE</v>
          </cell>
          <cell r="BY1385" t="str">
            <v>RESET</v>
          </cell>
        </row>
        <row r="1386">
          <cell r="A1386" t="str">
            <v>A4043</v>
          </cell>
          <cell r="B1386" t="str">
            <v>TABITA KRISTIN LINTANGINGTYAS</v>
          </cell>
          <cell r="C1386" t="str">
            <v>TEMA HAJI</v>
          </cell>
          <cell r="D1386">
            <v>45447</v>
          </cell>
          <cell r="E1386" t="str">
            <v>Jun-24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7</v>
          </cell>
          <cell r="T1386">
            <v>7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7</v>
          </cell>
          <cell r="AB1386">
            <v>7</v>
          </cell>
          <cell r="AC1386">
            <v>0</v>
          </cell>
          <cell r="AD1386" t="str">
            <v>TIDAK</v>
          </cell>
          <cell r="AE1386" t="str">
            <v>TIDAK</v>
          </cell>
          <cell r="AF1386">
            <v>7</v>
          </cell>
          <cell r="AG1386">
            <v>1</v>
          </cell>
          <cell r="AH1386" t="str">
            <v>SAPHIRE</v>
          </cell>
          <cell r="AI1386">
            <v>0</v>
          </cell>
          <cell r="AJ1386" t="str">
            <v>FALSE</v>
          </cell>
          <cell r="AK1386">
            <v>0</v>
          </cell>
          <cell r="AL1386">
            <v>45261</v>
          </cell>
          <cell r="AM1386">
            <v>45701</v>
          </cell>
          <cell r="AN1386">
            <v>1</v>
          </cell>
          <cell r="AO1386">
            <v>7</v>
          </cell>
          <cell r="AP1386" t="str">
            <v>-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 t="str">
            <v/>
          </cell>
          <cell r="AW1386">
            <v>45</v>
          </cell>
          <cell r="AX1386">
            <v>47</v>
          </cell>
          <cell r="AY1386">
            <v>44</v>
          </cell>
          <cell r="AZ1386">
            <v>48</v>
          </cell>
          <cell r="BA1386">
            <v>43</v>
          </cell>
          <cell r="BB1386">
            <v>45</v>
          </cell>
          <cell r="BC1386">
            <v>47</v>
          </cell>
          <cell r="BD1386">
            <v>44</v>
          </cell>
          <cell r="BE1386">
            <v>48</v>
          </cell>
          <cell r="BF1386">
            <v>43</v>
          </cell>
          <cell r="BG1386">
            <v>11</v>
          </cell>
          <cell r="BH1386">
            <v>45</v>
          </cell>
          <cell r="BI1386">
            <v>47</v>
          </cell>
          <cell r="BJ1386">
            <v>44</v>
          </cell>
          <cell r="BK1386">
            <v>48</v>
          </cell>
          <cell r="BL1386">
            <v>43</v>
          </cell>
          <cell r="BM1386">
            <v>21</v>
          </cell>
          <cell r="BN1386">
            <v>259</v>
          </cell>
          <cell r="BO1386">
            <v>11</v>
          </cell>
          <cell r="BP1386">
            <v>45</v>
          </cell>
          <cell r="BQ1386">
            <v>47</v>
          </cell>
          <cell r="BR1386">
            <v>44</v>
          </cell>
          <cell r="BS1386">
            <v>48</v>
          </cell>
          <cell r="BT1386">
            <v>43</v>
          </cell>
          <cell r="BU1386">
            <v>21</v>
          </cell>
          <cell r="BV1386">
            <v>259</v>
          </cell>
          <cell r="BW1386">
            <v>0</v>
          </cell>
          <cell r="BX1386" t="str">
            <v>TIDAK</v>
          </cell>
          <cell r="BY1386" t="str">
            <v>TIDAK</v>
          </cell>
        </row>
        <row r="1387">
          <cell r="A1387" t="str">
            <v>A3686</v>
          </cell>
          <cell r="B1387" t="str">
            <v>Yuliyanti Nur Hasanah</v>
          </cell>
          <cell r="C1387" t="str">
            <v>TEMA HAJI</v>
          </cell>
          <cell r="D1387">
            <v>45318</v>
          </cell>
          <cell r="E1387" t="str">
            <v>Jan-24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4</v>
          </cell>
          <cell r="O1387">
            <v>26</v>
          </cell>
          <cell r="P1387">
            <v>26</v>
          </cell>
          <cell r="Q1387">
            <v>22</v>
          </cell>
          <cell r="R1387">
            <v>25</v>
          </cell>
          <cell r="S1387">
            <v>12</v>
          </cell>
          <cell r="T1387">
            <v>115</v>
          </cell>
          <cell r="U1387">
            <v>0</v>
          </cell>
          <cell r="V1387">
            <v>4</v>
          </cell>
          <cell r="W1387">
            <v>26</v>
          </cell>
          <cell r="X1387">
            <v>26</v>
          </cell>
          <cell r="Y1387">
            <v>22</v>
          </cell>
          <cell r="Z1387">
            <v>25</v>
          </cell>
          <cell r="AA1387">
            <v>12</v>
          </cell>
          <cell r="AB1387">
            <v>115</v>
          </cell>
          <cell r="AC1387">
            <v>0</v>
          </cell>
          <cell r="AD1387" t="str">
            <v>TIDAK</v>
          </cell>
          <cell r="AE1387" t="str">
            <v>TIDAK</v>
          </cell>
          <cell r="AF1387">
            <v>115</v>
          </cell>
          <cell r="AG1387">
            <v>1</v>
          </cell>
          <cell r="AH1387" t="str">
            <v>SAPHIRE</v>
          </cell>
          <cell r="AI1387">
            <v>65</v>
          </cell>
          <cell r="AJ1387" t="str">
            <v>Y</v>
          </cell>
          <cell r="AK1387">
            <v>0</v>
          </cell>
          <cell r="AL1387">
            <v>45261</v>
          </cell>
          <cell r="AM1387">
            <v>45701</v>
          </cell>
          <cell r="AN1387">
            <v>1</v>
          </cell>
          <cell r="AO1387">
            <v>50</v>
          </cell>
          <cell r="AP1387" t="str">
            <v>-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 t="str">
            <v/>
          </cell>
          <cell r="AW1387">
            <v>12</v>
          </cell>
          <cell r="AX1387">
            <v>27</v>
          </cell>
          <cell r="AY1387">
            <v>27</v>
          </cell>
          <cell r="AZ1387">
            <v>0</v>
          </cell>
          <cell r="BA1387">
            <v>12</v>
          </cell>
          <cell r="BB1387">
            <v>12</v>
          </cell>
          <cell r="BC1387">
            <v>27</v>
          </cell>
          <cell r="BD1387">
            <v>27</v>
          </cell>
          <cell r="BE1387">
            <v>0</v>
          </cell>
          <cell r="BF1387">
            <v>12</v>
          </cell>
          <cell r="BG1387">
            <v>4</v>
          </cell>
          <cell r="BH1387">
            <v>12</v>
          </cell>
          <cell r="BI1387">
            <v>27</v>
          </cell>
          <cell r="BJ1387">
            <v>27</v>
          </cell>
          <cell r="BK1387">
            <v>0</v>
          </cell>
          <cell r="BL1387">
            <v>12</v>
          </cell>
          <cell r="BM1387" t="str">
            <v/>
          </cell>
          <cell r="BN1387">
            <v>82</v>
          </cell>
          <cell r="BO1387">
            <v>4</v>
          </cell>
          <cell r="BP1387">
            <v>12</v>
          </cell>
          <cell r="BQ1387">
            <v>27</v>
          </cell>
          <cell r="BR1387">
            <v>27</v>
          </cell>
          <cell r="BS1387">
            <v>0</v>
          </cell>
          <cell r="BT1387">
            <v>12</v>
          </cell>
          <cell r="BU1387" t="str">
            <v/>
          </cell>
          <cell r="BV1387">
            <v>82</v>
          </cell>
          <cell r="BW1387">
            <v>2</v>
          </cell>
          <cell r="BX1387" t="str">
            <v>TIDAK</v>
          </cell>
          <cell r="BY1387" t="str">
            <v>TIDAK</v>
          </cell>
        </row>
        <row r="1388">
          <cell r="A1388" t="str">
            <v>A4117</v>
          </cell>
          <cell r="B1388" t="str">
            <v>JESSIANA ADE NOVITA</v>
          </cell>
          <cell r="C1388" t="str">
            <v>TEMA HAJI</v>
          </cell>
          <cell r="D1388">
            <v>45462</v>
          </cell>
          <cell r="E1388" t="str">
            <v>Jun-24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 t="str">
            <v>-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 t="str">
            <v/>
          </cell>
          <cell r="AW1388">
            <v>21</v>
          </cell>
          <cell r="AX1388">
            <v>41</v>
          </cell>
          <cell r="AY1388">
            <v>33</v>
          </cell>
          <cell r="AZ1388">
            <v>8</v>
          </cell>
          <cell r="BA1388">
            <v>21</v>
          </cell>
          <cell r="BB1388">
            <v>21</v>
          </cell>
          <cell r="BC1388">
            <v>41</v>
          </cell>
          <cell r="BD1388">
            <v>33</v>
          </cell>
          <cell r="BE1388">
            <v>8</v>
          </cell>
          <cell r="BF1388">
            <v>21</v>
          </cell>
          <cell r="BG1388">
            <v>5</v>
          </cell>
          <cell r="BH1388">
            <v>21</v>
          </cell>
          <cell r="BI1388">
            <v>41</v>
          </cell>
          <cell r="BJ1388">
            <v>33</v>
          </cell>
          <cell r="BK1388">
            <v>8</v>
          </cell>
          <cell r="BL1388">
            <v>21</v>
          </cell>
          <cell r="BM1388">
            <v>14</v>
          </cell>
          <cell r="BN1388">
            <v>143</v>
          </cell>
          <cell r="BO1388">
            <v>5</v>
          </cell>
          <cell r="BP1388">
            <v>21</v>
          </cell>
          <cell r="BQ1388">
            <v>41</v>
          </cell>
          <cell r="BR1388">
            <v>33</v>
          </cell>
          <cell r="BS1388">
            <v>8</v>
          </cell>
          <cell r="BT1388">
            <v>21</v>
          </cell>
          <cell r="BU1388">
            <v>14</v>
          </cell>
          <cell r="BV1388">
            <v>143</v>
          </cell>
          <cell r="BW1388">
            <v>0</v>
          </cell>
          <cell r="BX1388" t="str">
            <v>TIDAK</v>
          </cell>
          <cell r="BY1388" t="str">
            <v>TIDAK</v>
          </cell>
        </row>
        <row r="1389">
          <cell r="A1389" t="str">
            <v>A4124</v>
          </cell>
          <cell r="B1389" t="str">
            <v>MAULANA IHSAN SANTOSO</v>
          </cell>
          <cell r="C1389" t="str">
            <v>TEMA HAJI</v>
          </cell>
          <cell r="D1389">
            <v>45471</v>
          </cell>
          <cell r="E1389" t="str">
            <v>Jun-24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 t="str">
            <v>-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 t="str">
            <v/>
          </cell>
          <cell r="AW1389">
            <v>26</v>
          </cell>
          <cell r="AX1389">
            <v>1</v>
          </cell>
          <cell r="AY1389">
            <v>0</v>
          </cell>
          <cell r="AZ1389">
            <v>0</v>
          </cell>
          <cell r="BA1389">
            <v>0</v>
          </cell>
          <cell r="BB1389">
            <v>26</v>
          </cell>
          <cell r="BC1389">
            <v>1</v>
          </cell>
          <cell r="BD1389">
            <v>0</v>
          </cell>
          <cell r="BE1389">
            <v>0</v>
          </cell>
          <cell r="BF1389">
            <v>0</v>
          </cell>
          <cell r="BG1389">
            <v>2</v>
          </cell>
          <cell r="BH1389">
            <v>26</v>
          </cell>
          <cell r="BI1389">
            <v>1</v>
          </cell>
          <cell r="BJ1389">
            <v>0</v>
          </cell>
          <cell r="BK1389">
            <v>0</v>
          </cell>
          <cell r="BL1389">
            <v>0</v>
          </cell>
          <cell r="BM1389" t="str">
            <v/>
          </cell>
          <cell r="BN1389">
            <v>29</v>
          </cell>
          <cell r="BO1389">
            <v>2</v>
          </cell>
          <cell r="BP1389">
            <v>26</v>
          </cell>
          <cell r="BQ1389">
            <v>1</v>
          </cell>
          <cell r="BR1389">
            <v>0</v>
          </cell>
          <cell r="BS1389">
            <v>0</v>
          </cell>
          <cell r="BT1389">
            <v>0</v>
          </cell>
          <cell r="BU1389" t="str">
            <v/>
          </cell>
          <cell r="BV1389">
            <v>29</v>
          </cell>
          <cell r="BW1389">
            <v>4</v>
          </cell>
          <cell r="BX1389" t="str">
            <v>DOWNGRADE</v>
          </cell>
          <cell r="BY1389" t="str">
            <v>RESET</v>
          </cell>
        </row>
        <row r="1390">
          <cell r="A1390" t="str">
            <v>A4114</v>
          </cell>
          <cell r="B1390" t="str">
            <v>AYU SEKAR MIRAH</v>
          </cell>
          <cell r="C1390" t="str">
            <v>TEMA HAJI</v>
          </cell>
          <cell r="D1390">
            <v>45471</v>
          </cell>
          <cell r="E1390" t="str">
            <v>Jun-24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 t="str">
            <v>-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 t="str">
            <v/>
          </cell>
          <cell r="AW1390">
            <v>13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13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2</v>
          </cell>
          <cell r="BH1390">
            <v>13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 t="str">
            <v/>
          </cell>
          <cell r="BN1390">
            <v>15</v>
          </cell>
          <cell r="BO1390">
            <v>2</v>
          </cell>
          <cell r="BP1390">
            <v>13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 t="str">
            <v/>
          </cell>
          <cell r="BV1390">
            <v>15</v>
          </cell>
          <cell r="BW1390">
            <v>5</v>
          </cell>
          <cell r="BX1390" t="str">
            <v>DOWNGRADE</v>
          </cell>
          <cell r="BY1390" t="str">
            <v>RESET</v>
          </cell>
        </row>
        <row r="1391">
          <cell r="A1391" t="str">
            <v>A4122</v>
          </cell>
          <cell r="B1391" t="str">
            <v>ROSYID WICAKSONO</v>
          </cell>
          <cell r="C1391" t="str">
            <v>TEMA HAJI</v>
          </cell>
          <cell r="D1391">
            <v>45472</v>
          </cell>
          <cell r="E1391" t="str">
            <v>Jun-24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 t="str">
            <v>-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 t="str">
            <v/>
          </cell>
          <cell r="AW1391">
            <v>6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6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1</v>
          </cell>
          <cell r="BH1391">
            <v>6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 t="str">
            <v/>
          </cell>
          <cell r="BN1391">
            <v>7</v>
          </cell>
          <cell r="BO1391">
            <v>1</v>
          </cell>
          <cell r="BP1391">
            <v>6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 t="str">
            <v/>
          </cell>
          <cell r="BV1391">
            <v>7</v>
          </cell>
          <cell r="BW1391">
            <v>5</v>
          </cell>
          <cell r="BX1391" t="str">
            <v>DOWNGRADE</v>
          </cell>
          <cell r="BY1391" t="str">
            <v>RESET</v>
          </cell>
        </row>
        <row r="1392">
          <cell r="A1392" t="str">
            <v>A4115</v>
          </cell>
          <cell r="B1392" t="str">
            <v>REVI ANGGITA</v>
          </cell>
          <cell r="C1392" t="str">
            <v>TEMA HAJI</v>
          </cell>
          <cell r="D1392">
            <v>45477</v>
          </cell>
          <cell r="E1392" t="str">
            <v>Jul-24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 t="str">
            <v>-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 t="str">
            <v/>
          </cell>
          <cell r="AW1392">
            <v>3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3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3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 t="str">
            <v/>
          </cell>
          <cell r="BN1392">
            <v>3</v>
          </cell>
          <cell r="BO1392">
            <v>0</v>
          </cell>
          <cell r="BP1392">
            <v>3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 t="str">
            <v/>
          </cell>
          <cell r="BV1392">
            <v>3</v>
          </cell>
          <cell r="BW1392">
            <v>5</v>
          </cell>
          <cell r="BX1392" t="str">
            <v>DOWNGRADE</v>
          </cell>
          <cell r="BY1392" t="str">
            <v>RESET</v>
          </cell>
        </row>
        <row r="1393">
          <cell r="A1393" t="str">
            <v>A4118</v>
          </cell>
          <cell r="B1393" t="str">
            <v>ANINDYA KUMALALITA</v>
          </cell>
          <cell r="C1393" t="str">
            <v>TEMA HAJI</v>
          </cell>
          <cell r="D1393">
            <v>45474</v>
          </cell>
          <cell r="E1393" t="str">
            <v>Jul-24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 t="str">
            <v>-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 t="str">
            <v/>
          </cell>
          <cell r="AW1393">
            <v>13</v>
          </cell>
          <cell r="AX1393">
            <v>8</v>
          </cell>
          <cell r="AY1393">
            <v>0</v>
          </cell>
          <cell r="AZ1393">
            <v>0</v>
          </cell>
          <cell r="BA1393">
            <v>0</v>
          </cell>
          <cell r="BB1393">
            <v>13</v>
          </cell>
          <cell r="BC1393">
            <v>8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13</v>
          </cell>
          <cell r="BI1393">
            <v>8</v>
          </cell>
          <cell r="BJ1393">
            <v>0</v>
          </cell>
          <cell r="BK1393">
            <v>0</v>
          </cell>
          <cell r="BL1393">
            <v>0</v>
          </cell>
          <cell r="BM1393" t="str">
            <v/>
          </cell>
          <cell r="BN1393">
            <v>21</v>
          </cell>
          <cell r="BO1393">
            <v>0</v>
          </cell>
          <cell r="BP1393">
            <v>13</v>
          </cell>
          <cell r="BQ1393">
            <v>8</v>
          </cell>
          <cell r="BR1393">
            <v>0</v>
          </cell>
          <cell r="BS1393">
            <v>0</v>
          </cell>
          <cell r="BT1393">
            <v>0</v>
          </cell>
          <cell r="BU1393" t="str">
            <v/>
          </cell>
          <cell r="BV1393">
            <v>21</v>
          </cell>
          <cell r="BW1393">
            <v>4</v>
          </cell>
          <cell r="BX1393" t="str">
            <v>DOWNGRADE</v>
          </cell>
          <cell r="BY1393" t="str">
            <v>RESET</v>
          </cell>
        </row>
        <row r="1394">
          <cell r="A1394" t="str">
            <v>A4121</v>
          </cell>
          <cell r="B1394" t="str">
            <v>HINDA NOVIANTI</v>
          </cell>
          <cell r="C1394" t="str">
            <v>TEMA HAJI</v>
          </cell>
          <cell r="D1394">
            <v>45474</v>
          </cell>
          <cell r="E1394" t="str">
            <v>Jul-24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 t="str">
            <v>-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 t="str">
            <v/>
          </cell>
          <cell r="AW1394">
            <v>46</v>
          </cell>
          <cell r="AX1394">
            <v>48</v>
          </cell>
          <cell r="AY1394">
            <v>15</v>
          </cell>
          <cell r="AZ1394">
            <v>0</v>
          </cell>
          <cell r="BA1394">
            <v>27</v>
          </cell>
          <cell r="BB1394">
            <v>46</v>
          </cell>
          <cell r="BC1394">
            <v>48</v>
          </cell>
          <cell r="BD1394">
            <v>15</v>
          </cell>
          <cell r="BE1394">
            <v>0</v>
          </cell>
          <cell r="BF1394">
            <v>27</v>
          </cell>
          <cell r="BG1394">
            <v>0</v>
          </cell>
          <cell r="BH1394">
            <v>46</v>
          </cell>
          <cell r="BI1394">
            <v>48</v>
          </cell>
          <cell r="BJ1394">
            <v>15</v>
          </cell>
          <cell r="BK1394">
            <v>0</v>
          </cell>
          <cell r="BL1394">
            <v>27</v>
          </cell>
          <cell r="BM1394">
            <v>9</v>
          </cell>
          <cell r="BN1394">
            <v>145</v>
          </cell>
          <cell r="BO1394">
            <v>0</v>
          </cell>
          <cell r="BP1394">
            <v>46</v>
          </cell>
          <cell r="BQ1394">
            <v>48</v>
          </cell>
          <cell r="BR1394">
            <v>15</v>
          </cell>
          <cell r="BS1394">
            <v>0</v>
          </cell>
          <cell r="BT1394">
            <v>27</v>
          </cell>
          <cell r="BU1394">
            <v>9</v>
          </cell>
          <cell r="BV1394">
            <v>145</v>
          </cell>
          <cell r="BW1394">
            <v>1</v>
          </cell>
          <cell r="BX1394" t="str">
            <v>TIDAK</v>
          </cell>
          <cell r="BY1394" t="str">
            <v>TIDAK</v>
          </cell>
        </row>
        <row r="1395">
          <cell r="A1395" t="str">
            <v>A4123</v>
          </cell>
          <cell r="B1395" t="str">
            <v>ATIKAH NUR AINI</v>
          </cell>
          <cell r="C1395" t="str">
            <v>TEMA HAJI</v>
          </cell>
          <cell r="D1395">
            <v>45481</v>
          </cell>
          <cell r="E1395" t="str">
            <v>Jul-24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 t="str">
            <v>-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 t="str">
            <v/>
          </cell>
          <cell r="AW1395">
            <v>15</v>
          </cell>
          <cell r="AX1395">
            <v>28</v>
          </cell>
          <cell r="AY1395">
            <v>20</v>
          </cell>
          <cell r="AZ1395">
            <v>1</v>
          </cell>
          <cell r="BA1395">
            <v>8</v>
          </cell>
          <cell r="BB1395">
            <v>15</v>
          </cell>
          <cell r="BC1395">
            <v>28</v>
          </cell>
          <cell r="BD1395">
            <v>20</v>
          </cell>
          <cell r="BE1395">
            <v>1</v>
          </cell>
          <cell r="BF1395">
            <v>8</v>
          </cell>
          <cell r="BG1395">
            <v>0</v>
          </cell>
          <cell r="BH1395">
            <v>15</v>
          </cell>
          <cell r="BI1395">
            <v>28</v>
          </cell>
          <cell r="BJ1395">
            <v>20</v>
          </cell>
          <cell r="BK1395">
            <v>1</v>
          </cell>
          <cell r="BL1395">
            <v>8</v>
          </cell>
          <cell r="BM1395" t="str">
            <v/>
          </cell>
          <cell r="BN1395">
            <v>72</v>
          </cell>
          <cell r="BO1395">
            <v>0</v>
          </cell>
          <cell r="BP1395">
            <v>15</v>
          </cell>
          <cell r="BQ1395">
            <v>28</v>
          </cell>
          <cell r="BR1395">
            <v>20</v>
          </cell>
          <cell r="BS1395">
            <v>1</v>
          </cell>
          <cell r="BT1395">
            <v>8</v>
          </cell>
          <cell r="BU1395" t="str">
            <v/>
          </cell>
          <cell r="BV1395">
            <v>72</v>
          </cell>
          <cell r="BW1395">
            <v>1</v>
          </cell>
          <cell r="BX1395" t="str">
            <v>TIDAK</v>
          </cell>
          <cell r="BY1395" t="str">
            <v>TIDAK</v>
          </cell>
        </row>
        <row r="1396">
          <cell r="A1396" t="str">
            <v>A4125</v>
          </cell>
          <cell r="B1396" t="str">
            <v>TESA LONIKA HUTASOIT</v>
          </cell>
          <cell r="C1396" t="str">
            <v>TEMA HAJI</v>
          </cell>
          <cell r="D1396">
            <v>45481</v>
          </cell>
          <cell r="E1396" t="str">
            <v>Jul-24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 t="str">
            <v>-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 t="str">
            <v/>
          </cell>
          <cell r="AW1396">
            <v>16</v>
          </cell>
          <cell r="AX1396">
            <v>14</v>
          </cell>
          <cell r="AY1396">
            <v>0</v>
          </cell>
          <cell r="AZ1396">
            <v>0</v>
          </cell>
          <cell r="BA1396">
            <v>0</v>
          </cell>
          <cell r="BB1396">
            <v>16</v>
          </cell>
          <cell r="BC1396">
            <v>14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16</v>
          </cell>
          <cell r="BI1396">
            <v>14</v>
          </cell>
          <cell r="BJ1396">
            <v>0</v>
          </cell>
          <cell r="BK1396">
            <v>0</v>
          </cell>
          <cell r="BL1396">
            <v>0</v>
          </cell>
          <cell r="BM1396" t="str">
            <v/>
          </cell>
          <cell r="BN1396">
            <v>30</v>
          </cell>
          <cell r="BO1396">
            <v>0</v>
          </cell>
          <cell r="BP1396">
            <v>16</v>
          </cell>
          <cell r="BQ1396">
            <v>14</v>
          </cell>
          <cell r="BR1396">
            <v>0</v>
          </cell>
          <cell r="BS1396">
            <v>0</v>
          </cell>
          <cell r="BT1396">
            <v>0</v>
          </cell>
          <cell r="BU1396" t="str">
            <v/>
          </cell>
          <cell r="BV1396">
            <v>30</v>
          </cell>
          <cell r="BW1396">
            <v>4</v>
          </cell>
          <cell r="BX1396" t="str">
            <v>DOWNGRADE</v>
          </cell>
          <cell r="BY1396" t="str">
            <v>RESET</v>
          </cell>
        </row>
        <row r="1397">
          <cell r="A1397" t="str">
            <v>A4116</v>
          </cell>
          <cell r="B1397" t="str">
            <v>MUTIARA AZZAHRA</v>
          </cell>
          <cell r="C1397" t="str">
            <v>TEMA HAJI</v>
          </cell>
          <cell r="D1397">
            <v>45474</v>
          </cell>
          <cell r="E1397" t="str">
            <v>Jul-24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 t="str">
            <v>-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 t="str">
            <v/>
          </cell>
          <cell r="AW1397">
            <v>1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1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1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 t="str">
            <v/>
          </cell>
          <cell r="BN1397">
            <v>1</v>
          </cell>
          <cell r="BO1397">
            <v>0</v>
          </cell>
          <cell r="BP1397">
            <v>1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 t="str">
            <v/>
          </cell>
          <cell r="BV1397">
            <v>1</v>
          </cell>
          <cell r="BW1397">
            <v>5</v>
          </cell>
          <cell r="BX1397" t="str">
            <v>DOWNGRADE</v>
          </cell>
          <cell r="BY1397" t="str">
            <v>RESET</v>
          </cell>
        </row>
        <row r="1398">
          <cell r="A1398" t="str">
            <v>A4119</v>
          </cell>
          <cell r="B1398" t="str">
            <v>NUR ELISA</v>
          </cell>
          <cell r="C1398" t="str">
            <v>TEMA HAJI</v>
          </cell>
          <cell r="D1398">
            <v>45474</v>
          </cell>
          <cell r="E1398" t="str">
            <v>Jul-24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 t="str">
            <v>-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 t="str">
            <v/>
          </cell>
          <cell r="AW1398">
            <v>17</v>
          </cell>
          <cell r="AX1398">
            <v>20</v>
          </cell>
          <cell r="AY1398">
            <v>0</v>
          </cell>
          <cell r="AZ1398">
            <v>0</v>
          </cell>
          <cell r="BA1398">
            <v>24</v>
          </cell>
          <cell r="BB1398">
            <v>17</v>
          </cell>
          <cell r="BC1398">
            <v>20</v>
          </cell>
          <cell r="BD1398">
            <v>0</v>
          </cell>
          <cell r="BE1398">
            <v>0</v>
          </cell>
          <cell r="BF1398">
            <v>24</v>
          </cell>
          <cell r="BG1398">
            <v>0</v>
          </cell>
          <cell r="BH1398">
            <v>17</v>
          </cell>
          <cell r="BI1398">
            <v>20</v>
          </cell>
          <cell r="BJ1398">
            <v>0</v>
          </cell>
          <cell r="BK1398">
            <v>0</v>
          </cell>
          <cell r="BL1398">
            <v>24</v>
          </cell>
          <cell r="BM1398">
            <v>12</v>
          </cell>
          <cell r="BN1398">
            <v>73</v>
          </cell>
          <cell r="BO1398">
            <v>0</v>
          </cell>
          <cell r="BP1398">
            <v>17</v>
          </cell>
          <cell r="BQ1398">
            <v>20</v>
          </cell>
          <cell r="BR1398">
            <v>0</v>
          </cell>
          <cell r="BS1398">
            <v>0</v>
          </cell>
          <cell r="BT1398">
            <v>24</v>
          </cell>
          <cell r="BU1398">
            <v>12</v>
          </cell>
          <cell r="BV1398">
            <v>73</v>
          </cell>
          <cell r="BW1398">
            <v>2</v>
          </cell>
          <cell r="BX1398" t="str">
            <v>TIDAK</v>
          </cell>
          <cell r="BY1398" t="str">
            <v>TIDAK</v>
          </cell>
        </row>
        <row r="1399">
          <cell r="A1399" t="str">
            <v>A4120</v>
          </cell>
          <cell r="B1399" t="str">
            <v>NIA FEBRIANITA</v>
          </cell>
          <cell r="C1399" t="str">
            <v>TEMA HAJI</v>
          </cell>
          <cell r="D1399">
            <v>45486</v>
          </cell>
          <cell r="E1399" t="str">
            <v>Jul-24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 t="str">
            <v>-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 t="str">
            <v/>
          </cell>
          <cell r="AW1399">
            <v>2</v>
          </cell>
          <cell r="AX1399">
            <v>8</v>
          </cell>
          <cell r="AY1399">
            <v>0</v>
          </cell>
          <cell r="AZ1399">
            <v>0</v>
          </cell>
          <cell r="BA1399">
            <v>0</v>
          </cell>
          <cell r="BB1399">
            <v>2</v>
          </cell>
          <cell r="BC1399">
            <v>8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2</v>
          </cell>
          <cell r="BI1399">
            <v>8</v>
          </cell>
          <cell r="BJ1399">
            <v>0</v>
          </cell>
          <cell r="BK1399">
            <v>0</v>
          </cell>
          <cell r="BL1399">
            <v>0</v>
          </cell>
          <cell r="BM1399" t="str">
            <v/>
          </cell>
          <cell r="BN1399">
            <v>10</v>
          </cell>
          <cell r="BO1399">
            <v>0</v>
          </cell>
          <cell r="BP1399">
            <v>2</v>
          </cell>
          <cell r="BQ1399">
            <v>8</v>
          </cell>
          <cell r="BR1399">
            <v>0</v>
          </cell>
          <cell r="BS1399">
            <v>0</v>
          </cell>
          <cell r="BT1399">
            <v>0</v>
          </cell>
          <cell r="BU1399" t="str">
            <v/>
          </cell>
          <cell r="BV1399">
            <v>10</v>
          </cell>
          <cell r="BW1399">
            <v>4</v>
          </cell>
          <cell r="BX1399" t="str">
            <v>DOWNGRADE</v>
          </cell>
          <cell r="BY1399" t="str">
            <v>RESET</v>
          </cell>
        </row>
        <row r="1400">
          <cell r="A1400" t="str">
            <v>A4281</v>
          </cell>
          <cell r="B1400" t="str">
            <v>ALJAZEERA ISLAMI</v>
          </cell>
          <cell r="C1400" t="str">
            <v>TEMA HAJI</v>
          </cell>
          <cell r="D1400">
            <v>45548</v>
          </cell>
          <cell r="E1400" t="str">
            <v>Sep-24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 t="str">
            <v>-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 t="str">
            <v/>
          </cell>
          <cell r="AW1400">
            <v>0</v>
          </cell>
          <cell r="AX1400">
            <v>0</v>
          </cell>
          <cell r="AY1400">
            <v>1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1</v>
          </cell>
          <cell r="BE1400">
            <v>0</v>
          </cell>
          <cell r="BF1400">
            <v>0</v>
          </cell>
          <cell r="BG1400" t="str">
            <v/>
          </cell>
          <cell r="BH1400">
            <v>0</v>
          </cell>
          <cell r="BI1400">
            <v>0</v>
          </cell>
          <cell r="BJ1400">
            <v>1</v>
          </cell>
          <cell r="BK1400">
            <v>0</v>
          </cell>
          <cell r="BL1400">
            <v>0</v>
          </cell>
          <cell r="BM1400" t="str">
            <v/>
          </cell>
          <cell r="BN1400">
            <v>1</v>
          </cell>
          <cell r="BO1400" t="str">
            <v/>
          </cell>
          <cell r="BP1400">
            <v>0</v>
          </cell>
          <cell r="BQ1400">
            <v>0</v>
          </cell>
          <cell r="BR1400">
            <v>1</v>
          </cell>
          <cell r="BS1400">
            <v>0</v>
          </cell>
          <cell r="BT1400">
            <v>0</v>
          </cell>
          <cell r="BU1400" t="str">
            <v/>
          </cell>
          <cell r="BV1400">
            <v>1</v>
          </cell>
          <cell r="BW1400">
            <v>3</v>
          </cell>
          <cell r="BX1400" t="str">
            <v>DOWNGRADE</v>
          </cell>
          <cell r="BY1400" t="str">
            <v>RESET</v>
          </cell>
        </row>
        <row r="1401">
          <cell r="A1401" t="str">
            <v>A4282</v>
          </cell>
          <cell r="B1401" t="str">
            <v>NAILA TAZKIYYA ROSYIDA</v>
          </cell>
          <cell r="C1401" t="str">
            <v>TEMA HAJI</v>
          </cell>
          <cell r="D1401">
            <v>45548</v>
          </cell>
          <cell r="E1401" t="str">
            <v>Sep-24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 t="str">
            <v>-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 t="str">
            <v/>
          </cell>
          <cell r="AW1401">
            <v>0</v>
          </cell>
          <cell r="AX1401">
            <v>0</v>
          </cell>
          <cell r="AY1401">
            <v>1</v>
          </cell>
          <cell r="AZ1401">
            <v>21</v>
          </cell>
          <cell r="BA1401">
            <v>12</v>
          </cell>
          <cell r="BB1401">
            <v>0</v>
          </cell>
          <cell r="BC1401">
            <v>0</v>
          </cell>
          <cell r="BD1401">
            <v>1</v>
          </cell>
          <cell r="BE1401">
            <v>21</v>
          </cell>
          <cell r="BF1401">
            <v>12</v>
          </cell>
          <cell r="BG1401" t="str">
            <v/>
          </cell>
          <cell r="BH1401">
            <v>0</v>
          </cell>
          <cell r="BI1401">
            <v>0</v>
          </cell>
          <cell r="BJ1401">
            <v>1</v>
          </cell>
          <cell r="BK1401">
            <v>21</v>
          </cell>
          <cell r="BL1401">
            <v>12</v>
          </cell>
          <cell r="BM1401">
            <v>13</v>
          </cell>
          <cell r="BN1401">
            <v>47</v>
          </cell>
          <cell r="BO1401" t="str">
            <v/>
          </cell>
          <cell r="BP1401">
            <v>0</v>
          </cell>
          <cell r="BQ1401">
            <v>0</v>
          </cell>
          <cell r="BR1401">
            <v>1</v>
          </cell>
          <cell r="BS1401">
            <v>21</v>
          </cell>
          <cell r="BT1401">
            <v>12</v>
          </cell>
          <cell r="BU1401">
            <v>13</v>
          </cell>
          <cell r="BV1401">
            <v>47</v>
          </cell>
          <cell r="BW1401">
            <v>0</v>
          </cell>
          <cell r="BX1401" t="str">
            <v>TIDAK</v>
          </cell>
          <cell r="BY1401" t="str">
            <v>TIDAK</v>
          </cell>
        </row>
        <row r="1402">
          <cell r="A1402" t="str">
            <v>A4283</v>
          </cell>
          <cell r="B1402" t="str">
            <v>TIARA AGIS RAMDHANI</v>
          </cell>
          <cell r="C1402" t="str">
            <v>TEMA HAJI</v>
          </cell>
          <cell r="D1402">
            <v>45549</v>
          </cell>
          <cell r="E1402" t="str">
            <v>Sep-24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 t="str">
            <v>-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 t="str">
            <v/>
          </cell>
          <cell r="AW1402">
            <v>0</v>
          </cell>
          <cell r="AX1402">
            <v>0</v>
          </cell>
          <cell r="AY1402">
            <v>1</v>
          </cell>
          <cell r="AZ1402">
            <v>15</v>
          </cell>
          <cell r="BA1402">
            <v>0</v>
          </cell>
          <cell r="BB1402">
            <v>0</v>
          </cell>
          <cell r="BC1402">
            <v>0</v>
          </cell>
          <cell r="BD1402">
            <v>1</v>
          </cell>
          <cell r="BE1402">
            <v>15</v>
          </cell>
          <cell r="BF1402">
            <v>0</v>
          </cell>
          <cell r="BG1402" t="str">
            <v/>
          </cell>
          <cell r="BH1402">
            <v>0</v>
          </cell>
          <cell r="BI1402">
            <v>0</v>
          </cell>
          <cell r="BJ1402">
            <v>1</v>
          </cell>
          <cell r="BK1402">
            <v>15</v>
          </cell>
          <cell r="BL1402">
            <v>0</v>
          </cell>
          <cell r="BM1402" t="str">
            <v/>
          </cell>
          <cell r="BN1402">
            <v>16</v>
          </cell>
          <cell r="BO1402" t="str">
            <v/>
          </cell>
          <cell r="BP1402">
            <v>0</v>
          </cell>
          <cell r="BQ1402">
            <v>0</v>
          </cell>
          <cell r="BR1402">
            <v>1</v>
          </cell>
          <cell r="BS1402">
            <v>15</v>
          </cell>
          <cell r="BT1402">
            <v>0</v>
          </cell>
          <cell r="BU1402" t="str">
            <v/>
          </cell>
          <cell r="BV1402">
            <v>16</v>
          </cell>
          <cell r="BW1402">
            <v>2</v>
          </cell>
          <cell r="BX1402" t="str">
            <v>TIDAK</v>
          </cell>
          <cell r="BY1402" t="str">
            <v>TIDAK</v>
          </cell>
        </row>
        <row r="1403">
          <cell r="A1403" t="str">
            <v>A4280</v>
          </cell>
          <cell r="B1403" t="str">
            <v>AGIL OKTANONA</v>
          </cell>
          <cell r="C1403" t="str">
            <v>TEMA HAJI</v>
          </cell>
          <cell r="D1403">
            <v>45556</v>
          </cell>
          <cell r="E1403" t="str">
            <v>Sep-24</v>
          </cell>
          <cell r="AP1403" t="str">
            <v>-</v>
          </cell>
          <cell r="AV1403" t="str">
            <v/>
          </cell>
          <cell r="AW1403">
            <v>0</v>
          </cell>
          <cell r="AX1403">
            <v>0</v>
          </cell>
          <cell r="AY1403">
            <v>1</v>
          </cell>
          <cell r="AZ1403">
            <v>10</v>
          </cell>
          <cell r="BA1403">
            <v>1</v>
          </cell>
          <cell r="BB1403">
            <v>0</v>
          </cell>
          <cell r="BC1403">
            <v>0</v>
          </cell>
          <cell r="BD1403">
            <v>1</v>
          </cell>
          <cell r="BE1403">
            <v>10</v>
          </cell>
          <cell r="BF1403">
            <v>1</v>
          </cell>
          <cell r="BG1403" t="str">
            <v/>
          </cell>
          <cell r="BH1403">
            <v>0</v>
          </cell>
          <cell r="BJ1403">
            <v>1</v>
          </cell>
          <cell r="BK1403">
            <v>10</v>
          </cell>
          <cell r="BL1403">
            <v>1</v>
          </cell>
          <cell r="BM1403" t="str">
            <v/>
          </cell>
          <cell r="BN1403">
            <v>12</v>
          </cell>
          <cell r="BO1403" t="str">
            <v/>
          </cell>
          <cell r="BP1403">
            <v>0</v>
          </cell>
          <cell r="BQ1403">
            <v>0</v>
          </cell>
          <cell r="BR1403">
            <v>1</v>
          </cell>
          <cell r="BS1403">
            <v>10</v>
          </cell>
          <cell r="BT1403">
            <v>1</v>
          </cell>
          <cell r="BU1403" t="str">
            <v/>
          </cell>
          <cell r="BV1403">
            <v>12</v>
          </cell>
          <cell r="BW1403">
            <v>1</v>
          </cell>
          <cell r="BX1403" t="str">
            <v>TIDAK</v>
          </cell>
          <cell r="BY1403" t="str">
            <v>TIDAK</v>
          </cell>
        </row>
        <row r="1404">
          <cell r="A1404" t="str">
            <v>A4349</v>
          </cell>
          <cell r="B1404" t="str">
            <v>BAYU ANGGORO PUTRO</v>
          </cell>
          <cell r="C1404" t="str">
            <v>TEMA HAJI</v>
          </cell>
          <cell r="D1404">
            <v>45581</v>
          </cell>
          <cell r="E1404" t="str">
            <v>Oct-24</v>
          </cell>
          <cell r="AP1404" t="str">
            <v>-</v>
          </cell>
          <cell r="AV1404" t="str">
            <v/>
          </cell>
          <cell r="AW1404">
            <v>0</v>
          </cell>
          <cell r="AX1404">
            <v>0</v>
          </cell>
          <cell r="AY1404">
            <v>0</v>
          </cell>
          <cell r="AZ1404">
            <v>44</v>
          </cell>
          <cell r="BA1404">
            <v>30</v>
          </cell>
          <cell r="BB1404">
            <v>0</v>
          </cell>
          <cell r="BC1404">
            <v>0</v>
          </cell>
          <cell r="BD1404">
            <v>0</v>
          </cell>
          <cell r="BE1404">
            <v>44</v>
          </cell>
          <cell r="BF1404">
            <v>30</v>
          </cell>
          <cell r="BG1404" t="str">
            <v/>
          </cell>
          <cell r="BH1404">
            <v>0</v>
          </cell>
          <cell r="BJ1404">
            <v>0</v>
          </cell>
          <cell r="BK1404">
            <v>44</v>
          </cell>
          <cell r="BL1404">
            <v>30</v>
          </cell>
          <cell r="BM1404" t="str">
            <v/>
          </cell>
          <cell r="BN1404">
            <v>74</v>
          </cell>
          <cell r="BO1404" t="str">
            <v/>
          </cell>
          <cell r="BP1404">
            <v>0</v>
          </cell>
          <cell r="BQ1404">
            <v>0</v>
          </cell>
          <cell r="BR1404">
            <v>0</v>
          </cell>
          <cell r="BS1404">
            <v>44</v>
          </cell>
          <cell r="BT1404">
            <v>30</v>
          </cell>
          <cell r="BU1404" t="str">
            <v/>
          </cell>
          <cell r="BV1404">
            <v>74</v>
          </cell>
          <cell r="BW1404">
            <v>1</v>
          </cell>
          <cell r="BX1404" t="str">
            <v>TIDAK</v>
          </cell>
          <cell r="BY1404" t="str">
            <v>TIDAK</v>
          </cell>
        </row>
        <row r="1405">
          <cell r="A1405" t="str">
            <v>A4354</v>
          </cell>
          <cell r="B1405" t="str">
            <v>FAHMI MUSTIKA</v>
          </cell>
          <cell r="C1405" t="str">
            <v>TEMA HAJI</v>
          </cell>
          <cell r="D1405">
            <v>45581</v>
          </cell>
          <cell r="E1405" t="str">
            <v>Oct-24</v>
          </cell>
          <cell r="AP1405" t="str">
            <v>-</v>
          </cell>
          <cell r="AV1405" t="str">
            <v/>
          </cell>
          <cell r="AW1405">
            <v>0</v>
          </cell>
          <cell r="AX1405">
            <v>0</v>
          </cell>
          <cell r="AY1405">
            <v>0</v>
          </cell>
          <cell r="AZ1405">
            <v>11</v>
          </cell>
          <cell r="BA1405">
            <v>2</v>
          </cell>
          <cell r="BB1405">
            <v>0</v>
          </cell>
          <cell r="BC1405">
            <v>0</v>
          </cell>
          <cell r="BD1405">
            <v>0</v>
          </cell>
          <cell r="BE1405">
            <v>11</v>
          </cell>
          <cell r="BF1405">
            <v>2</v>
          </cell>
          <cell r="BG1405" t="str">
            <v/>
          </cell>
          <cell r="BH1405">
            <v>0</v>
          </cell>
          <cell r="BJ1405">
            <v>0</v>
          </cell>
          <cell r="BK1405">
            <v>11</v>
          </cell>
          <cell r="BL1405">
            <v>2</v>
          </cell>
          <cell r="BM1405" t="str">
            <v/>
          </cell>
          <cell r="BN1405">
            <v>13</v>
          </cell>
          <cell r="BO1405" t="str">
            <v/>
          </cell>
          <cell r="BP1405">
            <v>0</v>
          </cell>
          <cell r="BQ1405">
            <v>0</v>
          </cell>
          <cell r="BR1405">
            <v>0</v>
          </cell>
          <cell r="BS1405">
            <v>11</v>
          </cell>
          <cell r="BT1405">
            <v>2</v>
          </cell>
          <cell r="BU1405" t="str">
            <v/>
          </cell>
          <cell r="BV1405">
            <v>13</v>
          </cell>
          <cell r="BW1405">
            <v>1</v>
          </cell>
          <cell r="BX1405" t="str">
            <v>TIDAK</v>
          </cell>
          <cell r="BY1405" t="str">
            <v>TIDAK</v>
          </cell>
        </row>
        <row r="1406">
          <cell r="A1406" t="str">
            <v>A4353</v>
          </cell>
          <cell r="B1406" t="str">
            <v>SYEIZA FEBRIYANA</v>
          </cell>
          <cell r="C1406" t="str">
            <v>TEMA HAJI</v>
          </cell>
          <cell r="D1406">
            <v>45581</v>
          </cell>
          <cell r="E1406" t="str">
            <v>Oct-24</v>
          </cell>
          <cell r="AP1406" t="str">
            <v>-</v>
          </cell>
          <cell r="AV1406" t="str">
            <v/>
          </cell>
          <cell r="AW1406">
            <v>0</v>
          </cell>
          <cell r="AX1406">
            <v>0</v>
          </cell>
          <cell r="AY1406">
            <v>0</v>
          </cell>
          <cell r="AZ1406">
            <v>14</v>
          </cell>
          <cell r="BA1406">
            <v>6</v>
          </cell>
          <cell r="BB1406">
            <v>0</v>
          </cell>
          <cell r="BC1406">
            <v>0</v>
          </cell>
          <cell r="BD1406">
            <v>0</v>
          </cell>
          <cell r="BE1406">
            <v>14</v>
          </cell>
          <cell r="BF1406">
            <v>6</v>
          </cell>
          <cell r="BG1406" t="str">
            <v/>
          </cell>
          <cell r="BH1406">
            <v>0</v>
          </cell>
          <cell r="BJ1406">
            <v>0</v>
          </cell>
          <cell r="BK1406">
            <v>14</v>
          </cell>
          <cell r="BL1406">
            <v>6</v>
          </cell>
          <cell r="BM1406" t="str">
            <v/>
          </cell>
          <cell r="BN1406">
            <v>20</v>
          </cell>
          <cell r="BO1406" t="str">
            <v/>
          </cell>
          <cell r="BP1406">
            <v>0</v>
          </cell>
          <cell r="BQ1406">
            <v>0</v>
          </cell>
          <cell r="BR1406">
            <v>0</v>
          </cell>
          <cell r="BS1406">
            <v>14</v>
          </cell>
          <cell r="BT1406">
            <v>6</v>
          </cell>
          <cell r="BU1406" t="str">
            <v/>
          </cell>
          <cell r="BV1406">
            <v>20</v>
          </cell>
          <cell r="BW1406">
            <v>1</v>
          </cell>
          <cell r="BX1406" t="str">
            <v>TIDAK</v>
          </cell>
          <cell r="BY1406" t="str">
            <v>TIDAK</v>
          </cell>
        </row>
        <row r="1407">
          <cell r="A1407" t="str">
            <v>A4395</v>
          </cell>
          <cell r="B1407" t="str">
            <v>NUR JAMILAH</v>
          </cell>
          <cell r="C1407" t="str">
            <v>TEMA HAJI</v>
          </cell>
          <cell r="D1407">
            <v>45586</v>
          </cell>
          <cell r="E1407" t="str">
            <v>Oct-24</v>
          </cell>
          <cell r="AP1407" t="str">
            <v>-</v>
          </cell>
          <cell r="AV1407" t="str">
            <v/>
          </cell>
          <cell r="AW1407">
            <v>0</v>
          </cell>
          <cell r="AX1407">
            <v>0</v>
          </cell>
          <cell r="AY1407">
            <v>0</v>
          </cell>
          <cell r="AZ1407">
            <v>14</v>
          </cell>
          <cell r="BA1407">
            <v>6</v>
          </cell>
          <cell r="BB1407">
            <v>0</v>
          </cell>
          <cell r="BC1407">
            <v>0</v>
          </cell>
          <cell r="BD1407">
            <v>0</v>
          </cell>
          <cell r="BE1407">
            <v>14</v>
          </cell>
          <cell r="BF1407">
            <v>6</v>
          </cell>
          <cell r="BG1407" t="str">
            <v/>
          </cell>
          <cell r="BH1407">
            <v>0</v>
          </cell>
          <cell r="BJ1407">
            <v>0</v>
          </cell>
          <cell r="BK1407">
            <v>14</v>
          </cell>
          <cell r="BL1407">
            <v>6</v>
          </cell>
          <cell r="BM1407" t="str">
            <v/>
          </cell>
          <cell r="BN1407">
            <v>20</v>
          </cell>
          <cell r="BO1407" t="str">
            <v/>
          </cell>
          <cell r="BP1407">
            <v>0</v>
          </cell>
          <cell r="BQ1407">
            <v>0</v>
          </cell>
          <cell r="BR1407">
            <v>0</v>
          </cell>
          <cell r="BS1407">
            <v>14</v>
          </cell>
          <cell r="BT1407">
            <v>6</v>
          </cell>
          <cell r="BU1407" t="str">
            <v/>
          </cell>
          <cell r="BV1407">
            <v>20</v>
          </cell>
          <cell r="BW1407">
            <v>1</v>
          </cell>
          <cell r="BX1407" t="str">
            <v>TIDAK</v>
          </cell>
          <cell r="BY1407" t="str">
            <v>TIDAK</v>
          </cell>
        </row>
        <row r="1408">
          <cell r="A1408" t="str">
            <v>A4397</v>
          </cell>
          <cell r="B1408" t="str">
            <v>CHYANA KHOIRUN RISKYANI</v>
          </cell>
          <cell r="C1408" t="str">
            <v>TEMA HAJI</v>
          </cell>
          <cell r="D1408">
            <v>45586</v>
          </cell>
          <cell r="E1408" t="str">
            <v>Oct-24</v>
          </cell>
          <cell r="AP1408" t="str">
            <v>-</v>
          </cell>
          <cell r="AV1408" t="str">
            <v/>
          </cell>
          <cell r="AW1408">
            <v>0</v>
          </cell>
          <cell r="AX1408">
            <v>0</v>
          </cell>
          <cell r="AY1408">
            <v>0</v>
          </cell>
          <cell r="AZ1408">
            <v>11</v>
          </cell>
          <cell r="BA1408">
            <v>17</v>
          </cell>
          <cell r="BB1408">
            <v>0</v>
          </cell>
          <cell r="BC1408">
            <v>0</v>
          </cell>
          <cell r="BD1408">
            <v>0</v>
          </cell>
          <cell r="BE1408">
            <v>11</v>
          </cell>
          <cell r="BF1408">
            <v>17</v>
          </cell>
          <cell r="BG1408" t="str">
            <v/>
          </cell>
          <cell r="BH1408">
            <v>0</v>
          </cell>
          <cell r="BJ1408">
            <v>0</v>
          </cell>
          <cell r="BK1408">
            <v>11</v>
          </cell>
          <cell r="BL1408">
            <v>17</v>
          </cell>
          <cell r="BM1408">
            <v>11</v>
          </cell>
          <cell r="BN1408">
            <v>39</v>
          </cell>
          <cell r="BO1408" t="str">
            <v/>
          </cell>
          <cell r="BP1408">
            <v>0</v>
          </cell>
          <cell r="BQ1408">
            <v>0</v>
          </cell>
          <cell r="BR1408">
            <v>0</v>
          </cell>
          <cell r="BS1408">
            <v>11</v>
          </cell>
          <cell r="BT1408">
            <v>17</v>
          </cell>
          <cell r="BU1408">
            <v>11</v>
          </cell>
          <cell r="BV1408">
            <v>39</v>
          </cell>
          <cell r="BW1408">
            <v>0</v>
          </cell>
          <cell r="BX1408" t="str">
            <v>TIDAK</v>
          </cell>
          <cell r="BY1408" t="str">
            <v>TIDAK</v>
          </cell>
        </row>
        <row r="1409">
          <cell r="A1409" t="str">
            <v>A4398</v>
          </cell>
          <cell r="B1409" t="str">
            <v>BINTANG OKTAFIANI</v>
          </cell>
          <cell r="C1409" t="str">
            <v>TEMA HAJI</v>
          </cell>
          <cell r="D1409">
            <v>45586</v>
          </cell>
          <cell r="E1409" t="str">
            <v>Oct-24</v>
          </cell>
          <cell r="AP1409" t="str">
            <v>-</v>
          </cell>
          <cell r="AV1409" t="str">
            <v/>
          </cell>
          <cell r="AW1409">
            <v>0</v>
          </cell>
          <cell r="AX1409">
            <v>0</v>
          </cell>
          <cell r="AY1409">
            <v>0</v>
          </cell>
          <cell r="AZ1409">
            <v>11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11</v>
          </cell>
          <cell r="BF1409">
            <v>0</v>
          </cell>
          <cell r="BG1409" t="str">
            <v/>
          </cell>
          <cell r="BH1409">
            <v>0</v>
          </cell>
          <cell r="BJ1409">
            <v>0</v>
          </cell>
          <cell r="BK1409">
            <v>11</v>
          </cell>
          <cell r="BM1409" t="str">
            <v/>
          </cell>
          <cell r="BN1409">
            <v>11</v>
          </cell>
          <cell r="BO1409" t="str">
            <v/>
          </cell>
          <cell r="BP1409">
            <v>0</v>
          </cell>
          <cell r="BQ1409">
            <v>0</v>
          </cell>
          <cell r="BR1409">
            <v>0</v>
          </cell>
          <cell r="BS1409">
            <v>11</v>
          </cell>
          <cell r="BT1409">
            <v>0</v>
          </cell>
          <cell r="BU1409" t="str">
            <v/>
          </cell>
          <cell r="BV1409">
            <v>11</v>
          </cell>
          <cell r="BW1409">
            <v>2</v>
          </cell>
          <cell r="BX1409" t="str">
            <v>TIDAK</v>
          </cell>
          <cell r="BY1409" t="str">
            <v>TIDAK</v>
          </cell>
        </row>
        <row r="1410">
          <cell r="A1410" t="str">
            <v>A1802</v>
          </cell>
          <cell r="B1410" t="str">
            <v>ZAQIYA PERMATA RISDA</v>
          </cell>
          <cell r="C1410" t="str">
            <v>TEMA HAJI</v>
          </cell>
          <cell r="D1410">
            <v>45588</v>
          </cell>
          <cell r="E1410" t="str">
            <v>Oct-24</v>
          </cell>
          <cell r="AP1410" t="str">
            <v>-</v>
          </cell>
          <cell r="AV1410" t="str">
            <v/>
          </cell>
          <cell r="AW1410">
            <v>0</v>
          </cell>
          <cell r="AX1410">
            <v>0</v>
          </cell>
          <cell r="AY1410">
            <v>0</v>
          </cell>
          <cell r="AZ1410">
            <v>13</v>
          </cell>
          <cell r="BA1410">
            <v>17</v>
          </cell>
          <cell r="BB1410">
            <v>0</v>
          </cell>
          <cell r="BC1410">
            <v>0</v>
          </cell>
          <cell r="BD1410">
            <v>0</v>
          </cell>
          <cell r="BE1410">
            <v>13</v>
          </cell>
          <cell r="BF1410">
            <v>17</v>
          </cell>
          <cell r="BG1410" t="str">
            <v/>
          </cell>
          <cell r="BH1410">
            <v>0</v>
          </cell>
          <cell r="BJ1410">
            <v>0</v>
          </cell>
          <cell r="BK1410">
            <v>13</v>
          </cell>
          <cell r="BL1410">
            <v>17</v>
          </cell>
          <cell r="BM1410">
            <v>12</v>
          </cell>
          <cell r="BN1410">
            <v>42</v>
          </cell>
          <cell r="BO1410" t="str">
            <v/>
          </cell>
          <cell r="BP1410">
            <v>0</v>
          </cell>
          <cell r="BQ1410">
            <v>0</v>
          </cell>
          <cell r="BR1410">
            <v>0</v>
          </cell>
          <cell r="BS1410">
            <v>13</v>
          </cell>
          <cell r="BT1410">
            <v>17</v>
          </cell>
          <cell r="BU1410">
            <v>12</v>
          </cell>
          <cell r="BV1410">
            <v>42</v>
          </cell>
          <cell r="BW1410">
            <v>0</v>
          </cell>
          <cell r="BX1410" t="str">
            <v>TIDAK</v>
          </cell>
          <cell r="BY1410" t="str">
            <v>TIDAK</v>
          </cell>
        </row>
        <row r="1411">
          <cell r="A1411" t="str">
            <v>A4399</v>
          </cell>
          <cell r="B1411" t="str">
            <v>ANISA AULIA RAHMA</v>
          </cell>
          <cell r="C1411" t="str">
            <v>TEMA HAJI</v>
          </cell>
          <cell r="D1411">
            <v>45587</v>
          </cell>
          <cell r="E1411" t="str">
            <v>Oct-24</v>
          </cell>
          <cell r="AP1411" t="str">
            <v>-</v>
          </cell>
          <cell r="AV1411" t="str">
            <v/>
          </cell>
          <cell r="AW1411">
            <v>0</v>
          </cell>
          <cell r="AX1411">
            <v>0</v>
          </cell>
          <cell r="AY1411">
            <v>0</v>
          </cell>
          <cell r="AZ1411">
            <v>9</v>
          </cell>
          <cell r="BA1411">
            <v>30</v>
          </cell>
          <cell r="BB1411">
            <v>0</v>
          </cell>
          <cell r="BC1411">
            <v>0</v>
          </cell>
          <cell r="BD1411">
            <v>0</v>
          </cell>
          <cell r="BE1411">
            <v>9</v>
          </cell>
          <cell r="BF1411">
            <v>30</v>
          </cell>
          <cell r="BG1411" t="str">
            <v/>
          </cell>
          <cell r="BH1411">
            <v>0</v>
          </cell>
          <cell r="BJ1411">
            <v>0</v>
          </cell>
          <cell r="BK1411">
            <v>9</v>
          </cell>
          <cell r="BL1411">
            <v>30</v>
          </cell>
          <cell r="BM1411">
            <v>15</v>
          </cell>
          <cell r="BN1411">
            <v>54</v>
          </cell>
          <cell r="BO1411" t="str">
            <v/>
          </cell>
          <cell r="BP1411">
            <v>0</v>
          </cell>
          <cell r="BQ1411">
            <v>0</v>
          </cell>
          <cell r="BR1411">
            <v>0</v>
          </cell>
          <cell r="BS1411">
            <v>9</v>
          </cell>
          <cell r="BT1411">
            <v>30</v>
          </cell>
          <cell r="BU1411">
            <v>15</v>
          </cell>
          <cell r="BV1411">
            <v>54</v>
          </cell>
          <cell r="BW1411">
            <v>0</v>
          </cell>
          <cell r="BX1411" t="str">
            <v>TIDAK</v>
          </cell>
          <cell r="BY1411" t="str">
            <v>TIDAK</v>
          </cell>
        </row>
        <row r="1412">
          <cell r="A1412" t="str">
            <v>A4431</v>
          </cell>
          <cell r="B1412" t="str">
            <v>ANGGIT NUR DWIASTUTI</v>
          </cell>
          <cell r="C1412" t="str">
            <v>TEMA HAJI</v>
          </cell>
          <cell r="D1412">
            <v>45611</v>
          </cell>
          <cell r="E1412" t="str">
            <v>Nov-24</v>
          </cell>
          <cell r="AV1412" t="str">
            <v/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4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4</v>
          </cell>
          <cell r="BH1412">
            <v>0</v>
          </cell>
          <cell r="BJ1412">
            <v>0</v>
          </cell>
          <cell r="BK1412">
            <v>0</v>
          </cell>
          <cell r="BL1412">
            <v>4</v>
          </cell>
          <cell r="BM1412">
            <v>6</v>
          </cell>
          <cell r="BN1412">
            <v>10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4</v>
          </cell>
          <cell r="BU1412">
            <v>6</v>
          </cell>
          <cell r="BV1412">
            <v>10</v>
          </cell>
          <cell r="BW1412">
            <v>0</v>
          </cell>
          <cell r="BX1412" t="str">
            <v>TIDAK</v>
          </cell>
          <cell r="BY1412" t="str">
            <v>TIDAK</v>
          </cell>
        </row>
        <row r="1413">
          <cell r="A1413" t="str">
            <v>A4432</v>
          </cell>
          <cell r="B1413" t="str">
            <v>NISITA NARESWARI</v>
          </cell>
          <cell r="C1413" t="str">
            <v>TEMA HAJI</v>
          </cell>
          <cell r="D1413">
            <v>45612</v>
          </cell>
          <cell r="E1413" t="str">
            <v>Nov-24</v>
          </cell>
          <cell r="AV1413" t="str">
            <v/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5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5</v>
          </cell>
          <cell r="BH1413">
            <v>0</v>
          </cell>
          <cell r="BJ1413">
            <v>0</v>
          </cell>
          <cell r="BK1413">
            <v>0</v>
          </cell>
          <cell r="BL1413">
            <v>5</v>
          </cell>
          <cell r="BM1413">
            <v>14</v>
          </cell>
          <cell r="BN1413">
            <v>19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5</v>
          </cell>
          <cell r="BU1413">
            <v>14</v>
          </cell>
          <cell r="BV1413">
            <v>19</v>
          </cell>
          <cell r="BW1413">
            <v>0</v>
          </cell>
          <cell r="BX1413" t="str">
            <v>TIDAK</v>
          </cell>
          <cell r="BY1413" t="str">
            <v>TIDAK</v>
          </cell>
        </row>
        <row r="1414">
          <cell r="A1414" t="str">
            <v>A4452</v>
          </cell>
          <cell r="B1414" t="str">
            <v>INDRIA AYUNINGTYAS DWI RISANDY</v>
          </cell>
          <cell r="C1414" t="str">
            <v>TEMA HAJI</v>
          </cell>
          <cell r="D1414">
            <v>45612</v>
          </cell>
          <cell r="E1414" t="str">
            <v>Nov-24</v>
          </cell>
          <cell r="AV1414" t="str">
            <v/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10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10</v>
          </cell>
          <cell r="BH1414">
            <v>0</v>
          </cell>
          <cell r="BJ1414">
            <v>0</v>
          </cell>
          <cell r="BK1414">
            <v>0</v>
          </cell>
          <cell r="BL1414">
            <v>10</v>
          </cell>
          <cell r="BM1414">
            <v>12</v>
          </cell>
          <cell r="BN1414">
            <v>22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10</v>
          </cell>
          <cell r="BU1414">
            <v>12</v>
          </cell>
          <cell r="BV1414">
            <v>22</v>
          </cell>
          <cell r="BW1414">
            <v>0</v>
          </cell>
          <cell r="BX1414" t="str">
            <v>TIDAK</v>
          </cell>
          <cell r="BY1414" t="str">
            <v>TIDAK</v>
          </cell>
        </row>
        <row r="1415">
          <cell r="A1415" t="str">
            <v>A4433</v>
          </cell>
          <cell r="B1415" t="str">
            <v>NURUL HALIMATIS SADIYYAH</v>
          </cell>
          <cell r="C1415" t="str">
            <v>TEMA HAJI</v>
          </cell>
          <cell r="D1415">
            <v>45612</v>
          </cell>
          <cell r="E1415" t="str">
            <v>Nov-24</v>
          </cell>
          <cell r="AV1415" t="str">
            <v/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6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6</v>
          </cell>
          <cell r="BH1415">
            <v>0</v>
          </cell>
          <cell r="BJ1415">
            <v>0</v>
          </cell>
          <cell r="BK1415">
            <v>0</v>
          </cell>
          <cell r="BL1415">
            <v>6</v>
          </cell>
          <cell r="BM1415">
            <v>1</v>
          </cell>
          <cell r="BN1415">
            <v>7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6</v>
          </cell>
          <cell r="BU1415">
            <v>1</v>
          </cell>
          <cell r="BV1415">
            <v>7</v>
          </cell>
          <cell r="BW1415">
            <v>0</v>
          </cell>
          <cell r="BX1415" t="str">
            <v>TIDAK</v>
          </cell>
          <cell r="BY1415" t="str">
            <v>TIDAK</v>
          </cell>
        </row>
        <row r="1416">
          <cell r="A1416" t="str">
            <v>A4548</v>
          </cell>
          <cell r="B1416" t="str">
            <v>RINANDA FELYA SALSA BELLA</v>
          </cell>
          <cell r="C1416" t="str">
            <v>TEMA HAJI</v>
          </cell>
          <cell r="D1416" t="str">
            <v/>
          </cell>
          <cell r="E1416" t="str">
            <v/>
          </cell>
        </row>
        <row r="1417">
          <cell r="A1417" t="str">
            <v>A4596</v>
          </cell>
          <cell r="B1417" t="str">
            <v>MUTIARA AZKIYA FADILAH</v>
          </cell>
          <cell r="C1417" t="str">
            <v>TEMA HAJI</v>
          </cell>
          <cell r="D1417" t="str">
            <v/>
          </cell>
          <cell r="E1417" t="str">
            <v/>
          </cell>
        </row>
        <row r="1418">
          <cell r="A1418" t="str">
            <v>A4595</v>
          </cell>
          <cell r="B1418" t="str">
            <v>WILDAN ALFIAN</v>
          </cell>
          <cell r="C1418" t="str">
            <v>TEMA HAJI</v>
          </cell>
          <cell r="D1418" t="str">
            <v/>
          </cell>
          <cell r="E1418" t="str">
            <v/>
          </cell>
        </row>
        <row r="1419">
          <cell r="A1419" t="str">
            <v>A3813</v>
          </cell>
          <cell r="B1419" t="str">
            <v>Adlin Lubis</v>
          </cell>
          <cell r="C1419" t="str">
            <v>TEMA PRIODANA</v>
          </cell>
          <cell r="D1419">
            <v>45338</v>
          </cell>
          <cell r="E1419" t="str">
            <v>Feb-24</v>
          </cell>
          <cell r="L1419">
            <v>0</v>
          </cell>
          <cell r="M1419">
            <v>0</v>
          </cell>
          <cell r="O1419">
            <v>7</v>
          </cell>
          <cell r="P1419">
            <v>23</v>
          </cell>
          <cell r="Q1419">
            <v>2</v>
          </cell>
          <cell r="T1419">
            <v>32</v>
          </cell>
          <cell r="U1419">
            <v>0</v>
          </cell>
          <cell r="V1419">
            <v>0</v>
          </cell>
          <cell r="W1419">
            <v>7</v>
          </cell>
          <cell r="X1419">
            <v>23</v>
          </cell>
          <cell r="Y1419">
            <v>2</v>
          </cell>
          <cell r="Z1419">
            <v>0</v>
          </cell>
          <cell r="AA1419">
            <v>0</v>
          </cell>
          <cell r="AB1419">
            <v>32</v>
          </cell>
          <cell r="AC1419">
            <v>2</v>
          </cell>
          <cell r="AD1419" t="str">
            <v>TIDAK</v>
          </cell>
          <cell r="AE1419" t="str">
            <v>TIDAK</v>
          </cell>
          <cell r="AF1419">
            <v>32</v>
          </cell>
          <cell r="AG1419">
            <v>1</v>
          </cell>
          <cell r="AH1419" t="str">
            <v>SAPHIRE</v>
          </cell>
          <cell r="AI1419">
            <v>0</v>
          </cell>
          <cell r="AJ1419" t="str">
            <v>FALSE</v>
          </cell>
          <cell r="AK1419">
            <v>0</v>
          </cell>
          <cell r="AL1419">
            <v>45261</v>
          </cell>
          <cell r="AM1419">
            <v>45701</v>
          </cell>
          <cell r="AN1419">
            <v>1</v>
          </cell>
          <cell r="AO1419">
            <v>32</v>
          </cell>
          <cell r="AP1419" t="str">
            <v>-</v>
          </cell>
          <cell r="AV1419" t="str">
            <v/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 t="str">
            <v/>
          </cell>
          <cell r="BH1419">
            <v>0</v>
          </cell>
          <cell r="BJ1419">
            <v>0</v>
          </cell>
          <cell r="BK1419">
            <v>0</v>
          </cell>
          <cell r="BM1419" t="str">
            <v/>
          </cell>
          <cell r="BN1419">
            <v>0</v>
          </cell>
          <cell r="BO1419" t="str">
            <v/>
          </cell>
          <cell r="BP1419">
            <v>0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 t="str">
            <v/>
          </cell>
          <cell r="BV1419">
            <v>0</v>
          </cell>
          <cell r="BW1419">
            <v>7</v>
          </cell>
          <cell r="BX1419" t="str">
            <v>DOWNGRADE</v>
          </cell>
          <cell r="BY1419" t="str">
            <v>RESET</v>
          </cell>
        </row>
        <row r="1420">
          <cell r="A1420" t="str">
            <v>A3812</v>
          </cell>
          <cell r="B1420" t="str">
            <v>Ahmad Arwani Arifin</v>
          </cell>
          <cell r="C1420" t="str">
            <v>TEMA PRIODANA</v>
          </cell>
          <cell r="D1420">
            <v>45341</v>
          </cell>
          <cell r="E1420" t="str">
            <v>Feb-24</v>
          </cell>
          <cell r="L1420">
            <v>0</v>
          </cell>
          <cell r="M1420">
            <v>0</v>
          </cell>
          <cell r="O1420">
            <v>3</v>
          </cell>
          <cell r="T1420">
            <v>3</v>
          </cell>
          <cell r="U1420">
            <v>0</v>
          </cell>
          <cell r="V1420">
            <v>0</v>
          </cell>
          <cell r="W1420">
            <v>3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3</v>
          </cell>
          <cell r="AC1420">
            <v>4</v>
          </cell>
          <cell r="AD1420" t="str">
            <v>DOWNGRADE</v>
          </cell>
          <cell r="AE1420" t="str">
            <v>RESET</v>
          </cell>
          <cell r="AF1420">
            <v>0</v>
          </cell>
          <cell r="AG1420">
            <v>1</v>
          </cell>
          <cell r="AH1420" t="str">
            <v>SAPHIRE</v>
          </cell>
          <cell r="AI1420">
            <v>0</v>
          </cell>
          <cell r="AJ1420" t="str">
            <v>FALSE</v>
          </cell>
          <cell r="AK1420">
            <v>0</v>
          </cell>
          <cell r="AL1420">
            <v>45261</v>
          </cell>
          <cell r="AM1420">
            <v>45701</v>
          </cell>
          <cell r="AN1420">
            <v>1</v>
          </cell>
          <cell r="AO1420">
            <v>0</v>
          </cell>
          <cell r="AP1420" t="str">
            <v>-</v>
          </cell>
          <cell r="AV1420" t="str">
            <v/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 t="str">
            <v/>
          </cell>
          <cell r="BH1420">
            <v>0</v>
          </cell>
          <cell r="BJ1420">
            <v>0</v>
          </cell>
          <cell r="BK1420">
            <v>0</v>
          </cell>
          <cell r="BM1420" t="str">
            <v/>
          </cell>
          <cell r="BN1420">
            <v>0</v>
          </cell>
          <cell r="BO1420" t="str">
            <v/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 t="str">
            <v/>
          </cell>
          <cell r="BV1420">
            <v>0</v>
          </cell>
          <cell r="BW1420">
            <v>7</v>
          </cell>
          <cell r="BX1420" t="str">
            <v>DOWNGRADE</v>
          </cell>
          <cell r="BY1420" t="str">
            <v>RESET</v>
          </cell>
        </row>
        <row r="1421">
          <cell r="A1421" t="str">
            <v>A3674</v>
          </cell>
          <cell r="B1421" t="str">
            <v>Asmaul Husna</v>
          </cell>
          <cell r="C1421" t="str">
            <v>TEMA PRIODANA</v>
          </cell>
          <cell r="D1421">
            <v>45358</v>
          </cell>
          <cell r="E1421" t="str">
            <v>Mar-24</v>
          </cell>
          <cell r="L1421">
            <v>0</v>
          </cell>
          <cell r="M1421">
            <v>0</v>
          </cell>
          <cell r="P1421">
            <v>6</v>
          </cell>
          <cell r="Q1421">
            <v>7</v>
          </cell>
          <cell r="T1421">
            <v>13</v>
          </cell>
          <cell r="U1421">
            <v>0</v>
          </cell>
          <cell r="V1421">
            <v>0</v>
          </cell>
          <cell r="W1421">
            <v>0</v>
          </cell>
          <cell r="X1421">
            <v>6</v>
          </cell>
          <cell r="Y1421">
            <v>7</v>
          </cell>
          <cell r="Z1421">
            <v>0</v>
          </cell>
          <cell r="AA1421">
            <v>0</v>
          </cell>
          <cell r="AB1421">
            <v>13</v>
          </cell>
          <cell r="AC1421">
            <v>2</v>
          </cell>
          <cell r="AD1421" t="str">
            <v>TIDAK</v>
          </cell>
          <cell r="AE1421" t="str">
            <v>TIDAK</v>
          </cell>
          <cell r="AF1421">
            <v>13</v>
          </cell>
          <cell r="AG1421">
            <v>1</v>
          </cell>
          <cell r="AH1421" t="str">
            <v>SAPHIRE</v>
          </cell>
          <cell r="AI1421">
            <v>0</v>
          </cell>
          <cell r="AJ1421" t="str">
            <v>FALSE</v>
          </cell>
          <cell r="AK1421">
            <v>0</v>
          </cell>
          <cell r="AL1421">
            <v>45261</v>
          </cell>
          <cell r="AM1421">
            <v>45701</v>
          </cell>
          <cell r="AN1421">
            <v>1</v>
          </cell>
          <cell r="AO1421">
            <v>13</v>
          </cell>
          <cell r="AP1421" t="str">
            <v>-</v>
          </cell>
          <cell r="AV1421" t="str">
            <v/>
          </cell>
          <cell r="AW1421">
            <v>10</v>
          </cell>
          <cell r="AX1421">
            <v>24</v>
          </cell>
          <cell r="AY1421">
            <v>43</v>
          </cell>
          <cell r="AZ1421">
            <v>19</v>
          </cell>
          <cell r="BA1421">
            <v>0</v>
          </cell>
          <cell r="BB1421">
            <v>10</v>
          </cell>
          <cell r="BC1421">
            <v>24</v>
          </cell>
          <cell r="BD1421">
            <v>43</v>
          </cell>
          <cell r="BE1421">
            <v>19</v>
          </cell>
          <cell r="BF1421">
            <v>0</v>
          </cell>
          <cell r="BG1421" t="str">
            <v/>
          </cell>
          <cell r="BH1421">
            <v>10</v>
          </cell>
          <cell r="BI1421">
            <v>24</v>
          </cell>
          <cell r="BJ1421">
            <v>43</v>
          </cell>
          <cell r="BK1421">
            <v>19</v>
          </cell>
          <cell r="BM1421" t="str">
            <v/>
          </cell>
          <cell r="BN1421">
            <v>96</v>
          </cell>
          <cell r="BO1421" t="str">
            <v/>
          </cell>
          <cell r="BP1421">
            <v>10</v>
          </cell>
          <cell r="BQ1421">
            <v>24</v>
          </cell>
          <cell r="BR1421">
            <v>43</v>
          </cell>
          <cell r="BS1421">
            <v>19</v>
          </cell>
          <cell r="BT1421">
            <v>0</v>
          </cell>
          <cell r="BU1421" t="str">
            <v/>
          </cell>
          <cell r="BV1421">
            <v>96</v>
          </cell>
          <cell r="BW1421">
            <v>3</v>
          </cell>
          <cell r="BX1421" t="str">
            <v>DOWNGRADE</v>
          </cell>
          <cell r="BY1421" t="str">
            <v>TIDAK</v>
          </cell>
        </row>
        <row r="1422">
          <cell r="A1422" t="str">
            <v>A3658</v>
          </cell>
          <cell r="B1422" t="str">
            <v>Christian Titus Fernanda</v>
          </cell>
          <cell r="C1422" t="str">
            <v>TEMA PRIODANA</v>
          </cell>
          <cell r="D1422">
            <v>45324</v>
          </cell>
          <cell r="E1422" t="str">
            <v>Feb-24</v>
          </cell>
          <cell r="L1422">
            <v>0</v>
          </cell>
          <cell r="M1422">
            <v>0</v>
          </cell>
          <cell r="O1422">
            <v>10</v>
          </cell>
          <cell r="P1422">
            <v>2</v>
          </cell>
          <cell r="T1422">
            <v>12</v>
          </cell>
          <cell r="U1422">
            <v>0</v>
          </cell>
          <cell r="V1422">
            <v>0</v>
          </cell>
          <cell r="W1422">
            <v>10</v>
          </cell>
          <cell r="X1422">
            <v>2</v>
          </cell>
          <cell r="Y1422">
            <v>0</v>
          </cell>
          <cell r="Z1422">
            <v>0</v>
          </cell>
          <cell r="AA1422">
            <v>0</v>
          </cell>
          <cell r="AB1422">
            <v>12</v>
          </cell>
          <cell r="AC1422">
            <v>3</v>
          </cell>
          <cell r="AD1422" t="str">
            <v>DOWNGRADE</v>
          </cell>
          <cell r="AE1422" t="str">
            <v>RESET</v>
          </cell>
          <cell r="AF1422">
            <v>0</v>
          </cell>
          <cell r="AG1422">
            <v>1</v>
          </cell>
          <cell r="AH1422" t="str">
            <v>SAPHIRE</v>
          </cell>
          <cell r="AI1422">
            <v>0</v>
          </cell>
          <cell r="AJ1422" t="str">
            <v>FALSE</v>
          </cell>
          <cell r="AK1422">
            <v>0</v>
          </cell>
          <cell r="AL1422">
            <v>45261</v>
          </cell>
          <cell r="AM1422">
            <v>45701</v>
          </cell>
          <cell r="AN1422">
            <v>1</v>
          </cell>
          <cell r="AO1422">
            <v>0</v>
          </cell>
          <cell r="AP1422" t="str">
            <v>-</v>
          </cell>
          <cell r="AV1422" t="str">
            <v/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 t="str">
            <v/>
          </cell>
          <cell r="BH1422">
            <v>0</v>
          </cell>
          <cell r="BJ1422">
            <v>0</v>
          </cell>
          <cell r="BK1422">
            <v>0</v>
          </cell>
          <cell r="BM1422" t="str">
            <v/>
          </cell>
          <cell r="BN1422">
            <v>0</v>
          </cell>
          <cell r="BO1422" t="str">
            <v/>
          </cell>
          <cell r="BP1422">
            <v>0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 t="str">
            <v/>
          </cell>
          <cell r="BV1422">
            <v>0</v>
          </cell>
          <cell r="BW1422">
            <v>7</v>
          </cell>
          <cell r="BX1422" t="str">
            <v>DOWNGRADE</v>
          </cell>
          <cell r="BY1422" t="str">
            <v>RESET</v>
          </cell>
        </row>
        <row r="1423">
          <cell r="A1423" t="str">
            <v>A4128</v>
          </cell>
          <cell r="B1423" t="str">
            <v>DINA KHOMARIYAH</v>
          </cell>
          <cell r="C1423" t="str">
            <v>TEMA PRIODANA</v>
          </cell>
          <cell r="D1423">
            <v>45457</v>
          </cell>
          <cell r="E1423" t="str">
            <v>Jun-24</v>
          </cell>
          <cell r="G1423" t="str">
            <v xml:space="preserve"> </v>
          </cell>
          <cell r="S1423">
            <v>2</v>
          </cell>
          <cell r="T1423">
            <v>2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2</v>
          </cell>
          <cell r="AB1423">
            <v>2</v>
          </cell>
          <cell r="AC1423">
            <v>0</v>
          </cell>
          <cell r="AD1423" t="str">
            <v>TIDAK</v>
          </cell>
          <cell r="AE1423" t="str">
            <v>TIDAK</v>
          </cell>
          <cell r="AF1423">
            <v>2</v>
          </cell>
          <cell r="AG1423">
            <v>1</v>
          </cell>
          <cell r="AH1423" t="str">
            <v>SAPHIRE</v>
          </cell>
          <cell r="AI1423">
            <v>0</v>
          </cell>
          <cell r="AJ1423" t="str">
            <v>FALSE</v>
          </cell>
          <cell r="AK1423">
            <v>0</v>
          </cell>
          <cell r="AL1423">
            <v>45261</v>
          </cell>
          <cell r="AM1423">
            <v>45701</v>
          </cell>
          <cell r="AN1423">
            <v>1</v>
          </cell>
          <cell r="AO1423">
            <v>2</v>
          </cell>
          <cell r="AP1423" t="str">
            <v>-</v>
          </cell>
          <cell r="AV1423" t="str">
            <v/>
          </cell>
          <cell r="AW1423">
            <v>4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4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8</v>
          </cell>
          <cell r="BH1423">
            <v>4</v>
          </cell>
          <cell r="BJ1423">
            <v>0</v>
          </cell>
          <cell r="BK1423">
            <v>0</v>
          </cell>
          <cell r="BM1423" t="str">
            <v/>
          </cell>
          <cell r="BN1423">
            <v>12</v>
          </cell>
          <cell r="BO1423">
            <v>8</v>
          </cell>
          <cell r="BP1423">
            <v>4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 t="str">
            <v/>
          </cell>
          <cell r="BV1423">
            <v>12</v>
          </cell>
          <cell r="BW1423">
            <v>5</v>
          </cell>
          <cell r="BX1423" t="str">
            <v>DOWNGRADE</v>
          </cell>
          <cell r="BY1423" t="str">
            <v>RESET</v>
          </cell>
        </row>
        <row r="1424">
          <cell r="A1424" t="str">
            <v>A2675</v>
          </cell>
          <cell r="B1424" t="str">
            <v>Eustakia Novanista Ata</v>
          </cell>
          <cell r="C1424" t="str">
            <v>TEMA PRIODANA</v>
          </cell>
          <cell r="D1424">
            <v>45170</v>
          </cell>
          <cell r="E1424" t="str">
            <v>Sep-23</v>
          </cell>
          <cell r="L1424">
            <v>0</v>
          </cell>
          <cell r="M1424">
            <v>7</v>
          </cell>
          <cell r="N1424">
            <v>1</v>
          </cell>
          <cell r="S1424" t="str">
            <v/>
          </cell>
          <cell r="T1424">
            <v>8</v>
          </cell>
          <cell r="U1424">
            <v>7</v>
          </cell>
          <cell r="V1424">
            <v>1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 t="str">
            <v/>
          </cell>
          <cell r="AB1424">
            <v>8</v>
          </cell>
          <cell r="AC1424">
            <v>5</v>
          </cell>
          <cell r="AD1424" t="str">
            <v>DOWNGRADE</v>
          </cell>
          <cell r="AE1424" t="str">
            <v>RESET</v>
          </cell>
          <cell r="AF1424">
            <v>0</v>
          </cell>
          <cell r="AG1424">
            <v>1</v>
          </cell>
          <cell r="AH1424" t="str">
            <v>SAPHIRE</v>
          </cell>
          <cell r="AI1424">
            <v>0</v>
          </cell>
          <cell r="AJ1424" t="str">
            <v>FALSE</v>
          </cell>
          <cell r="AK1424">
            <v>0</v>
          </cell>
          <cell r="AL1424">
            <v>45261</v>
          </cell>
          <cell r="AM1424">
            <v>45701</v>
          </cell>
          <cell r="AN1424">
            <v>1</v>
          </cell>
          <cell r="AO1424">
            <v>0</v>
          </cell>
          <cell r="AP1424" t="str">
            <v>-</v>
          </cell>
          <cell r="AS1424" t="str">
            <v xml:space="preserve"> </v>
          </cell>
          <cell r="AV1424" t="str">
            <v/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 t="str">
            <v/>
          </cell>
          <cell r="BH1424">
            <v>0</v>
          </cell>
          <cell r="BJ1424">
            <v>0</v>
          </cell>
          <cell r="BK1424">
            <v>0</v>
          </cell>
          <cell r="BM1424" t="str">
            <v/>
          </cell>
          <cell r="BN1424">
            <v>0</v>
          </cell>
          <cell r="BO1424" t="str">
            <v/>
          </cell>
          <cell r="BP1424">
            <v>0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 t="str">
            <v/>
          </cell>
          <cell r="BV1424">
            <v>0</v>
          </cell>
          <cell r="BW1424">
            <v>7</v>
          </cell>
          <cell r="BX1424" t="str">
            <v>DOWNGRADE</v>
          </cell>
          <cell r="BY1424" t="str">
            <v>RESET</v>
          </cell>
        </row>
        <row r="1425">
          <cell r="A1425">
            <v>90095</v>
          </cell>
          <cell r="B1425" t="str">
            <v>Inexcelcis Deo Suryadi</v>
          </cell>
          <cell r="C1425" t="str">
            <v>TEMA PRIODANA</v>
          </cell>
          <cell r="D1425">
            <v>44963</v>
          </cell>
          <cell r="E1425" t="str">
            <v>Feb-23</v>
          </cell>
          <cell r="L1425">
            <v>0</v>
          </cell>
          <cell r="M1425">
            <v>18</v>
          </cell>
          <cell r="N1425">
            <v>44</v>
          </cell>
          <cell r="O1425">
            <v>36</v>
          </cell>
          <cell r="P1425">
            <v>37</v>
          </cell>
          <cell r="Q1425">
            <v>34</v>
          </cell>
          <cell r="R1425">
            <v>34</v>
          </cell>
          <cell r="S1425">
            <v>13</v>
          </cell>
          <cell r="T1425">
            <v>216</v>
          </cell>
          <cell r="U1425">
            <v>18</v>
          </cell>
          <cell r="V1425">
            <v>44</v>
          </cell>
          <cell r="W1425">
            <v>36</v>
          </cell>
          <cell r="X1425">
            <v>37</v>
          </cell>
          <cell r="Y1425">
            <v>34</v>
          </cell>
          <cell r="Z1425">
            <v>34</v>
          </cell>
          <cell r="AA1425">
            <v>13</v>
          </cell>
          <cell r="AB1425">
            <v>216</v>
          </cell>
          <cell r="AC1425">
            <v>0</v>
          </cell>
          <cell r="AD1425" t="str">
            <v>TIDAK</v>
          </cell>
          <cell r="AE1425" t="str">
            <v>TIDAK</v>
          </cell>
          <cell r="AF1425">
            <v>216</v>
          </cell>
          <cell r="AG1425">
            <v>3</v>
          </cell>
          <cell r="AH1425" t="str">
            <v>SAPHIRE</v>
          </cell>
          <cell r="AI1425">
            <v>0</v>
          </cell>
          <cell r="AJ1425" t="str">
            <v>Y</v>
          </cell>
          <cell r="AK1425">
            <v>0</v>
          </cell>
          <cell r="AL1425">
            <v>45261</v>
          </cell>
          <cell r="AM1425">
            <v>45701</v>
          </cell>
          <cell r="AN1425">
            <v>1</v>
          </cell>
          <cell r="AO1425">
            <v>216</v>
          </cell>
          <cell r="AP1425" t="str">
            <v>-</v>
          </cell>
          <cell r="AV1425" t="str">
            <v/>
          </cell>
          <cell r="AW1425">
            <v>0</v>
          </cell>
          <cell r="AX1425">
            <v>3</v>
          </cell>
          <cell r="AY1425">
            <v>0</v>
          </cell>
          <cell r="AZ1425">
            <v>4</v>
          </cell>
          <cell r="BA1425">
            <v>2</v>
          </cell>
          <cell r="BB1425">
            <v>0</v>
          </cell>
          <cell r="BC1425">
            <v>3</v>
          </cell>
          <cell r="BD1425">
            <v>0</v>
          </cell>
          <cell r="BE1425">
            <v>4</v>
          </cell>
          <cell r="BF1425">
            <v>2</v>
          </cell>
          <cell r="BG1425" t="str">
            <v/>
          </cell>
          <cell r="BH1425">
            <v>0</v>
          </cell>
          <cell r="BI1425">
            <v>3</v>
          </cell>
          <cell r="BJ1425">
            <v>0</v>
          </cell>
          <cell r="BK1425">
            <v>4</v>
          </cell>
          <cell r="BL1425">
            <v>2</v>
          </cell>
          <cell r="BM1425" t="str">
            <v/>
          </cell>
          <cell r="BN1425">
            <v>9</v>
          </cell>
          <cell r="BO1425" t="str">
            <v/>
          </cell>
          <cell r="BP1425">
            <v>0</v>
          </cell>
          <cell r="BQ1425">
            <v>3</v>
          </cell>
          <cell r="BR1425">
            <v>0</v>
          </cell>
          <cell r="BS1425">
            <v>4</v>
          </cell>
          <cell r="BT1425">
            <v>2</v>
          </cell>
          <cell r="BU1425" t="str">
            <v/>
          </cell>
          <cell r="BV1425">
            <v>9</v>
          </cell>
          <cell r="BW1425">
            <v>4</v>
          </cell>
          <cell r="BX1425" t="str">
            <v>DOWNGRADE</v>
          </cell>
          <cell r="BY1425" t="str">
            <v>TIDAK</v>
          </cell>
        </row>
        <row r="1426">
          <cell r="A1426" t="str">
            <v>A3942</v>
          </cell>
          <cell r="B1426" t="str">
            <v>Laurensius Revansa Putra Cahyasetya</v>
          </cell>
          <cell r="C1426" t="str">
            <v>TEMA PRIODANA</v>
          </cell>
          <cell r="D1426">
            <v>45384</v>
          </cell>
          <cell r="E1426" t="str">
            <v>Apr-24</v>
          </cell>
          <cell r="L1426">
            <v>0</v>
          </cell>
          <cell r="M1426">
            <v>0</v>
          </cell>
          <cell r="Q1426">
            <v>20</v>
          </cell>
          <cell r="R1426">
            <v>28</v>
          </cell>
          <cell r="S1426">
            <v>8</v>
          </cell>
          <cell r="T1426">
            <v>56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20</v>
          </cell>
          <cell r="Z1426">
            <v>28</v>
          </cell>
          <cell r="AA1426">
            <v>8</v>
          </cell>
          <cell r="AB1426">
            <v>56</v>
          </cell>
          <cell r="AC1426">
            <v>0</v>
          </cell>
          <cell r="AD1426" t="str">
            <v>TIDAK</v>
          </cell>
          <cell r="AE1426" t="str">
            <v>TIDAK</v>
          </cell>
          <cell r="AF1426">
            <v>56</v>
          </cell>
          <cell r="AG1426">
            <v>1</v>
          </cell>
          <cell r="AH1426" t="str">
            <v>SAPHIRE</v>
          </cell>
          <cell r="AI1426">
            <v>0</v>
          </cell>
          <cell r="AJ1426" t="str">
            <v>FALSE</v>
          </cell>
          <cell r="AK1426">
            <v>0</v>
          </cell>
          <cell r="AL1426">
            <v>45261</v>
          </cell>
          <cell r="AM1426">
            <v>45701</v>
          </cell>
          <cell r="AN1426">
            <v>1</v>
          </cell>
          <cell r="AO1426">
            <v>56</v>
          </cell>
          <cell r="AP1426" t="str">
            <v>-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 t="str">
            <v/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 t="str">
            <v/>
          </cell>
          <cell r="BH1426">
            <v>0</v>
          </cell>
          <cell r="BJ1426">
            <v>0</v>
          </cell>
          <cell r="BK1426">
            <v>0</v>
          </cell>
          <cell r="BM1426" t="str">
            <v/>
          </cell>
          <cell r="BN1426">
            <v>0</v>
          </cell>
          <cell r="BO1426" t="str">
            <v/>
          </cell>
          <cell r="BP1426">
            <v>0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 t="str">
            <v/>
          </cell>
          <cell r="BV1426">
            <v>0</v>
          </cell>
          <cell r="BW1426">
            <v>7</v>
          </cell>
          <cell r="BX1426" t="str">
            <v>DOWNGRADE</v>
          </cell>
          <cell r="BY1426" t="str">
            <v>RESET</v>
          </cell>
        </row>
        <row r="1427">
          <cell r="A1427" t="str">
            <v>A3910</v>
          </cell>
          <cell r="B1427" t="str">
            <v>Lia Afni Nashikhah</v>
          </cell>
          <cell r="C1427" t="str">
            <v>TEMA PRIODANA</v>
          </cell>
          <cell r="D1427">
            <v>45352</v>
          </cell>
          <cell r="E1427" t="str">
            <v>Mar-24</v>
          </cell>
          <cell r="L1427">
            <v>0</v>
          </cell>
          <cell r="M1427">
            <v>0</v>
          </cell>
          <cell r="P1427">
            <v>23</v>
          </cell>
          <cell r="Q1427">
            <v>9</v>
          </cell>
          <cell r="R1427">
            <v>21</v>
          </cell>
          <cell r="S1427">
            <v>10</v>
          </cell>
          <cell r="T1427">
            <v>63</v>
          </cell>
          <cell r="U1427">
            <v>0</v>
          </cell>
          <cell r="V1427">
            <v>0</v>
          </cell>
          <cell r="W1427">
            <v>0</v>
          </cell>
          <cell r="X1427">
            <v>23</v>
          </cell>
          <cell r="Y1427">
            <v>9</v>
          </cell>
          <cell r="Z1427">
            <v>21</v>
          </cell>
          <cell r="AA1427">
            <v>10</v>
          </cell>
          <cell r="AB1427">
            <v>63</v>
          </cell>
          <cell r="AC1427">
            <v>0</v>
          </cell>
          <cell r="AD1427" t="str">
            <v>TIDAK</v>
          </cell>
          <cell r="AE1427" t="str">
            <v>TIDAK</v>
          </cell>
          <cell r="AF1427">
            <v>63</v>
          </cell>
          <cell r="AG1427">
            <v>1</v>
          </cell>
          <cell r="AH1427" t="str">
            <v>SAPHIRE</v>
          </cell>
          <cell r="AI1427">
            <v>0</v>
          </cell>
          <cell r="AJ1427" t="str">
            <v>FALSE</v>
          </cell>
          <cell r="AK1427">
            <v>0</v>
          </cell>
          <cell r="AL1427">
            <v>45261</v>
          </cell>
          <cell r="AM1427">
            <v>45701</v>
          </cell>
          <cell r="AN1427">
            <v>1</v>
          </cell>
          <cell r="AO1427">
            <v>63</v>
          </cell>
          <cell r="AP1427" t="str">
            <v>-</v>
          </cell>
          <cell r="AV1427" t="str">
            <v/>
          </cell>
          <cell r="AW1427">
            <v>14</v>
          </cell>
          <cell r="AX1427">
            <v>8</v>
          </cell>
          <cell r="AY1427">
            <v>0</v>
          </cell>
          <cell r="AZ1427">
            <v>0</v>
          </cell>
          <cell r="BA1427">
            <v>0</v>
          </cell>
          <cell r="BB1427">
            <v>14</v>
          </cell>
          <cell r="BC1427">
            <v>8</v>
          </cell>
          <cell r="BD1427">
            <v>0</v>
          </cell>
          <cell r="BE1427">
            <v>0</v>
          </cell>
          <cell r="BF1427">
            <v>0</v>
          </cell>
          <cell r="BG1427">
            <v>11</v>
          </cell>
          <cell r="BH1427">
            <v>14</v>
          </cell>
          <cell r="BI1427">
            <v>8</v>
          </cell>
          <cell r="BJ1427">
            <v>0</v>
          </cell>
          <cell r="BK1427">
            <v>0</v>
          </cell>
          <cell r="BM1427" t="str">
            <v/>
          </cell>
          <cell r="BN1427">
            <v>33</v>
          </cell>
          <cell r="BO1427">
            <v>11</v>
          </cell>
          <cell r="BP1427">
            <v>14</v>
          </cell>
          <cell r="BQ1427">
            <v>8</v>
          </cell>
          <cell r="BR1427">
            <v>0</v>
          </cell>
          <cell r="BS1427">
            <v>0</v>
          </cell>
          <cell r="BT1427">
            <v>0</v>
          </cell>
          <cell r="BU1427" t="str">
            <v/>
          </cell>
          <cell r="BV1427">
            <v>33</v>
          </cell>
          <cell r="BW1427">
            <v>4</v>
          </cell>
          <cell r="BX1427" t="str">
            <v>DOWNGRADE</v>
          </cell>
          <cell r="BY1427" t="str">
            <v>RESET</v>
          </cell>
        </row>
        <row r="1428">
          <cell r="A1428" t="str">
            <v>A3372</v>
          </cell>
          <cell r="B1428" t="str">
            <v>Lintang Putri</v>
          </cell>
          <cell r="C1428" t="str">
            <v>TEMA PRIODANA</v>
          </cell>
          <cell r="D1428">
            <v>45264</v>
          </cell>
          <cell r="E1428" t="str">
            <v>Dec-23</v>
          </cell>
          <cell r="L1428">
            <v>0</v>
          </cell>
          <cell r="M1428">
            <v>11</v>
          </cell>
          <cell r="N1428">
            <v>25</v>
          </cell>
          <cell r="O1428">
            <v>4</v>
          </cell>
          <cell r="S1428" t="str">
            <v/>
          </cell>
          <cell r="T1428">
            <v>40</v>
          </cell>
          <cell r="U1428">
            <v>11</v>
          </cell>
          <cell r="V1428">
            <v>25</v>
          </cell>
          <cell r="W1428">
            <v>4</v>
          </cell>
          <cell r="X1428">
            <v>0</v>
          </cell>
          <cell r="Y1428">
            <v>0</v>
          </cell>
          <cell r="Z1428">
            <v>0</v>
          </cell>
          <cell r="AA1428" t="str">
            <v/>
          </cell>
          <cell r="AB1428">
            <v>40</v>
          </cell>
          <cell r="AC1428">
            <v>4</v>
          </cell>
          <cell r="AD1428" t="str">
            <v>DOWNGRADE</v>
          </cell>
          <cell r="AE1428" t="str">
            <v>RESET</v>
          </cell>
          <cell r="AF1428">
            <v>0</v>
          </cell>
          <cell r="AG1428">
            <v>1</v>
          </cell>
          <cell r="AH1428" t="str">
            <v>SAPHIRE</v>
          </cell>
          <cell r="AI1428">
            <v>0</v>
          </cell>
          <cell r="AJ1428" t="str">
            <v>FALSE</v>
          </cell>
          <cell r="AK1428">
            <v>0</v>
          </cell>
          <cell r="AL1428">
            <v>45261</v>
          </cell>
          <cell r="AM1428">
            <v>45701</v>
          </cell>
          <cell r="AN1428">
            <v>1</v>
          </cell>
          <cell r="AO1428">
            <v>0</v>
          </cell>
          <cell r="AP1428" t="str">
            <v>-</v>
          </cell>
          <cell r="AU1428" t="str">
            <v xml:space="preserve">  </v>
          </cell>
          <cell r="AV1428" t="str">
            <v/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 t="str">
            <v/>
          </cell>
          <cell r="BH1428">
            <v>0</v>
          </cell>
          <cell r="BJ1428">
            <v>0</v>
          </cell>
          <cell r="BK1428">
            <v>0</v>
          </cell>
          <cell r="BM1428" t="str">
            <v/>
          </cell>
          <cell r="BN1428">
            <v>0</v>
          </cell>
          <cell r="BO1428" t="str">
            <v/>
          </cell>
          <cell r="BP1428">
            <v>0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 t="str">
            <v/>
          </cell>
          <cell r="BV1428">
            <v>0</v>
          </cell>
          <cell r="BW1428">
            <v>7</v>
          </cell>
          <cell r="BX1428" t="str">
            <v>DOWNGRADE</v>
          </cell>
          <cell r="BY1428" t="str">
            <v>RESET</v>
          </cell>
        </row>
        <row r="1429">
          <cell r="A1429" t="str">
            <v>A1534</v>
          </cell>
          <cell r="B1429" t="str">
            <v>Luluk Ariyanti</v>
          </cell>
          <cell r="C1429" t="str">
            <v>TEMA PRIODANA</v>
          </cell>
          <cell r="D1429">
            <v>44978</v>
          </cell>
          <cell r="E1429" t="str">
            <v>Feb-23</v>
          </cell>
          <cell r="L1429">
            <v>0</v>
          </cell>
          <cell r="M1429">
            <v>1</v>
          </cell>
          <cell r="S1429" t="str">
            <v/>
          </cell>
          <cell r="T1429">
            <v>1</v>
          </cell>
          <cell r="U1429">
            <v>1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 t="str">
            <v/>
          </cell>
          <cell r="AB1429">
            <v>1</v>
          </cell>
          <cell r="AC1429">
            <v>6</v>
          </cell>
          <cell r="AD1429" t="str">
            <v>DOWNGRADE</v>
          </cell>
          <cell r="AE1429" t="str">
            <v>RESET</v>
          </cell>
          <cell r="AF1429">
            <v>0</v>
          </cell>
          <cell r="AG1429">
            <v>1</v>
          </cell>
          <cell r="AH1429" t="str">
            <v>SAPHIRE</v>
          </cell>
          <cell r="AI1429">
            <v>0</v>
          </cell>
          <cell r="AJ1429" t="str">
            <v>FALSE</v>
          </cell>
          <cell r="AK1429">
            <v>0</v>
          </cell>
          <cell r="AL1429">
            <v>45261</v>
          </cell>
          <cell r="AM1429">
            <v>45701</v>
          </cell>
          <cell r="AN1429">
            <v>1</v>
          </cell>
          <cell r="AO1429">
            <v>0</v>
          </cell>
          <cell r="AP1429" t="str">
            <v>-</v>
          </cell>
          <cell r="AV1429" t="str">
            <v/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 t="str">
            <v/>
          </cell>
          <cell r="BH1429">
            <v>0</v>
          </cell>
          <cell r="BJ1429">
            <v>0</v>
          </cell>
          <cell r="BK1429">
            <v>0</v>
          </cell>
          <cell r="BM1429" t="str">
            <v/>
          </cell>
          <cell r="BN1429">
            <v>0</v>
          </cell>
          <cell r="BO1429" t="str">
            <v/>
          </cell>
          <cell r="BP1429">
            <v>0</v>
          </cell>
          <cell r="BQ1429">
            <v>0</v>
          </cell>
          <cell r="BR1429">
            <v>0</v>
          </cell>
          <cell r="BS1429">
            <v>0</v>
          </cell>
          <cell r="BT1429">
            <v>0</v>
          </cell>
          <cell r="BU1429" t="str">
            <v/>
          </cell>
          <cell r="BV1429">
            <v>0</v>
          </cell>
          <cell r="BW1429">
            <v>7</v>
          </cell>
          <cell r="BX1429" t="str">
            <v>DOWNGRADE</v>
          </cell>
          <cell r="BY1429" t="str">
            <v>RESET</v>
          </cell>
        </row>
        <row r="1430">
          <cell r="A1430" t="str">
            <v>A1155</v>
          </cell>
          <cell r="B1430" t="str">
            <v>Maria Fany Sintya Dewi</v>
          </cell>
          <cell r="C1430" t="str">
            <v>TEMA PRIODANA</v>
          </cell>
          <cell r="D1430">
            <v>44928</v>
          </cell>
          <cell r="E1430" t="str">
            <v>Jan-23</v>
          </cell>
          <cell r="L1430">
            <v>0</v>
          </cell>
          <cell r="M1430">
            <v>8</v>
          </cell>
          <cell r="N1430">
            <v>34</v>
          </cell>
          <cell r="O1430">
            <v>30</v>
          </cell>
          <cell r="P1430">
            <v>25</v>
          </cell>
          <cell r="Q1430">
            <v>20</v>
          </cell>
          <cell r="R1430">
            <v>6</v>
          </cell>
          <cell r="S1430">
            <v>9</v>
          </cell>
          <cell r="T1430">
            <v>132</v>
          </cell>
          <cell r="U1430">
            <v>8</v>
          </cell>
          <cell r="V1430">
            <v>34</v>
          </cell>
          <cell r="W1430">
            <v>30</v>
          </cell>
          <cell r="X1430">
            <v>25</v>
          </cell>
          <cell r="Y1430">
            <v>20</v>
          </cell>
          <cell r="Z1430">
            <v>6</v>
          </cell>
          <cell r="AA1430">
            <v>9</v>
          </cell>
          <cell r="AB1430">
            <v>132</v>
          </cell>
          <cell r="AC1430">
            <v>0</v>
          </cell>
          <cell r="AD1430" t="str">
            <v>TIDAK</v>
          </cell>
          <cell r="AE1430" t="str">
            <v>TIDAK</v>
          </cell>
          <cell r="AF1430">
            <v>132</v>
          </cell>
          <cell r="AG1430">
            <v>2</v>
          </cell>
          <cell r="AH1430" t="str">
            <v>SAPHIRE</v>
          </cell>
          <cell r="AI1430">
            <v>0</v>
          </cell>
          <cell r="AJ1430" t="str">
            <v>Y</v>
          </cell>
          <cell r="AK1430">
            <v>0</v>
          </cell>
          <cell r="AL1430">
            <v>45261</v>
          </cell>
          <cell r="AM1430">
            <v>45701</v>
          </cell>
          <cell r="AN1430">
            <v>1</v>
          </cell>
          <cell r="AO1430">
            <v>132</v>
          </cell>
          <cell r="AP1430" t="str">
            <v>-</v>
          </cell>
          <cell r="AV1430" t="str">
            <v/>
          </cell>
          <cell r="AW1430">
            <v>2</v>
          </cell>
          <cell r="AX1430">
            <v>0</v>
          </cell>
          <cell r="AY1430">
            <v>3</v>
          </cell>
          <cell r="AZ1430">
            <v>0</v>
          </cell>
          <cell r="BA1430">
            <v>0</v>
          </cell>
          <cell r="BB1430">
            <v>2</v>
          </cell>
          <cell r="BC1430">
            <v>0</v>
          </cell>
          <cell r="BD1430">
            <v>3</v>
          </cell>
          <cell r="BE1430">
            <v>0</v>
          </cell>
          <cell r="BF1430">
            <v>0</v>
          </cell>
          <cell r="BG1430">
            <v>2</v>
          </cell>
          <cell r="BH1430">
            <v>2</v>
          </cell>
          <cell r="BJ1430">
            <v>3</v>
          </cell>
          <cell r="BK1430">
            <v>0</v>
          </cell>
          <cell r="BM1430" t="str">
            <v/>
          </cell>
          <cell r="BN1430">
            <v>7</v>
          </cell>
          <cell r="BO1430">
            <v>2</v>
          </cell>
          <cell r="BP1430">
            <v>2</v>
          </cell>
          <cell r="BQ1430">
            <v>0</v>
          </cell>
          <cell r="BR1430">
            <v>3</v>
          </cell>
          <cell r="BS1430">
            <v>0</v>
          </cell>
          <cell r="BT1430">
            <v>0</v>
          </cell>
          <cell r="BU1430" t="str">
            <v/>
          </cell>
          <cell r="BV1430">
            <v>7</v>
          </cell>
          <cell r="BW1430">
            <v>4</v>
          </cell>
          <cell r="BX1430" t="str">
            <v>DOWNGRADE</v>
          </cell>
          <cell r="BY1430" t="str">
            <v>RESET</v>
          </cell>
        </row>
        <row r="1431">
          <cell r="A1431" t="str">
            <v>A1072</v>
          </cell>
          <cell r="B1431" t="str">
            <v>Rahma Hasanah</v>
          </cell>
          <cell r="C1431" t="str">
            <v>TEMA PRIODANA</v>
          </cell>
          <cell r="D1431">
            <v>45293</v>
          </cell>
          <cell r="E1431" t="str">
            <v>Jan-24</v>
          </cell>
          <cell r="L1431">
            <v>0</v>
          </cell>
          <cell r="M1431">
            <v>0</v>
          </cell>
          <cell r="N1431">
            <v>31</v>
          </cell>
          <cell r="O1431">
            <v>31</v>
          </cell>
          <cell r="P1431">
            <v>29</v>
          </cell>
          <cell r="Q1431">
            <v>33</v>
          </cell>
          <cell r="R1431">
            <v>27</v>
          </cell>
          <cell r="S1431">
            <v>16</v>
          </cell>
          <cell r="T1431">
            <v>167</v>
          </cell>
          <cell r="U1431">
            <v>0</v>
          </cell>
          <cell r="V1431">
            <v>31</v>
          </cell>
          <cell r="W1431">
            <v>31</v>
          </cell>
          <cell r="X1431">
            <v>29</v>
          </cell>
          <cell r="Y1431">
            <v>33</v>
          </cell>
          <cell r="Z1431">
            <v>27</v>
          </cell>
          <cell r="AA1431">
            <v>16</v>
          </cell>
          <cell r="AB1431">
            <v>167</v>
          </cell>
          <cell r="AC1431">
            <v>0</v>
          </cell>
          <cell r="AD1431" t="str">
            <v>TIDAK</v>
          </cell>
          <cell r="AE1431" t="str">
            <v>TIDAK</v>
          </cell>
          <cell r="AF1431">
            <v>167</v>
          </cell>
          <cell r="AG1431">
            <v>2</v>
          </cell>
          <cell r="AH1431" t="str">
            <v>SAPHIRE</v>
          </cell>
          <cell r="AI1431">
            <v>0</v>
          </cell>
          <cell r="AJ1431" t="str">
            <v>Y</v>
          </cell>
          <cell r="AK1431">
            <v>0</v>
          </cell>
          <cell r="AL1431">
            <v>45261</v>
          </cell>
          <cell r="AM1431">
            <v>45701</v>
          </cell>
          <cell r="AN1431">
            <v>1</v>
          </cell>
          <cell r="AO1431">
            <v>167</v>
          </cell>
          <cell r="AP1431" t="str">
            <v>-</v>
          </cell>
          <cell r="AV1431" t="str">
            <v/>
          </cell>
          <cell r="AW1431">
            <v>20</v>
          </cell>
          <cell r="AX1431">
            <v>16</v>
          </cell>
          <cell r="AY1431">
            <v>4</v>
          </cell>
          <cell r="AZ1431">
            <v>12</v>
          </cell>
          <cell r="BA1431">
            <v>0</v>
          </cell>
          <cell r="BB1431">
            <v>20</v>
          </cell>
          <cell r="BC1431">
            <v>16</v>
          </cell>
          <cell r="BD1431">
            <v>4</v>
          </cell>
          <cell r="BE1431">
            <v>12</v>
          </cell>
          <cell r="BF1431">
            <v>0</v>
          </cell>
          <cell r="BG1431">
            <v>11</v>
          </cell>
          <cell r="BH1431">
            <v>20</v>
          </cell>
          <cell r="BI1431">
            <v>16</v>
          </cell>
          <cell r="BJ1431">
            <v>4</v>
          </cell>
          <cell r="BK1431">
            <v>12</v>
          </cell>
          <cell r="BM1431" t="str">
            <v/>
          </cell>
          <cell r="BN1431">
            <v>63</v>
          </cell>
          <cell r="BO1431">
            <v>11</v>
          </cell>
          <cell r="BP1431">
            <v>20</v>
          </cell>
          <cell r="BQ1431">
            <v>16</v>
          </cell>
          <cell r="BR1431">
            <v>4</v>
          </cell>
          <cell r="BS1431">
            <v>12</v>
          </cell>
          <cell r="BT1431">
            <v>0</v>
          </cell>
          <cell r="BU1431" t="str">
            <v/>
          </cell>
          <cell r="BV1431">
            <v>63</v>
          </cell>
          <cell r="BW1431">
            <v>2</v>
          </cell>
          <cell r="BX1431" t="str">
            <v>TIDAK</v>
          </cell>
          <cell r="BY1431" t="str">
            <v>TIDAK</v>
          </cell>
        </row>
        <row r="1432">
          <cell r="A1432" t="str">
            <v>A3944</v>
          </cell>
          <cell r="B1432" t="str">
            <v>RISTA ULIANA</v>
          </cell>
          <cell r="C1432" t="str">
            <v>TEMA PRIODANA</v>
          </cell>
          <cell r="D1432">
            <v>45414</v>
          </cell>
          <cell r="E1432" t="str">
            <v>May-24</v>
          </cell>
          <cell r="M1432">
            <v>0</v>
          </cell>
          <cell r="R1432">
            <v>23</v>
          </cell>
          <cell r="S1432">
            <v>10</v>
          </cell>
          <cell r="T1432">
            <v>33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23</v>
          </cell>
          <cell r="AA1432">
            <v>10</v>
          </cell>
          <cell r="AB1432">
            <v>33</v>
          </cell>
          <cell r="AC1432">
            <v>0</v>
          </cell>
          <cell r="AD1432" t="str">
            <v>TIDAK</v>
          </cell>
          <cell r="AE1432" t="str">
            <v>TIDAK</v>
          </cell>
          <cell r="AF1432">
            <v>33</v>
          </cell>
          <cell r="AG1432">
            <v>1</v>
          </cell>
          <cell r="AH1432" t="str">
            <v>SAPHIRE</v>
          </cell>
          <cell r="AI1432">
            <v>0</v>
          </cell>
          <cell r="AJ1432" t="str">
            <v>FALSE</v>
          </cell>
          <cell r="AK1432">
            <v>0</v>
          </cell>
          <cell r="AL1432">
            <v>45261</v>
          </cell>
          <cell r="AM1432">
            <v>45701</v>
          </cell>
          <cell r="AN1432">
            <v>1</v>
          </cell>
          <cell r="AO1432">
            <v>33</v>
          </cell>
          <cell r="AP1432" t="str">
            <v>-</v>
          </cell>
          <cell r="AV1432" t="str">
            <v/>
          </cell>
          <cell r="AW1432">
            <v>22</v>
          </cell>
          <cell r="AX1432">
            <v>26</v>
          </cell>
          <cell r="AY1432">
            <v>20</v>
          </cell>
          <cell r="AZ1432">
            <v>6</v>
          </cell>
          <cell r="BA1432">
            <v>0</v>
          </cell>
          <cell r="BB1432">
            <v>22</v>
          </cell>
          <cell r="BC1432">
            <v>26</v>
          </cell>
          <cell r="BD1432">
            <v>20</v>
          </cell>
          <cell r="BE1432">
            <v>6</v>
          </cell>
          <cell r="BF1432">
            <v>0</v>
          </cell>
          <cell r="BG1432">
            <v>12</v>
          </cell>
          <cell r="BH1432">
            <v>22</v>
          </cell>
          <cell r="BI1432">
            <v>26</v>
          </cell>
          <cell r="BJ1432">
            <v>20</v>
          </cell>
          <cell r="BK1432">
            <v>6</v>
          </cell>
          <cell r="BM1432" t="str">
            <v/>
          </cell>
          <cell r="BN1432">
            <v>86</v>
          </cell>
          <cell r="BO1432">
            <v>12</v>
          </cell>
          <cell r="BP1432">
            <v>22</v>
          </cell>
          <cell r="BQ1432">
            <v>26</v>
          </cell>
          <cell r="BR1432">
            <v>20</v>
          </cell>
          <cell r="BS1432">
            <v>6</v>
          </cell>
          <cell r="BT1432">
            <v>0</v>
          </cell>
          <cell r="BU1432" t="str">
            <v/>
          </cell>
          <cell r="BV1432">
            <v>86</v>
          </cell>
          <cell r="BW1432">
            <v>2</v>
          </cell>
          <cell r="BX1432" t="str">
            <v>TIDAK</v>
          </cell>
          <cell r="BY1432" t="str">
            <v>TIDAK</v>
          </cell>
        </row>
        <row r="1433">
          <cell r="A1433" t="str">
            <v>A3373</v>
          </cell>
          <cell r="B1433" t="str">
            <v>Silvia Sormin</v>
          </cell>
          <cell r="C1433" t="str">
            <v>TEMA PRIODANA</v>
          </cell>
          <cell r="D1433">
            <v>45246</v>
          </cell>
          <cell r="E1433" t="str">
            <v>Nov-23</v>
          </cell>
          <cell r="L1433">
            <v>0</v>
          </cell>
          <cell r="M1433">
            <v>6</v>
          </cell>
          <cell r="N1433">
            <v>10</v>
          </cell>
          <cell r="O1433">
            <v>12</v>
          </cell>
          <cell r="S1433" t="str">
            <v/>
          </cell>
          <cell r="T1433">
            <v>28</v>
          </cell>
          <cell r="U1433">
            <v>6</v>
          </cell>
          <cell r="V1433">
            <v>10</v>
          </cell>
          <cell r="W1433">
            <v>12</v>
          </cell>
          <cell r="X1433">
            <v>0</v>
          </cell>
          <cell r="Y1433">
            <v>0</v>
          </cell>
          <cell r="Z1433">
            <v>0</v>
          </cell>
          <cell r="AA1433" t="str">
            <v/>
          </cell>
          <cell r="AB1433">
            <v>28</v>
          </cell>
          <cell r="AC1433">
            <v>4</v>
          </cell>
          <cell r="AD1433" t="str">
            <v>DOWNGRADE</v>
          </cell>
          <cell r="AE1433" t="str">
            <v>RESET</v>
          </cell>
          <cell r="AF1433">
            <v>0</v>
          </cell>
          <cell r="AG1433">
            <v>2</v>
          </cell>
          <cell r="AH1433" t="str">
            <v>SAPHIRE</v>
          </cell>
          <cell r="AI1433">
            <v>0</v>
          </cell>
          <cell r="AJ1433" t="str">
            <v>FALSE</v>
          </cell>
          <cell r="AK1433">
            <v>0</v>
          </cell>
          <cell r="AL1433">
            <v>45261</v>
          </cell>
          <cell r="AM1433">
            <v>45701</v>
          </cell>
          <cell r="AN1433">
            <v>1</v>
          </cell>
          <cell r="AO1433">
            <v>0</v>
          </cell>
          <cell r="AP1433" t="str">
            <v>-</v>
          </cell>
          <cell r="AV1433" t="str">
            <v/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 t="str">
            <v/>
          </cell>
          <cell r="BH1433">
            <v>0</v>
          </cell>
          <cell r="BJ1433">
            <v>0</v>
          </cell>
          <cell r="BK1433">
            <v>0</v>
          </cell>
          <cell r="BM1433" t="str">
            <v/>
          </cell>
          <cell r="BN1433">
            <v>0</v>
          </cell>
          <cell r="BO1433" t="str">
            <v/>
          </cell>
          <cell r="BP1433">
            <v>0</v>
          </cell>
          <cell r="BQ1433">
            <v>0</v>
          </cell>
          <cell r="BR1433">
            <v>0</v>
          </cell>
          <cell r="BS1433">
            <v>0</v>
          </cell>
          <cell r="BT1433">
            <v>0</v>
          </cell>
          <cell r="BU1433" t="str">
            <v/>
          </cell>
          <cell r="BV1433">
            <v>0</v>
          </cell>
          <cell r="BW1433">
            <v>7</v>
          </cell>
          <cell r="BX1433" t="str">
            <v>DOWNGRADE</v>
          </cell>
          <cell r="BY1433" t="str">
            <v>RESET</v>
          </cell>
        </row>
        <row r="1434">
          <cell r="A1434" t="str">
            <v>A3943</v>
          </cell>
          <cell r="B1434" t="str">
            <v>Zefanya Christleen</v>
          </cell>
          <cell r="C1434" t="str">
            <v>TEMA PRIODANA</v>
          </cell>
          <cell r="D1434">
            <v>45385</v>
          </cell>
          <cell r="E1434" t="str">
            <v>Apr-24</v>
          </cell>
          <cell r="L1434">
            <v>0</v>
          </cell>
          <cell r="M1434">
            <v>0</v>
          </cell>
          <cell r="Q1434">
            <v>11</v>
          </cell>
          <cell r="R1434">
            <v>17</v>
          </cell>
          <cell r="S1434">
            <v>12</v>
          </cell>
          <cell r="T1434">
            <v>40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11</v>
          </cell>
          <cell r="Z1434">
            <v>17</v>
          </cell>
          <cell r="AA1434">
            <v>12</v>
          </cell>
          <cell r="AB1434">
            <v>40</v>
          </cell>
          <cell r="AC1434">
            <v>0</v>
          </cell>
          <cell r="AD1434" t="str">
            <v>TIDAK</v>
          </cell>
          <cell r="AE1434" t="str">
            <v>TIDAK</v>
          </cell>
          <cell r="AF1434">
            <v>40</v>
          </cell>
          <cell r="AG1434">
            <v>1</v>
          </cell>
          <cell r="AH1434" t="str">
            <v>SAPHIRE</v>
          </cell>
          <cell r="AI1434">
            <v>0</v>
          </cell>
          <cell r="AJ1434" t="str">
            <v>FALSE</v>
          </cell>
          <cell r="AK1434">
            <v>0</v>
          </cell>
          <cell r="AL1434">
            <v>45261</v>
          </cell>
          <cell r="AM1434">
            <v>45701</v>
          </cell>
          <cell r="AN1434">
            <v>1</v>
          </cell>
          <cell r="AO1434">
            <v>40</v>
          </cell>
          <cell r="AP1434" t="str">
            <v>-</v>
          </cell>
          <cell r="AV1434" t="str">
            <v/>
          </cell>
          <cell r="AW1434">
            <v>2</v>
          </cell>
          <cell r="AX1434">
            <v>0</v>
          </cell>
          <cell r="AY1434">
            <v>14</v>
          </cell>
          <cell r="AZ1434">
            <v>23</v>
          </cell>
          <cell r="BA1434">
            <v>40</v>
          </cell>
          <cell r="BB1434">
            <v>2</v>
          </cell>
          <cell r="BC1434">
            <v>0</v>
          </cell>
          <cell r="BD1434">
            <v>14</v>
          </cell>
          <cell r="BE1434">
            <v>23</v>
          </cell>
          <cell r="BF1434">
            <v>40</v>
          </cell>
          <cell r="BG1434">
            <v>12</v>
          </cell>
          <cell r="BH1434">
            <v>2</v>
          </cell>
          <cell r="BJ1434">
            <v>14</v>
          </cell>
          <cell r="BK1434">
            <v>23</v>
          </cell>
          <cell r="BL1434">
            <v>40</v>
          </cell>
          <cell r="BM1434">
            <v>20</v>
          </cell>
          <cell r="BN1434">
            <v>111</v>
          </cell>
          <cell r="BO1434">
            <v>12</v>
          </cell>
          <cell r="BP1434">
            <v>2</v>
          </cell>
          <cell r="BQ1434">
            <v>0</v>
          </cell>
          <cell r="BR1434">
            <v>14</v>
          </cell>
          <cell r="BS1434">
            <v>23</v>
          </cell>
          <cell r="BT1434">
            <v>40</v>
          </cell>
          <cell r="BU1434">
            <v>20</v>
          </cell>
          <cell r="BV1434">
            <v>111</v>
          </cell>
          <cell r="BW1434">
            <v>1</v>
          </cell>
          <cell r="BX1434" t="str">
            <v>TIDAK</v>
          </cell>
          <cell r="BY1434" t="str">
            <v>TIDAK</v>
          </cell>
        </row>
        <row r="1435">
          <cell r="A1435" t="str">
            <v>A4127</v>
          </cell>
          <cell r="B1435" t="str">
            <v>ILHAM SETYA DHARMAWAN</v>
          </cell>
          <cell r="C1435" t="str">
            <v>TEMA PRIODANA</v>
          </cell>
          <cell r="D1435">
            <v>45468</v>
          </cell>
          <cell r="E1435" t="str">
            <v>Jun-24</v>
          </cell>
          <cell r="AP1435" t="str">
            <v>-</v>
          </cell>
          <cell r="AV1435" t="str">
            <v/>
          </cell>
          <cell r="AW1435">
            <v>37</v>
          </cell>
          <cell r="AX1435">
            <v>43</v>
          </cell>
          <cell r="AY1435">
            <v>25</v>
          </cell>
          <cell r="AZ1435">
            <v>16</v>
          </cell>
          <cell r="BA1435">
            <v>12</v>
          </cell>
          <cell r="BB1435">
            <v>37</v>
          </cell>
          <cell r="BC1435">
            <v>43</v>
          </cell>
          <cell r="BD1435">
            <v>25</v>
          </cell>
          <cell r="BE1435">
            <v>16</v>
          </cell>
          <cell r="BF1435">
            <v>12</v>
          </cell>
          <cell r="BG1435">
            <v>7</v>
          </cell>
          <cell r="BH1435">
            <v>37</v>
          </cell>
          <cell r="BI1435">
            <v>43</v>
          </cell>
          <cell r="BJ1435">
            <v>25</v>
          </cell>
          <cell r="BK1435">
            <v>16</v>
          </cell>
          <cell r="BL1435">
            <v>12</v>
          </cell>
          <cell r="BM1435">
            <v>13</v>
          </cell>
          <cell r="BN1435">
            <v>153</v>
          </cell>
          <cell r="BO1435">
            <v>7</v>
          </cell>
          <cell r="BP1435">
            <v>37</v>
          </cell>
          <cell r="BQ1435">
            <v>43</v>
          </cell>
          <cell r="BR1435">
            <v>25</v>
          </cell>
          <cell r="BS1435">
            <v>16</v>
          </cell>
          <cell r="BT1435">
            <v>12</v>
          </cell>
          <cell r="BU1435">
            <v>13</v>
          </cell>
          <cell r="BV1435">
            <v>153</v>
          </cell>
          <cell r="BW1435">
            <v>0</v>
          </cell>
          <cell r="BX1435" t="str">
            <v>TIDAK</v>
          </cell>
          <cell r="BY1435" t="str">
            <v>TIDAK</v>
          </cell>
        </row>
        <row r="1436">
          <cell r="A1436" t="str">
            <v>A4158</v>
          </cell>
          <cell r="B1436" t="str">
            <v>GITA ISMILAH</v>
          </cell>
          <cell r="C1436" t="str">
            <v>TEMA PRIODANA</v>
          </cell>
          <cell r="D1436">
            <v>45475</v>
          </cell>
          <cell r="E1436" t="str">
            <v>Jul-24</v>
          </cell>
          <cell r="AP1436" t="str">
            <v>-</v>
          </cell>
          <cell r="AV1436" t="str">
            <v/>
          </cell>
          <cell r="AW1436">
            <v>23</v>
          </cell>
          <cell r="AX1436">
            <v>13</v>
          </cell>
          <cell r="AY1436">
            <v>21</v>
          </cell>
          <cell r="AZ1436">
            <v>40</v>
          </cell>
          <cell r="BA1436">
            <v>0</v>
          </cell>
          <cell r="BB1436">
            <v>23</v>
          </cell>
          <cell r="BC1436">
            <v>13</v>
          </cell>
          <cell r="BD1436">
            <v>21</v>
          </cell>
          <cell r="BE1436">
            <v>40</v>
          </cell>
          <cell r="BF1436">
            <v>0</v>
          </cell>
          <cell r="BH1436">
            <v>23</v>
          </cell>
          <cell r="BI1436">
            <v>13</v>
          </cell>
          <cell r="BJ1436">
            <v>21</v>
          </cell>
          <cell r="BK1436">
            <v>40</v>
          </cell>
          <cell r="BM1436" t="str">
            <v/>
          </cell>
          <cell r="BN1436">
            <v>97</v>
          </cell>
          <cell r="BO1436">
            <v>0</v>
          </cell>
          <cell r="BP1436">
            <v>23</v>
          </cell>
          <cell r="BQ1436">
            <v>13</v>
          </cell>
          <cell r="BR1436">
            <v>21</v>
          </cell>
          <cell r="BS1436">
            <v>40</v>
          </cell>
          <cell r="BT1436">
            <v>0</v>
          </cell>
          <cell r="BU1436" t="str">
            <v/>
          </cell>
          <cell r="BV1436">
            <v>97</v>
          </cell>
          <cell r="BW1436">
            <v>2</v>
          </cell>
          <cell r="BX1436" t="str">
            <v>TIDAK</v>
          </cell>
          <cell r="BY1436" t="str">
            <v>TIDAK</v>
          </cell>
        </row>
        <row r="1437">
          <cell r="A1437" t="str">
            <v>A4161</v>
          </cell>
          <cell r="B1437" t="str">
            <v>RAYMOND GIVENCHE TAMPUBOLON</v>
          </cell>
          <cell r="C1437" t="str">
            <v>TEMA PRIODANA</v>
          </cell>
          <cell r="D1437">
            <v>45474</v>
          </cell>
          <cell r="E1437" t="str">
            <v>Jul-24</v>
          </cell>
          <cell r="AP1437" t="str">
            <v>-</v>
          </cell>
          <cell r="AV1437" t="str">
            <v/>
          </cell>
          <cell r="AW1437">
            <v>35</v>
          </cell>
          <cell r="AX1437">
            <v>40</v>
          </cell>
          <cell r="AY1437">
            <v>18</v>
          </cell>
          <cell r="AZ1437">
            <v>0</v>
          </cell>
          <cell r="BA1437">
            <v>0</v>
          </cell>
          <cell r="BB1437">
            <v>35</v>
          </cell>
          <cell r="BC1437">
            <v>40</v>
          </cell>
          <cell r="BD1437">
            <v>18</v>
          </cell>
          <cell r="BE1437">
            <v>0</v>
          </cell>
          <cell r="BF1437">
            <v>0</v>
          </cell>
          <cell r="BH1437">
            <v>35</v>
          </cell>
          <cell r="BI1437">
            <v>40</v>
          </cell>
          <cell r="BJ1437">
            <v>18</v>
          </cell>
          <cell r="BK1437">
            <v>0</v>
          </cell>
          <cell r="BM1437" t="str">
            <v/>
          </cell>
          <cell r="BN1437">
            <v>93</v>
          </cell>
          <cell r="BO1437">
            <v>0</v>
          </cell>
          <cell r="BP1437">
            <v>35</v>
          </cell>
          <cell r="BQ1437">
            <v>40</v>
          </cell>
          <cell r="BR1437">
            <v>18</v>
          </cell>
          <cell r="BS1437">
            <v>0</v>
          </cell>
          <cell r="BT1437">
            <v>0</v>
          </cell>
          <cell r="BU1437" t="str">
            <v/>
          </cell>
          <cell r="BV1437">
            <v>93</v>
          </cell>
          <cell r="BW1437">
            <v>3</v>
          </cell>
          <cell r="BX1437" t="str">
            <v>DOWNGRADE</v>
          </cell>
          <cell r="BY1437" t="str">
            <v>RESET</v>
          </cell>
        </row>
        <row r="1438">
          <cell r="A1438" t="str">
            <v>A4259</v>
          </cell>
          <cell r="B1438" t="str">
            <v>ANDIN RACMA AULIA</v>
          </cell>
          <cell r="C1438" t="str">
            <v>TEMA PRIODANA</v>
          </cell>
          <cell r="D1438">
            <v>45531</v>
          </cell>
          <cell r="E1438" t="str">
            <v>Aug-24</v>
          </cell>
          <cell r="AP1438" t="str">
            <v>-</v>
          </cell>
          <cell r="AV1438" t="str">
            <v/>
          </cell>
          <cell r="AW1438">
            <v>0</v>
          </cell>
          <cell r="AX1438">
            <v>2</v>
          </cell>
          <cell r="AY1438">
            <v>19</v>
          </cell>
          <cell r="AZ1438">
            <v>1</v>
          </cell>
          <cell r="BA1438">
            <v>0</v>
          </cell>
          <cell r="BB1438">
            <v>0</v>
          </cell>
          <cell r="BC1438">
            <v>2</v>
          </cell>
          <cell r="BD1438">
            <v>19</v>
          </cell>
          <cell r="BE1438">
            <v>1</v>
          </cell>
          <cell r="BF1438">
            <v>0</v>
          </cell>
          <cell r="BG1438" t="str">
            <v/>
          </cell>
          <cell r="BH1438">
            <v>0</v>
          </cell>
          <cell r="BI1438">
            <v>2</v>
          </cell>
          <cell r="BJ1438">
            <v>19</v>
          </cell>
          <cell r="BK1438">
            <v>1</v>
          </cell>
          <cell r="BM1438" t="str">
            <v/>
          </cell>
          <cell r="BN1438">
            <v>22</v>
          </cell>
          <cell r="BO1438" t="str">
            <v/>
          </cell>
          <cell r="BP1438">
            <v>0</v>
          </cell>
          <cell r="BQ1438">
            <v>2</v>
          </cell>
          <cell r="BR1438">
            <v>19</v>
          </cell>
          <cell r="BS1438">
            <v>1</v>
          </cell>
          <cell r="BT1438">
            <v>0</v>
          </cell>
          <cell r="BU1438" t="str">
            <v/>
          </cell>
          <cell r="BV1438">
            <v>22</v>
          </cell>
          <cell r="BW1438">
            <v>2</v>
          </cell>
          <cell r="BX1438" t="str">
            <v>TIDAK</v>
          </cell>
          <cell r="BY1438" t="str">
            <v>TIDAK</v>
          </cell>
        </row>
        <row r="1439">
          <cell r="A1439" t="str">
            <v>A4258</v>
          </cell>
          <cell r="B1439" t="str">
            <v>ACHMAD DEKRIAWAN GATA SURYA</v>
          </cell>
          <cell r="C1439" t="str">
            <v>TEMA PRIODANA</v>
          </cell>
          <cell r="D1439">
            <v>45530</v>
          </cell>
          <cell r="E1439" t="str">
            <v>Aug-24</v>
          </cell>
          <cell r="AP1439" t="str">
            <v>-</v>
          </cell>
          <cell r="AV1439" t="str">
            <v/>
          </cell>
          <cell r="AW1439">
            <v>0</v>
          </cell>
          <cell r="AX1439">
            <v>2</v>
          </cell>
          <cell r="AY1439">
            <v>2</v>
          </cell>
          <cell r="AZ1439">
            <v>0</v>
          </cell>
          <cell r="BA1439">
            <v>0</v>
          </cell>
          <cell r="BB1439">
            <v>0</v>
          </cell>
          <cell r="BC1439">
            <v>2</v>
          </cell>
          <cell r="BD1439">
            <v>2</v>
          </cell>
          <cell r="BE1439">
            <v>0</v>
          </cell>
          <cell r="BF1439">
            <v>0</v>
          </cell>
          <cell r="BG1439" t="str">
            <v/>
          </cell>
          <cell r="BH1439">
            <v>0</v>
          </cell>
          <cell r="BI1439">
            <v>2</v>
          </cell>
          <cell r="BJ1439">
            <v>2</v>
          </cell>
          <cell r="BK1439">
            <v>0</v>
          </cell>
          <cell r="BM1439" t="str">
            <v/>
          </cell>
          <cell r="BN1439">
            <v>4</v>
          </cell>
          <cell r="BO1439" t="str">
            <v/>
          </cell>
          <cell r="BP1439">
            <v>0</v>
          </cell>
          <cell r="BQ1439">
            <v>2</v>
          </cell>
          <cell r="BR1439">
            <v>2</v>
          </cell>
          <cell r="BS1439">
            <v>0</v>
          </cell>
          <cell r="BT1439">
            <v>0</v>
          </cell>
          <cell r="BU1439" t="str">
            <v/>
          </cell>
          <cell r="BV1439">
            <v>4</v>
          </cell>
          <cell r="BW1439">
            <v>3</v>
          </cell>
          <cell r="BX1439" t="str">
            <v>DOWNGRADE</v>
          </cell>
          <cell r="BY1439" t="str">
            <v>RESET</v>
          </cell>
        </row>
        <row r="1440">
          <cell r="A1440" t="str">
            <v>A4401</v>
          </cell>
          <cell r="B1440" t="str">
            <v>FELIKS ALEXANDRO NESTA</v>
          </cell>
          <cell r="C1440" t="str">
            <v>TEMA PRIODANA</v>
          </cell>
          <cell r="D1440">
            <v>45583</v>
          </cell>
          <cell r="E1440" t="str">
            <v>Oct-24</v>
          </cell>
          <cell r="AP1440" t="str">
            <v>-</v>
          </cell>
          <cell r="AV1440" t="str">
            <v/>
          </cell>
          <cell r="AW1440">
            <v>0</v>
          </cell>
          <cell r="AX1440">
            <v>0</v>
          </cell>
          <cell r="AY1440">
            <v>0</v>
          </cell>
          <cell r="AZ1440">
            <v>21</v>
          </cell>
          <cell r="BA1440">
            <v>33</v>
          </cell>
          <cell r="BB1440">
            <v>0</v>
          </cell>
          <cell r="BC1440">
            <v>0</v>
          </cell>
          <cell r="BD1440">
            <v>0</v>
          </cell>
          <cell r="BE1440">
            <v>21</v>
          </cell>
          <cell r="BF1440">
            <v>33</v>
          </cell>
          <cell r="BG1440" t="str">
            <v/>
          </cell>
          <cell r="BH1440">
            <v>0</v>
          </cell>
          <cell r="BJ1440">
            <v>0</v>
          </cell>
          <cell r="BK1440">
            <v>21</v>
          </cell>
          <cell r="BL1440">
            <v>33</v>
          </cell>
          <cell r="BM1440">
            <v>19</v>
          </cell>
          <cell r="BN1440">
            <v>73</v>
          </cell>
          <cell r="BO1440" t="str">
            <v/>
          </cell>
          <cell r="BP1440">
            <v>0</v>
          </cell>
          <cell r="BQ1440">
            <v>0</v>
          </cell>
          <cell r="BR1440">
            <v>0</v>
          </cell>
          <cell r="BS1440">
            <v>21</v>
          </cell>
          <cell r="BT1440">
            <v>33</v>
          </cell>
          <cell r="BU1440">
            <v>19</v>
          </cell>
          <cell r="BV1440">
            <v>73</v>
          </cell>
          <cell r="BW1440">
            <v>0</v>
          </cell>
          <cell r="BX1440" t="str">
            <v>TIDAK</v>
          </cell>
          <cell r="BY1440" t="str">
            <v>TIDAK</v>
          </cell>
        </row>
        <row r="1441">
          <cell r="A1441" t="str">
            <v>A4400</v>
          </cell>
          <cell r="B1441" t="str">
            <v>ANITA GABRELLA</v>
          </cell>
          <cell r="C1441" t="str">
            <v>TEMA PRIODANA</v>
          </cell>
          <cell r="D1441">
            <v>45584</v>
          </cell>
          <cell r="E1441" t="str">
            <v>Oct-24</v>
          </cell>
          <cell r="AP1441" t="str">
            <v>-</v>
          </cell>
          <cell r="AV1441" t="str">
            <v/>
          </cell>
          <cell r="AW1441">
            <v>0</v>
          </cell>
          <cell r="AX1441">
            <v>0</v>
          </cell>
          <cell r="AY1441">
            <v>0</v>
          </cell>
          <cell r="AZ1441">
            <v>11</v>
          </cell>
          <cell r="BA1441">
            <v>26</v>
          </cell>
          <cell r="BB1441">
            <v>0</v>
          </cell>
          <cell r="BC1441">
            <v>0</v>
          </cell>
          <cell r="BD1441">
            <v>0</v>
          </cell>
          <cell r="BE1441">
            <v>11</v>
          </cell>
          <cell r="BF1441">
            <v>26</v>
          </cell>
          <cell r="BG1441" t="str">
            <v/>
          </cell>
          <cell r="BH1441">
            <v>0</v>
          </cell>
          <cell r="BJ1441">
            <v>0</v>
          </cell>
          <cell r="BK1441">
            <v>11</v>
          </cell>
          <cell r="BL1441">
            <v>26</v>
          </cell>
          <cell r="BM1441">
            <v>16</v>
          </cell>
          <cell r="BN1441">
            <v>53</v>
          </cell>
          <cell r="BO1441" t="str">
            <v/>
          </cell>
          <cell r="BP1441">
            <v>0</v>
          </cell>
          <cell r="BQ1441">
            <v>0</v>
          </cell>
          <cell r="BR1441">
            <v>0</v>
          </cell>
          <cell r="BS1441">
            <v>11</v>
          </cell>
          <cell r="BT1441">
            <v>26</v>
          </cell>
          <cell r="BU1441">
            <v>16</v>
          </cell>
          <cell r="BV1441">
            <v>53</v>
          </cell>
          <cell r="BW1441">
            <v>0</v>
          </cell>
          <cell r="BX1441" t="str">
            <v>TIDAK</v>
          </cell>
          <cell r="BY1441" t="str">
            <v>TIDAK</v>
          </cell>
        </row>
        <row r="1442">
          <cell r="A1442" t="str">
            <v>A4402</v>
          </cell>
          <cell r="B1442" t="str">
            <v>ANTIAS AYU ROMADHANI</v>
          </cell>
          <cell r="C1442" t="str">
            <v>TEMA PRIODANA</v>
          </cell>
          <cell r="D1442">
            <v>45583</v>
          </cell>
          <cell r="E1442" t="str">
            <v>Oct-24</v>
          </cell>
          <cell r="AP1442" t="str">
            <v>-</v>
          </cell>
          <cell r="AV1442" t="str">
            <v/>
          </cell>
          <cell r="AW1442">
            <v>0</v>
          </cell>
          <cell r="AX1442">
            <v>0</v>
          </cell>
          <cell r="AY1442">
            <v>0</v>
          </cell>
          <cell r="AZ1442">
            <v>16</v>
          </cell>
          <cell r="BA1442">
            <v>17</v>
          </cell>
          <cell r="BB1442">
            <v>0</v>
          </cell>
          <cell r="BC1442">
            <v>0</v>
          </cell>
          <cell r="BD1442">
            <v>0</v>
          </cell>
          <cell r="BE1442">
            <v>16</v>
          </cell>
          <cell r="BF1442">
            <v>17</v>
          </cell>
          <cell r="BG1442" t="str">
            <v/>
          </cell>
          <cell r="BH1442">
            <v>0</v>
          </cell>
          <cell r="BJ1442">
            <v>0</v>
          </cell>
          <cell r="BK1442">
            <v>16</v>
          </cell>
          <cell r="BL1442">
            <v>17</v>
          </cell>
          <cell r="BM1442">
            <v>14</v>
          </cell>
          <cell r="BN1442">
            <v>47</v>
          </cell>
          <cell r="BO1442" t="str">
            <v/>
          </cell>
          <cell r="BP1442">
            <v>0</v>
          </cell>
          <cell r="BQ1442">
            <v>0</v>
          </cell>
          <cell r="BR1442">
            <v>0</v>
          </cell>
          <cell r="BS1442">
            <v>16</v>
          </cell>
          <cell r="BT1442">
            <v>17</v>
          </cell>
          <cell r="BU1442">
            <v>14</v>
          </cell>
          <cell r="BV1442">
            <v>47</v>
          </cell>
          <cell r="BW1442">
            <v>0</v>
          </cell>
          <cell r="BX1442" t="str">
            <v>TIDAK</v>
          </cell>
          <cell r="BY1442" t="str">
            <v>TIDAK</v>
          </cell>
        </row>
        <row r="1443">
          <cell r="A1443" t="str">
            <v>A4410</v>
          </cell>
          <cell r="B1443" t="str">
            <v>FLORISTA AYUNI PANJAITAN</v>
          </cell>
          <cell r="C1443" t="str">
            <v>TEMA PRIODANA</v>
          </cell>
          <cell r="D1443">
            <v>45591</v>
          </cell>
          <cell r="E1443" t="str">
            <v>Oct-24</v>
          </cell>
          <cell r="AP1443" t="str">
            <v>-</v>
          </cell>
          <cell r="AV1443" t="str">
            <v/>
          </cell>
          <cell r="AW1443">
            <v>0</v>
          </cell>
          <cell r="AX1443">
            <v>0</v>
          </cell>
          <cell r="AY1443">
            <v>0</v>
          </cell>
          <cell r="AZ1443">
            <v>2</v>
          </cell>
          <cell r="BA1443">
            <v>22</v>
          </cell>
          <cell r="BB1443">
            <v>0</v>
          </cell>
          <cell r="BC1443">
            <v>0</v>
          </cell>
          <cell r="BD1443">
            <v>0</v>
          </cell>
          <cell r="BE1443">
            <v>2</v>
          </cell>
          <cell r="BF1443">
            <v>22</v>
          </cell>
          <cell r="BG1443" t="str">
            <v/>
          </cell>
          <cell r="BH1443">
            <v>0</v>
          </cell>
          <cell r="BJ1443">
            <v>0</v>
          </cell>
          <cell r="BK1443">
            <v>2</v>
          </cell>
          <cell r="BL1443">
            <v>22</v>
          </cell>
          <cell r="BM1443" t="str">
            <v/>
          </cell>
          <cell r="BN1443">
            <v>24</v>
          </cell>
          <cell r="BO1443" t="str">
            <v/>
          </cell>
          <cell r="BP1443">
            <v>0</v>
          </cell>
          <cell r="BQ1443">
            <v>0</v>
          </cell>
          <cell r="BR1443">
            <v>0</v>
          </cell>
          <cell r="BS1443">
            <v>2</v>
          </cell>
          <cell r="BT1443">
            <v>22</v>
          </cell>
          <cell r="BU1443" t="str">
            <v/>
          </cell>
          <cell r="BV1443">
            <v>24</v>
          </cell>
          <cell r="BW1443">
            <v>1</v>
          </cell>
          <cell r="BX1443" t="str">
            <v>TIDAK</v>
          </cell>
          <cell r="BY1443" t="str">
            <v>TIDAK</v>
          </cell>
        </row>
        <row r="1444">
          <cell r="A1444" t="str">
            <v>A0441</v>
          </cell>
          <cell r="B1444" t="str">
            <v>VIKA INDAH ENGGARWATI ZEGA</v>
          </cell>
          <cell r="C1444" t="str">
            <v>TEMA PRIODANA</v>
          </cell>
          <cell r="D1444">
            <v>45593</v>
          </cell>
          <cell r="E1444" t="str">
            <v>Oct-24</v>
          </cell>
          <cell r="AP1444" t="str">
            <v>-</v>
          </cell>
          <cell r="AV1444" t="str">
            <v/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1</v>
          </cell>
          <cell r="BF1444">
            <v>34</v>
          </cell>
          <cell r="BG1444" t="str">
            <v/>
          </cell>
          <cell r="BH1444">
            <v>0</v>
          </cell>
          <cell r="BJ1444">
            <v>0</v>
          </cell>
          <cell r="BK1444">
            <v>1</v>
          </cell>
          <cell r="BL1444">
            <v>34</v>
          </cell>
          <cell r="BM1444">
            <v>5</v>
          </cell>
          <cell r="BN1444">
            <v>40</v>
          </cell>
          <cell r="BO1444" t="str">
            <v/>
          </cell>
          <cell r="BP1444">
            <v>0</v>
          </cell>
          <cell r="BQ1444">
            <v>0</v>
          </cell>
          <cell r="BR1444">
            <v>0</v>
          </cell>
          <cell r="BS1444">
            <v>1</v>
          </cell>
          <cell r="BT1444">
            <v>34</v>
          </cell>
          <cell r="BU1444">
            <v>5</v>
          </cell>
          <cell r="BV1444">
            <v>40</v>
          </cell>
          <cell r="BW1444">
            <v>0</v>
          </cell>
          <cell r="BX1444" t="str">
            <v>TIDAK</v>
          </cell>
          <cell r="BY1444" t="str">
            <v>TIDAK</v>
          </cell>
        </row>
        <row r="1445">
          <cell r="A1445" t="str">
            <v>A4411</v>
          </cell>
          <cell r="B1445" t="str">
            <v>SRI MIRAWATI NDRURU</v>
          </cell>
          <cell r="C1445" t="str">
            <v>TEMA PRIODANA</v>
          </cell>
          <cell r="D1445">
            <v>45590</v>
          </cell>
          <cell r="E1445" t="str">
            <v>Oct-24</v>
          </cell>
          <cell r="AP1445" t="str">
            <v>-</v>
          </cell>
          <cell r="AV1445" t="str">
            <v/>
          </cell>
          <cell r="AW1445">
            <v>0</v>
          </cell>
          <cell r="AX1445">
            <v>0</v>
          </cell>
          <cell r="AY1445">
            <v>0</v>
          </cell>
          <cell r="AZ1445">
            <v>2</v>
          </cell>
          <cell r="BA1445">
            <v>19</v>
          </cell>
          <cell r="BB1445">
            <v>0</v>
          </cell>
          <cell r="BC1445">
            <v>0</v>
          </cell>
          <cell r="BD1445">
            <v>0</v>
          </cell>
          <cell r="BE1445">
            <v>2</v>
          </cell>
          <cell r="BF1445">
            <v>19</v>
          </cell>
          <cell r="BG1445" t="str">
            <v/>
          </cell>
          <cell r="BH1445">
            <v>0</v>
          </cell>
          <cell r="BJ1445">
            <v>0</v>
          </cell>
          <cell r="BK1445">
            <v>2</v>
          </cell>
          <cell r="BL1445">
            <v>19</v>
          </cell>
          <cell r="BM1445" t="str">
            <v/>
          </cell>
          <cell r="BN1445">
            <v>21</v>
          </cell>
          <cell r="BO1445" t="str">
            <v/>
          </cell>
          <cell r="BP1445">
            <v>0</v>
          </cell>
          <cell r="BQ1445">
            <v>0</v>
          </cell>
          <cell r="BR1445">
            <v>0</v>
          </cell>
          <cell r="BS1445">
            <v>2</v>
          </cell>
          <cell r="BT1445">
            <v>19</v>
          </cell>
          <cell r="BU1445" t="str">
            <v/>
          </cell>
          <cell r="BV1445">
            <v>21</v>
          </cell>
          <cell r="BW1445">
            <v>1</v>
          </cell>
          <cell r="BX1445" t="str">
            <v>TIDAK</v>
          </cell>
          <cell r="BY1445" t="str">
            <v>TIDAK</v>
          </cell>
        </row>
        <row r="1446">
          <cell r="A1446" t="str">
            <v>A4412</v>
          </cell>
          <cell r="B1446" t="str">
            <v>PUTRI RISTY FRIKA AMELIA</v>
          </cell>
          <cell r="C1446" t="str">
            <v>TEMA PRIODANA</v>
          </cell>
          <cell r="D1446">
            <v>45591</v>
          </cell>
          <cell r="E1446" t="str">
            <v>Oct-24</v>
          </cell>
          <cell r="AP1446" t="str">
            <v>-</v>
          </cell>
          <cell r="AV1446" t="str">
            <v/>
          </cell>
          <cell r="AW1446">
            <v>0</v>
          </cell>
          <cell r="AX1446">
            <v>0</v>
          </cell>
          <cell r="AY1446">
            <v>0</v>
          </cell>
          <cell r="AZ1446">
            <v>1</v>
          </cell>
          <cell r="BA1446">
            <v>2</v>
          </cell>
          <cell r="BB1446">
            <v>0</v>
          </cell>
          <cell r="BC1446">
            <v>0</v>
          </cell>
          <cell r="BD1446">
            <v>0</v>
          </cell>
          <cell r="BE1446">
            <v>1</v>
          </cell>
          <cell r="BF1446">
            <v>2</v>
          </cell>
          <cell r="BG1446" t="str">
            <v/>
          </cell>
          <cell r="BH1446">
            <v>0</v>
          </cell>
          <cell r="BJ1446">
            <v>0</v>
          </cell>
          <cell r="BK1446">
            <v>1</v>
          </cell>
          <cell r="BL1446">
            <v>2</v>
          </cell>
          <cell r="BM1446" t="str">
            <v/>
          </cell>
          <cell r="BN1446">
            <v>3</v>
          </cell>
          <cell r="BO1446" t="str">
            <v/>
          </cell>
          <cell r="BP1446">
            <v>0</v>
          </cell>
          <cell r="BQ1446">
            <v>0</v>
          </cell>
          <cell r="BR1446">
            <v>0</v>
          </cell>
          <cell r="BS1446">
            <v>1</v>
          </cell>
          <cell r="BT1446">
            <v>2</v>
          </cell>
          <cell r="BU1446" t="str">
            <v/>
          </cell>
          <cell r="BV1446">
            <v>3</v>
          </cell>
          <cell r="BW1446">
            <v>1</v>
          </cell>
          <cell r="BX1446" t="str">
            <v>TIDAK</v>
          </cell>
          <cell r="BY1446" t="str">
            <v>TIDAK</v>
          </cell>
        </row>
        <row r="1447">
          <cell r="A1447" t="str">
            <v>A4457</v>
          </cell>
          <cell r="B1447" t="str">
            <v>PUTRI KUSUMADEWI</v>
          </cell>
          <cell r="C1447" t="str">
            <v>TEMA PRIODANA</v>
          </cell>
          <cell r="D1447">
            <v>45619</v>
          </cell>
          <cell r="E1447" t="str">
            <v>Nov-24</v>
          </cell>
          <cell r="AV1447" t="str">
            <v/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2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2</v>
          </cell>
          <cell r="BH1447">
            <v>0</v>
          </cell>
          <cell r="BJ1447">
            <v>0</v>
          </cell>
          <cell r="BK1447">
            <v>0</v>
          </cell>
          <cell r="BL1447">
            <v>2</v>
          </cell>
          <cell r="BM1447">
            <v>9</v>
          </cell>
          <cell r="BN1447">
            <v>11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  <cell r="BT1447">
            <v>2</v>
          </cell>
          <cell r="BU1447">
            <v>9</v>
          </cell>
          <cell r="BV1447">
            <v>11</v>
          </cell>
          <cell r="BW1447">
            <v>0</v>
          </cell>
          <cell r="BX1447" t="str">
            <v>TIDAK</v>
          </cell>
          <cell r="BY1447" t="str">
            <v>TIDAK</v>
          </cell>
        </row>
        <row r="1448">
          <cell r="A1448" t="str">
            <v>A4453</v>
          </cell>
          <cell r="B1448" t="str">
            <v>AQIL FACHMI MEYSAL AMIR</v>
          </cell>
          <cell r="C1448" t="str">
            <v>TEMA PRIODANA</v>
          </cell>
          <cell r="D1448">
            <v>45612</v>
          </cell>
          <cell r="E1448" t="str">
            <v>Nov-24</v>
          </cell>
          <cell r="AV1448" t="str">
            <v/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2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2</v>
          </cell>
          <cell r="BH1448">
            <v>0</v>
          </cell>
          <cell r="BJ1448">
            <v>0</v>
          </cell>
          <cell r="BK1448">
            <v>0</v>
          </cell>
          <cell r="BL1448">
            <v>2</v>
          </cell>
          <cell r="BM1448">
            <v>7</v>
          </cell>
          <cell r="BN1448">
            <v>9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  <cell r="BT1448">
            <v>2</v>
          </cell>
          <cell r="BU1448">
            <v>7</v>
          </cell>
          <cell r="BV1448">
            <v>9</v>
          </cell>
          <cell r="BW1448">
            <v>0</v>
          </cell>
          <cell r="BX1448" t="str">
            <v>TIDAK</v>
          </cell>
          <cell r="BY1448" t="str">
            <v>TIDAK</v>
          </cell>
        </row>
        <row r="1449">
          <cell r="A1449" t="str">
            <v>A4454</v>
          </cell>
          <cell r="B1449" t="str">
            <v>NOVEN RAMADHANI</v>
          </cell>
          <cell r="C1449" t="str">
            <v>TEMA PRIODANA</v>
          </cell>
          <cell r="D1449">
            <v>45619</v>
          </cell>
          <cell r="E1449" t="str">
            <v>Nov-24</v>
          </cell>
          <cell r="AV1449" t="str">
            <v/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1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1</v>
          </cell>
          <cell r="BH1449">
            <v>0</v>
          </cell>
          <cell r="BJ1449">
            <v>0</v>
          </cell>
          <cell r="BK1449">
            <v>0</v>
          </cell>
          <cell r="BL1449">
            <v>1</v>
          </cell>
          <cell r="BM1449">
            <v>0</v>
          </cell>
          <cell r="BN1449">
            <v>1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  <cell r="BT1449">
            <v>1</v>
          </cell>
          <cell r="BU1449">
            <v>0</v>
          </cell>
          <cell r="BV1449">
            <v>1</v>
          </cell>
          <cell r="BW1449">
            <v>1</v>
          </cell>
          <cell r="BX1449" t="str">
            <v>TIDAK</v>
          </cell>
          <cell r="BY1449" t="str">
            <v>TIDAK</v>
          </cell>
        </row>
        <row r="1450">
          <cell r="A1450" t="str">
            <v>A4455</v>
          </cell>
          <cell r="B1450" t="str">
            <v>ANGELIQUE NATHANIA SURJADI</v>
          </cell>
          <cell r="C1450" t="str">
            <v>TEMA PRIODANA</v>
          </cell>
          <cell r="D1450">
            <v>45622</v>
          </cell>
          <cell r="E1450" t="str">
            <v>Nov-24</v>
          </cell>
          <cell r="AV1450" t="str">
            <v/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3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3</v>
          </cell>
          <cell r="BH1450">
            <v>0</v>
          </cell>
          <cell r="BJ1450">
            <v>0</v>
          </cell>
          <cell r="BK1450">
            <v>0</v>
          </cell>
          <cell r="BL1450">
            <v>3</v>
          </cell>
          <cell r="BM1450">
            <v>10</v>
          </cell>
          <cell r="BN1450">
            <v>13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  <cell r="BT1450">
            <v>3</v>
          </cell>
          <cell r="BU1450">
            <v>10</v>
          </cell>
          <cell r="BV1450">
            <v>13</v>
          </cell>
          <cell r="BW1450">
            <v>0</v>
          </cell>
          <cell r="BX1450" t="str">
            <v>TIDAK</v>
          </cell>
          <cell r="BY1450" t="str">
            <v>TIDAK</v>
          </cell>
        </row>
        <row r="1451">
          <cell r="A1451" t="str">
            <v>A2744</v>
          </cell>
          <cell r="B1451" t="str">
            <v>WI EL JANNAHI</v>
          </cell>
          <cell r="C1451" t="str">
            <v>TEMA PRIODANA</v>
          </cell>
          <cell r="D1451" t="str">
            <v/>
          </cell>
          <cell r="E1451" t="str">
            <v/>
          </cell>
        </row>
        <row r="1452">
          <cell r="A1452" t="str">
            <v>A4632</v>
          </cell>
          <cell r="B1452" t="str">
            <v>SELLA CIBRO</v>
          </cell>
          <cell r="C1452" t="str">
            <v>TEMA PRIODANA</v>
          </cell>
          <cell r="D1452" t="str">
            <v/>
          </cell>
          <cell r="E1452" t="str">
            <v/>
          </cell>
        </row>
        <row r="1453">
          <cell r="A1453" t="str">
            <v>A4631</v>
          </cell>
          <cell r="B1453" t="str">
            <v>JOCHIE PHU ELKANA ASIA SIHITE</v>
          </cell>
          <cell r="C1453" t="str">
            <v>TEMA PRIODANA</v>
          </cell>
          <cell r="D1453" t="str">
            <v/>
          </cell>
          <cell r="E1453" t="str">
            <v/>
          </cell>
        </row>
        <row r="1454">
          <cell r="A1454" t="str">
            <v>A4642</v>
          </cell>
          <cell r="B1454" t="str">
            <v>SELFI NUR HIDAYAH</v>
          </cell>
          <cell r="C1454" t="str">
            <v>TEMA PRIODANA</v>
          </cell>
          <cell r="D1454" t="str">
            <v/>
          </cell>
          <cell r="E1454" t="str">
            <v/>
          </cell>
        </row>
        <row r="1455">
          <cell r="A1455" t="str">
            <v>A0739</v>
          </cell>
          <cell r="B1455" t="str">
            <v>ASYA IDHA</v>
          </cell>
          <cell r="C1455" t="str">
            <v>DELTA</v>
          </cell>
        </row>
        <row r="1456">
          <cell r="A1456" t="str">
            <v>A4544</v>
          </cell>
          <cell r="B1456" t="str">
            <v>TUNGGA ARYA PRADAPA</v>
          </cell>
          <cell r="C1456" t="str">
            <v>DELTA</v>
          </cell>
        </row>
        <row r="1457">
          <cell r="A1457" t="str">
            <v>A4605</v>
          </cell>
          <cell r="B1457" t="str">
            <v>MARSDHA PRAMAISELLA SINGAL</v>
          </cell>
          <cell r="C1457" t="str">
            <v>DELTA</v>
          </cell>
        </row>
        <row r="1458">
          <cell r="A1458" t="str">
            <v>A4606</v>
          </cell>
          <cell r="B1458" t="str">
            <v>LAULURA MIARAOTSA MAULIDA</v>
          </cell>
          <cell r="C1458" t="str">
            <v>DELTA</v>
          </cell>
        </row>
        <row r="1459">
          <cell r="A1459" t="str">
            <v>A4607</v>
          </cell>
          <cell r="B1459" t="str">
            <v>RAHMAT RAMADHAN MZ</v>
          </cell>
          <cell r="C1459" t="str">
            <v>DELTA</v>
          </cell>
        </row>
        <row r="1460">
          <cell r="A1460" t="str">
            <v>A4610</v>
          </cell>
          <cell r="B1460" t="str">
            <v>PRAWIRA WAHYU</v>
          </cell>
          <cell r="C1460" t="str">
            <v>DELTA</v>
          </cell>
        </row>
        <row r="1461">
          <cell r="A1461" t="str">
            <v>A4614</v>
          </cell>
          <cell r="B1461" t="str">
            <v>FELIX HABARY</v>
          </cell>
          <cell r="C1461" t="str">
            <v>DELTA</v>
          </cell>
        </row>
        <row r="1462">
          <cell r="A1462" t="str">
            <v>A4694</v>
          </cell>
          <cell r="B1462" t="str">
            <v>BAGUS ARYA JAGADDHITA</v>
          </cell>
          <cell r="C1462" t="str">
            <v>DELTA</v>
          </cell>
        </row>
        <row r="1463">
          <cell r="A1463" t="str">
            <v>A4703</v>
          </cell>
          <cell r="B1463" t="str">
            <v>JESICA ARNOLD</v>
          </cell>
          <cell r="C1463" t="str">
            <v>DELTA</v>
          </cell>
        </row>
        <row r="1464">
          <cell r="A1464" t="str">
            <v>A4567</v>
          </cell>
          <cell r="B1464" t="str">
            <v>ARIAS KRISHNA</v>
          </cell>
          <cell r="C1464" t="str">
            <v>DELTA</v>
          </cell>
        </row>
        <row r="1465">
          <cell r="A1465" t="str">
            <v>A4568</v>
          </cell>
          <cell r="B1465" t="str">
            <v>EVAL PAJAR</v>
          </cell>
          <cell r="C1465" t="str">
            <v>DELTA</v>
          </cell>
        </row>
        <row r="1466">
          <cell r="A1466" t="str">
            <v>A4657</v>
          </cell>
          <cell r="B1466" t="str">
            <v>UMI NINGTYAS SANUSI</v>
          </cell>
          <cell r="C1466" t="str">
            <v>DELTA</v>
          </cell>
        </row>
        <row r="1467">
          <cell r="A1467" t="str">
            <v>A4658</v>
          </cell>
          <cell r="B1467" t="str">
            <v>EKA APRI SETYAWAN</v>
          </cell>
          <cell r="C1467" t="str">
            <v>DELTA</v>
          </cell>
        </row>
        <row r="1468">
          <cell r="A1468" t="str">
            <v>A4615</v>
          </cell>
          <cell r="B1468" t="str">
            <v>VIEARA AYUNING RAMADHANTI</v>
          </cell>
          <cell r="C1468" t="str">
            <v>DELTA</v>
          </cell>
        </row>
        <row r="1469">
          <cell r="A1469" t="str">
            <v>A4660</v>
          </cell>
          <cell r="B1469" t="str">
            <v>NOVARISKHA PUTRI</v>
          </cell>
          <cell r="C1469" t="str">
            <v>DELTA</v>
          </cell>
        </row>
        <row r="1470">
          <cell r="A1470" t="str">
            <v>A4690</v>
          </cell>
          <cell r="B1470" t="str">
            <v>MARCELLINO ARDIAN WICAKSONO</v>
          </cell>
          <cell r="C1470" t="str">
            <v>RVO</v>
          </cell>
        </row>
        <row r="1471">
          <cell r="A1471" t="str">
            <v>A4692</v>
          </cell>
          <cell r="B1471" t="str">
            <v>CHRISSHINTA IRIS EDHININGTYAS</v>
          </cell>
          <cell r="C1471" t="str">
            <v>RVO</v>
          </cell>
        </row>
        <row r="1472">
          <cell r="A1472" t="str">
            <v>A4688</v>
          </cell>
          <cell r="B1472" t="str">
            <v>RAHARDIAN MUSTHOFA ALIM</v>
          </cell>
          <cell r="C1472" t="str">
            <v>RVO</v>
          </cell>
        </row>
        <row r="1473">
          <cell r="A1473" t="str">
            <v>A4689</v>
          </cell>
          <cell r="B1473" t="str">
            <v>NAELA SAADAH</v>
          </cell>
          <cell r="C1473" t="str">
            <v>RVO</v>
          </cell>
        </row>
        <row r="1474">
          <cell r="A1474" t="str">
            <v>A4616</v>
          </cell>
          <cell r="B1474" t="str">
            <v>NUR AWUNI</v>
          </cell>
          <cell r="C1474" t="str">
            <v>RVO</v>
          </cell>
        </row>
        <row r="1475">
          <cell r="A1475" t="str">
            <v>A4758</v>
          </cell>
          <cell r="B1475" t="str">
            <v>MILLEN ENRESSA</v>
          </cell>
          <cell r="C1475" t="str">
            <v>RVO</v>
          </cell>
        </row>
        <row r="1476">
          <cell r="A1476" t="str">
            <v>A4774</v>
          </cell>
          <cell r="B1476" t="str">
            <v>BIMA AGUSTINO ERMANDO</v>
          </cell>
          <cell r="C1476" t="str">
            <v>RVO</v>
          </cell>
        </row>
        <row r="1477">
          <cell r="A1477" t="str">
            <v>A4773</v>
          </cell>
          <cell r="B1477" t="str">
            <v>BRYAN MAR PUTRA INVOKAVIT LOI</v>
          </cell>
          <cell r="C1477" t="str">
            <v>RVO</v>
          </cell>
        </row>
        <row r="1478">
          <cell r="A1478" t="str">
            <v>A4775</v>
          </cell>
          <cell r="B1478" t="str">
            <v>MITA DEVILIANA</v>
          </cell>
          <cell r="C1478" t="str">
            <v>RVO</v>
          </cell>
        </row>
        <row r="1479">
          <cell r="A1479" t="str">
            <v>A4734</v>
          </cell>
          <cell r="B1479" t="str">
            <v>ALIFA ISYARANI</v>
          </cell>
          <cell r="C1479" t="str">
            <v>RVO</v>
          </cell>
        </row>
        <row r="1480">
          <cell r="A1480" t="str">
            <v>A4693</v>
          </cell>
          <cell r="B1480" t="str">
            <v>NYOMAN ALBERT KUSUMA</v>
          </cell>
          <cell r="C1480" t="str">
            <v>RVO</v>
          </cell>
        </row>
        <row r="1481">
          <cell r="A1481" t="str">
            <v>A4735</v>
          </cell>
          <cell r="B1481" t="str">
            <v>MARIA DENA HARUMINANTA</v>
          </cell>
          <cell r="C1481" t="str">
            <v>RVO</v>
          </cell>
        </row>
        <row r="1482">
          <cell r="A1482" t="str">
            <v>A4737</v>
          </cell>
          <cell r="B1482" t="str">
            <v>YESIKA INDRIYANI</v>
          </cell>
          <cell r="C1482" t="str">
            <v>RVO</v>
          </cell>
        </row>
        <row r="1483">
          <cell r="A1483" t="str">
            <v>A4736</v>
          </cell>
          <cell r="B1483" t="str">
            <v>LIVIA MARVA</v>
          </cell>
          <cell r="C1483" t="str">
            <v>RVO</v>
          </cell>
        </row>
        <row r="1484">
          <cell r="A1484" t="str">
            <v>A4733</v>
          </cell>
          <cell r="B1484" t="str">
            <v>LALU HIDAYATUL MUSTAFID</v>
          </cell>
          <cell r="C1484" t="str">
            <v>RVO</v>
          </cell>
        </row>
        <row r="1485">
          <cell r="A1485" t="str">
            <v>A4670</v>
          </cell>
          <cell r="B1485" t="str">
            <v>NURINGSIH KHUSNUL KHOTIMAH</v>
          </cell>
          <cell r="C1485" t="str">
            <v>SBPV</v>
          </cell>
        </row>
        <row r="1486">
          <cell r="A1486" t="str">
            <v>A4465</v>
          </cell>
          <cell r="B1486" t="str">
            <v>HERNANTYA ADILA PRAMITA DEVI</v>
          </cell>
          <cell r="C1486" t="str">
            <v>SBPV</v>
          </cell>
        </row>
        <row r="1487">
          <cell r="A1487" t="str">
            <v>A4723</v>
          </cell>
          <cell r="B1487" t="str">
            <v>AGATHA PRAYESI</v>
          </cell>
          <cell r="C1487" t="str">
            <v>SBPV</v>
          </cell>
        </row>
        <row r="1488">
          <cell r="A1488" t="str">
            <v>A4722</v>
          </cell>
          <cell r="B1488" t="str">
            <v>TARIDA FINONDANG</v>
          </cell>
          <cell r="C1488" t="str">
            <v>SBPV</v>
          </cell>
        </row>
        <row r="1489">
          <cell r="A1489" t="str">
            <v>A4724</v>
          </cell>
          <cell r="B1489" t="str">
            <v>KEVIN ALVREDO PANGARIBUAN</v>
          </cell>
          <cell r="C1489" t="str">
            <v>SBPV</v>
          </cell>
        </row>
        <row r="1490">
          <cell r="A1490" t="str">
            <v>A4664</v>
          </cell>
          <cell r="B1490" t="str">
            <v>CALLISTA AURELIA PUTRI</v>
          </cell>
          <cell r="C1490" t="str">
            <v>TEMA C1</v>
          </cell>
        </row>
        <row r="1491">
          <cell r="A1491" t="str">
            <v>A4675</v>
          </cell>
          <cell r="B1491" t="str">
            <v>DORIA ERVINA</v>
          </cell>
          <cell r="C1491" t="str">
            <v>TEMA C1</v>
          </cell>
        </row>
        <row r="1492">
          <cell r="A1492" t="str">
            <v>A4681</v>
          </cell>
          <cell r="B1492" t="str">
            <v>SALLY EDA MERCIANA</v>
          </cell>
          <cell r="C1492" t="str">
            <v>TEMA C2</v>
          </cell>
        </row>
        <row r="1493">
          <cell r="A1493" t="str">
            <v>A4707</v>
          </cell>
          <cell r="B1493" t="str">
            <v>AGNES PRAMITASARI</v>
          </cell>
          <cell r="C1493" t="str">
            <v>TEMA C2</v>
          </cell>
        </row>
        <row r="1494">
          <cell r="A1494" t="str">
            <v>A4750</v>
          </cell>
          <cell r="B1494" t="str">
            <v>WIDIA ANGGRIATI</v>
          </cell>
          <cell r="C1494" t="str">
            <v>TEMA C2</v>
          </cell>
        </row>
        <row r="1495">
          <cell r="A1495" t="str">
            <v>A4751</v>
          </cell>
          <cell r="B1495" t="str">
            <v>ANNISA IBNU SUFI</v>
          </cell>
          <cell r="C1495" t="str">
            <v>TEMA C2</v>
          </cell>
        </row>
        <row r="1496">
          <cell r="A1496" t="str">
            <v>A4752</v>
          </cell>
          <cell r="B1496" t="str">
            <v>WISNU PANJI PRAMONO</v>
          </cell>
          <cell r="C1496" t="str">
            <v>TEMA C2</v>
          </cell>
        </row>
        <row r="1497">
          <cell r="A1497" t="str">
            <v>A4753</v>
          </cell>
          <cell r="B1497" t="str">
            <v>ANDRIAN KURNIAWAN TARIGAN</v>
          </cell>
          <cell r="C1497" t="str">
            <v>TEMA C2</v>
          </cell>
        </row>
        <row r="1498">
          <cell r="A1498" t="str">
            <v>A4755</v>
          </cell>
          <cell r="B1498" t="str">
            <v>NUR ANISAH</v>
          </cell>
          <cell r="C1498" t="str">
            <v>TEMA C2</v>
          </cell>
        </row>
        <row r="1499">
          <cell r="A1499" t="str">
            <v>A4778</v>
          </cell>
          <cell r="B1499" t="str">
            <v>NADYA SABILA HAPSARI</v>
          </cell>
          <cell r="C1499" t="str">
            <v>TEMA C2</v>
          </cell>
        </row>
        <row r="1500">
          <cell r="A1500" t="str">
            <v>A4779</v>
          </cell>
          <cell r="B1500" t="str">
            <v>PRILLY PRISCILIA SAHETAPY</v>
          </cell>
          <cell r="C1500" t="str">
            <v>TEMA C2</v>
          </cell>
        </row>
        <row r="1501">
          <cell r="A1501" t="str">
            <v>A4780</v>
          </cell>
          <cell r="B1501" t="str">
            <v>PLACIDIA AGRE</v>
          </cell>
          <cell r="C1501" t="str">
            <v>TEMA C2</v>
          </cell>
        </row>
        <row r="1502">
          <cell r="A1502" t="str">
            <v>A4781</v>
          </cell>
          <cell r="B1502" t="str">
            <v>ADELIA LILY LISTIANI</v>
          </cell>
          <cell r="C1502" t="str">
            <v>TEMA C2</v>
          </cell>
        </row>
        <row r="1503">
          <cell r="A1503" t="str">
            <v>A4782</v>
          </cell>
          <cell r="B1503" t="str">
            <v>ZYXI AIKKA</v>
          </cell>
          <cell r="C1503" t="str">
            <v>TEMA C2</v>
          </cell>
        </row>
        <row r="1504">
          <cell r="A1504" t="str">
            <v>A4783</v>
          </cell>
          <cell r="B1504" t="str">
            <v>RIZKY WAHYU ROMADHON</v>
          </cell>
          <cell r="C1504" t="str">
            <v>TEMA C2</v>
          </cell>
        </row>
        <row r="1505">
          <cell r="A1505" t="str">
            <v>A4784</v>
          </cell>
          <cell r="B1505" t="str">
            <v>ANTONIUS TOTTI PANJI PUSPA ADI</v>
          </cell>
          <cell r="C1505" t="str">
            <v>TEMA C2</v>
          </cell>
        </row>
        <row r="1506">
          <cell r="A1506" t="str">
            <v>A4785</v>
          </cell>
          <cell r="B1506" t="str">
            <v>MOHAMMAD LUTHFI AKBAR</v>
          </cell>
          <cell r="C1506" t="str">
            <v>TEMA C2</v>
          </cell>
        </row>
        <row r="1507">
          <cell r="A1507" t="str">
            <v>A4786</v>
          </cell>
          <cell r="B1507" t="str">
            <v>MAHENDRA AULIA MAHARDIKA</v>
          </cell>
          <cell r="C1507" t="str">
            <v>TEMA C2</v>
          </cell>
        </row>
        <row r="1508">
          <cell r="A1508" t="str">
            <v>A2670</v>
          </cell>
          <cell r="B1508" t="str">
            <v>THOFEK DIAN SETYAWANTO</v>
          </cell>
          <cell r="C1508" t="str">
            <v>TEMA C2</v>
          </cell>
        </row>
        <row r="1509">
          <cell r="A1509" t="str">
            <v>A2671</v>
          </cell>
          <cell r="B1509" t="str">
            <v>MUHMMAD NAUFAL ZUHDII</v>
          </cell>
          <cell r="C1509" t="str">
            <v>TEMA C2</v>
          </cell>
        </row>
        <row r="1510">
          <cell r="A1510" t="str">
            <v>A2674</v>
          </cell>
          <cell r="B1510" t="str">
            <v>DHEAN PRAYOGA</v>
          </cell>
          <cell r="C1510" t="str">
            <v>TEMA C2</v>
          </cell>
        </row>
        <row r="1511">
          <cell r="A1511" t="str">
            <v>A3659</v>
          </cell>
          <cell r="B1511" t="str">
            <v>ERVINA MARSA AYUNINGTYAS</v>
          </cell>
          <cell r="C1511" t="str">
            <v>TEMA C2</v>
          </cell>
        </row>
        <row r="1512">
          <cell r="A1512" t="str">
            <v>A3660</v>
          </cell>
          <cell r="B1512" t="str">
            <v>MARIA VIANEI ANJELI PENI</v>
          </cell>
          <cell r="C1512" t="str">
            <v>TEMA C2</v>
          </cell>
        </row>
        <row r="1513">
          <cell r="A1513" t="str">
            <v>A3911</v>
          </cell>
          <cell r="B1513" t="str">
            <v>ADE PUTRI PRAMUDWA</v>
          </cell>
          <cell r="C1513" t="str">
            <v>TEMA C2</v>
          </cell>
        </row>
        <row r="1514">
          <cell r="A1514" t="str">
            <v>A4159</v>
          </cell>
          <cell r="B1514" t="str">
            <v>BIANCA RAHARJA</v>
          </cell>
          <cell r="C1514" t="str">
            <v>TEMA C2</v>
          </cell>
        </row>
        <row r="1515">
          <cell r="A1515" t="str">
            <v>A4160</v>
          </cell>
          <cell r="B1515" t="str">
            <v>WINDA WARAHMAH SIGALINGGING</v>
          </cell>
          <cell r="C1515" t="str">
            <v>TEMA C2</v>
          </cell>
        </row>
        <row r="1516">
          <cell r="A1516">
            <v>90332</v>
          </cell>
          <cell r="B1516" t="str">
            <v>Mira Putri Mulia</v>
          </cell>
          <cell r="C1516" t="str">
            <v>TEMA C2</v>
          </cell>
        </row>
        <row r="1517">
          <cell r="A1517" t="str">
            <v>A4639</v>
          </cell>
          <cell r="B1517" t="str">
            <v>ISNA NURHIDAYAH</v>
          </cell>
          <cell r="C1517" t="str">
            <v>TEMA C3</v>
          </cell>
        </row>
        <row r="1518">
          <cell r="A1518" t="str">
            <v>A4726</v>
          </cell>
          <cell r="B1518" t="str">
            <v>HENDRI SETIAWAN</v>
          </cell>
          <cell r="C1518" t="str">
            <v>TEMA C3</v>
          </cell>
        </row>
        <row r="1519">
          <cell r="A1519" t="str">
            <v>A4745</v>
          </cell>
          <cell r="B1519" t="str">
            <v>CALFIN NUR HIDAYAT</v>
          </cell>
          <cell r="C1519" t="str">
            <v>TEMA C3</v>
          </cell>
        </row>
        <row r="1520">
          <cell r="A1520" t="str">
            <v>A4725</v>
          </cell>
          <cell r="B1520" t="str">
            <v>RAVITA LAELATUL</v>
          </cell>
          <cell r="C1520" t="str">
            <v>TEMA C3</v>
          </cell>
        </row>
        <row r="1521">
          <cell r="A1521" t="str">
            <v>A4729</v>
          </cell>
          <cell r="B1521" t="str">
            <v>GEORGIA DIMAR</v>
          </cell>
          <cell r="C1521" t="str">
            <v>TEMA C3</v>
          </cell>
        </row>
        <row r="1522">
          <cell r="A1522" t="str">
            <v>A4700</v>
          </cell>
          <cell r="B1522" t="str">
            <v>DINDA ANINTYA</v>
          </cell>
          <cell r="C1522" t="str">
            <v>TEMA HAJI</v>
          </cell>
        </row>
        <row r="1523">
          <cell r="A1523" t="str">
            <v>A4697</v>
          </cell>
          <cell r="B1523" t="str">
            <v>SYIFA ALIYA RAHMA</v>
          </cell>
          <cell r="C1523" t="str">
            <v>TEMA HAJI</v>
          </cell>
        </row>
        <row r="1524">
          <cell r="A1524" t="str">
            <v>A4592</v>
          </cell>
          <cell r="B1524" t="str">
            <v>LEKSANA APRIANDRI</v>
          </cell>
          <cell r="C1524" t="str">
            <v>TEMA HAJI</v>
          </cell>
        </row>
        <row r="1525">
          <cell r="A1525" t="str">
            <v>A4594</v>
          </cell>
          <cell r="B1525" t="str">
            <v>AYUNI</v>
          </cell>
          <cell r="C1525" t="str">
            <v>TEMA HAJI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OKT P2"/>
      <sheetName val="NOV P1"/>
      <sheetName val="NOV P2"/>
      <sheetName val="Summary"/>
      <sheetName val="Rekap"/>
      <sheetName val="Bulanan"/>
      <sheetName val="Sheet1"/>
      <sheetName val="review"/>
      <sheetName val="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NPK</v>
          </cell>
        </row>
        <row r="3">
          <cell r="A3">
            <v>0</v>
          </cell>
          <cell r="B3">
            <v>0</v>
          </cell>
          <cell r="C3" t="str">
            <v>Slot</v>
          </cell>
          <cell r="D3" t="str">
            <v>Call AAV</v>
          </cell>
          <cell r="E3" t="str">
            <v>Avg AAV</v>
          </cell>
          <cell r="F3" t="str">
            <v>Grade</v>
          </cell>
          <cell r="G3" t="str">
            <v>Slot</v>
          </cell>
          <cell r="H3" t="str">
            <v>Call AAV</v>
          </cell>
          <cell r="I3" t="str">
            <v>Avg AAV</v>
          </cell>
          <cell r="J3" t="str">
            <v>Grade</v>
          </cell>
          <cell r="K3" t="str">
            <v>Slot</v>
          </cell>
          <cell r="L3" t="str">
            <v>Call AAV</v>
          </cell>
          <cell r="M3" t="str">
            <v>Avg AAV</v>
          </cell>
          <cell r="N3" t="str">
            <v>Grade</v>
          </cell>
          <cell r="O3" t="str">
            <v>Slot</v>
          </cell>
          <cell r="P3" t="str">
            <v>Call AAV</v>
          </cell>
          <cell r="Q3" t="str">
            <v>Avg AAV</v>
          </cell>
          <cell r="R3" t="str">
            <v>Grade</v>
          </cell>
          <cell r="S3" t="str">
            <v>Slot</v>
          </cell>
          <cell r="T3" t="str">
            <v>Call AAV</v>
          </cell>
          <cell r="U3" t="str">
            <v>Avg AAV</v>
          </cell>
          <cell r="V3" t="str">
            <v>Grade</v>
          </cell>
          <cell r="W3" t="str">
            <v>Slot</v>
          </cell>
          <cell r="X3" t="str">
            <v>Call AAV</v>
          </cell>
          <cell r="Y3" t="str">
            <v>Avg AAV</v>
          </cell>
          <cell r="Z3" t="str">
            <v>Grade</v>
          </cell>
          <cell r="AA3" t="str">
            <v>Slot</v>
          </cell>
          <cell r="AB3" t="str">
            <v>Call AAV</v>
          </cell>
          <cell r="AC3" t="str">
            <v>Avg AAV</v>
          </cell>
          <cell r="AD3" t="str">
            <v>Grade</v>
          </cell>
          <cell r="AE3" t="str">
            <v>Slot</v>
          </cell>
          <cell r="AF3" t="str">
            <v>Call AAV</v>
          </cell>
          <cell r="AG3" t="str">
            <v>Avg AAV</v>
          </cell>
          <cell r="AH3" t="str">
            <v>Grade</v>
          </cell>
          <cell r="AI3" t="str">
            <v>Slot</v>
          </cell>
          <cell r="AJ3" t="str">
            <v>Call AAV</v>
          </cell>
          <cell r="AK3" t="str">
            <v>Avg AAV</v>
          </cell>
          <cell r="AL3" t="str">
            <v>Grade</v>
          </cell>
          <cell r="AM3" t="str">
            <v>Slot</v>
          </cell>
          <cell r="AN3" t="str">
            <v>Call AAV</v>
          </cell>
          <cell r="AO3" t="str">
            <v>Avg AAV</v>
          </cell>
          <cell r="AP3" t="str">
            <v>Grade</v>
          </cell>
          <cell r="AQ3" t="str">
            <v>Slot</v>
          </cell>
          <cell r="AR3" t="str">
            <v>Call AAV</v>
          </cell>
          <cell r="AS3" t="str">
            <v>Avg AAV</v>
          </cell>
          <cell r="AT3" t="str">
            <v>Grade</v>
          </cell>
          <cell r="AU3" t="str">
            <v>Slot</v>
          </cell>
          <cell r="AV3" t="str">
            <v>Call AAV</v>
          </cell>
          <cell r="AW3" t="str">
            <v>Avg AAV</v>
          </cell>
          <cell r="AX3" t="str">
            <v>Grade</v>
          </cell>
          <cell r="AY3" t="str">
            <v>Slot</v>
          </cell>
          <cell r="AZ3" t="str">
            <v>Call AAV</v>
          </cell>
          <cell r="BA3" t="str">
            <v>Avg AAV</v>
          </cell>
          <cell r="BB3" t="str">
            <v>Grade</v>
          </cell>
          <cell r="BC3" t="str">
            <v>Slot</v>
          </cell>
          <cell r="BD3" t="str">
            <v>Call AAV</v>
          </cell>
          <cell r="BE3" t="str">
            <v>Avg AAV</v>
          </cell>
          <cell r="BF3" t="str">
            <v>Grade</v>
          </cell>
          <cell r="BG3" t="str">
            <v>Slot</v>
          </cell>
          <cell r="BH3" t="str">
            <v>Call AAV</v>
          </cell>
          <cell r="BI3" t="str">
            <v>Avg AAV</v>
          </cell>
          <cell r="BJ3" t="str">
            <v>Grade</v>
          </cell>
          <cell r="BK3" t="str">
            <v>Slot</v>
          </cell>
          <cell r="BL3" t="str">
            <v>Call AAV</v>
          </cell>
          <cell r="BM3" t="str">
            <v>Avg AAV</v>
          </cell>
          <cell r="BN3" t="str">
            <v>Grade</v>
          </cell>
          <cell r="BO3" t="str">
            <v>Slot</v>
          </cell>
          <cell r="BP3" t="str">
            <v>Call AAV</v>
          </cell>
          <cell r="BQ3" t="str">
            <v>Avg AAV</v>
          </cell>
          <cell r="BR3" t="str">
            <v>Grade</v>
          </cell>
          <cell r="BS3" t="str">
            <v>Slot</v>
          </cell>
          <cell r="BT3" t="str">
            <v>Call AAV</v>
          </cell>
          <cell r="BU3" t="str">
            <v>Avg AAV</v>
          </cell>
          <cell r="BV3" t="str">
            <v>Grade</v>
          </cell>
          <cell r="BW3" t="str">
            <v>Slot</v>
          </cell>
          <cell r="BX3" t="str">
            <v>Call AAV</v>
          </cell>
          <cell r="BY3" t="str">
            <v>Avg AAV</v>
          </cell>
          <cell r="BZ3" t="str">
            <v>Grade</v>
          </cell>
          <cell r="CA3" t="str">
            <v>Slot</v>
          </cell>
          <cell r="CB3" t="str">
            <v>Call AAV</v>
          </cell>
          <cell r="CC3" t="str">
            <v>Avg AAV</v>
          </cell>
          <cell r="CD3" t="str">
            <v>Grade</v>
          </cell>
          <cell r="CE3" t="str">
            <v>Slot</v>
          </cell>
          <cell r="CF3" t="str">
            <v>Call AAV</v>
          </cell>
          <cell r="CG3" t="str">
            <v>Avg AAV</v>
          </cell>
          <cell r="CH3" t="str">
            <v>Grade</v>
          </cell>
          <cell r="CI3" t="str">
            <v>Slot</v>
          </cell>
          <cell r="CJ3" t="str">
            <v>Call AAV</v>
          </cell>
          <cell r="CK3" t="str">
            <v>Avg AAV</v>
          </cell>
          <cell r="CL3" t="str">
            <v>Grade</v>
          </cell>
          <cell r="CM3" t="str">
            <v>Slot</v>
          </cell>
          <cell r="CN3" t="str">
            <v>Call AAV</v>
          </cell>
          <cell r="CO3" t="str">
            <v>Avg AAV</v>
          </cell>
          <cell r="CP3" t="str">
            <v>Grade</v>
          </cell>
          <cell r="CQ3" t="str">
            <v>Slot</v>
          </cell>
          <cell r="CR3" t="str">
            <v>Call AAV</v>
          </cell>
          <cell r="CS3" t="str">
            <v>Avg AAV</v>
          </cell>
          <cell r="CT3" t="str">
            <v>Grade</v>
          </cell>
          <cell r="CU3" t="str">
            <v>Slot</v>
          </cell>
          <cell r="CV3" t="str">
            <v>Call AAV</v>
          </cell>
          <cell r="CW3" t="str">
            <v>Avg AAV</v>
          </cell>
          <cell r="CX3" t="str">
            <v>Grade</v>
          </cell>
          <cell r="CY3" t="str">
            <v>Slot</v>
          </cell>
          <cell r="CZ3" t="str">
            <v>Call AAV</v>
          </cell>
          <cell r="DA3" t="str">
            <v>Avg AAV</v>
          </cell>
          <cell r="DB3" t="str">
            <v>Grade</v>
          </cell>
          <cell r="DC3" t="str">
            <v>Slot</v>
          </cell>
          <cell r="DD3" t="str">
            <v>Call AAV</v>
          </cell>
          <cell r="DE3" t="str">
            <v>Avg AAV</v>
          </cell>
          <cell r="DF3" t="str">
            <v>Grade</v>
          </cell>
          <cell r="DG3" t="str">
            <v>Slot</v>
          </cell>
          <cell r="DH3" t="str">
            <v>Call AAV</v>
          </cell>
          <cell r="DI3" t="str">
            <v>Avg AAV</v>
          </cell>
          <cell r="DJ3" t="str">
            <v>Grade</v>
          </cell>
          <cell r="DK3" t="str">
            <v>Slot</v>
          </cell>
          <cell r="DL3" t="str">
            <v>Call AAV</v>
          </cell>
          <cell r="DM3" t="str">
            <v>Avg AAV</v>
          </cell>
          <cell r="DN3" t="str">
            <v>Grade</v>
          </cell>
          <cell r="DO3" t="str">
            <v>Slot</v>
          </cell>
          <cell r="DP3" t="str">
            <v>Call AAV</v>
          </cell>
          <cell r="DQ3" t="str">
            <v>Avg AAV</v>
          </cell>
          <cell r="DR3" t="str">
            <v>Grade</v>
          </cell>
          <cell r="DS3" t="str">
            <v>Slot</v>
          </cell>
          <cell r="DT3" t="str">
            <v>Call AAV</v>
          </cell>
          <cell r="DU3" t="str">
            <v>Avg AAV</v>
          </cell>
          <cell r="DV3" t="str">
            <v>Grade</v>
          </cell>
          <cell r="DW3" t="str">
            <v>Slot</v>
          </cell>
          <cell r="DX3" t="str">
            <v>Call AAV</v>
          </cell>
          <cell r="DY3" t="str">
            <v>Avg AAV</v>
          </cell>
          <cell r="DZ3" t="str">
            <v>Grade</v>
          </cell>
          <cell r="EA3" t="str">
            <v>Slot</v>
          </cell>
          <cell r="EB3" t="str">
            <v>Call AAV</v>
          </cell>
          <cell r="EC3" t="str">
            <v>Avg AAV</v>
          </cell>
          <cell r="ED3" t="str">
            <v>Grade</v>
          </cell>
          <cell r="EE3" t="str">
            <v>Slot</v>
          </cell>
          <cell r="EF3" t="str">
            <v>Call AAV</v>
          </cell>
          <cell r="EG3" t="str">
            <v>Avg AAV</v>
          </cell>
          <cell r="EH3" t="str">
            <v>Grade</v>
          </cell>
          <cell r="EI3" t="str">
            <v>Slot</v>
          </cell>
          <cell r="EJ3" t="str">
            <v>Call AAV</v>
          </cell>
          <cell r="EK3" t="str">
            <v>Avg AAV</v>
          </cell>
          <cell r="EL3" t="str">
            <v>Grade</v>
          </cell>
          <cell r="EM3" t="str">
            <v>Slot</v>
          </cell>
          <cell r="EN3" t="str">
            <v>Call AAV</v>
          </cell>
          <cell r="EO3" t="str">
            <v>Avg AAV</v>
          </cell>
          <cell r="EP3" t="str">
            <v>Grade</v>
          </cell>
          <cell r="EQ3" t="str">
            <v>Slot</v>
          </cell>
          <cell r="ER3" t="str">
            <v>Call AAV</v>
          </cell>
          <cell r="ES3" t="str">
            <v>Avg AAV</v>
          </cell>
          <cell r="ET3" t="str">
            <v>Grade</v>
          </cell>
          <cell r="EU3" t="str">
            <v>Slot</v>
          </cell>
          <cell r="EV3" t="str">
            <v>Call AAV</v>
          </cell>
          <cell r="EW3" t="str">
            <v>Avg AAV</v>
          </cell>
          <cell r="EX3" t="str">
            <v>Grade</v>
          </cell>
          <cell r="EY3" t="str">
            <v>Slot</v>
          </cell>
          <cell r="EZ3" t="str">
            <v>Call AAV</v>
          </cell>
          <cell r="FA3" t="str">
            <v>Avg AAV</v>
          </cell>
          <cell r="FB3" t="str">
            <v>Grade</v>
          </cell>
          <cell r="FC3" t="str">
            <v>Slot</v>
          </cell>
          <cell r="FD3" t="str">
            <v>Call AAV</v>
          </cell>
          <cell r="FE3" t="str">
            <v>Avg AAV</v>
          </cell>
          <cell r="FF3" t="str">
            <v>Grade</v>
          </cell>
          <cell r="FG3" t="str">
            <v>Slot</v>
          </cell>
          <cell r="FH3" t="str">
            <v>Call AAV</v>
          </cell>
          <cell r="FI3" t="str">
            <v>Avg AAV</v>
          </cell>
          <cell r="FJ3" t="str">
            <v>Grade</v>
          </cell>
          <cell r="FK3" t="str">
            <v>Slot</v>
          </cell>
          <cell r="FL3" t="str">
            <v>Call AAV</v>
          </cell>
          <cell r="FM3" t="str">
            <v>Avg AAV</v>
          </cell>
          <cell r="FN3" t="str">
            <v>Grade</v>
          </cell>
          <cell r="FO3" t="str">
            <v>Slot</v>
          </cell>
          <cell r="FP3" t="str">
            <v>Call AAV</v>
          </cell>
          <cell r="FQ3" t="str">
            <v>Avg AAV</v>
          </cell>
          <cell r="FR3" t="str">
            <v>Grade</v>
          </cell>
          <cell r="FS3" t="str">
            <v>Slot</v>
          </cell>
          <cell r="FT3" t="str">
            <v>Call AAV</v>
          </cell>
          <cell r="FU3" t="str">
            <v>Avg AAV</v>
          </cell>
          <cell r="FV3" t="str">
            <v>Grade</v>
          </cell>
          <cell r="FW3" t="str">
            <v>Slot</v>
          </cell>
          <cell r="FX3" t="str">
            <v>Call AAV</v>
          </cell>
          <cell r="FY3" t="str">
            <v>Avg AAV</v>
          </cell>
          <cell r="FZ3" t="str">
            <v>Grade</v>
          </cell>
          <cell r="GA3" t="str">
            <v>Slot</v>
          </cell>
        </row>
        <row r="4">
          <cell r="A4">
            <v>90223</v>
          </cell>
          <cell r="B4" t="str">
            <v>DIEGO RISTYA PRAKOSA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1</v>
          </cell>
          <cell r="L4">
            <v>36</v>
          </cell>
          <cell r="M4">
            <v>36</v>
          </cell>
          <cell r="N4" t="str">
            <v>Level 2</v>
          </cell>
          <cell r="O4">
            <v>2</v>
          </cell>
          <cell r="P4">
            <v>70</v>
          </cell>
          <cell r="Q4">
            <v>35</v>
          </cell>
          <cell r="R4" t="str">
            <v>Level 2</v>
          </cell>
          <cell r="S4">
            <v>1</v>
          </cell>
          <cell r="T4">
            <v>35</v>
          </cell>
          <cell r="U4">
            <v>35</v>
          </cell>
          <cell r="V4" t="str">
            <v>Level 2</v>
          </cell>
          <cell r="W4">
            <v>1</v>
          </cell>
          <cell r="X4">
            <v>32</v>
          </cell>
          <cell r="Y4">
            <v>32</v>
          </cell>
          <cell r="Z4" t="str">
            <v>Level 2</v>
          </cell>
          <cell r="AA4" t="str">
            <v>-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  <cell r="AF4" t="str">
            <v>-</v>
          </cell>
          <cell r="AG4" t="str">
            <v>-</v>
          </cell>
          <cell r="AH4" t="str">
            <v>-</v>
          </cell>
          <cell r="AI4">
            <v>1</v>
          </cell>
          <cell r="AJ4">
            <v>30</v>
          </cell>
          <cell r="AK4">
            <v>30</v>
          </cell>
          <cell r="AL4" t="str">
            <v>Level 2</v>
          </cell>
          <cell r="AM4" t="str">
            <v>-</v>
          </cell>
          <cell r="AN4" t="str">
            <v>-</v>
          </cell>
          <cell r="AO4" t="str">
            <v>-</v>
          </cell>
          <cell r="AP4" t="str">
            <v>-</v>
          </cell>
          <cell r="AQ4" t="str">
            <v>-</v>
          </cell>
          <cell r="AR4" t="str">
            <v>-</v>
          </cell>
          <cell r="AS4" t="str">
            <v>-</v>
          </cell>
          <cell r="AT4" t="str">
            <v>-</v>
          </cell>
          <cell r="AU4" t="str">
            <v>-</v>
          </cell>
          <cell r="AV4" t="str">
            <v>-</v>
          </cell>
          <cell r="AW4" t="str">
            <v>-</v>
          </cell>
          <cell r="AX4" t="str">
            <v>-</v>
          </cell>
          <cell r="AY4" t="str">
            <v>-</v>
          </cell>
          <cell r="AZ4" t="str">
            <v>-</v>
          </cell>
          <cell r="BA4" t="str">
            <v>-</v>
          </cell>
          <cell r="BB4" t="str">
            <v>-</v>
          </cell>
          <cell r="BC4" t="str">
            <v>-</v>
          </cell>
          <cell r="BD4" t="str">
            <v>-</v>
          </cell>
          <cell r="BE4" t="str">
            <v>-</v>
          </cell>
          <cell r="BF4" t="str">
            <v>-</v>
          </cell>
          <cell r="BG4" t="str">
            <v>-</v>
          </cell>
          <cell r="BH4" t="str">
            <v>-</v>
          </cell>
          <cell r="BI4" t="str">
            <v>-</v>
          </cell>
          <cell r="BJ4" t="str">
            <v>-</v>
          </cell>
          <cell r="BK4" t="str">
            <v>-</v>
          </cell>
          <cell r="BL4" t="str">
            <v>-</v>
          </cell>
          <cell r="BM4" t="str">
            <v>-</v>
          </cell>
          <cell r="BN4" t="str">
            <v>-</v>
          </cell>
          <cell r="BO4" t="str">
            <v>-</v>
          </cell>
          <cell r="BP4" t="str">
            <v>-</v>
          </cell>
          <cell r="BQ4" t="str">
            <v>-</v>
          </cell>
          <cell r="BR4" t="str">
            <v>-</v>
          </cell>
          <cell r="BS4" t="str">
            <v>-</v>
          </cell>
          <cell r="BT4" t="str">
            <v>-</v>
          </cell>
          <cell r="BU4" t="str">
            <v>-</v>
          </cell>
          <cell r="BV4" t="str">
            <v>-</v>
          </cell>
          <cell r="BW4" t="str">
            <v>-</v>
          </cell>
          <cell r="BX4" t="str">
            <v>-</v>
          </cell>
          <cell r="BY4" t="str">
            <v>-</v>
          </cell>
          <cell r="BZ4" t="str">
            <v>-</v>
          </cell>
          <cell r="CA4" t="str">
            <v>-</v>
          </cell>
          <cell r="CB4" t="str">
            <v>-</v>
          </cell>
          <cell r="CC4" t="str">
            <v>-</v>
          </cell>
          <cell r="CD4" t="str">
            <v>-</v>
          </cell>
          <cell r="CE4" t="str">
            <v>-</v>
          </cell>
          <cell r="CF4" t="str">
            <v>-</v>
          </cell>
          <cell r="CG4" t="str">
            <v>-</v>
          </cell>
          <cell r="CH4" t="str">
            <v>-</v>
          </cell>
          <cell r="CI4" t="str">
            <v>-</v>
          </cell>
          <cell r="CJ4" t="str">
            <v>-</v>
          </cell>
          <cell r="CK4" t="str">
            <v>-</v>
          </cell>
          <cell r="CL4" t="str">
            <v>-</v>
          </cell>
          <cell r="CM4" t="str">
            <v>-</v>
          </cell>
          <cell r="CN4" t="str">
            <v>-</v>
          </cell>
          <cell r="CO4" t="str">
            <v>-</v>
          </cell>
          <cell r="CP4" t="str">
            <v>-</v>
          </cell>
          <cell r="CQ4" t="str">
            <v>-</v>
          </cell>
          <cell r="CR4" t="str">
            <v>-</v>
          </cell>
          <cell r="CS4" t="str">
            <v>-</v>
          </cell>
          <cell r="CT4" t="str">
            <v>-</v>
          </cell>
          <cell r="CU4" t="str">
            <v>-</v>
          </cell>
          <cell r="CV4" t="str">
            <v>-</v>
          </cell>
          <cell r="CW4" t="str">
            <v>-</v>
          </cell>
          <cell r="CX4" t="str">
            <v>-</v>
          </cell>
          <cell r="CY4" t="str">
            <v>-</v>
          </cell>
          <cell r="CZ4" t="str">
            <v>-</v>
          </cell>
          <cell r="DA4" t="str">
            <v>-</v>
          </cell>
          <cell r="DB4" t="str">
            <v>-</v>
          </cell>
          <cell r="DC4" t="str">
            <v>-</v>
          </cell>
          <cell r="DD4" t="str">
            <v>-</v>
          </cell>
          <cell r="DE4" t="str">
            <v>-</v>
          </cell>
          <cell r="DF4" t="str">
            <v>-</v>
          </cell>
          <cell r="DG4" t="str">
            <v>-</v>
          </cell>
          <cell r="DH4" t="str">
            <v>-</v>
          </cell>
          <cell r="DI4" t="str">
            <v>-</v>
          </cell>
          <cell r="DJ4" t="str">
            <v>-</v>
          </cell>
          <cell r="DK4" t="str">
            <v>-</v>
          </cell>
          <cell r="DL4" t="str">
            <v>-</v>
          </cell>
          <cell r="DM4" t="str">
            <v>-</v>
          </cell>
          <cell r="DN4" t="str">
            <v>-</v>
          </cell>
          <cell r="DO4" t="str">
            <v>-</v>
          </cell>
          <cell r="DP4" t="str">
            <v>-</v>
          </cell>
          <cell r="DQ4" t="str">
            <v>-</v>
          </cell>
          <cell r="DR4" t="str">
            <v>-</v>
          </cell>
          <cell r="DS4" t="str">
            <v>-</v>
          </cell>
          <cell r="DT4" t="str">
            <v>-</v>
          </cell>
          <cell r="DU4" t="str">
            <v>-</v>
          </cell>
          <cell r="DV4" t="str">
            <v>-</v>
          </cell>
          <cell r="DW4" t="str">
            <v>-</v>
          </cell>
          <cell r="DX4" t="str">
            <v>-</v>
          </cell>
          <cell r="DY4" t="str">
            <v>-</v>
          </cell>
          <cell r="DZ4" t="str">
            <v>-</v>
          </cell>
          <cell r="EA4" t="str">
            <v>-</v>
          </cell>
          <cell r="EB4" t="str">
            <v>-</v>
          </cell>
          <cell r="EC4" t="str">
            <v>-</v>
          </cell>
          <cell r="ED4" t="str">
            <v>-</v>
          </cell>
          <cell r="EE4" t="str">
            <v>-</v>
          </cell>
          <cell r="EF4" t="str">
            <v>-</v>
          </cell>
          <cell r="EG4" t="str">
            <v>-</v>
          </cell>
          <cell r="EH4" t="str">
            <v>-</v>
          </cell>
          <cell r="EI4" t="str">
            <v>-</v>
          </cell>
          <cell r="EJ4" t="str">
            <v>-</v>
          </cell>
          <cell r="EK4" t="str">
            <v>-</v>
          </cell>
          <cell r="EL4" t="str">
            <v>-</v>
          </cell>
          <cell r="EM4" t="str">
            <v>-</v>
          </cell>
          <cell r="EN4" t="str">
            <v>-</v>
          </cell>
          <cell r="EO4" t="str">
            <v>-</v>
          </cell>
          <cell r="EP4" t="str">
            <v>-</v>
          </cell>
          <cell r="EQ4" t="str">
            <v>-</v>
          </cell>
          <cell r="ER4" t="str">
            <v>-</v>
          </cell>
          <cell r="ES4" t="str">
            <v>-</v>
          </cell>
          <cell r="ET4" t="str">
            <v>-</v>
          </cell>
          <cell r="EU4" t="str">
            <v>-</v>
          </cell>
          <cell r="EV4" t="str">
            <v>-</v>
          </cell>
          <cell r="EW4" t="str">
            <v>-</v>
          </cell>
          <cell r="EX4" t="str">
            <v>-</v>
          </cell>
          <cell r="EY4" t="str">
            <v>-</v>
          </cell>
          <cell r="EZ4" t="str">
            <v>-</v>
          </cell>
          <cell r="FA4" t="str">
            <v>-</v>
          </cell>
          <cell r="FB4" t="str">
            <v>-</v>
          </cell>
          <cell r="FC4" t="str">
            <v>-</v>
          </cell>
          <cell r="FD4" t="str">
            <v>-</v>
          </cell>
          <cell r="FE4" t="str">
            <v>-</v>
          </cell>
          <cell r="FF4" t="str">
            <v>-</v>
          </cell>
          <cell r="FG4" t="str">
            <v>-</v>
          </cell>
          <cell r="FH4" t="str">
            <v>-</v>
          </cell>
          <cell r="FI4" t="str">
            <v>-</v>
          </cell>
          <cell r="FJ4" t="str">
            <v>-</v>
          </cell>
          <cell r="FK4" t="str">
            <v>-</v>
          </cell>
          <cell r="FL4" t="str">
            <v>-</v>
          </cell>
          <cell r="FM4" t="str">
            <v>-</v>
          </cell>
          <cell r="FN4" t="str">
            <v>-</v>
          </cell>
          <cell r="FO4" t="str">
            <v>-</v>
          </cell>
          <cell r="FP4" t="str">
            <v>-</v>
          </cell>
          <cell r="FQ4" t="str">
            <v>-</v>
          </cell>
          <cell r="FR4" t="str">
            <v>-</v>
          </cell>
          <cell r="FS4" t="str">
            <v>-</v>
          </cell>
          <cell r="FT4" t="str">
            <v>-</v>
          </cell>
          <cell r="FU4" t="str">
            <v>-</v>
          </cell>
          <cell r="FV4" t="str">
            <v>-</v>
          </cell>
          <cell r="FW4" t="str">
            <v>-</v>
          </cell>
          <cell r="FX4" t="str">
            <v>-</v>
          </cell>
          <cell r="FY4" t="str">
            <v>-</v>
          </cell>
          <cell r="FZ4" t="str">
            <v>-</v>
          </cell>
          <cell r="GA4" t="str">
            <v>-</v>
          </cell>
        </row>
        <row r="5">
          <cell r="A5">
            <v>90170</v>
          </cell>
          <cell r="B5" t="str">
            <v>AMRI ROHMATINI</v>
          </cell>
          <cell r="C5">
            <v>7</v>
          </cell>
          <cell r="D5">
            <v>266</v>
          </cell>
          <cell r="E5">
            <v>38</v>
          </cell>
          <cell r="F5" t="str">
            <v>Level 2</v>
          </cell>
          <cell r="G5">
            <v>12</v>
          </cell>
          <cell r="H5">
            <v>518</v>
          </cell>
          <cell r="I5">
            <v>43.166666666666664</v>
          </cell>
          <cell r="J5" t="str">
            <v>Level 3</v>
          </cell>
          <cell r="K5">
            <v>8</v>
          </cell>
          <cell r="L5">
            <v>344</v>
          </cell>
          <cell r="M5">
            <v>43</v>
          </cell>
          <cell r="N5" t="str">
            <v>Level 3</v>
          </cell>
          <cell r="O5">
            <v>12</v>
          </cell>
          <cell r="P5">
            <v>512</v>
          </cell>
          <cell r="Q5">
            <v>42.666666666666664</v>
          </cell>
          <cell r="R5" t="str">
            <v>Level 3</v>
          </cell>
          <cell r="S5">
            <v>9</v>
          </cell>
          <cell r="T5">
            <v>346</v>
          </cell>
          <cell r="U5">
            <v>38.444444444444443</v>
          </cell>
          <cell r="V5" t="str">
            <v>Level 2</v>
          </cell>
          <cell r="W5">
            <v>13</v>
          </cell>
          <cell r="X5">
            <v>506</v>
          </cell>
          <cell r="Y5">
            <v>38.92307692307692</v>
          </cell>
          <cell r="Z5" t="str">
            <v>Level 2</v>
          </cell>
          <cell r="AA5">
            <v>8</v>
          </cell>
          <cell r="AB5">
            <v>338</v>
          </cell>
          <cell r="AC5">
            <v>42.25</v>
          </cell>
          <cell r="AD5" t="str">
            <v>Level 3</v>
          </cell>
          <cell r="AE5">
            <v>13</v>
          </cell>
          <cell r="AF5">
            <v>520</v>
          </cell>
          <cell r="AG5">
            <v>40</v>
          </cell>
          <cell r="AH5" t="str">
            <v>Level 3</v>
          </cell>
          <cell r="AI5">
            <v>12</v>
          </cell>
          <cell r="AJ5">
            <v>440</v>
          </cell>
          <cell r="AK5">
            <v>36.666666666666664</v>
          </cell>
          <cell r="AL5" t="str">
            <v>Level 2</v>
          </cell>
          <cell r="AM5">
            <v>15</v>
          </cell>
          <cell r="AN5">
            <v>560</v>
          </cell>
          <cell r="AO5">
            <v>37.333333333333336</v>
          </cell>
          <cell r="AP5" t="str">
            <v>Level 2</v>
          </cell>
          <cell r="AQ5">
            <v>12</v>
          </cell>
          <cell r="AR5">
            <v>495</v>
          </cell>
          <cell r="AS5">
            <v>41.25</v>
          </cell>
          <cell r="AT5" t="str">
            <v>Level 3</v>
          </cell>
          <cell r="AU5">
            <v>11</v>
          </cell>
          <cell r="AV5">
            <v>338</v>
          </cell>
          <cell r="AW5">
            <v>30.727272727272727</v>
          </cell>
          <cell r="AX5" t="str">
            <v>Level 2</v>
          </cell>
          <cell r="AY5">
            <v>12</v>
          </cell>
          <cell r="AZ5">
            <v>452</v>
          </cell>
          <cell r="BA5">
            <v>37.666666666666664</v>
          </cell>
          <cell r="BB5" t="str">
            <v>Level 2</v>
          </cell>
          <cell r="BC5">
            <v>11</v>
          </cell>
          <cell r="BD5">
            <v>419</v>
          </cell>
          <cell r="BE5">
            <v>38.090909090909093</v>
          </cell>
          <cell r="BF5" t="str">
            <v>Level 2</v>
          </cell>
          <cell r="BG5">
            <v>11</v>
          </cell>
          <cell r="BH5">
            <v>434</v>
          </cell>
          <cell r="BI5">
            <v>39.454545454545453</v>
          </cell>
          <cell r="BJ5" t="str">
            <v>Level 2</v>
          </cell>
          <cell r="BK5">
            <v>13</v>
          </cell>
          <cell r="BL5">
            <v>563</v>
          </cell>
          <cell r="BM5">
            <v>43.307692307692307</v>
          </cell>
          <cell r="BN5" t="str">
            <v>Level 3</v>
          </cell>
          <cell r="BO5">
            <v>12</v>
          </cell>
          <cell r="BP5">
            <v>566</v>
          </cell>
          <cell r="BQ5">
            <v>47.166666666666664</v>
          </cell>
          <cell r="BR5" t="str">
            <v>Level 3</v>
          </cell>
          <cell r="BS5">
            <v>11</v>
          </cell>
          <cell r="BT5">
            <v>543</v>
          </cell>
          <cell r="BU5">
            <v>49.363636363636367</v>
          </cell>
          <cell r="BV5" t="str">
            <v>Level 3</v>
          </cell>
          <cell r="BW5">
            <v>12</v>
          </cell>
          <cell r="BX5">
            <v>454</v>
          </cell>
          <cell r="BY5">
            <v>37.833333333333336</v>
          </cell>
          <cell r="BZ5" t="str">
            <v>Level 2</v>
          </cell>
          <cell r="CA5">
            <v>13</v>
          </cell>
          <cell r="CB5">
            <v>464</v>
          </cell>
          <cell r="CC5">
            <v>35.692307692307693</v>
          </cell>
          <cell r="CD5" t="str">
            <v>Level 2</v>
          </cell>
          <cell r="CE5">
            <v>12</v>
          </cell>
          <cell r="CF5">
            <v>463</v>
          </cell>
          <cell r="CG5">
            <v>38.583333333333336</v>
          </cell>
          <cell r="CH5" t="str">
            <v>Level 2</v>
          </cell>
          <cell r="CI5">
            <v>12</v>
          </cell>
          <cell r="CJ5">
            <v>474</v>
          </cell>
          <cell r="CK5">
            <v>39.5</v>
          </cell>
          <cell r="CL5" t="str">
            <v>Level 2</v>
          </cell>
          <cell r="CM5">
            <v>13</v>
          </cell>
          <cell r="CN5">
            <v>419</v>
          </cell>
          <cell r="CO5">
            <v>32.230769230769234</v>
          </cell>
          <cell r="CP5" t="str">
            <v>Level 2</v>
          </cell>
          <cell r="CQ5">
            <v>11</v>
          </cell>
          <cell r="CR5">
            <v>437</v>
          </cell>
          <cell r="CS5">
            <v>39.727272727272727</v>
          </cell>
          <cell r="CT5" t="str">
            <v>Level 2</v>
          </cell>
          <cell r="CU5">
            <v>11</v>
          </cell>
          <cell r="CV5">
            <v>433</v>
          </cell>
          <cell r="CW5">
            <v>39.363636363636367</v>
          </cell>
          <cell r="CX5" t="str">
            <v>Level 2</v>
          </cell>
          <cell r="CY5">
            <v>11</v>
          </cell>
          <cell r="CZ5">
            <v>399</v>
          </cell>
          <cell r="DA5">
            <v>36.272727272727273</v>
          </cell>
          <cell r="DB5" t="str">
            <v>Level 2</v>
          </cell>
          <cell r="DC5">
            <v>12</v>
          </cell>
          <cell r="DD5">
            <v>538</v>
          </cell>
          <cell r="DE5">
            <v>44.833333333333336</v>
          </cell>
          <cell r="DF5" t="str">
            <v>Level 3</v>
          </cell>
          <cell r="DG5">
            <v>11</v>
          </cell>
          <cell r="DH5">
            <v>516</v>
          </cell>
          <cell r="DI5">
            <v>46.909090909090907</v>
          </cell>
          <cell r="DJ5" t="str">
            <v>Level 3</v>
          </cell>
          <cell r="DK5">
            <v>12</v>
          </cell>
          <cell r="DL5">
            <v>440</v>
          </cell>
          <cell r="DM5">
            <v>36.666666666666664</v>
          </cell>
          <cell r="DN5" t="str">
            <v>Level 2</v>
          </cell>
          <cell r="DO5">
            <v>12</v>
          </cell>
          <cell r="DP5">
            <v>466</v>
          </cell>
          <cell r="DQ5">
            <v>38.833333333333336</v>
          </cell>
          <cell r="DR5" t="str">
            <v>Level 2</v>
          </cell>
          <cell r="DS5">
            <v>12</v>
          </cell>
          <cell r="DT5">
            <v>485</v>
          </cell>
          <cell r="DU5">
            <v>40.416666666666664</v>
          </cell>
          <cell r="DV5" t="str">
            <v>Level 3</v>
          </cell>
          <cell r="DW5">
            <v>13</v>
          </cell>
          <cell r="DX5">
            <v>559</v>
          </cell>
          <cell r="DY5">
            <v>43</v>
          </cell>
          <cell r="DZ5" t="str">
            <v>Level 3</v>
          </cell>
          <cell r="EA5">
            <v>11</v>
          </cell>
          <cell r="EB5">
            <v>476</v>
          </cell>
          <cell r="EC5">
            <v>43.272727272727273</v>
          </cell>
          <cell r="ED5" t="str">
            <v>Level 3</v>
          </cell>
          <cell r="EE5">
            <v>8</v>
          </cell>
          <cell r="EF5">
            <v>274</v>
          </cell>
          <cell r="EG5">
            <v>34.25</v>
          </cell>
          <cell r="EH5" t="str">
            <v>Level 2</v>
          </cell>
          <cell r="EI5">
            <v>12</v>
          </cell>
          <cell r="EJ5">
            <v>400</v>
          </cell>
          <cell r="EK5">
            <v>33.333333333333336</v>
          </cell>
          <cell r="EL5" t="str">
            <v>Level 2</v>
          </cell>
          <cell r="EM5">
            <v>13</v>
          </cell>
          <cell r="EN5">
            <v>516</v>
          </cell>
          <cell r="EO5">
            <v>39.692307692307693</v>
          </cell>
          <cell r="EP5" t="str">
            <v>Level 2</v>
          </cell>
          <cell r="EQ5">
            <v>10</v>
          </cell>
          <cell r="ER5">
            <v>335</v>
          </cell>
          <cell r="ES5">
            <v>33.5</v>
          </cell>
          <cell r="ET5" t="str">
            <v>Level 2</v>
          </cell>
          <cell r="EU5">
            <v>12</v>
          </cell>
          <cell r="EV5">
            <v>431</v>
          </cell>
          <cell r="EW5">
            <v>35.916666666666664</v>
          </cell>
          <cell r="EX5" t="str">
            <v>Level 2</v>
          </cell>
          <cell r="EY5">
            <v>11</v>
          </cell>
          <cell r="EZ5">
            <v>382</v>
          </cell>
          <cell r="FA5">
            <v>34.727272727272727</v>
          </cell>
          <cell r="FB5" t="str">
            <v>Level 2</v>
          </cell>
          <cell r="FC5">
            <v>12</v>
          </cell>
          <cell r="FD5">
            <v>410</v>
          </cell>
          <cell r="FE5">
            <v>34.166666666666664</v>
          </cell>
          <cell r="FF5" t="str">
            <v>Level 2</v>
          </cell>
          <cell r="FG5">
            <v>6</v>
          </cell>
          <cell r="FH5">
            <v>212</v>
          </cell>
          <cell r="FI5">
            <v>35.333333333333336</v>
          </cell>
          <cell r="FJ5" t="str">
            <v>Level 2</v>
          </cell>
          <cell r="FK5">
            <v>11</v>
          </cell>
          <cell r="FL5">
            <v>419</v>
          </cell>
          <cell r="FM5">
            <v>38.090909090909093</v>
          </cell>
          <cell r="FN5" t="str">
            <v>Level 2</v>
          </cell>
          <cell r="FO5">
            <v>10</v>
          </cell>
          <cell r="FP5">
            <v>430</v>
          </cell>
          <cell r="FQ5">
            <v>43</v>
          </cell>
          <cell r="FR5" t="str">
            <v>Level 3</v>
          </cell>
          <cell r="FS5">
            <v>14</v>
          </cell>
          <cell r="FT5">
            <v>529</v>
          </cell>
          <cell r="FU5">
            <v>37.785714285714285</v>
          </cell>
          <cell r="FV5" t="str">
            <v>Level 2</v>
          </cell>
          <cell r="FW5">
            <v>9</v>
          </cell>
          <cell r="FX5">
            <v>324</v>
          </cell>
          <cell r="FY5">
            <v>36</v>
          </cell>
          <cell r="FZ5" t="str">
            <v>Level 2</v>
          </cell>
          <cell r="GA5">
            <v>12</v>
          </cell>
        </row>
        <row r="6">
          <cell r="A6">
            <v>92153</v>
          </cell>
          <cell r="B6" t="str">
            <v>AMALIA LARASATI</v>
          </cell>
          <cell r="C6">
            <v>6</v>
          </cell>
          <cell r="D6">
            <v>197</v>
          </cell>
          <cell r="E6">
            <v>32.833333333333336</v>
          </cell>
          <cell r="F6" t="str">
            <v>Level 2</v>
          </cell>
          <cell r="G6">
            <v>18</v>
          </cell>
          <cell r="H6">
            <v>585</v>
          </cell>
          <cell r="I6">
            <v>32.5</v>
          </cell>
          <cell r="J6" t="str">
            <v>Level 2</v>
          </cell>
          <cell r="K6">
            <v>18</v>
          </cell>
          <cell r="L6">
            <v>573</v>
          </cell>
          <cell r="M6">
            <v>31.833333333333332</v>
          </cell>
          <cell r="N6" t="str">
            <v>Level 2</v>
          </cell>
          <cell r="O6">
            <v>11</v>
          </cell>
          <cell r="P6">
            <v>344</v>
          </cell>
          <cell r="Q6">
            <v>31.272727272727273</v>
          </cell>
          <cell r="R6" t="str">
            <v>Level 2</v>
          </cell>
          <cell r="S6">
            <v>12</v>
          </cell>
          <cell r="T6">
            <v>406</v>
          </cell>
          <cell r="U6">
            <v>33.833333333333336</v>
          </cell>
          <cell r="V6" t="str">
            <v>Level 2</v>
          </cell>
          <cell r="W6">
            <v>13</v>
          </cell>
          <cell r="X6">
            <v>468</v>
          </cell>
          <cell r="Y6">
            <v>36</v>
          </cell>
          <cell r="Z6" t="str">
            <v>Level 2</v>
          </cell>
          <cell r="AA6" t="str">
            <v>-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 t="str">
            <v>-</v>
          </cell>
          <cell r="AH6" t="str">
            <v>-</v>
          </cell>
          <cell r="AI6">
            <v>13</v>
          </cell>
          <cell r="AJ6">
            <v>406</v>
          </cell>
          <cell r="AK6">
            <v>31.23076923076923</v>
          </cell>
          <cell r="AL6" t="str">
            <v>Level 2</v>
          </cell>
          <cell r="AM6">
            <v>11</v>
          </cell>
          <cell r="AN6">
            <v>391</v>
          </cell>
          <cell r="AO6">
            <v>35.545454545454547</v>
          </cell>
          <cell r="AP6" t="str">
            <v>Level 2</v>
          </cell>
          <cell r="AQ6">
            <v>9</v>
          </cell>
          <cell r="AR6">
            <v>335</v>
          </cell>
          <cell r="AS6">
            <v>37.222222222222221</v>
          </cell>
          <cell r="AT6" t="str">
            <v>Level 2</v>
          </cell>
          <cell r="AU6">
            <v>20</v>
          </cell>
          <cell r="AV6">
            <v>667</v>
          </cell>
          <cell r="AW6">
            <v>33.35</v>
          </cell>
          <cell r="AX6" t="str">
            <v>Level 2</v>
          </cell>
          <cell r="AY6">
            <v>16</v>
          </cell>
          <cell r="AZ6">
            <v>576</v>
          </cell>
          <cell r="BA6">
            <v>36</v>
          </cell>
          <cell r="BB6" t="str">
            <v>Level 2</v>
          </cell>
          <cell r="BC6">
            <v>11</v>
          </cell>
          <cell r="BD6">
            <v>365</v>
          </cell>
          <cell r="BE6">
            <v>33.18181818181818</v>
          </cell>
          <cell r="BF6" t="str">
            <v>Level 2</v>
          </cell>
          <cell r="BG6">
            <v>16</v>
          </cell>
          <cell r="BH6">
            <v>549</v>
          </cell>
          <cell r="BI6">
            <v>34.3125</v>
          </cell>
          <cell r="BJ6" t="str">
            <v>Level 2</v>
          </cell>
          <cell r="BK6">
            <v>11</v>
          </cell>
          <cell r="BL6">
            <v>392</v>
          </cell>
          <cell r="BM6">
            <v>35.636363636363633</v>
          </cell>
          <cell r="BN6" t="str">
            <v>Level 2</v>
          </cell>
          <cell r="BO6">
            <v>7</v>
          </cell>
          <cell r="BP6">
            <v>310</v>
          </cell>
          <cell r="BQ6">
            <v>44.285714285714285</v>
          </cell>
          <cell r="BR6" t="str">
            <v>Level 3</v>
          </cell>
          <cell r="BS6" t="str">
            <v>-</v>
          </cell>
          <cell r="BT6" t="str">
            <v>-</v>
          </cell>
          <cell r="BU6" t="str">
            <v>-</v>
          </cell>
          <cell r="BV6" t="str">
            <v>-</v>
          </cell>
          <cell r="BW6">
            <v>13</v>
          </cell>
          <cell r="BX6">
            <v>393</v>
          </cell>
          <cell r="BY6">
            <v>30.23076923076923</v>
          </cell>
          <cell r="BZ6" t="str">
            <v>Level 2</v>
          </cell>
          <cell r="CA6">
            <v>12</v>
          </cell>
          <cell r="CB6">
            <v>374</v>
          </cell>
          <cell r="CC6">
            <v>31.166666666666668</v>
          </cell>
          <cell r="CD6" t="str">
            <v>Level 2</v>
          </cell>
          <cell r="CE6">
            <v>12</v>
          </cell>
          <cell r="CF6">
            <v>432</v>
          </cell>
          <cell r="CG6">
            <v>36</v>
          </cell>
          <cell r="CH6" t="str">
            <v>Level 2</v>
          </cell>
          <cell r="CI6" t="str">
            <v>-</v>
          </cell>
          <cell r="CJ6" t="str">
            <v>-</v>
          </cell>
          <cell r="CK6" t="str">
            <v>-</v>
          </cell>
          <cell r="CL6" t="str">
            <v>-</v>
          </cell>
          <cell r="CM6" t="str">
            <v>-</v>
          </cell>
          <cell r="CN6" t="str">
            <v>-</v>
          </cell>
          <cell r="CO6" t="str">
            <v>-</v>
          </cell>
          <cell r="CP6" t="str">
            <v>-</v>
          </cell>
          <cell r="CQ6">
            <v>12</v>
          </cell>
          <cell r="CR6">
            <v>406</v>
          </cell>
          <cell r="CS6">
            <v>33.833333333333336</v>
          </cell>
          <cell r="CT6" t="str">
            <v>Level 2</v>
          </cell>
          <cell r="CU6">
            <v>14</v>
          </cell>
          <cell r="CV6">
            <v>464</v>
          </cell>
          <cell r="CW6">
            <v>33.142857142857146</v>
          </cell>
          <cell r="CX6" t="str">
            <v>Level 2</v>
          </cell>
          <cell r="CY6">
            <v>8</v>
          </cell>
          <cell r="CZ6">
            <v>254</v>
          </cell>
          <cell r="DA6">
            <v>31.75</v>
          </cell>
          <cell r="DB6" t="str">
            <v>Level 2</v>
          </cell>
          <cell r="DC6">
            <v>4</v>
          </cell>
          <cell r="DD6">
            <v>130</v>
          </cell>
          <cell r="DE6">
            <v>32.5</v>
          </cell>
          <cell r="DF6" t="str">
            <v>Level 2</v>
          </cell>
          <cell r="DG6" t="str">
            <v>-</v>
          </cell>
          <cell r="DH6" t="str">
            <v>-</v>
          </cell>
          <cell r="DI6" t="str">
            <v>-</v>
          </cell>
          <cell r="DJ6" t="str">
            <v>-</v>
          </cell>
          <cell r="DK6">
            <v>13</v>
          </cell>
          <cell r="DL6">
            <v>377</v>
          </cell>
          <cell r="DM6">
            <v>29</v>
          </cell>
          <cell r="DN6" t="str">
            <v>Level 2</v>
          </cell>
          <cell r="DO6">
            <v>11</v>
          </cell>
          <cell r="DP6">
            <v>383</v>
          </cell>
          <cell r="DQ6">
            <v>34.81818181818182</v>
          </cell>
          <cell r="DR6" t="str">
            <v>Level 2</v>
          </cell>
          <cell r="DS6">
            <v>11</v>
          </cell>
          <cell r="DT6">
            <v>407</v>
          </cell>
          <cell r="DU6">
            <v>37</v>
          </cell>
          <cell r="DV6" t="str">
            <v>Level 2</v>
          </cell>
          <cell r="DW6">
            <v>13</v>
          </cell>
          <cell r="DX6">
            <v>477</v>
          </cell>
          <cell r="DY6">
            <v>36.692307692307693</v>
          </cell>
          <cell r="DZ6" t="str">
            <v>Level 2</v>
          </cell>
          <cell r="EA6">
            <v>11</v>
          </cell>
          <cell r="EB6">
            <v>394</v>
          </cell>
          <cell r="EC6">
            <v>35.81818181818182</v>
          </cell>
          <cell r="ED6" t="str">
            <v>Level 2</v>
          </cell>
          <cell r="EE6" t="str">
            <v>-</v>
          </cell>
          <cell r="EF6" t="str">
            <v>-</v>
          </cell>
          <cell r="EG6" t="str">
            <v>-</v>
          </cell>
          <cell r="EH6" t="str">
            <v>-</v>
          </cell>
          <cell r="EI6" t="str">
            <v>-</v>
          </cell>
          <cell r="EJ6" t="str">
            <v>-</v>
          </cell>
          <cell r="EK6" t="str">
            <v>-</v>
          </cell>
          <cell r="EL6" t="str">
            <v>-</v>
          </cell>
          <cell r="EM6" t="str">
            <v>-</v>
          </cell>
          <cell r="EN6" t="str">
            <v>-</v>
          </cell>
          <cell r="EO6" t="str">
            <v>-</v>
          </cell>
          <cell r="EP6" t="str">
            <v>-</v>
          </cell>
          <cell r="EQ6" t="str">
            <v>-</v>
          </cell>
          <cell r="ER6" t="str">
            <v>-</v>
          </cell>
          <cell r="ES6" t="str">
            <v>-</v>
          </cell>
          <cell r="ET6" t="str">
            <v>-</v>
          </cell>
          <cell r="EU6" t="str">
            <v>-</v>
          </cell>
          <cell r="EV6" t="str">
            <v>-</v>
          </cell>
          <cell r="EW6" t="str">
            <v>-</v>
          </cell>
          <cell r="EX6" t="str">
            <v>-</v>
          </cell>
          <cell r="EY6" t="str">
            <v>-</v>
          </cell>
          <cell r="EZ6" t="str">
            <v>-</v>
          </cell>
          <cell r="FA6" t="str">
            <v>-</v>
          </cell>
          <cell r="FB6" t="str">
            <v>-</v>
          </cell>
          <cell r="FC6" t="str">
            <v>-</v>
          </cell>
          <cell r="FD6" t="str">
            <v>-</v>
          </cell>
          <cell r="FE6" t="str">
            <v>-</v>
          </cell>
          <cell r="FF6" t="str">
            <v>-</v>
          </cell>
          <cell r="FG6" t="str">
            <v>-</v>
          </cell>
          <cell r="FH6" t="str">
            <v>-</v>
          </cell>
          <cell r="FI6" t="str">
            <v>-</v>
          </cell>
          <cell r="FJ6" t="str">
            <v>-</v>
          </cell>
          <cell r="FK6" t="str">
            <v>-</v>
          </cell>
          <cell r="FL6" t="str">
            <v>-</v>
          </cell>
          <cell r="FM6" t="str">
            <v>-</v>
          </cell>
          <cell r="FN6" t="str">
            <v>-</v>
          </cell>
          <cell r="FO6" t="str">
            <v>-</v>
          </cell>
          <cell r="FP6" t="str">
            <v>-</v>
          </cell>
          <cell r="FQ6" t="str">
            <v>-</v>
          </cell>
          <cell r="FR6" t="str">
            <v>-</v>
          </cell>
          <cell r="FS6" t="str">
            <v>-</v>
          </cell>
          <cell r="FT6" t="str">
            <v>-</v>
          </cell>
          <cell r="FU6" t="str">
            <v>-</v>
          </cell>
          <cell r="FV6" t="str">
            <v>-</v>
          </cell>
          <cell r="FW6" t="str">
            <v>-</v>
          </cell>
          <cell r="FX6" t="str">
            <v>-</v>
          </cell>
          <cell r="FY6" t="str">
            <v>-</v>
          </cell>
          <cell r="FZ6" t="str">
            <v>-</v>
          </cell>
          <cell r="GA6" t="str">
            <v>-</v>
          </cell>
        </row>
        <row r="7">
          <cell r="A7">
            <v>90279</v>
          </cell>
          <cell r="B7" t="str">
            <v>SUTRIA NINGRUM</v>
          </cell>
          <cell r="C7">
            <v>21</v>
          </cell>
          <cell r="D7">
            <v>714</v>
          </cell>
          <cell r="E7">
            <v>34</v>
          </cell>
          <cell r="F7" t="str">
            <v>Level 2</v>
          </cell>
          <cell r="G7">
            <v>16</v>
          </cell>
          <cell r="H7">
            <v>512</v>
          </cell>
          <cell r="I7">
            <v>32</v>
          </cell>
          <cell r="J7" t="str">
            <v>Level 2</v>
          </cell>
          <cell r="K7">
            <v>19</v>
          </cell>
          <cell r="L7">
            <v>605</v>
          </cell>
          <cell r="M7">
            <v>31.842105263157894</v>
          </cell>
          <cell r="N7" t="str">
            <v>Level 2</v>
          </cell>
          <cell r="O7">
            <v>18</v>
          </cell>
          <cell r="P7">
            <v>562</v>
          </cell>
          <cell r="Q7">
            <v>31.222222222222221</v>
          </cell>
          <cell r="R7" t="str">
            <v>Level 2</v>
          </cell>
          <cell r="S7">
            <v>13</v>
          </cell>
          <cell r="T7">
            <v>403</v>
          </cell>
          <cell r="U7">
            <v>31</v>
          </cell>
          <cell r="V7" t="str">
            <v>Level 2</v>
          </cell>
          <cell r="W7">
            <v>12</v>
          </cell>
          <cell r="X7">
            <v>537</v>
          </cell>
          <cell r="Y7">
            <v>44.75</v>
          </cell>
          <cell r="Z7" t="str">
            <v>Level 3</v>
          </cell>
          <cell r="AA7">
            <v>19</v>
          </cell>
          <cell r="AB7">
            <v>962</v>
          </cell>
          <cell r="AC7">
            <v>50.631578947368418</v>
          </cell>
          <cell r="AD7" t="str">
            <v>Level 3</v>
          </cell>
          <cell r="AE7">
            <v>21</v>
          </cell>
          <cell r="AF7">
            <v>942</v>
          </cell>
          <cell r="AG7">
            <v>44.857142857142854</v>
          </cell>
          <cell r="AH7" t="str">
            <v>Level 3</v>
          </cell>
          <cell r="AI7">
            <v>12</v>
          </cell>
          <cell r="AJ7">
            <v>482</v>
          </cell>
          <cell r="AK7">
            <v>40.166666666666664</v>
          </cell>
          <cell r="AL7" t="str">
            <v>Level 3</v>
          </cell>
          <cell r="AM7" t="str">
            <v>-</v>
          </cell>
          <cell r="AN7" t="str">
            <v>-</v>
          </cell>
          <cell r="AO7" t="str">
            <v>-</v>
          </cell>
          <cell r="AP7" t="str">
            <v>-</v>
          </cell>
          <cell r="AQ7" t="str">
            <v>-</v>
          </cell>
          <cell r="AR7" t="str">
            <v>-</v>
          </cell>
          <cell r="AS7" t="str">
            <v>-</v>
          </cell>
          <cell r="AT7" t="str">
            <v>-</v>
          </cell>
          <cell r="AU7" t="str">
            <v>-</v>
          </cell>
          <cell r="AV7" t="str">
            <v>-</v>
          </cell>
          <cell r="AW7" t="str">
            <v>-</v>
          </cell>
          <cell r="AX7" t="str">
            <v>-</v>
          </cell>
          <cell r="AY7" t="str">
            <v>-</v>
          </cell>
          <cell r="AZ7" t="str">
            <v>-</v>
          </cell>
          <cell r="BA7" t="str">
            <v>-</v>
          </cell>
          <cell r="BB7" t="str">
            <v>-</v>
          </cell>
          <cell r="BC7" t="str">
            <v>-</v>
          </cell>
          <cell r="BD7" t="str">
            <v>-</v>
          </cell>
          <cell r="BE7" t="str">
            <v>-</v>
          </cell>
          <cell r="BF7" t="str">
            <v>-</v>
          </cell>
          <cell r="BG7" t="str">
            <v>-</v>
          </cell>
          <cell r="BH7" t="str">
            <v>-</v>
          </cell>
          <cell r="BI7" t="str">
            <v>-</v>
          </cell>
          <cell r="BJ7" t="str">
            <v>-</v>
          </cell>
          <cell r="BK7" t="str">
            <v>-</v>
          </cell>
          <cell r="BL7" t="str">
            <v>-</v>
          </cell>
          <cell r="BM7" t="str">
            <v>-</v>
          </cell>
          <cell r="BN7" t="str">
            <v>-</v>
          </cell>
          <cell r="BO7" t="str">
            <v>-</v>
          </cell>
          <cell r="BP7" t="str">
            <v>-</v>
          </cell>
          <cell r="BQ7" t="str">
            <v>-</v>
          </cell>
          <cell r="BR7" t="str">
            <v>-</v>
          </cell>
          <cell r="BS7" t="str">
            <v>-</v>
          </cell>
          <cell r="BT7" t="str">
            <v>-</v>
          </cell>
          <cell r="BU7" t="str">
            <v>-</v>
          </cell>
          <cell r="BV7" t="str">
            <v>-</v>
          </cell>
          <cell r="BW7" t="str">
            <v>-</v>
          </cell>
          <cell r="BX7" t="str">
            <v>-</v>
          </cell>
          <cell r="BY7" t="str">
            <v>-</v>
          </cell>
          <cell r="BZ7" t="str">
            <v>-</v>
          </cell>
          <cell r="CA7" t="str">
            <v>-</v>
          </cell>
          <cell r="CB7" t="str">
            <v>-</v>
          </cell>
          <cell r="CC7" t="str">
            <v>-</v>
          </cell>
          <cell r="CD7" t="str">
            <v>-</v>
          </cell>
          <cell r="CE7" t="str">
            <v>-</v>
          </cell>
          <cell r="CF7" t="str">
            <v>-</v>
          </cell>
          <cell r="CG7" t="str">
            <v>-</v>
          </cell>
          <cell r="CH7" t="str">
            <v>-</v>
          </cell>
          <cell r="CI7" t="str">
            <v>-</v>
          </cell>
          <cell r="CJ7" t="str">
            <v>-</v>
          </cell>
          <cell r="CK7" t="str">
            <v>-</v>
          </cell>
          <cell r="CL7" t="str">
            <v>-</v>
          </cell>
          <cell r="CM7" t="str">
            <v>-</v>
          </cell>
          <cell r="CN7" t="str">
            <v>-</v>
          </cell>
          <cell r="CO7" t="str">
            <v>-</v>
          </cell>
          <cell r="CP7" t="str">
            <v>-</v>
          </cell>
          <cell r="CQ7" t="str">
            <v>-</v>
          </cell>
          <cell r="CR7" t="str">
            <v>-</v>
          </cell>
          <cell r="CS7" t="str">
            <v>-</v>
          </cell>
          <cell r="CT7" t="str">
            <v>-</v>
          </cell>
          <cell r="CU7" t="str">
            <v>-</v>
          </cell>
          <cell r="CV7" t="str">
            <v>-</v>
          </cell>
          <cell r="CW7" t="str">
            <v>-</v>
          </cell>
          <cell r="CX7" t="str">
            <v>-</v>
          </cell>
          <cell r="CY7" t="str">
            <v>-</v>
          </cell>
          <cell r="CZ7" t="str">
            <v>-</v>
          </cell>
          <cell r="DA7" t="str">
            <v>-</v>
          </cell>
          <cell r="DB7" t="str">
            <v>-</v>
          </cell>
          <cell r="DC7" t="str">
            <v>-</v>
          </cell>
          <cell r="DD7" t="str">
            <v>-</v>
          </cell>
          <cell r="DE7" t="str">
            <v>-</v>
          </cell>
          <cell r="DF7" t="str">
            <v>-</v>
          </cell>
          <cell r="DG7" t="str">
            <v>-</v>
          </cell>
          <cell r="DH7" t="str">
            <v>-</v>
          </cell>
          <cell r="DI7" t="str">
            <v>-</v>
          </cell>
          <cell r="DJ7" t="str">
            <v>-</v>
          </cell>
          <cell r="DK7" t="str">
            <v>-</v>
          </cell>
          <cell r="DL7" t="str">
            <v>-</v>
          </cell>
          <cell r="DM7" t="str">
            <v>-</v>
          </cell>
          <cell r="DN7" t="str">
            <v>-</v>
          </cell>
          <cell r="DO7" t="str">
            <v>-</v>
          </cell>
          <cell r="DP7" t="str">
            <v>-</v>
          </cell>
          <cell r="DQ7" t="str">
            <v>-</v>
          </cell>
          <cell r="DR7" t="str">
            <v>-</v>
          </cell>
          <cell r="DS7" t="str">
            <v>-</v>
          </cell>
          <cell r="DT7" t="str">
            <v>-</v>
          </cell>
          <cell r="DU7" t="str">
            <v>-</v>
          </cell>
          <cell r="DV7" t="str">
            <v>-</v>
          </cell>
          <cell r="DW7" t="str">
            <v>-</v>
          </cell>
          <cell r="DX7" t="str">
            <v>-</v>
          </cell>
          <cell r="DY7" t="str">
            <v>-</v>
          </cell>
          <cell r="DZ7" t="str">
            <v>-</v>
          </cell>
          <cell r="EA7" t="str">
            <v>-</v>
          </cell>
          <cell r="EB7" t="str">
            <v>-</v>
          </cell>
          <cell r="EC7" t="str">
            <v>-</v>
          </cell>
          <cell r="ED7" t="str">
            <v>-</v>
          </cell>
          <cell r="EE7" t="str">
            <v>-</v>
          </cell>
          <cell r="EF7" t="str">
            <v>-</v>
          </cell>
          <cell r="EG7" t="str">
            <v>-</v>
          </cell>
          <cell r="EH7" t="str">
            <v>-</v>
          </cell>
          <cell r="EI7" t="str">
            <v>-</v>
          </cell>
          <cell r="EJ7" t="str">
            <v>-</v>
          </cell>
          <cell r="EK7" t="str">
            <v>-</v>
          </cell>
          <cell r="EL7" t="str">
            <v>-</v>
          </cell>
          <cell r="EM7" t="str">
            <v>-</v>
          </cell>
          <cell r="EN7" t="str">
            <v>-</v>
          </cell>
          <cell r="EO7" t="str">
            <v>-</v>
          </cell>
          <cell r="EP7" t="str">
            <v>-</v>
          </cell>
          <cell r="EQ7" t="str">
            <v>-</v>
          </cell>
          <cell r="ER7" t="str">
            <v>-</v>
          </cell>
          <cell r="ES7" t="str">
            <v>-</v>
          </cell>
          <cell r="ET7" t="str">
            <v>-</v>
          </cell>
          <cell r="EU7" t="str">
            <v>-</v>
          </cell>
          <cell r="EV7" t="str">
            <v>-</v>
          </cell>
          <cell r="EW7" t="str">
            <v>-</v>
          </cell>
          <cell r="EX7" t="str">
            <v>-</v>
          </cell>
          <cell r="EY7" t="str">
            <v>-</v>
          </cell>
          <cell r="EZ7" t="str">
            <v>-</v>
          </cell>
          <cell r="FA7" t="str">
            <v>-</v>
          </cell>
          <cell r="FB7" t="str">
            <v>-</v>
          </cell>
          <cell r="FC7" t="str">
            <v>-</v>
          </cell>
          <cell r="FD7" t="str">
            <v>-</v>
          </cell>
          <cell r="FE7" t="str">
            <v>-</v>
          </cell>
          <cell r="FF7" t="str">
            <v>-</v>
          </cell>
          <cell r="FG7" t="str">
            <v>-</v>
          </cell>
          <cell r="FH7" t="str">
            <v>-</v>
          </cell>
          <cell r="FI7" t="str">
            <v>-</v>
          </cell>
          <cell r="FJ7" t="str">
            <v>-</v>
          </cell>
          <cell r="FK7" t="str">
            <v>-</v>
          </cell>
          <cell r="FL7" t="str">
            <v>-</v>
          </cell>
          <cell r="FM7" t="str">
            <v>-</v>
          </cell>
          <cell r="FN7" t="str">
            <v>-</v>
          </cell>
          <cell r="FO7" t="str">
            <v>-</v>
          </cell>
          <cell r="FP7" t="str">
            <v>-</v>
          </cell>
          <cell r="FQ7" t="str">
            <v>-</v>
          </cell>
          <cell r="FR7" t="str">
            <v>-</v>
          </cell>
          <cell r="FS7" t="str">
            <v>-</v>
          </cell>
          <cell r="FT7" t="str">
            <v>-</v>
          </cell>
          <cell r="FU7" t="str">
            <v>-</v>
          </cell>
          <cell r="FV7" t="str">
            <v>-</v>
          </cell>
          <cell r="FW7" t="str">
            <v>-</v>
          </cell>
          <cell r="FX7" t="str">
            <v>-</v>
          </cell>
          <cell r="FY7" t="str">
            <v>-</v>
          </cell>
          <cell r="FZ7" t="str">
            <v>-</v>
          </cell>
          <cell r="GA7" t="str">
            <v>-</v>
          </cell>
        </row>
        <row r="8">
          <cell r="A8">
            <v>90547</v>
          </cell>
          <cell r="B8" t="str">
            <v>DHIMAS FAJAR</v>
          </cell>
          <cell r="C8">
            <v>17</v>
          </cell>
          <cell r="D8">
            <v>580</v>
          </cell>
          <cell r="E8">
            <v>34.117647058823529</v>
          </cell>
          <cell r="F8" t="str">
            <v>Level 2</v>
          </cell>
          <cell r="G8">
            <v>12</v>
          </cell>
          <cell r="H8">
            <v>463</v>
          </cell>
          <cell r="I8">
            <v>38.583333333333336</v>
          </cell>
          <cell r="J8" t="str">
            <v>Level 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9</v>
          </cell>
          <cell r="P8">
            <v>355</v>
          </cell>
          <cell r="Q8">
            <v>39.444444444444443</v>
          </cell>
          <cell r="R8" t="str">
            <v>Level 2</v>
          </cell>
          <cell r="S8">
            <v>12</v>
          </cell>
          <cell r="T8">
            <v>474</v>
          </cell>
          <cell r="U8">
            <v>39.5</v>
          </cell>
          <cell r="V8" t="str">
            <v>Level 2</v>
          </cell>
          <cell r="W8">
            <v>20</v>
          </cell>
          <cell r="X8">
            <v>802</v>
          </cell>
          <cell r="Y8">
            <v>40.1</v>
          </cell>
          <cell r="Z8" t="str">
            <v>Level 3</v>
          </cell>
          <cell r="AA8">
            <v>24</v>
          </cell>
          <cell r="AB8">
            <v>971</v>
          </cell>
          <cell r="AC8">
            <v>40.458333333333336</v>
          </cell>
          <cell r="AD8" t="str">
            <v>Level 3</v>
          </cell>
          <cell r="AE8">
            <v>26</v>
          </cell>
          <cell r="AF8">
            <v>1061</v>
          </cell>
          <cell r="AG8">
            <v>40.807692307692307</v>
          </cell>
          <cell r="AH8" t="str">
            <v>Level 3</v>
          </cell>
          <cell r="AI8">
            <v>24</v>
          </cell>
          <cell r="AJ8">
            <v>848</v>
          </cell>
          <cell r="AK8">
            <v>35.333333333333336</v>
          </cell>
          <cell r="AL8" t="str">
            <v>Level 2</v>
          </cell>
          <cell r="AM8">
            <v>23</v>
          </cell>
          <cell r="AN8">
            <v>805</v>
          </cell>
          <cell r="AO8">
            <v>35</v>
          </cell>
          <cell r="AP8" t="str">
            <v>Level 2</v>
          </cell>
          <cell r="AQ8">
            <v>24</v>
          </cell>
          <cell r="AR8">
            <v>867</v>
          </cell>
          <cell r="AS8">
            <v>36.125</v>
          </cell>
          <cell r="AT8" t="str">
            <v>Level 2</v>
          </cell>
          <cell r="AU8">
            <v>25</v>
          </cell>
          <cell r="AV8">
            <v>888</v>
          </cell>
          <cell r="AW8">
            <v>35.520000000000003</v>
          </cell>
          <cell r="AX8" t="str">
            <v>Level 2</v>
          </cell>
          <cell r="AY8">
            <v>23</v>
          </cell>
          <cell r="AZ8">
            <v>897</v>
          </cell>
          <cell r="BA8">
            <v>39</v>
          </cell>
          <cell r="BB8" t="str">
            <v>Level 2</v>
          </cell>
          <cell r="BC8">
            <v>18</v>
          </cell>
          <cell r="BD8">
            <v>660</v>
          </cell>
          <cell r="BE8">
            <v>36.666666666666664</v>
          </cell>
          <cell r="BF8" t="str">
            <v>Level 2</v>
          </cell>
          <cell r="BG8">
            <v>22</v>
          </cell>
          <cell r="BH8">
            <v>758</v>
          </cell>
          <cell r="BI8">
            <v>34.454545454545453</v>
          </cell>
          <cell r="BJ8" t="str">
            <v>Level 2</v>
          </cell>
          <cell r="BK8">
            <v>23</v>
          </cell>
          <cell r="BL8">
            <v>821</v>
          </cell>
          <cell r="BM8">
            <v>35.695652173913047</v>
          </cell>
          <cell r="BN8" t="str">
            <v>Level 2</v>
          </cell>
          <cell r="BO8">
            <v>20</v>
          </cell>
          <cell r="BP8">
            <v>815</v>
          </cell>
          <cell r="BQ8">
            <v>40.75</v>
          </cell>
          <cell r="BR8" t="str">
            <v>Level 3</v>
          </cell>
          <cell r="BS8">
            <v>25</v>
          </cell>
          <cell r="BT8">
            <v>993</v>
          </cell>
          <cell r="BU8">
            <v>39.72</v>
          </cell>
          <cell r="BV8" t="str">
            <v>Level 2</v>
          </cell>
          <cell r="BW8">
            <v>22</v>
          </cell>
          <cell r="BX8">
            <v>824</v>
          </cell>
          <cell r="BY8">
            <v>37.454545454545453</v>
          </cell>
          <cell r="BZ8" t="str">
            <v>Level 2</v>
          </cell>
          <cell r="CA8">
            <v>26</v>
          </cell>
          <cell r="CB8">
            <v>1088</v>
          </cell>
          <cell r="CC8">
            <v>41.846153846153847</v>
          </cell>
          <cell r="CD8" t="str">
            <v>Level 3</v>
          </cell>
          <cell r="CE8">
            <v>19</v>
          </cell>
          <cell r="CF8">
            <v>691</v>
          </cell>
          <cell r="CG8">
            <v>36.368421052631582</v>
          </cell>
          <cell r="CH8" t="str">
            <v>Level 2</v>
          </cell>
          <cell r="CI8">
            <v>26</v>
          </cell>
          <cell r="CJ8">
            <v>1035</v>
          </cell>
          <cell r="CK8">
            <v>39.807692307692307</v>
          </cell>
          <cell r="CL8" t="str">
            <v>Level 2</v>
          </cell>
          <cell r="CM8">
            <v>24</v>
          </cell>
          <cell r="CN8">
            <v>752</v>
          </cell>
          <cell r="CO8">
            <v>31.333333333333332</v>
          </cell>
          <cell r="CP8" t="str">
            <v>Level 2</v>
          </cell>
          <cell r="CQ8">
            <v>24</v>
          </cell>
          <cell r="CR8">
            <v>822</v>
          </cell>
          <cell r="CS8">
            <v>34.25</v>
          </cell>
          <cell r="CT8" t="str">
            <v>Level 2</v>
          </cell>
          <cell r="CU8">
            <v>11</v>
          </cell>
          <cell r="CV8">
            <v>331</v>
          </cell>
          <cell r="CW8">
            <v>30.09090909090909</v>
          </cell>
          <cell r="CX8" t="str">
            <v>Level 2</v>
          </cell>
          <cell r="CY8">
            <v>22</v>
          </cell>
          <cell r="CZ8">
            <v>801</v>
          </cell>
          <cell r="DA8">
            <v>36.409090909090907</v>
          </cell>
          <cell r="DB8" t="str">
            <v>Level 2</v>
          </cell>
          <cell r="DC8">
            <v>4</v>
          </cell>
          <cell r="DD8">
            <v>143</v>
          </cell>
          <cell r="DE8">
            <v>35.75</v>
          </cell>
          <cell r="DF8" t="str">
            <v>Level 2</v>
          </cell>
          <cell r="DG8" t="str">
            <v>-</v>
          </cell>
          <cell r="DH8" t="str">
            <v>-</v>
          </cell>
          <cell r="DI8" t="str">
            <v>-</v>
          </cell>
          <cell r="DJ8" t="str">
            <v>-</v>
          </cell>
          <cell r="DK8" t="str">
            <v>-</v>
          </cell>
          <cell r="DL8" t="str">
            <v>-</v>
          </cell>
          <cell r="DM8" t="str">
            <v>-</v>
          </cell>
          <cell r="DN8" t="str">
            <v>-</v>
          </cell>
          <cell r="DO8" t="str">
            <v>-</v>
          </cell>
          <cell r="DP8" t="str">
            <v>-</v>
          </cell>
          <cell r="DQ8" t="str">
            <v>-</v>
          </cell>
          <cell r="DR8" t="str">
            <v>-</v>
          </cell>
          <cell r="DS8">
            <v>4</v>
          </cell>
          <cell r="DT8">
            <v>120</v>
          </cell>
          <cell r="DU8">
            <v>30</v>
          </cell>
          <cell r="DV8" t="str">
            <v>Level 2</v>
          </cell>
          <cell r="DW8" t="str">
            <v>-</v>
          </cell>
          <cell r="DX8" t="str">
            <v>-</v>
          </cell>
          <cell r="DY8" t="str">
            <v>-</v>
          </cell>
          <cell r="DZ8" t="str">
            <v>-</v>
          </cell>
          <cell r="EA8">
            <v>25</v>
          </cell>
          <cell r="EB8">
            <v>968</v>
          </cell>
          <cell r="EC8">
            <v>38.72</v>
          </cell>
          <cell r="ED8" t="str">
            <v>Level 2</v>
          </cell>
          <cell r="EE8">
            <v>24</v>
          </cell>
          <cell r="EF8">
            <v>831</v>
          </cell>
          <cell r="EG8">
            <v>34.625</v>
          </cell>
          <cell r="EH8" t="str">
            <v>Level 2</v>
          </cell>
          <cell r="EI8">
            <v>22</v>
          </cell>
          <cell r="EJ8">
            <v>705</v>
          </cell>
          <cell r="EK8">
            <v>32.045454545454547</v>
          </cell>
          <cell r="EL8" t="str">
            <v>Level 2</v>
          </cell>
          <cell r="EM8">
            <v>27</v>
          </cell>
          <cell r="EN8">
            <v>912</v>
          </cell>
          <cell r="EO8">
            <v>33.777777777777779</v>
          </cell>
          <cell r="EP8" t="str">
            <v>Level 2</v>
          </cell>
          <cell r="EQ8">
            <v>18</v>
          </cell>
          <cell r="ER8">
            <v>482</v>
          </cell>
          <cell r="ES8">
            <v>26.777777777777779</v>
          </cell>
          <cell r="ET8" t="str">
            <v>Level 1</v>
          </cell>
          <cell r="EU8">
            <v>6</v>
          </cell>
          <cell r="EV8">
            <v>167</v>
          </cell>
          <cell r="EW8">
            <v>27.833333333333332</v>
          </cell>
          <cell r="EX8" t="str">
            <v>Level 1</v>
          </cell>
          <cell r="EY8" t="str">
            <v>-</v>
          </cell>
          <cell r="EZ8" t="str">
            <v>-</v>
          </cell>
          <cell r="FA8" t="str">
            <v>-</v>
          </cell>
          <cell r="FB8" t="str">
            <v>-</v>
          </cell>
          <cell r="FC8" t="str">
            <v>-</v>
          </cell>
          <cell r="FD8" t="str">
            <v>-</v>
          </cell>
          <cell r="FE8" t="str">
            <v>-</v>
          </cell>
          <cell r="FF8" t="str">
            <v>-</v>
          </cell>
          <cell r="FG8" t="str">
            <v>-</v>
          </cell>
          <cell r="FH8" t="str">
            <v>-</v>
          </cell>
          <cell r="FI8" t="str">
            <v>-</v>
          </cell>
          <cell r="FJ8" t="str">
            <v>-</v>
          </cell>
          <cell r="FK8" t="str">
            <v>-</v>
          </cell>
          <cell r="FL8" t="str">
            <v>-</v>
          </cell>
          <cell r="FM8" t="str">
            <v>-</v>
          </cell>
          <cell r="FN8" t="str">
            <v>-</v>
          </cell>
          <cell r="FO8" t="str">
            <v>-</v>
          </cell>
          <cell r="FP8" t="str">
            <v>-</v>
          </cell>
          <cell r="FQ8" t="str">
            <v>-</v>
          </cell>
          <cell r="FR8" t="str">
            <v>-</v>
          </cell>
          <cell r="FS8" t="str">
            <v>-</v>
          </cell>
          <cell r="FT8" t="str">
            <v>-</v>
          </cell>
          <cell r="FU8" t="str">
            <v>-</v>
          </cell>
          <cell r="FV8" t="str">
            <v>-</v>
          </cell>
          <cell r="FW8" t="str">
            <v>-</v>
          </cell>
          <cell r="FX8" t="str">
            <v>-</v>
          </cell>
          <cell r="FY8" t="str">
            <v>-</v>
          </cell>
          <cell r="FZ8" t="str">
            <v>-</v>
          </cell>
          <cell r="GA8" t="str">
            <v>-</v>
          </cell>
        </row>
        <row r="9">
          <cell r="A9">
            <v>90556</v>
          </cell>
          <cell r="B9" t="str">
            <v>ISIDORUS MARCHO</v>
          </cell>
          <cell r="C9">
            <v>19</v>
          </cell>
          <cell r="D9">
            <v>427</v>
          </cell>
          <cell r="E9">
            <v>22.473684210526315</v>
          </cell>
          <cell r="F9" t="str">
            <v>Level 1</v>
          </cell>
          <cell r="G9">
            <v>20</v>
          </cell>
          <cell r="H9">
            <v>594</v>
          </cell>
          <cell r="I9">
            <v>29.7</v>
          </cell>
          <cell r="J9" t="str">
            <v>Level 2</v>
          </cell>
          <cell r="K9">
            <v>21</v>
          </cell>
          <cell r="L9">
            <v>494</v>
          </cell>
          <cell r="M9">
            <v>23.523809523809526</v>
          </cell>
          <cell r="N9" t="str">
            <v>Level 1</v>
          </cell>
          <cell r="O9">
            <v>19</v>
          </cell>
          <cell r="P9">
            <v>548</v>
          </cell>
          <cell r="Q9">
            <v>28.842105263157894</v>
          </cell>
          <cell r="R9" t="str">
            <v>Level 1</v>
          </cell>
          <cell r="S9">
            <v>17</v>
          </cell>
          <cell r="T9">
            <v>508</v>
          </cell>
          <cell r="U9">
            <v>29.882352941176471</v>
          </cell>
          <cell r="V9" t="str">
            <v>Level 2</v>
          </cell>
          <cell r="W9">
            <v>16</v>
          </cell>
          <cell r="X9">
            <v>502</v>
          </cell>
          <cell r="Y9">
            <v>31.375</v>
          </cell>
          <cell r="Z9" t="str">
            <v>Level 2</v>
          </cell>
          <cell r="AA9">
            <v>18</v>
          </cell>
          <cell r="AB9">
            <v>499</v>
          </cell>
          <cell r="AC9">
            <v>27.722222222222221</v>
          </cell>
          <cell r="AD9" t="str">
            <v>Level 1</v>
          </cell>
          <cell r="AE9">
            <v>7</v>
          </cell>
          <cell r="AF9">
            <v>163</v>
          </cell>
          <cell r="AG9">
            <v>23.285714285714285</v>
          </cell>
          <cell r="AH9" t="str">
            <v>Level 1</v>
          </cell>
          <cell r="AI9" t="str">
            <v>-</v>
          </cell>
          <cell r="AJ9" t="str">
            <v>-</v>
          </cell>
          <cell r="AK9" t="str">
            <v>-</v>
          </cell>
          <cell r="AL9" t="str">
            <v>-</v>
          </cell>
          <cell r="AM9" t="str">
            <v>-</v>
          </cell>
          <cell r="AN9" t="str">
            <v>-</v>
          </cell>
          <cell r="AO9" t="str">
            <v>-</v>
          </cell>
          <cell r="AP9" t="str">
            <v>-</v>
          </cell>
          <cell r="AQ9" t="str">
            <v>-</v>
          </cell>
          <cell r="AR9" t="str">
            <v>-</v>
          </cell>
          <cell r="AS9" t="str">
            <v>-</v>
          </cell>
          <cell r="AT9" t="str">
            <v>-</v>
          </cell>
          <cell r="AU9" t="str">
            <v>-</v>
          </cell>
          <cell r="AV9" t="str">
            <v>-</v>
          </cell>
          <cell r="AW9" t="str">
            <v>-</v>
          </cell>
          <cell r="AX9" t="str">
            <v>-</v>
          </cell>
          <cell r="AY9" t="str">
            <v>-</v>
          </cell>
          <cell r="AZ9" t="str">
            <v>-</v>
          </cell>
          <cell r="BA9" t="str">
            <v>-</v>
          </cell>
          <cell r="BB9" t="str">
            <v>-</v>
          </cell>
          <cell r="BC9" t="str">
            <v>-</v>
          </cell>
          <cell r="BD9" t="str">
            <v>-</v>
          </cell>
          <cell r="BE9" t="str">
            <v>-</v>
          </cell>
          <cell r="BF9" t="str">
            <v>-</v>
          </cell>
          <cell r="BG9" t="str">
            <v>-</v>
          </cell>
          <cell r="BH9" t="str">
            <v>-</v>
          </cell>
          <cell r="BI9" t="str">
            <v>-</v>
          </cell>
          <cell r="BJ9" t="str">
            <v>-</v>
          </cell>
          <cell r="BK9" t="str">
            <v>-</v>
          </cell>
          <cell r="BL9" t="str">
            <v>-</v>
          </cell>
          <cell r="BM9" t="str">
            <v>-</v>
          </cell>
          <cell r="BN9" t="str">
            <v>-</v>
          </cell>
          <cell r="BO9" t="str">
            <v>-</v>
          </cell>
          <cell r="BP9" t="str">
            <v>-</v>
          </cell>
          <cell r="BQ9" t="str">
            <v>-</v>
          </cell>
          <cell r="BR9" t="str">
            <v>-</v>
          </cell>
          <cell r="BS9" t="str">
            <v>-</v>
          </cell>
          <cell r="BT9" t="str">
            <v>-</v>
          </cell>
          <cell r="BU9" t="str">
            <v>-</v>
          </cell>
          <cell r="BV9" t="str">
            <v>-</v>
          </cell>
          <cell r="BW9" t="str">
            <v>-</v>
          </cell>
          <cell r="BX9" t="str">
            <v>-</v>
          </cell>
          <cell r="BY9" t="str">
            <v>-</v>
          </cell>
          <cell r="BZ9" t="str">
            <v>-</v>
          </cell>
          <cell r="CA9" t="str">
            <v>-</v>
          </cell>
          <cell r="CB9" t="str">
            <v>-</v>
          </cell>
          <cell r="CC9" t="str">
            <v>-</v>
          </cell>
          <cell r="CD9" t="str">
            <v>-</v>
          </cell>
          <cell r="CE9" t="str">
            <v>-</v>
          </cell>
          <cell r="CF9" t="str">
            <v>-</v>
          </cell>
          <cell r="CG9" t="str">
            <v>-</v>
          </cell>
          <cell r="CH9" t="str">
            <v>-</v>
          </cell>
          <cell r="CI9" t="str">
            <v>-</v>
          </cell>
          <cell r="CJ9" t="str">
            <v>-</v>
          </cell>
          <cell r="CK9" t="str">
            <v>-</v>
          </cell>
          <cell r="CL9" t="str">
            <v>-</v>
          </cell>
          <cell r="CM9" t="str">
            <v>-</v>
          </cell>
          <cell r="CN9" t="str">
            <v>-</v>
          </cell>
          <cell r="CO9" t="str">
            <v>-</v>
          </cell>
          <cell r="CP9" t="str">
            <v>-</v>
          </cell>
          <cell r="CQ9" t="str">
            <v>-</v>
          </cell>
          <cell r="CR9" t="str">
            <v>-</v>
          </cell>
          <cell r="CS9" t="str">
            <v>-</v>
          </cell>
          <cell r="CT9" t="str">
            <v>-</v>
          </cell>
          <cell r="CU9" t="str">
            <v>-</v>
          </cell>
          <cell r="CV9" t="str">
            <v>-</v>
          </cell>
          <cell r="CW9" t="str">
            <v>-</v>
          </cell>
          <cell r="CX9" t="str">
            <v>-</v>
          </cell>
          <cell r="CY9" t="str">
            <v>-</v>
          </cell>
          <cell r="CZ9" t="str">
            <v>-</v>
          </cell>
          <cell r="DA9" t="str">
            <v>-</v>
          </cell>
          <cell r="DB9" t="str">
            <v>-</v>
          </cell>
          <cell r="DC9" t="str">
            <v>-</v>
          </cell>
          <cell r="DD9" t="str">
            <v>-</v>
          </cell>
          <cell r="DE9" t="str">
            <v>-</v>
          </cell>
          <cell r="DF9" t="str">
            <v>-</v>
          </cell>
          <cell r="DG9" t="str">
            <v>-</v>
          </cell>
          <cell r="DH9" t="str">
            <v>-</v>
          </cell>
          <cell r="DI9" t="str">
            <v>-</v>
          </cell>
          <cell r="DJ9" t="str">
            <v>-</v>
          </cell>
          <cell r="DK9" t="str">
            <v>-</v>
          </cell>
          <cell r="DL9" t="str">
            <v>-</v>
          </cell>
          <cell r="DM9" t="str">
            <v>-</v>
          </cell>
          <cell r="DN9" t="str">
            <v>-</v>
          </cell>
          <cell r="DO9" t="str">
            <v>-</v>
          </cell>
          <cell r="DP9" t="str">
            <v>-</v>
          </cell>
          <cell r="DQ9" t="str">
            <v>-</v>
          </cell>
          <cell r="DR9" t="str">
            <v>-</v>
          </cell>
          <cell r="DS9" t="str">
            <v>-</v>
          </cell>
          <cell r="DT9" t="str">
            <v>-</v>
          </cell>
          <cell r="DU9" t="str">
            <v>-</v>
          </cell>
          <cell r="DV9" t="str">
            <v>-</v>
          </cell>
          <cell r="DW9" t="str">
            <v>-</v>
          </cell>
          <cell r="DX9" t="str">
            <v>-</v>
          </cell>
          <cell r="DY9" t="str">
            <v>-</v>
          </cell>
          <cell r="DZ9" t="str">
            <v>-</v>
          </cell>
          <cell r="EA9" t="str">
            <v>-</v>
          </cell>
          <cell r="EB9" t="str">
            <v>-</v>
          </cell>
          <cell r="EC9" t="str">
            <v>-</v>
          </cell>
          <cell r="ED9" t="str">
            <v>-</v>
          </cell>
          <cell r="EE9" t="str">
            <v>-</v>
          </cell>
          <cell r="EF9" t="str">
            <v>-</v>
          </cell>
          <cell r="EG9" t="str">
            <v>-</v>
          </cell>
          <cell r="EH9" t="str">
            <v>-</v>
          </cell>
          <cell r="EI9" t="str">
            <v>-</v>
          </cell>
          <cell r="EJ9" t="str">
            <v>-</v>
          </cell>
          <cell r="EK9" t="str">
            <v>-</v>
          </cell>
          <cell r="EL9" t="str">
            <v>-</v>
          </cell>
          <cell r="EM9" t="str">
            <v>-</v>
          </cell>
          <cell r="EN9" t="str">
            <v>-</v>
          </cell>
          <cell r="EO9" t="str">
            <v>-</v>
          </cell>
          <cell r="EP9" t="str">
            <v>-</v>
          </cell>
          <cell r="EQ9" t="str">
            <v>-</v>
          </cell>
          <cell r="ER9" t="str">
            <v>-</v>
          </cell>
          <cell r="ES9" t="str">
            <v>-</v>
          </cell>
          <cell r="ET9" t="str">
            <v>-</v>
          </cell>
          <cell r="EU9" t="str">
            <v>-</v>
          </cell>
          <cell r="EV9" t="str">
            <v>-</v>
          </cell>
          <cell r="EW9" t="str">
            <v>-</v>
          </cell>
          <cell r="EX9" t="str">
            <v>-</v>
          </cell>
          <cell r="EY9" t="str">
            <v>-</v>
          </cell>
          <cell r="EZ9" t="str">
            <v>-</v>
          </cell>
          <cell r="FA9" t="str">
            <v>-</v>
          </cell>
          <cell r="FB9" t="str">
            <v>-</v>
          </cell>
          <cell r="FC9" t="str">
            <v>-</v>
          </cell>
          <cell r="FD9" t="str">
            <v>-</v>
          </cell>
          <cell r="FE9" t="str">
            <v>-</v>
          </cell>
          <cell r="FF9" t="str">
            <v>-</v>
          </cell>
          <cell r="FG9" t="str">
            <v>-</v>
          </cell>
          <cell r="FH9" t="str">
            <v>-</v>
          </cell>
          <cell r="FI9" t="str">
            <v>-</v>
          </cell>
          <cell r="FJ9" t="str">
            <v>-</v>
          </cell>
          <cell r="FK9" t="str">
            <v>-</v>
          </cell>
          <cell r="FL9" t="str">
            <v>-</v>
          </cell>
          <cell r="FM9" t="str">
            <v>-</v>
          </cell>
          <cell r="FN9" t="str">
            <v>-</v>
          </cell>
          <cell r="FO9" t="str">
            <v>-</v>
          </cell>
          <cell r="FP9" t="str">
            <v>-</v>
          </cell>
          <cell r="FQ9" t="str">
            <v>-</v>
          </cell>
          <cell r="FR9" t="str">
            <v>-</v>
          </cell>
          <cell r="FS9" t="str">
            <v>-</v>
          </cell>
          <cell r="FT9" t="str">
            <v>-</v>
          </cell>
          <cell r="FU9" t="str">
            <v>-</v>
          </cell>
          <cell r="FV9" t="str">
            <v>-</v>
          </cell>
          <cell r="FW9" t="str">
            <v>-</v>
          </cell>
          <cell r="FX9" t="str">
            <v>-</v>
          </cell>
          <cell r="FY9" t="str">
            <v>-</v>
          </cell>
          <cell r="FZ9" t="str">
            <v>-</v>
          </cell>
          <cell r="GA9" t="str">
            <v>-</v>
          </cell>
        </row>
        <row r="10">
          <cell r="A10">
            <v>90568</v>
          </cell>
          <cell r="B10" t="str">
            <v>FADHLY RADITYA PUTRA</v>
          </cell>
          <cell r="C10">
            <v>23</v>
          </cell>
          <cell r="D10">
            <v>540</v>
          </cell>
          <cell r="E10">
            <v>23.478260869565219</v>
          </cell>
          <cell r="F10" t="str">
            <v>Level 1</v>
          </cell>
          <cell r="G10">
            <v>24</v>
          </cell>
          <cell r="H10">
            <v>634</v>
          </cell>
          <cell r="I10">
            <v>26.416666666666668</v>
          </cell>
          <cell r="J10" t="str">
            <v>Level 1</v>
          </cell>
          <cell r="K10">
            <v>23</v>
          </cell>
          <cell r="L10">
            <v>554</v>
          </cell>
          <cell r="M10">
            <v>24.086956521739129</v>
          </cell>
          <cell r="N10" t="str">
            <v>Level 1</v>
          </cell>
          <cell r="O10">
            <v>21</v>
          </cell>
          <cell r="P10">
            <v>535</v>
          </cell>
          <cell r="Q10">
            <v>25.476190476190474</v>
          </cell>
          <cell r="R10" t="str">
            <v>Level 1</v>
          </cell>
          <cell r="S10">
            <v>23</v>
          </cell>
          <cell r="T10">
            <v>542</v>
          </cell>
          <cell r="U10">
            <v>23.565217391304348</v>
          </cell>
          <cell r="V10" t="str">
            <v>Level 1</v>
          </cell>
          <cell r="W10">
            <v>21</v>
          </cell>
          <cell r="X10">
            <v>639</v>
          </cell>
          <cell r="Y10">
            <v>30.428571428571427</v>
          </cell>
          <cell r="Z10" t="str">
            <v>Level 2</v>
          </cell>
          <cell r="AA10">
            <v>24</v>
          </cell>
          <cell r="AB10">
            <v>818</v>
          </cell>
          <cell r="AC10">
            <v>34.083333333333336</v>
          </cell>
          <cell r="AD10" t="str">
            <v>Level 2</v>
          </cell>
          <cell r="AE10">
            <v>17</v>
          </cell>
          <cell r="AF10">
            <v>485</v>
          </cell>
          <cell r="AG10">
            <v>28.529411764705884</v>
          </cell>
          <cell r="AH10" t="str">
            <v>Level 1</v>
          </cell>
          <cell r="AI10">
            <v>2</v>
          </cell>
          <cell r="AJ10">
            <v>36</v>
          </cell>
          <cell r="AK10">
            <v>18</v>
          </cell>
          <cell r="AL10" t="str">
            <v>Level 1</v>
          </cell>
          <cell r="AM10">
            <v>13</v>
          </cell>
          <cell r="AN10" t="str">
            <v>-</v>
          </cell>
          <cell r="AO10" t="str">
            <v>-</v>
          </cell>
          <cell r="AP10" t="str">
            <v>-</v>
          </cell>
          <cell r="AQ10" t="str">
            <v>-</v>
          </cell>
          <cell r="AR10" t="str">
            <v>-</v>
          </cell>
          <cell r="AS10" t="str">
            <v>-</v>
          </cell>
          <cell r="AT10" t="str">
            <v>-</v>
          </cell>
          <cell r="AU10" t="str">
            <v>-</v>
          </cell>
          <cell r="AV10" t="str">
            <v>-</v>
          </cell>
          <cell r="AW10" t="str">
            <v>-</v>
          </cell>
          <cell r="AX10" t="str">
            <v>-</v>
          </cell>
          <cell r="AY10" t="str">
            <v>-</v>
          </cell>
          <cell r="AZ10" t="str">
            <v>-</v>
          </cell>
          <cell r="BA10" t="str">
            <v>-</v>
          </cell>
          <cell r="BB10" t="str">
            <v>-</v>
          </cell>
          <cell r="BC10" t="str">
            <v>-</v>
          </cell>
          <cell r="BD10" t="str">
            <v>-</v>
          </cell>
          <cell r="BE10" t="str">
            <v>-</v>
          </cell>
          <cell r="BF10" t="str">
            <v>-</v>
          </cell>
          <cell r="BG10" t="str">
            <v>-</v>
          </cell>
          <cell r="BH10" t="str">
            <v>-</v>
          </cell>
          <cell r="BI10" t="str">
            <v>-</v>
          </cell>
          <cell r="BJ10" t="str">
            <v>-</v>
          </cell>
          <cell r="BK10" t="str">
            <v>-</v>
          </cell>
          <cell r="BL10" t="str">
            <v>-</v>
          </cell>
          <cell r="BM10" t="str">
            <v>-</v>
          </cell>
          <cell r="BN10" t="str">
            <v>-</v>
          </cell>
          <cell r="BO10" t="str">
            <v>-</v>
          </cell>
          <cell r="BP10" t="str">
            <v>-</v>
          </cell>
          <cell r="BQ10" t="str">
            <v>-</v>
          </cell>
          <cell r="BR10" t="str">
            <v>-</v>
          </cell>
          <cell r="BS10" t="str">
            <v>-</v>
          </cell>
          <cell r="BT10" t="str">
            <v>-</v>
          </cell>
          <cell r="BU10" t="str">
            <v>-</v>
          </cell>
          <cell r="BV10" t="str">
            <v>-</v>
          </cell>
          <cell r="BW10" t="str">
            <v>-</v>
          </cell>
          <cell r="BX10" t="str">
            <v>-</v>
          </cell>
          <cell r="BY10" t="str">
            <v>-</v>
          </cell>
          <cell r="BZ10" t="str">
            <v>-</v>
          </cell>
          <cell r="CA10" t="str">
            <v>-</v>
          </cell>
          <cell r="CB10" t="str">
            <v>-</v>
          </cell>
          <cell r="CC10" t="str">
            <v>-</v>
          </cell>
          <cell r="CD10" t="str">
            <v>-</v>
          </cell>
          <cell r="CE10" t="str">
            <v>-</v>
          </cell>
          <cell r="CF10" t="str">
            <v>-</v>
          </cell>
          <cell r="CG10" t="str">
            <v>-</v>
          </cell>
          <cell r="CH10" t="str">
            <v>-</v>
          </cell>
          <cell r="CI10" t="str">
            <v>-</v>
          </cell>
          <cell r="CJ10" t="str">
            <v>-</v>
          </cell>
          <cell r="CK10" t="str">
            <v>-</v>
          </cell>
          <cell r="CL10" t="str">
            <v>-</v>
          </cell>
          <cell r="CM10" t="str">
            <v>-</v>
          </cell>
          <cell r="CN10" t="str">
            <v>-</v>
          </cell>
          <cell r="CO10" t="str">
            <v>-</v>
          </cell>
          <cell r="CP10" t="str">
            <v>-</v>
          </cell>
          <cell r="CQ10" t="str">
            <v>-</v>
          </cell>
          <cell r="CR10" t="str">
            <v>-</v>
          </cell>
          <cell r="CS10" t="str">
            <v>-</v>
          </cell>
          <cell r="CT10" t="str">
            <v>-</v>
          </cell>
          <cell r="CU10" t="str">
            <v>-</v>
          </cell>
          <cell r="CV10" t="str">
            <v>-</v>
          </cell>
          <cell r="CW10" t="str">
            <v>-</v>
          </cell>
          <cell r="CX10" t="str">
            <v>-</v>
          </cell>
          <cell r="CY10" t="str">
            <v>-</v>
          </cell>
          <cell r="CZ10" t="str">
            <v>-</v>
          </cell>
          <cell r="DA10" t="str">
            <v>-</v>
          </cell>
          <cell r="DB10" t="str">
            <v>-</v>
          </cell>
          <cell r="DC10" t="str">
            <v>-</v>
          </cell>
          <cell r="DD10" t="str">
            <v>-</v>
          </cell>
          <cell r="DE10" t="str">
            <v>-</v>
          </cell>
          <cell r="DF10" t="str">
            <v>-</v>
          </cell>
          <cell r="DG10" t="str">
            <v>-</v>
          </cell>
          <cell r="DH10" t="str">
            <v>-</v>
          </cell>
          <cell r="DI10" t="str">
            <v>-</v>
          </cell>
          <cell r="DJ10" t="str">
            <v>-</v>
          </cell>
          <cell r="DK10" t="str">
            <v>-</v>
          </cell>
          <cell r="DL10" t="str">
            <v>-</v>
          </cell>
          <cell r="DM10" t="str">
            <v>-</v>
          </cell>
          <cell r="DN10" t="str">
            <v>-</v>
          </cell>
          <cell r="DO10" t="str">
            <v>-</v>
          </cell>
          <cell r="DP10" t="str">
            <v>-</v>
          </cell>
          <cell r="DQ10" t="str">
            <v>-</v>
          </cell>
          <cell r="DR10" t="str">
            <v>-</v>
          </cell>
          <cell r="DS10" t="str">
            <v>-</v>
          </cell>
          <cell r="DT10" t="str">
            <v>-</v>
          </cell>
          <cell r="DU10" t="str">
            <v>-</v>
          </cell>
          <cell r="DV10" t="str">
            <v>-</v>
          </cell>
          <cell r="DW10" t="str">
            <v>-</v>
          </cell>
          <cell r="DX10" t="str">
            <v>-</v>
          </cell>
          <cell r="DY10" t="str">
            <v>-</v>
          </cell>
          <cell r="DZ10" t="str">
            <v>-</v>
          </cell>
          <cell r="EA10" t="str">
            <v>-</v>
          </cell>
          <cell r="EB10" t="str">
            <v>-</v>
          </cell>
          <cell r="EC10" t="str">
            <v>-</v>
          </cell>
          <cell r="ED10" t="str">
            <v>-</v>
          </cell>
          <cell r="EE10" t="str">
            <v>-</v>
          </cell>
          <cell r="EF10" t="str">
            <v>-</v>
          </cell>
          <cell r="EG10" t="str">
            <v>-</v>
          </cell>
          <cell r="EH10" t="str">
            <v>-</v>
          </cell>
          <cell r="EI10" t="str">
            <v>-</v>
          </cell>
          <cell r="EJ10" t="str">
            <v>-</v>
          </cell>
          <cell r="EK10" t="str">
            <v>-</v>
          </cell>
          <cell r="EL10" t="str">
            <v>-</v>
          </cell>
          <cell r="EM10" t="str">
            <v>-</v>
          </cell>
          <cell r="EN10" t="str">
            <v>-</v>
          </cell>
          <cell r="EO10" t="str">
            <v>-</v>
          </cell>
          <cell r="EP10" t="str">
            <v>-</v>
          </cell>
          <cell r="EQ10" t="str">
            <v>-</v>
          </cell>
          <cell r="ER10" t="str">
            <v>-</v>
          </cell>
          <cell r="ES10" t="str">
            <v>-</v>
          </cell>
          <cell r="ET10" t="str">
            <v>-</v>
          </cell>
          <cell r="EU10" t="str">
            <v>-</v>
          </cell>
          <cell r="EV10" t="str">
            <v>-</v>
          </cell>
          <cell r="EW10" t="str">
            <v>-</v>
          </cell>
          <cell r="EX10" t="str">
            <v>-</v>
          </cell>
          <cell r="EY10" t="str">
            <v>-</v>
          </cell>
          <cell r="EZ10" t="str">
            <v>-</v>
          </cell>
          <cell r="FA10" t="str">
            <v>-</v>
          </cell>
          <cell r="FB10" t="str">
            <v>-</v>
          </cell>
          <cell r="FC10" t="str">
            <v>-</v>
          </cell>
          <cell r="FD10" t="str">
            <v>-</v>
          </cell>
          <cell r="FE10" t="str">
            <v>-</v>
          </cell>
          <cell r="FF10" t="str">
            <v>-</v>
          </cell>
          <cell r="FG10" t="str">
            <v>-</v>
          </cell>
          <cell r="FH10" t="str">
            <v>-</v>
          </cell>
          <cell r="FI10" t="str">
            <v>-</v>
          </cell>
          <cell r="FJ10" t="str">
            <v>-</v>
          </cell>
          <cell r="FK10" t="str">
            <v>-</v>
          </cell>
          <cell r="FL10" t="str">
            <v>-</v>
          </cell>
          <cell r="FM10" t="str">
            <v>-</v>
          </cell>
          <cell r="FN10" t="str">
            <v>-</v>
          </cell>
          <cell r="FO10" t="str">
            <v>-</v>
          </cell>
          <cell r="FP10" t="str">
            <v>-</v>
          </cell>
          <cell r="FQ10" t="str">
            <v>-</v>
          </cell>
          <cell r="FR10" t="str">
            <v>-</v>
          </cell>
          <cell r="FS10" t="str">
            <v>-</v>
          </cell>
          <cell r="FT10" t="str">
            <v>-</v>
          </cell>
          <cell r="FU10" t="str">
            <v>-</v>
          </cell>
          <cell r="FV10" t="str">
            <v>-</v>
          </cell>
          <cell r="FW10" t="str">
            <v>-</v>
          </cell>
          <cell r="FX10" t="str">
            <v>-</v>
          </cell>
          <cell r="FY10" t="str">
            <v>-</v>
          </cell>
          <cell r="FZ10" t="str">
            <v>-</v>
          </cell>
          <cell r="GA10" t="str">
            <v>-</v>
          </cell>
        </row>
        <row r="11">
          <cell r="A11">
            <v>90557</v>
          </cell>
          <cell r="B11" t="str">
            <v>TIFANI EKA ALCISHA</v>
          </cell>
          <cell r="C11">
            <v>13</v>
          </cell>
          <cell r="D11">
            <v>440</v>
          </cell>
          <cell r="E11">
            <v>33.846153846153847</v>
          </cell>
          <cell r="F11" t="str">
            <v>Level 2</v>
          </cell>
          <cell r="G11">
            <v>10</v>
          </cell>
          <cell r="H11">
            <v>360</v>
          </cell>
          <cell r="I11">
            <v>36</v>
          </cell>
          <cell r="J11" t="str">
            <v>Level 2</v>
          </cell>
          <cell r="K11">
            <v>13</v>
          </cell>
          <cell r="L11">
            <v>495</v>
          </cell>
          <cell r="M11">
            <v>38.07692307692308</v>
          </cell>
          <cell r="N11" t="str">
            <v>Level 2</v>
          </cell>
          <cell r="O11">
            <v>12</v>
          </cell>
          <cell r="P11">
            <v>462</v>
          </cell>
          <cell r="Q11">
            <v>38.5</v>
          </cell>
          <cell r="R11" t="str">
            <v>Level 2</v>
          </cell>
          <cell r="S11">
            <v>12</v>
          </cell>
          <cell r="T11">
            <v>472</v>
          </cell>
          <cell r="U11">
            <v>39.333333333333336</v>
          </cell>
          <cell r="V11" t="str">
            <v>Level 2</v>
          </cell>
          <cell r="W11">
            <v>15</v>
          </cell>
          <cell r="X11">
            <v>666</v>
          </cell>
          <cell r="Y11">
            <v>44.4</v>
          </cell>
          <cell r="Z11" t="str">
            <v>Level 3</v>
          </cell>
          <cell r="AA11">
            <v>14</v>
          </cell>
          <cell r="AB11">
            <v>687</v>
          </cell>
          <cell r="AC11">
            <v>49.071428571428569</v>
          </cell>
          <cell r="AD11" t="str">
            <v>Level 3</v>
          </cell>
          <cell r="AE11">
            <v>16</v>
          </cell>
          <cell r="AF11">
            <v>750</v>
          </cell>
          <cell r="AG11">
            <v>46.875</v>
          </cell>
          <cell r="AH11" t="str">
            <v>Level 3</v>
          </cell>
          <cell r="AI11">
            <v>14</v>
          </cell>
          <cell r="AJ11">
            <v>645</v>
          </cell>
          <cell r="AK11">
            <v>46.071428571428569</v>
          </cell>
          <cell r="AL11" t="str">
            <v>Level 3</v>
          </cell>
          <cell r="AM11">
            <v>13</v>
          </cell>
          <cell r="AN11">
            <v>622</v>
          </cell>
          <cell r="AO11">
            <v>47.846153846153847</v>
          </cell>
          <cell r="AP11" t="str">
            <v>Level 3</v>
          </cell>
          <cell r="AQ11">
            <v>13</v>
          </cell>
          <cell r="AR11">
            <v>703</v>
          </cell>
          <cell r="AS11">
            <v>54.07692307692308</v>
          </cell>
          <cell r="AT11" t="str">
            <v>Level 3</v>
          </cell>
          <cell r="AU11">
            <v>15</v>
          </cell>
          <cell r="AV11">
            <v>787</v>
          </cell>
          <cell r="AW11">
            <v>52.466666666666669</v>
          </cell>
          <cell r="AX11" t="str">
            <v>Level 3</v>
          </cell>
          <cell r="AY11">
            <v>22</v>
          </cell>
          <cell r="AZ11">
            <v>1102</v>
          </cell>
          <cell r="BA11">
            <v>50.090909090909093</v>
          </cell>
          <cell r="BB11" t="str">
            <v>Level 3</v>
          </cell>
          <cell r="BC11">
            <v>15</v>
          </cell>
          <cell r="BD11">
            <v>704</v>
          </cell>
          <cell r="BE11">
            <v>46.93333333333333</v>
          </cell>
          <cell r="BF11" t="str">
            <v>Level 3</v>
          </cell>
          <cell r="BG11">
            <v>17</v>
          </cell>
          <cell r="BH11">
            <v>802</v>
          </cell>
          <cell r="BI11">
            <v>47.176470588235297</v>
          </cell>
          <cell r="BJ11" t="str">
            <v>Level 3</v>
          </cell>
          <cell r="BK11">
            <v>24</v>
          </cell>
          <cell r="BL11">
            <v>1250</v>
          </cell>
          <cell r="BM11">
            <v>52.083333333333336</v>
          </cell>
          <cell r="BN11" t="str">
            <v>Level 3</v>
          </cell>
          <cell r="BO11">
            <v>16</v>
          </cell>
          <cell r="BP11">
            <v>908</v>
          </cell>
          <cell r="BQ11">
            <v>56.75</v>
          </cell>
          <cell r="BR11" t="str">
            <v>Level 3</v>
          </cell>
          <cell r="BS11">
            <v>17</v>
          </cell>
          <cell r="BT11">
            <v>984</v>
          </cell>
          <cell r="BU11">
            <v>57.882352941176471</v>
          </cell>
          <cell r="BV11" t="str">
            <v>Level 3</v>
          </cell>
          <cell r="BW11">
            <v>18</v>
          </cell>
          <cell r="BX11">
            <v>868</v>
          </cell>
          <cell r="BY11">
            <v>48.222222222222221</v>
          </cell>
          <cell r="BZ11" t="str">
            <v>Level 3</v>
          </cell>
          <cell r="CA11">
            <v>23</v>
          </cell>
          <cell r="CB11">
            <v>1085</v>
          </cell>
          <cell r="CC11">
            <v>47.173913043478258</v>
          </cell>
          <cell r="CD11" t="str">
            <v>Level 3</v>
          </cell>
          <cell r="CE11">
            <v>17</v>
          </cell>
          <cell r="CF11">
            <v>787</v>
          </cell>
          <cell r="CG11">
            <v>46.294117647058826</v>
          </cell>
          <cell r="CH11" t="str">
            <v>Level 3</v>
          </cell>
          <cell r="CI11">
            <v>18</v>
          </cell>
          <cell r="CJ11">
            <v>936</v>
          </cell>
          <cell r="CK11">
            <v>52</v>
          </cell>
          <cell r="CL11" t="str">
            <v>Level 3</v>
          </cell>
          <cell r="CM11">
            <v>22</v>
          </cell>
          <cell r="CN11">
            <v>900</v>
          </cell>
          <cell r="CO11">
            <v>40.909090909090907</v>
          </cell>
          <cell r="CP11" t="str">
            <v>Level 3</v>
          </cell>
          <cell r="CQ11">
            <v>17</v>
          </cell>
          <cell r="CR11">
            <v>829</v>
          </cell>
          <cell r="CS11">
            <v>48.764705882352942</v>
          </cell>
          <cell r="CT11" t="str">
            <v>Level 3</v>
          </cell>
          <cell r="CU11">
            <v>20</v>
          </cell>
          <cell r="CV11">
            <v>977</v>
          </cell>
          <cell r="CW11">
            <v>48.85</v>
          </cell>
          <cell r="CX11" t="str">
            <v>Level 3</v>
          </cell>
          <cell r="CY11">
            <v>16</v>
          </cell>
          <cell r="CZ11">
            <v>788</v>
          </cell>
          <cell r="DA11">
            <v>49.25</v>
          </cell>
          <cell r="DB11" t="str">
            <v>Level 3</v>
          </cell>
          <cell r="DC11">
            <v>15</v>
          </cell>
          <cell r="DD11">
            <v>813</v>
          </cell>
          <cell r="DE11">
            <v>54.2</v>
          </cell>
          <cell r="DF11" t="str">
            <v>Level 3</v>
          </cell>
          <cell r="DG11">
            <v>13</v>
          </cell>
          <cell r="DH11">
            <v>739</v>
          </cell>
          <cell r="DI11">
            <v>56.846153846153847</v>
          </cell>
          <cell r="DJ11" t="str">
            <v>Level 3</v>
          </cell>
          <cell r="DK11">
            <v>20</v>
          </cell>
          <cell r="DL11">
            <v>837</v>
          </cell>
          <cell r="DM11">
            <v>41.85</v>
          </cell>
          <cell r="DN11" t="str">
            <v>Level 3</v>
          </cell>
          <cell r="DO11">
            <v>20</v>
          </cell>
          <cell r="DP11">
            <v>921</v>
          </cell>
          <cell r="DQ11">
            <v>46.05</v>
          </cell>
          <cell r="DR11" t="str">
            <v>Level 3</v>
          </cell>
          <cell r="DS11">
            <v>18</v>
          </cell>
          <cell r="DT11">
            <v>884</v>
          </cell>
          <cell r="DU11">
            <v>49.111111111111114</v>
          </cell>
          <cell r="DV11" t="str">
            <v>Level 3</v>
          </cell>
          <cell r="DW11">
            <v>22</v>
          </cell>
          <cell r="DX11">
            <v>1181</v>
          </cell>
          <cell r="DY11">
            <v>53.68181818181818</v>
          </cell>
          <cell r="DZ11" t="str">
            <v>Level 3</v>
          </cell>
          <cell r="EA11">
            <v>15</v>
          </cell>
          <cell r="EB11">
            <v>787</v>
          </cell>
          <cell r="EC11">
            <v>52.466666666666669</v>
          </cell>
          <cell r="ED11" t="str">
            <v>Level 3</v>
          </cell>
          <cell r="EE11">
            <v>19</v>
          </cell>
          <cell r="EF11">
            <v>842</v>
          </cell>
          <cell r="EG11">
            <v>44.315789473684212</v>
          </cell>
          <cell r="EH11" t="str">
            <v>Level 3</v>
          </cell>
          <cell r="EI11">
            <v>20</v>
          </cell>
          <cell r="EJ11">
            <v>848</v>
          </cell>
          <cell r="EK11">
            <v>42.4</v>
          </cell>
          <cell r="EL11" t="str">
            <v>Level 3</v>
          </cell>
          <cell r="EM11">
            <v>17</v>
          </cell>
          <cell r="EN11">
            <v>787</v>
          </cell>
          <cell r="EO11">
            <v>46.294117647058826</v>
          </cell>
          <cell r="EP11" t="str">
            <v>Level 3</v>
          </cell>
          <cell r="EQ11">
            <v>17</v>
          </cell>
          <cell r="ER11">
            <v>714</v>
          </cell>
          <cell r="ES11">
            <v>42</v>
          </cell>
          <cell r="ET11" t="str">
            <v>Level 3</v>
          </cell>
          <cell r="EU11">
            <v>19</v>
          </cell>
          <cell r="EV11">
            <v>882</v>
          </cell>
          <cell r="EW11">
            <v>46.421052631578945</v>
          </cell>
          <cell r="EX11" t="str">
            <v>Level 3</v>
          </cell>
          <cell r="EY11">
            <v>2</v>
          </cell>
          <cell r="EZ11">
            <v>75</v>
          </cell>
          <cell r="FA11">
            <v>37.5</v>
          </cell>
          <cell r="FB11" t="str">
            <v>Level 2</v>
          </cell>
          <cell r="FC11">
            <v>18</v>
          </cell>
          <cell r="FD11">
            <v>821</v>
          </cell>
          <cell r="FE11">
            <v>45.611111111111114</v>
          </cell>
          <cell r="FF11" t="str">
            <v>Level 3</v>
          </cell>
          <cell r="FG11">
            <v>11</v>
          </cell>
          <cell r="FH11">
            <v>537</v>
          </cell>
          <cell r="FI11">
            <v>48.81818181818182</v>
          </cell>
          <cell r="FJ11" t="str">
            <v>Level 3</v>
          </cell>
          <cell r="FK11">
            <v>19</v>
          </cell>
          <cell r="FL11">
            <v>940</v>
          </cell>
          <cell r="FM11">
            <v>49.473684210526315</v>
          </cell>
          <cell r="FN11" t="str">
            <v>Level 3</v>
          </cell>
          <cell r="FO11">
            <v>4</v>
          </cell>
          <cell r="FP11">
            <v>229</v>
          </cell>
          <cell r="FQ11">
            <v>57.25</v>
          </cell>
          <cell r="FR11" t="str">
            <v>Level 3</v>
          </cell>
          <cell r="FS11">
            <v>11</v>
          </cell>
          <cell r="FT11">
            <v>475</v>
          </cell>
          <cell r="FU11">
            <v>43.18181818181818</v>
          </cell>
          <cell r="FV11" t="str">
            <v>Level 3</v>
          </cell>
          <cell r="FW11">
            <v>19</v>
          </cell>
          <cell r="FX11">
            <v>1043</v>
          </cell>
          <cell r="FY11">
            <v>54.89473684210526</v>
          </cell>
          <cell r="FZ11" t="str">
            <v>Level 3</v>
          </cell>
          <cell r="GA11">
            <v>19</v>
          </cell>
        </row>
        <row r="12">
          <cell r="A12">
            <v>90552</v>
          </cell>
          <cell r="B12" t="str">
            <v>MARIA ROSARIA DEWI RATNA TIMUR</v>
          </cell>
          <cell r="C12">
            <v>25</v>
          </cell>
          <cell r="D12">
            <v>681</v>
          </cell>
          <cell r="E12">
            <v>27.24</v>
          </cell>
          <cell r="F12" t="str">
            <v>Level 1</v>
          </cell>
          <cell r="G12">
            <v>24</v>
          </cell>
          <cell r="H12">
            <v>835</v>
          </cell>
          <cell r="I12">
            <v>34.791666666666664</v>
          </cell>
          <cell r="J12" t="str">
            <v>Level 2</v>
          </cell>
          <cell r="K12">
            <v>23</v>
          </cell>
          <cell r="L12">
            <v>745</v>
          </cell>
          <cell r="M12">
            <v>32.391304347826086</v>
          </cell>
          <cell r="N12" t="str">
            <v>Level 2</v>
          </cell>
          <cell r="O12">
            <v>18</v>
          </cell>
          <cell r="P12">
            <v>585</v>
          </cell>
          <cell r="Q12">
            <v>32.5</v>
          </cell>
          <cell r="R12" t="str">
            <v>Level 2</v>
          </cell>
          <cell r="S12">
            <v>18</v>
          </cell>
          <cell r="T12">
            <v>613</v>
          </cell>
          <cell r="U12">
            <v>34.055555555555557</v>
          </cell>
          <cell r="V12" t="str">
            <v>Level 2</v>
          </cell>
          <cell r="W12">
            <v>17</v>
          </cell>
          <cell r="X12">
            <v>678</v>
          </cell>
          <cell r="Y12">
            <v>39.882352941176471</v>
          </cell>
          <cell r="Z12" t="str">
            <v>Level 2</v>
          </cell>
          <cell r="AA12">
            <v>16</v>
          </cell>
          <cell r="AB12">
            <v>691</v>
          </cell>
          <cell r="AC12">
            <v>43.1875</v>
          </cell>
          <cell r="AD12" t="str">
            <v>Level 3</v>
          </cell>
          <cell r="AE12">
            <v>23</v>
          </cell>
          <cell r="AF12">
            <v>936</v>
          </cell>
          <cell r="AG12">
            <v>40.695652173913047</v>
          </cell>
          <cell r="AH12" t="str">
            <v>Level 3</v>
          </cell>
          <cell r="AI12">
            <v>22</v>
          </cell>
          <cell r="AJ12">
            <v>853</v>
          </cell>
          <cell r="AK12">
            <v>38.772727272727273</v>
          </cell>
          <cell r="AL12" t="str">
            <v>Level 2</v>
          </cell>
          <cell r="AM12">
            <v>19</v>
          </cell>
          <cell r="AN12">
            <v>724</v>
          </cell>
          <cell r="AO12">
            <v>38.10526315789474</v>
          </cell>
          <cell r="AP12" t="str">
            <v>Level 2</v>
          </cell>
          <cell r="AQ12">
            <v>21</v>
          </cell>
          <cell r="AR12">
            <v>918</v>
          </cell>
          <cell r="AS12">
            <v>43.714285714285715</v>
          </cell>
          <cell r="AT12" t="str">
            <v>Level 3</v>
          </cell>
          <cell r="AU12">
            <v>23</v>
          </cell>
          <cell r="AV12">
            <v>889</v>
          </cell>
          <cell r="AW12">
            <v>38.652173913043477</v>
          </cell>
          <cell r="AX12" t="str">
            <v>Level 2</v>
          </cell>
          <cell r="AY12">
            <v>22</v>
          </cell>
          <cell r="AZ12">
            <v>939</v>
          </cell>
          <cell r="BA12">
            <v>42.68181818181818</v>
          </cell>
          <cell r="BB12" t="str">
            <v>Level 3</v>
          </cell>
          <cell r="BC12">
            <v>15</v>
          </cell>
          <cell r="BD12">
            <v>624</v>
          </cell>
          <cell r="BE12">
            <v>41.6</v>
          </cell>
          <cell r="BF12" t="str">
            <v>Level 3</v>
          </cell>
          <cell r="BG12">
            <v>21</v>
          </cell>
          <cell r="BH12">
            <v>882</v>
          </cell>
          <cell r="BI12">
            <v>42</v>
          </cell>
          <cell r="BJ12" t="str">
            <v>Level 3</v>
          </cell>
          <cell r="BK12">
            <v>19</v>
          </cell>
          <cell r="BL12">
            <v>894</v>
          </cell>
          <cell r="BM12">
            <v>47.05263157894737</v>
          </cell>
          <cell r="BN12" t="str">
            <v>Level 3</v>
          </cell>
          <cell r="BO12">
            <v>19</v>
          </cell>
          <cell r="BP12">
            <v>923</v>
          </cell>
          <cell r="BQ12">
            <v>48.578947368421055</v>
          </cell>
          <cell r="BR12" t="str">
            <v>Level 3</v>
          </cell>
          <cell r="BS12">
            <v>14</v>
          </cell>
          <cell r="BT12">
            <v>650</v>
          </cell>
          <cell r="BU12">
            <v>46.428571428571431</v>
          </cell>
          <cell r="BV12" t="str">
            <v>Level 3</v>
          </cell>
          <cell r="BW12">
            <v>19</v>
          </cell>
          <cell r="BX12">
            <v>772</v>
          </cell>
          <cell r="BY12">
            <v>40.631578947368418</v>
          </cell>
          <cell r="BZ12" t="str">
            <v>Level 3</v>
          </cell>
          <cell r="CA12">
            <v>23</v>
          </cell>
          <cell r="CB12">
            <v>923</v>
          </cell>
          <cell r="CC12">
            <v>40.130434782608695</v>
          </cell>
          <cell r="CD12" t="str">
            <v>Level 3</v>
          </cell>
          <cell r="CE12">
            <v>15</v>
          </cell>
          <cell r="CF12">
            <v>602</v>
          </cell>
          <cell r="CG12">
            <v>40.133333333333333</v>
          </cell>
          <cell r="CH12" t="str">
            <v>Level 3</v>
          </cell>
          <cell r="CI12">
            <v>5</v>
          </cell>
          <cell r="CJ12">
            <v>217</v>
          </cell>
          <cell r="CK12">
            <v>43.4</v>
          </cell>
          <cell r="CL12" t="str">
            <v>Level 3</v>
          </cell>
          <cell r="CM12">
            <v>14</v>
          </cell>
          <cell r="CN12">
            <v>497</v>
          </cell>
          <cell r="CO12">
            <v>35.5</v>
          </cell>
          <cell r="CP12" t="str">
            <v>Level 2</v>
          </cell>
          <cell r="CQ12">
            <v>6</v>
          </cell>
          <cell r="CR12">
            <v>249</v>
          </cell>
          <cell r="CS12">
            <v>41.5</v>
          </cell>
          <cell r="CT12" t="str">
            <v>Level 3</v>
          </cell>
          <cell r="CU12">
            <v>8</v>
          </cell>
          <cell r="CV12">
            <v>293</v>
          </cell>
          <cell r="CW12">
            <v>36.625</v>
          </cell>
          <cell r="CX12" t="str">
            <v>Level 2</v>
          </cell>
          <cell r="CY12">
            <v>17</v>
          </cell>
          <cell r="CZ12">
            <v>700</v>
          </cell>
          <cell r="DA12">
            <v>41.176470588235297</v>
          </cell>
          <cell r="DB12" t="str">
            <v>Level 3</v>
          </cell>
          <cell r="DC12">
            <v>16</v>
          </cell>
          <cell r="DD12">
            <v>754</v>
          </cell>
          <cell r="DE12">
            <v>47.125</v>
          </cell>
          <cell r="DF12" t="str">
            <v>Level 3</v>
          </cell>
          <cell r="DG12">
            <v>14</v>
          </cell>
          <cell r="DH12">
            <v>682</v>
          </cell>
          <cell r="DI12">
            <v>48.714285714285715</v>
          </cell>
          <cell r="DJ12" t="str">
            <v>Level 3</v>
          </cell>
          <cell r="DK12">
            <v>22</v>
          </cell>
          <cell r="DL12">
            <v>758</v>
          </cell>
          <cell r="DM12">
            <v>34.454545454545453</v>
          </cell>
          <cell r="DN12" t="str">
            <v>Level 2</v>
          </cell>
          <cell r="DO12">
            <v>13</v>
          </cell>
          <cell r="DP12">
            <v>579</v>
          </cell>
          <cell r="DQ12">
            <v>44.53846153846154</v>
          </cell>
          <cell r="DR12" t="str">
            <v>Level 3</v>
          </cell>
          <cell r="DS12">
            <v>21</v>
          </cell>
          <cell r="DT12">
            <v>888</v>
          </cell>
          <cell r="DU12">
            <v>42.285714285714285</v>
          </cell>
          <cell r="DV12" t="str">
            <v>Level 3</v>
          </cell>
          <cell r="DW12">
            <v>4</v>
          </cell>
          <cell r="DX12">
            <v>212</v>
          </cell>
          <cell r="DY12">
            <v>53</v>
          </cell>
          <cell r="DZ12" t="str">
            <v>Level 3</v>
          </cell>
          <cell r="EA12">
            <v>5</v>
          </cell>
          <cell r="EB12">
            <v>203</v>
          </cell>
          <cell r="EC12">
            <v>40.6</v>
          </cell>
          <cell r="ED12" t="str">
            <v>Level 3</v>
          </cell>
          <cell r="EE12" t="str">
            <v>-</v>
          </cell>
          <cell r="EF12" t="str">
            <v>-</v>
          </cell>
          <cell r="EG12" t="str">
            <v>-</v>
          </cell>
          <cell r="EH12" t="str">
            <v>-</v>
          </cell>
          <cell r="EI12">
            <v>18</v>
          </cell>
          <cell r="EJ12">
            <v>695</v>
          </cell>
          <cell r="EK12">
            <v>38.611111111111114</v>
          </cell>
          <cell r="EL12" t="str">
            <v>Level 2</v>
          </cell>
          <cell r="EM12">
            <v>16</v>
          </cell>
          <cell r="EN12">
            <v>682</v>
          </cell>
          <cell r="EO12">
            <v>42.625</v>
          </cell>
          <cell r="EP12" t="str">
            <v>Level 3</v>
          </cell>
          <cell r="EQ12">
            <v>15</v>
          </cell>
          <cell r="ER12">
            <v>546</v>
          </cell>
          <cell r="ES12">
            <v>36.4</v>
          </cell>
          <cell r="ET12" t="str">
            <v>Level 2</v>
          </cell>
          <cell r="EU12">
            <v>18</v>
          </cell>
          <cell r="EV12">
            <v>763</v>
          </cell>
          <cell r="EW12">
            <v>42.388888888888886</v>
          </cell>
          <cell r="EX12" t="str">
            <v>Level 3</v>
          </cell>
          <cell r="EY12">
            <v>20</v>
          </cell>
          <cell r="EZ12">
            <v>817</v>
          </cell>
          <cell r="FA12">
            <v>40.85</v>
          </cell>
          <cell r="FB12" t="str">
            <v>Level 3</v>
          </cell>
          <cell r="FC12">
            <v>20</v>
          </cell>
          <cell r="FD12">
            <v>760</v>
          </cell>
          <cell r="FE12">
            <v>38</v>
          </cell>
          <cell r="FF12" t="str">
            <v>Level 2</v>
          </cell>
          <cell r="FG12">
            <v>11</v>
          </cell>
          <cell r="FH12">
            <v>447</v>
          </cell>
          <cell r="FI12">
            <v>40.636363636363633</v>
          </cell>
          <cell r="FJ12" t="str">
            <v>Level 3</v>
          </cell>
          <cell r="FK12">
            <v>22</v>
          </cell>
          <cell r="FL12">
            <v>866</v>
          </cell>
          <cell r="FM12">
            <v>39.363636363636367</v>
          </cell>
          <cell r="FN12" t="str">
            <v>Level 2</v>
          </cell>
          <cell r="FO12">
            <v>17</v>
          </cell>
          <cell r="FP12">
            <v>853</v>
          </cell>
          <cell r="FQ12">
            <v>50.176470588235297</v>
          </cell>
          <cell r="FR12" t="str">
            <v>Level 3</v>
          </cell>
          <cell r="FS12">
            <v>14</v>
          </cell>
          <cell r="FT12">
            <v>594</v>
          </cell>
          <cell r="FU12">
            <v>42.428571428571431</v>
          </cell>
          <cell r="FV12" t="str">
            <v>Level 3</v>
          </cell>
          <cell r="FW12">
            <v>13</v>
          </cell>
          <cell r="FX12">
            <v>631</v>
          </cell>
          <cell r="FY12">
            <v>48.53846153846154</v>
          </cell>
          <cell r="FZ12" t="str">
            <v>Level 3</v>
          </cell>
          <cell r="GA12">
            <v>5</v>
          </cell>
        </row>
        <row r="13">
          <cell r="A13">
            <v>90693</v>
          </cell>
          <cell r="B13" t="str">
            <v>SALMA RIZQAN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8</v>
          </cell>
          <cell r="L13">
            <v>234</v>
          </cell>
          <cell r="M13">
            <v>29.25</v>
          </cell>
          <cell r="N13" t="str">
            <v>Level 2</v>
          </cell>
          <cell r="O13">
            <v>2</v>
          </cell>
          <cell r="P13">
            <v>71</v>
          </cell>
          <cell r="Q13">
            <v>35.5</v>
          </cell>
          <cell r="R13" t="str">
            <v>Level 2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8</v>
          </cell>
          <cell r="X13">
            <v>245</v>
          </cell>
          <cell r="Y13">
            <v>30.625</v>
          </cell>
          <cell r="Z13" t="str">
            <v>Level 2</v>
          </cell>
          <cell r="AA13">
            <v>1</v>
          </cell>
          <cell r="AB13">
            <v>30</v>
          </cell>
          <cell r="AC13">
            <v>30</v>
          </cell>
          <cell r="AD13" t="str">
            <v>Level 2</v>
          </cell>
          <cell r="AE13">
            <v>5</v>
          </cell>
          <cell r="AF13">
            <v>162</v>
          </cell>
          <cell r="AG13">
            <v>32.4</v>
          </cell>
          <cell r="AH13" t="str">
            <v>Level 2</v>
          </cell>
          <cell r="AI13">
            <v>6</v>
          </cell>
          <cell r="AJ13">
            <v>207</v>
          </cell>
          <cell r="AK13">
            <v>34.5</v>
          </cell>
          <cell r="AL13" t="str">
            <v>Level 2</v>
          </cell>
          <cell r="AM13">
            <v>12</v>
          </cell>
          <cell r="AN13">
            <v>316</v>
          </cell>
          <cell r="AO13">
            <v>26.333333333333332</v>
          </cell>
          <cell r="AP13" t="str">
            <v>Level 1</v>
          </cell>
          <cell r="AQ13">
            <v>10</v>
          </cell>
          <cell r="AR13">
            <v>301</v>
          </cell>
          <cell r="AS13">
            <v>30.1</v>
          </cell>
          <cell r="AT13" t="str">
            <v>Level 2</v>
          </cell>
          <cell r="AU13">
            <v>6</v>
          </cell>
          <cell r="AV13">
            <v>213</v>
          </cell>
          <cell r="AW13">
            <v>35.5</v>
          </cell>
          <cell r="AX13" t="str">
            <v>Level 2</v>
          </cell>
          <cell r="AY13">
            <v>6</v>
          </cell>
          <cell r="AZ13">
            <v>180</v>
          </cell>
          <cell r="BA13">
            <v>30</v>
          </cell>
          <cell r="BB13" t="str">
            <v>Level 2</v>
          </cell>
          <cell r="BC13">
            <v>7</v>
          </cell>
          <cell r="BD13">
            <v>208</v>
          </cell>
          <cell r="BE13">
            <v>29.714285714285715</v>
          </cell>
          <cell r="BF13" t="str">
            <v>Level 2</v>
          </cell>
          <cell r="BG13">
            <v>9</v>
          </cell>
          <cell r="BH13">
            <v>234</v>
          </cell>
          <cell r="BI13">
            <v>26</v>
          </cell>
          <cell r="BJ13" t="str">
            <v>Level 1</v>
          </cell>
          <cell r="BK13" t="str">
            <v>-</v>
          </cell>
          <cell r="BL13" t="str">
            <v>-</v>
          </cell>
          <cell r="BM13" t="str">
            <v>-</v>
          </cell>
          <cell r="BN13" t="str">
            <v>-</v>
          </cell>
          <cell r="BO13">
            <v>2</v>
          </cell>
          <cell r="BP13">
            <v>61</v>
          </cell>
          <cell r="BQ13">
            <v>30.5</v>
          </cell>
          <cell r="BR13" t="str">
            <v>Level 2</v>
          </cell>
          <cell r="BS13">
            <v>1</v>
          </cell>
          <cell r="BT13">
            <v>35</v>
          </cell>
          <cell r="BU13">
            <v>35</v>
          </cell>
          <cell r="BV13" t="str">
            <v>Level 2</v>
          </cell>
          <cell r="BW13" t="str">
            <v>-</v>
          </cell>
          <cell r="BX13" t="str">
            <v>-</v>
          </cell>
          <cell r="BY13" t="str">
            <v>-</v>
          </cell>
          <cell r="BZ13" t="str">
            <v>-</v>
          </cell>
          <cell r="CA13" t="str">
            <v>-</v>
          </cell>
          <cell r="CB13" t="str">
            <v>-</v>
          </cell>
          <cell r="CC13" t="str">
            <v>-</v>
          </cell>
          <cell r="CD13" t="str">
            <v>-</v>
          </cell>
          <cell r="CE13" t="str">
            <v>-</v>
          </cell>
          <cell r="CF13" t="str">
            <v>-</v>
          </cell>
          <cell r="CG13" t="str">
            <v>-</v>
          </cell>
          <cell r="CH13" t="str">
            <v>-</v>
          </cell>
          <cell r="CI13" t="str">
            <v>-</v>
          </cell>
          <cell r="CJ13" t="str">
            <v>-</v>
          </cell>
          <cell r="CK13" t="str">
            <v>-</v>
          </cell>
          <cell r="CL13" t="str">
            <v>-</v>
          </cell>
          <cell r="CM13" t="str">
            <v>-</v>
          </cell>
          <cell r="CN13" t="str">
            <v>-</v>
          </cell>
          <cell r="CO13" t="str">
            <v>-</v>
          </cell>
          <cell r="CP13" t="str">
            <v>-</v>
          </cell>
          <cell r="CQ13" t="str">
            <v>-</v>
          </cell>
          <cell r="CR13" t="str">
            <v>-</v>
          </cell>
          <cell r="CS13" t="str">
            <v>-</v>
          </cell>
          <cell r="CT13" t="str">
            <v>-</v>
          </cell>
          <cell r="CU13" t="str">
            <v>-</v>
          </cell>
          <cell r="CV13" t="str">
            <v>-</v>
          </cell>
          <cell r="CW13" t="str">
            <v>-</v>
          </cell>
          <cell r="CX13" t="str">
            <v>-</v>
          </cell>
          <cell r="CY13" t="str">
            <v>-</v>
          </cell>
          <cell r="CZ13" t="str">
            <v>-</v>
          </cell>
          <cell r="DA13" t="str">
            <v>-</v>
          </cell>
          <cell r="DB13" t="str">
            <v>-</v>
          </cell>
          <cell r="DC13" t="str">
            <v>-</v>
          </cell>
          <cell r="DD13" t="str">
            <v>-</v>
          </cell>
          <cell r="DE13" t="str">
            <v>-</v>
          </cell>
          <cell r="DF13" t="str">
            <v>-</v>
          </cell>
          <cell r="DG13" t="str">
            <v>-</v>
          </cell>
          <cell r="DH13" t="str">
            <v>-</v>
          </cell>
          <cell r="DI13" t="str">
            <v>-</v>
          </cell>
          <cell r="DJ13" t="str">
            <v>-</v>
          </cell>
          <cell r="DK13" t="str">
            <v>-</v>
          </cell>
          <cell r="DL13" t="str">
            <v>-</v>
          </cell>
          <cell r="DM13" t="str">
            <v>-</v>
          </cell>
          <cell r="DN13" t="str">
            <v>-</v>
          </cell>
          <cell r="DO13" t="str">
            <v>-</v>
          </cell>
          <cell r="DP13" t="str">
            <v>-</v>
          </cell>
          <cell r="DQ13" t="str">
            <v>-</v>
          </cell>
          <cell r="DR13" t="str">
            <v>-</v>
          </cell>
          <cell r="DS13" t="str">
            <v>-</v>
          </cell>
          <cell r="DT13" t="str">
            <v>-</v>
          </cell>
          <cell r="DU13" t="str">
            <v>-</v>
          </cell>
          <cell r="DV13" t="str">
            <v>-</v>
          </cell>
          <cell r="DW13" t="str">
            <v>-</v>
          </cell>
          <cell r="DX13" t="str">
            <v>-</v>
          </cell>
          <cell r="DY13" t="str">
            <v>-</v>
          </cell>
          <cell r="DZ13" t="str">
            <v>-</v>
          </cell>
          <cell r="EA13" t="str">
            <v>-</v>
          </cell>
          <cell r="EB13" t="str">
            <v>-</v>
          </cell>
          <cell r="EC13" t="str">
            <v>-</v>
          </cell>
          <cell r="ED13" t="str">
            <v>-</v>
          </cell>
          <cell r="EE13" t="str">
            <v>-</v>
          </cell>
          <cell r="EF13" t="str">
            <v>-</v>
          </cell>
          <cell r="EG13" t="str">
            <v>-</v>
          </cell>
          <cell r="EH13" t="str">
            <v>-</v>
          </cell>
          <cell r="EI13" t="str">
            <v>-</v>
          </cell>
          <cell r="EJ13" t="str">
            <v>-</v>
          </cell>
          <cell r="EK13" t="str">
            <v>-</v>
          </cell>
          <cell r="EL13" t="str">
            <v>-</v>
          </cell>
          <cell r="EM13" t="str">
            <v>-</v>
          </cell>
          <cell r="EN13" t="str">
            <v>-</v>
          </cell>
          <cell r="EO13" t="str">
            <v>-</v>
          </cell>
          <cell r="EP13" t="str">
            <v>-</v>
          </cell>
          <cell r="EQ13" t="str">
            <v>-</v>
          </cell>
          <cell r="ER13" t="str">
            <v>-</v>
          </cell>
          <cell r="ES13" t="str">
            <v>-</v>
          </cell>
          <cell r="ET13" t="str">
            <v>-</v>
          </cell>
          <cell r="EU13" t="str">
            <v>-</v>
          </cell>
          <cell r="EV13" t="str">
            <v>-</v>
          </cell>
          <cell r="EW13" t="str">
            <v>-</v>
          </cell>
          <cell r="EX13" t="str">
            <v>-</v>
          </cell>
          <cell r="EY13" t="str">
            <v>-</v>
          </cell>
          <cell r="EZ13" t="str">
            <v>-</v>
          </cell>
          <cell r="FA13" t="str">
            <v>-</v>
          </cell>
          <cell r="FB13" t="str">
            <v>-</v>
          </cell>
          <cell r="FC13" t="str">
            <v>-</v>
          </cell>
          <cell r="FD13" t="str">
            <v>-</v>
          </cell>
          <cell r="FE13" t="str">
            <v>-</v>
          </cell>
          <cell r="FF13" t="str">
            <v>-</v>
          </cell>
          <cell r="FG13" t="str">
            <v>-</v>
          </cell>
          <cell r="FH13" t="str">
            <v>-</v>
          </cell>
          <cell r="FI13" t="str">
            <v>-</v>
          </cell>
          <cell r="FJ13" t="str">
            <v>-</v>
          </cell>
          <cell r="FK13" t="str">
            <v>-</v>
          </cell>
          <cell r="FL13" t="str">
            <v>-</v>
          </cell>
          <cell r="FM13" t="str">
            <v>-</v>
          </cell>
          <cell r="FN13" t="str">
            <v>-</v>
          </cell>
          <cell r="FO13" t="str">
            <v>-</v>
          </cell>
          <cell r="FP13" t="str">
            <v>-</v>
          </cell>
          <cell r="FQ13" t="str">
            <v>-</v>
          </cell>
          <cell r="FR13" t="str">
            <v>-</v>
          </cell>
          <cell r="FS13" t="str">
            <v>-</v>
          </cell>
          <cell r="FT13" t="str">
            <v>-</v>
          </cell>
          <cell r="FU13" t="str">
            <v>-</v>
          </cell>
          <cell r="FV13" t="str">
            <v>-</v>
          </cell>
          <cell r="FW13" t="str">
            <v>-</v>
          </cell>
          <cell r="FX13" t="str">
            <v>-</v>
          </cell>
          <cell r="FY13" t="str">
            <v>-</v>
          </cell>
          <cell r="FZ13" t="str">
            <v>-</v>
          </cell>
          <cell r="GA13" t="str">
            <v>-</v>
          </cell>
        </row>
        <row r="14">
          <cell r="A14">
            <v>90716</v>
          </cell>
          <cell r="B14" t="str">
            <v>NIKITA SWASTIKA</v>
          </cell>
          <cell r="C14">
            <v>13</v>
          </cell>
          <cell r="D14">
            <v>391</v>
          </cell>
          <cell r="E14">
            <v>30.076923076923077</v>
          </cell>
          <cell r="F14" t="str">
            <v>Level 2</v>
          </cell>
          <cell r="G14">
            <v>23</v>
          </cell>
          <cell r="H14">
            <v>761</v>
          </cell>
          <cell r="I14">
            <v>33.086956521739133</v>
          </cell>
          <cell r="J14" t="str">
            <v>Level 2</v>
          </cell>
          <cell r="K14">
            <v>14</v>
          </cell>
          <cell r="L14">
            <v>440</v>
          </cell>
          <cell r="M14">
            <v>31.428571428571427</v>
          </cell>
          <cell r="N14" t="str">
            <v>Level 2</v>
          </cell>
          <cell r="O14">
            <v>5</v>
          </cell>
          <cell r="P14">
            <v>159</v>
          </cell>
          <cell r="Q14">
            <v>31.8</v>
          </cell>
          <cell r="R14" t="str">
            <v>Level 2</v>
          </cell>
          <cell r="S14">
            <v>6</v>
          </cell>
          <cell r="T14">
            <v>187</v>
          </cell>
          <cell r="U14">
            <v>31.166666666666668</v>
          </cell>
          <cell r="V14" t="str">
            <v>Level 2</v>
          </cell>
          <cell r="W14">
            <v>8</v>
          </cell>
          <cell r="X14">
            <v>269</v>
          </cell>
          <cell r="Y14">
            <v>33.625</v>
          </cell>
          <cell r="Z14" t="str">
            <v>Level 2</v>
          </cell>
          <cell r="AA14">
            <v>3</v>
          </cell>
          <cell r="AB14">
            <v>86</v>
          </cell>
          <cell r="AC14">
            <v>28.666666666666668</v>
          </cell>
          <cell r="AD14" t="str">
            <v>Level 1</v>
          </cell>
          <cell r="AE14">
            <v>7</v>
          </cell>
          <cell r="AF14">
            <v>218</v>
          </cell>
          <cell r="AG14">
            <v>31.142857142857142</v>
          </cell>
          <cell r="AH14" t="str">
            <v>Level 2</v>
          </cell>
          <cell r="AI14">
            <v>10</v>
          </cell>
          <cell r="AJ14">
            <v>282</v>
          </cell>
          <cell r="AK14">
            <v>28.2</v>
          </cell>
          <cell r="AL14" t="str">
            <v>Level 1</v>
          </cell>
          <cell r="AM14">
            <v>18</v>
          </cell>
          <cell r="AN14">
            <v>551</v>
          </cell>
          <cell r="AO14">
            <v>30.611111111111111</v>
          </cell>
          <cell r="AP14" t="str">
            <v>Level 2</v>
          </cell>
          <cell r="AQ14">
            <v>15</v>
          </cell>
          <cell r="AR14">
            <v>622</v>
          </cell>
          <cell r="AS14">
            <v>41.466666666666669</v>
          </cell>
          <cell r="AT14" t="str">
            <v>Level 3</v>
          </cell>
          <cell r="AU14">
            <v>15</v>
          </cell>
          <cell r="AV14">
            <v>634</v>
          </cell>
          <cell r="AW14">
            <v>42.266666666666666</v>
          </cell>
          <cell r="AX14" t="str">
            <v>Level 3</v>
          </cell>
          <cell r="AY14">
            <v>13</v>
          </cell>
          <cell r="AZ14">
            <v>435</v>
          </cell>
          <cell r="BA14">
            <v>33.46153846153846</v>
          </cell>
          <cell r="BB14" t="str">
            <v>Level 2</v>
          </cell>
          <cell r="BC14">
            <v>11</v>
          </cell>
          <cell r="BD14">
            <v>398</v>
          </cell>
          <cell r="BE14">
            <v>36.18181818181818</v>
          </cell>
          <cell r="BF14" t="str">
            <v>Level 2</v>
          </cell>
          <cell r="BG14">
            <v>3</v>
          </cell>
          <cell r="BH14">
            <v>91</v>
          </cell>
          <cell r="BI14">
            <v>30.333333333333332</v>
          </cell>
          <cell r="BJ14" t="str">
            <v>Level 2</v>
          </cell>
          <cell r="BK14">
            <v>2</v>
          </cell>
          <cell r="BL14">
            <v>76</v>
          </cell>
          <cell r="BM14">
            <v>38</v>
          </cell>
          <cell r="BN14" t="str">
            <v>Level 2</v>
          </cell>
          <cell r="BO14">
            <v>11</v>
          </cell>
          <cell r="BP14">
            <v>482</v>
          </cell>
          <cell r="BQ14">
            <v>43.81818181818182</v>
          </cell>
          <cell r="BR14" t="str">
            <v>Level 3</v>
          </cell>
          <cell r="BS14">
            <v>4</v>
          </cell>
          <cell r="BT14">
            <v>177</v>
          </cell>
          <cell r="BU14">
            <v>44.25</v>
          </cell>
          <cell r="BV14" t="str">
            <v>Level 3</v>
          </cell>
          <cell r="BW14">
            <v>13</v>
          </cell>
          <cell r="BX14">
            <v>380</v>
          </cell>
          <cell r="BY14">
            <v>29.23076923076923</v>
          </cell>
          <cell r="BZ14" t="str">
            <v>Level 2</v>
          </cell>
          <cell r="CA14">
            <v>18</v>
          </cell>
          <cell r="CB14">
            <v>627</v>
          </cell>
          <cell r="CC14">
            <v>34.833333333333336</v>
          </cell>
          <cell r="CD14" t="str">
            <v>Level 2</v>
          </cell>
          <cell r="CE14">
            <v>11</v>
          </cell>
          <cell r="CF14">
            <v>399</v>
          </cell>
          <cell r="CG14">
            <v>36.272727272727273</v>
          </cell>
          <cell r="CH14" t="str">
            <v>Level 2</v>
          </cell>
          <cell r="CI14">
            <v>12</v>
          </cell>
          <cell r="CJ14">
            <v>482</v>
          </cell>
          <cell r="CK14">
            <v>40.166666666666664</v>
          </cell>
          <cell r="CL14" t="str">
            <v>Level 3</v>
          </cell>
          <cell r="CM14">
            <v>14</v>
          </cell>
          <cell r="CN14">
            <v>401</v>
          </cell>
          <cell r="CO14">
            <v>28.642857142857142</v>
          </cell>
          <cell r="CP14" t="str">
            <v>Level 1</v>
          </cell>
          <cell r="CQ14">
            <v>7</v>
          </cell>
          <cell r="CR14">
            <v>249</v>
          </cell>
          <cell r="CS14">
            <v>35.571428571428569</v>
          </cell>
          <cell r="CT14" t="str">
            <v>Level 2</v>
          </cell>
          <cell r="CU14">
            <v>8</v>
          </cell>
          <cell r="CV14">
            <v>282</v>
          </cell>
          <cell r="CW14">
            <v>35.25</v>
          </cell>
          <cell r="CX14" t="str">
            <v>Level 2</v>
          </cell>
          <cell r="CY14">
            <v>8</v>
          </cell>
          <cell r="CZ14">
            <v>287</v>
          </cell>
          <cell r="DA14">
            <v>35.875</v>
          </cell>
          <cell r="DB14" t="str">
            <v>Level 2</v>
          </cell>
          <cell r="DC14">
            <v>11</v>
          </cell>
          <cell r="DD14">
            <v>490</v>
          </cell>
          <cell r="DE14">
            <v>44.545454545454547</v>
          </cell>
          <cell r="DF14" t="str">
            <v>Level 3</v>
          </cell>
          <cell r="DG14">
            <v>5</v>
          </cell>
          <cell r="DH14">
            <v>245</v>
          </cell>
          <cell r="DI14">
            <v>49</v>
          </cell>
          <cell r="DJ14" t="str">
            <v>Level 3</v>
          </cell>
          <cell r="DK14">
            <v>11</v>
          </cell>
          <cell r="DL14">
            <v>323</v>
          </cell>
          <cell r="DM14">
            <v>29.363636363636363</v>
          </cell>
          <cell r="DN14" t="str">
            <v>Level 2</v>
          </cell>
          <cell r="DO14">
            <v>3</v>
          </cell>
          <cell r="DP14">
            <v>118</v>
          </cell>
          <cell r="DQ14">
            <v>39.333333333333336</v>
          </cell>
          <cell r="DR14" t="str">
            <v>Level 2</v>
          </cell>
          <cell r="DS14" t="str">
            <v>-</v>
          </cell>
          <cell r="DT14" t="str">
            <v>-</v>
          </cell>
          <cell r="DU14" t="str">
            <v>-</v>
          </cell>
          <cell r="DV14" t="str">
            <v>-</v>
          </cell>
          <cell r="DW14" t="str">
            <v>-</v>
          </cell>
          <cell r="DX14" t="str">
            <v>-</v>
          </cell>
          <cell r="DY14" t="str">
            <v>-</v>
          </cell>
          <cell r="DZ14" t="str">
            <v>-</v>
          </cell>
          <cell r="EA14" t="str">
            <v>-</v>
          </cell>
          <cell r="EB14" t="str">
            <v>-</v>
          </cell>
          <cell r="EC14" t="str">
            <v>-</v>
          </cell>
          <cell r="ED14" t="str">
            <v>-</v>
          </cell>
          <cell r="EE14" t="str">
            <v>-</v>
          </cell>
          <cell r="EF14" t="str">
            <v>-</v>
          </cell>
          <cell r="EG14" t="str">
            <v>-</v>
          </cell>
          <cell r="EH14" t="str">
            <v>-</v>
          </cell>
          <cell r="EI14">
            <v>4</v>
          </cell>
          <cell r="EJ14">
            <v>116</v>
          </cell>
          <cell r="EK14">
            <v>29</v>
          </cell>
          <cell r="EL14" t="str">
            <v>Level 2</v>
          </cell>
          <cell r="EM14">
            <v>8</v>
          </cell>
          <cell r="EN14">
            <v>237</v>
          </cell>
          <cell r="EO14">
            <v>29.625</v>
          </cell>
          <cell r="EP14" t="str">
            <v>Level 2</v>
          </cell>
          <cell r="EQ14">
            <v>8</v>
          </cell>
          <cell r="ER14">
            <v>227</v>
          </cell>
          <cell r="ES14">
            <v>28.375</v>
          </cell>
          <cell r="ET14" t="str">
            <v>Level 1</v>
          </cell>
          <cell r="EU14">
            <v>18</v>
          </cell>
          <cell r="EV14">
            <v>658</v>
          </cell>
          <cell r="EW14">
            <v>36.555555555555557</v>
          </cell>
          <cell r="EX14" t="str">
            <v>Level 2</v>
          </cell>
          <cell r="EY14">
            <v>18</v>
          </cell>
          <cell r="EZ14">
            <v>681</v>
          </cell>
          <cell r="FA14">
            <v>37.833333333333336</v>
          </cell>
          <cell r="FB14" t="str">
            <v>Level 2</v>
          </cell>
          <cell r="FC14">
            <v>17</v>
          </cell>
          <cell r="FD14">
            <v>598</v>
          </cell>
          <cell r="FE14">
            <v>35.176470588235297</v>
          </cell>
          <cell r="FF14" t="str">
            <v>Level 2</v>
          </cell>
          <cell r="FG14">
            <v>11</v>
          </cell>
          <cell r="FH14">
            <v>407</v>
          </cell>
          <cell r="FI14">
            <v>37</v>
          </cell>
          <cell r="FJ14" t="str">
            <v>Level 2</v>
          </cell>
          <cell r="FK14">
            <v>18</v>
          </cell>
          <cell r="FL14">
            <v>670</v>
          </cell>
          <cell r="FM14">
            <v>37.222222222222221</v>
          </cell>
          <cell r="FN14" t="str">
            <v>Level 2</v>
          </cell>
          <cell r="FO14">
            <v>14</v>
          </cell>
          <cell r="FP14">
            <v>646</v>
          </cell>
          <cell r="FQ14">
            <v>46.142857142857146</v>
          </cell>
          <cell r="FR14" t="str">
            <v>Level 3</v>
          </cell>
          <cell r="FS14">
            <v>18</v>
          </cell>
          <cell r="FT14">
            <v>706</v>
          </cell>
          <cell r="FU14">
            <v>39.222222222222221</v>
          </cell>
          <cell r="FV14" t="str">
            <v>Level 2</v>
          </cell>
          <cell r="FW14">
            <v>16</v>
          </cell>
          <cell r="FX14">
            <v>694</v>
          </cell>
          <cell r="FY14">
            <v>43.375</v>
          </cell>
          <cell r="FZ14" t="str">
            <v>Level 3</v>
          </cell>
          <cell r="GA14">
            <v>7</v>
          </cell>
        </row>
        <row r="15">
          <cell r="A15">
            <v>92572</v>
          </cell>
          <cell r="B15" t="str">
            <v>OSVANDRI</v>
          </cell>
          <cell r="C15">
            <v>16</v>
          </cell>
          <cell r="D15">
            <v>397</v>
          </cell>
          <cell r="E15">
            <v>24.8125</v>
          </cell>
          <cell r="F15" t="str">
            <v>Level 1</v>
          </cell>
          <cell r="G15">
            <v>19</v>
          </cell>
          <cell r="H15">
            <v>515</v>
          </cell>
          <cell r="I15">
            <v>27.105263157894736</v>
          </cell>
          <cell r="J15" t="str">
            <v>Level 1</v>
          </cell>
          <cell r="K15">
            <v>16</v>
          </cell>
          <cell r="L15">
            <v>399</v>
          </cell>
          <cell r="M15">
            <v>24.9375</v>
          </cell>
          <cell r="N15" t="str">
            <v>Level 1</v>
          </cell>
          <cell r="O15">
            <v>16</v>
          </cell>
          <cell r="P15">
            <v>473</v>
          </cell>
          <cell r="Q15">
            <v>29.5625</v>
          </cell>
          <cell r="R15" t="str">
            <v>Level 2</v>
          </cell>
          <cell r="S15">
            <v>20</v>
          </cell>
          <cell r="T15">
            <v>520</v>
          </cell>
          <cell r="U15">
            <v>26</v>
          </cell>
          <cell r="V15" t="str">
            <v>Level 1</v>
          </cell>
          <cell r="W15">
            <v>21</v>
          </cell>
          <cell r="X15">
            <v>656</v>
          </cell>
          <cell r="Y15">
            <v>31.238095238095237</v>
          </cell>
          <cell r="Z15" t="str">
            <v>Level 2</v>
          </cell>
          <cell r="AA15">
            <v>19</v>
          </cell>
          <cell r="AB15">
            <v>674</v>
          </cell>
          <cell r="AC15">
            <v>35.473684210526315</v>
          </cell>
          <cell r="AD15" t="str">
            <v>Level 2</v>
          </cell>
          <cell r="AE15">
            <v>19</v>
          </cell>
          <cell r="AF15">
            <v>566</v>
          </cell>
          <cell r="AG15">
            <v>29.789473684210527</v>
          </cell>
          <cell r="AH15" t="str">
            <v>Level 2</v>
          </cell>
          <cell r="AI15">
            <v>19</v>
          </cell>
          <cell r="AJ15">
            <v>577</v>
          </cell>
          <cell r="AK15">
            <v>30.368421052631579</v>
          </cell>
          <cell r="AL15" t="str">
            <v>Level 2</v>
          </cell>
          <cell r="AM15">
            <v>13</v>
          </cell>
          <cell r="AN15">
            <v>374</v>
          </cell>
          <cell r="AO15">
            <v>28.76923076923077</v>
          </cell>
          <cell r="AP15" t="str">
            <v>Level 1</v>
          </cell>
          <cell r="AQ15">
            <v>17</v>
          </cell>
          <cell r="AR15">
            <v>511</v>
          </cell>
          <cell r="AS15">
            <v>30.058823529411764</v>
          </cell>
          <cell r="AT15" t="str">
            <v>Level 2</v>
          </cell>
          <cell r="AU15">
            <v>18</v>
          </cell>
          <cell r="AV15">
            <v>591</v>
          </cell>
          <cell r="AW15">
            <v>32.833333333333336</v>
          </cell>
          <cell r="AX15" t="str">
            <v>Level 2</v>
          </cell>
          <cell r="AY15">
            <v>20</v>
          </cell>
          <cell r="AZ15">
            <v>664</v>
          </cell>
          <cell r="BA15">
            <v>33.200000000000003</v>
          </cell>
          <cell r="BB15" t="str">
            <v>Level 2</v>
          </cell>
          <cell r="BC15">
            <v>14</v>
          </cell>
          <cell r="BD15">
            <v>442</v>
          </cell>
          <cell r="BE15">
            <v>31.571428571428573</v>
          </cell>
          <cell r="BF15" t="str">
            <v>Level 2</v>
          </cell>
          <cell r="BG15">
            <v>15</v>
          </cell>
          <cell r="BH15">
            <v>468</v>
          </cell>
          <cell r="BI15">
            <v>31.2</v>
          </cell>
          <cell r="BJ15" t="str">
            <v>Level 2</v>
          </cell>
          <cell r="BK15">
            <v>14</v>
          </cell>
          <cell r="BL15">
            <v>466</v>
          </cell>
          <cell r="BM15">
            <v>33.285714285714285</v>
          </cell>
          <cell r="BN15" t="str">
            <v>Level 2</v>
          </cell>
          <cell r="BO15">
            <v>13</v>
          </cell>
          <cell r="BP15">
            <v>544</v>
          </cell>
          <cell r="BQ15">
            <v>41.846153846153847</v>
          </cell>
          <cell r="BR15" t="str">
            <v>Level 3</v>
          </cell>
          <cell r="BS15" t="str">
            <v>-</v>
          </cell>
          <cell r="BT15" t="str">
            <v>-</v>
          </cell>
          <cell r="BU15" t="str">
            <v>-</v>
          </cell>
          <cell r="BV15" t="str">
            <v>-</v>
          </cell>
          <cell r="BW15">
            <v>6</v>
          </cell>
          <cell r="BX15">
            <v>130</v>
          </cell>
          <cell r="BY15">
            <v>21.666666666666668</v>
          </cell>
          <cell r="BZ15" t="str">
            <v>Level 1</v>
          </cell>
          <cell r="CA15" t="str">
            <v>-</v>
          </cell>
          <cell r="CB15" t="str">
            <v>-</v>
          </cell>
          <cell r="CC15" t="str">
            <v>-</v>
          </cell>
          <cell r="CD15" t="str">
            <v>-</v>
          </cell>
          <cell r="CE15" t="str">
            <v>-</v>
          </cell>
          <cell r="CF15" t="str">
            <v>-</v>
          </cell>
          <cell r="CG15" t="str">
            <v>-</v>
          </cell>
          <cell r="CH15" t="str">
            <v>-</v>
          </cell>
          <cell r="CI15" t="str">
            <v>-</v>
          </cell>
          <cell r="CJ15" t="str">
            <v>-</v>
          </cell>
          <cell r="CK15" t="str">
            <v>-</v>
          </cell>
          <cell r="CL15" t="str">
            <v>-</v>
          </cell>
          <cell r="CM15" t="str">
            <v>-</v>
          </cell>
          <cell r="CN15" t="str">
            <v>-</v>
          </cell>
          <cell r="CO15" t="str">
            <v>-</v>
          </cell>
          <cell r="CP15" t="str">
            <v>-</v>
          </cell>
          <cell r="CQ15" t="str">
            <v>-</v>
          </cell>
          <cell r="CR15" t="str">
            <v>-</v>
          </cell>
          <cell r="CS15" t="str">
            <v>-</v>
          </cell>
          <cell r="CT15" t="str">
            <v>-</v>
          </cell>
          <cell r="CU15" t="str">
            <v>-</v>
          </cell>
          <cell r="CV15" t="str">
            <v>-</v>
          </cell>
          <cell r="CW15" t="str">
            <v>-</v>
          </cell>
          <cell r="CX15" t="str">
            <v>-</v>
          </cell>
          <cell r="CY15" t="str">
            <v>-</v>
          </cell>
          <cell r="CZ15" t="str">
            <v>-</v>
          </cell>
          <cell r="DA15" t="str">
            <v>-</v>
          </cell>
          <cell r="DB15" t="str">
            <v>-</v>
          </cell>
          <cell r="DC15" t="str">
            <v>-</v>
          </cell>
          <cell r="DD15" t="str">
            <v>-</v>
          </cell>
          <cell r="DE15" t="str">
            <v>-</v>
          </cell>
          <cell r="DF15" t="str">
            <v>-</v>
          </cell>
          <cell r="DG15" t="str">
            <v>-</v>
          </cell>
          <cell r="DH15" t="str">
            <v>-</v>
          </cell>
          <cell r="DI15" t="str">
            <v>-</v>
          </cell>
          <cell r="DJ15" t="str">
            <v>-</v>
          </cell>
          <cell r="DK15" t="str">
            <v>-</v>
          </cell>
          <cell r="DL15" t="str">
            <v>-</v>
          </cell>
          <cell r="DM15" t="str">
            <v>-</v>
          </cell>
          <cell r="DN15" t="str">
            <v>-</v>
          </cell>
          <cell r="DO15" t="str">
            <v>-</v>
          </cell>
          <cell r="DP15" t="str">
            <v>-</v>
          </cell>
          <cell r="DQ15" t="str">
            <v>-</v>
          </cell>
          <cell r="DR15" t="str">
            <v>-</v>
          </cell>
          <cell r="DS15" t="str">
            <v>-</v>
          </cell>
          <cell r="DT15" t="str">
            <v>-</v>
          </cell>
          <cell r="DU15" t="str">
            <v>-</v>
          </cell>
          <cell r="DV15" t="str">
            <v>-</v>
          </cell>
          <cell r="DW15" t="str">
            <v>-</v>
          </cell>
          <cell r="DX15" t="str">
            <v>-</v>
          </cell>
          <cell r="DY15" t="str">
            <v>-</v>
          </cell>
          <cell r="DZ15" t="str">
            <v>-</v>
          </cell>
          <cell r="EA15" t="str">
            <v>-</v>
          </cell>
          <cell r="EB15" t="str">
            <v>-</v>
          </cell>
          <cell r="EC15" t="str">
            <v>-</v>
          </cell>
          <cell r="ED15" t="str">
            <v>-</v>
          </cell>
          <cell r="EE15" t="str">
            <v>-</v>
          </cell>
          <cell r="EF15" t="str">
            <v>-</v>
          </cell>
          <cell r="EG15" t="str">
            <v>-</v>
          </cell>
          <cell r="EH15" t="str">
            <v>-</v>
          </cell>
          <cell r="EI15" t="str">
            <v>-</v>
          </cell>
          <cell r="EJ15" t="str">
            <v>-</v>
          </cell>
          <cell r="EK15" t="str">
            <v>-</v>
          </cell>
          <cell r="EL15" t="str">
            <v>-</v>
          </cell>
          <cell r="EM15" t="str">
            <v>-</v>
          </cell>
          <cell r="EN15" t="str">
            <v>-</v>
          </cell>
          <cell r="EO15" t="str">
            <v>-</v>
          </cell>
          <cell r="EP15" t="str">
            <v>-</v>
          </cell>
          <cell r="EQ15" t="str">
            <v>-</v>
          </cell>
          <cell r="ER15" t="str">
            <v>-</v>
          </cell>
          <cell r="ES15" t="str">
            <v>-</v>
          </cell>
          <cell r="ET15" t="str">
            <v>-</v>
          </cell>
          <cell r="EU15" t="str">
            <v>-</v>
          </cell>
          <cell r="EV15" t="str">
            <v>-</v>
          </cell>
          <cell r="EW15" t="str">
            <v>-</v>
          </cell>
          <cell r="EX15" t="str">
            <v>-</v>
          </cell>
          <cell r="EY15" t="str">
            <v>-</v>
          </cell>
          <cell r="EZ15" t="str">
            <v>-</v>
          </cell>
          <cell r="FA15" t="str">
            <v>-</v>
          </cell>
          <cell r="FB15" t="str">
            <v>-</v>
          </cell>
          <cell r="FC15" t="str">
            <v>-</v>
          </cell>
          <cell r="FD15" t="str">
            <v>-</v>
          </cell>
          <cell r="FE15" t="str">
            <v>-</v>
          </cell>
          <cell r="FF15" t="str">
            <v>-</v>
          </cell>
          <cell r="FG15" t="str">
            <v>-</v>
          </cell>
          <cell r="FH15" t="str">
            <v>-</v>
          </cell>
          <cell r="FI15" t="str">
            <v>-</v>
          </cell>
          <cell r="FJ15" t="str">
            <v>-</v>
          </cell>
          <cell r="FK15" t="str">
            <v>-</v>
          </cell>
          <cell r="FL15" t="str">
            <v>-</v>
          </cell>
          <cell r="FM15" t="str">
            <v>-</v>
          </cell>
          <cell r="FN15" t="str">
            <v>-</v>
          </cell>
          <cell r="FO15" t="str">
            <v>-</v>
          </cell>
          <cell r="FP15" t="str">
            <v>-</v>
          </cell>
          <cell r="FQ15" t="str">
            <v>-</v>
          </cell>
          <cell r="FR15" t="str">
            <v>-</v>
          </cell>
          <cell r="FS15" t="str">
            <v>-</v>
          </cell>
          <cell r="FT15" t="str">
            <v>-</v>
          </cell>
          <cell r="FU15" t="str">
            <v>-</v>
          </cell>
          <cell r="FV15" t="str">
            <v>-</v>
          </cell>
          <cell r="FW15" t="str">
            <v>-</v>
          </cell>
          <cell r="FX15" t="str">
            <v>-</v>
          </cell>
          <cell r="FY15" t="str">
            <v>-</v>
          </cell>
          <cell r="FZ15" t="str">
            <v>-</v>
          </cell>
          <cell r="GA15" t="str">
            <v>-</v>
          </cell>
        </row>
        <row r="16">
          <cell r="A16">
            <v>90553</v>
          </cell>
          <cell r="B16" t="str">
            <v>GALIH ERNAWATI WIBAWA</v>
          </cell>
          <cell r="C16">
            <v>21</v>
          </cell>
          <cell r="D16">
            <v>826</v>
          </cell>
          <cell r="E16">
            <v>39.333333333333336</v>
          </cell>
          <cell r="F16" t="str">
            <v>Level 2</v>
          </cell>
          <cell r="G16">
            <v>5</v>
          </cell>
          <cell r="H16">
            <v>193</v>
          </cell>
          <cell r="I16">
            <v>38.6</v>
          </cell>
          <cell r="J16" t="str">
            <v>Level 2</v>
          </cell>
          <cell r="K16">
            <v>12</v>
          </cell>
          <cell r="L16">
            <v>476</v>
          </cell>
          <cell r="M16">
            <v>39.666666666666664</v>
          </cell>
          <cell r="N16" t="str">
            <v>Level 2</v>
          </cell>
          <cell r="O16">
            <v>7</v>
          </cell>
          <cell r="P16">
            <v>275</v>
          </cell>
          <cell r="Q16">
            <v>39.285714285714285</v>
          </cell>
          <cell r="R16" t="str">
            <v>Level 2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21</v>
          </cell>
          <cell r="X16">
            <v>975</v>
          </cell>
          <cell r="Y16">
            <v>46.428571428571431</v>
          </cell>
          <cell r="Z16" t="str">
            <v>Level 3</v>
          </cell>
          <cell r="AA16">
            <v>14</v>
          </cell>
          <cell r="AB16">
            <v>799</v>
          </cell>
          <cell r="AC16">
            <v>57.071428571428569</v>
          </cell>
          <cell r="AD16" t="str">
            <v>Level 3</v>
          </cell>
          <cell r="AE16">
            <v>19</v>
          </cell>
          <cell r="AF16">
            <v>942</v>
          </cell>
          <cell r="AG16">
            <v>49.578947368421055</v>
          </cell>
          <cell r="AH16" t="str">
            <v>Level 3</v>
          </cell>
          <cell r="AI16">
            <v>18</v>
          </cell>
          <cell r="AJ16">
            <v>862</v>
          </cell>
          <cell r="AK16">
            <v>47.888888888888886</v>
          </cell>
          <cell r="AL16" t="str">
            <v>Level 3</v>
          </cell>
          <cell r="AM16">
            <v>22</v>
          </cell>
          <cell r="AN16">
            <v>1115</v>
          </cell>
          <cell r="AO16">
            <v>50.68181818181818</v>
          </cell>
          <cell r="AP16" t="str">
            <v>Level 3</v>
          </cell>
          <cell r="AQ16">
            <v>19</v>
          </cell>
          <cell r="AR16">
            <v>1160</v>
          </cell>
          <cell r="AS16">
            <v>61.05263157894737</v>
          </cell>
          <cell r="AT16" t="str">
            <v>Level 3</v>
          </cell>
          <cell r="AU16">
            <v>15</v>
          </cell>
          <cell r="AV16">
            <v>836</v>
          </cell>
          <cell r="AW16">
            <v>55.733333333333334</v>
          </cell>
          <cell r="AX16" t="str">
            <v>Level 3</v>
          </cell>
          <cell r="AY16">
            <v>2</v>
          </cell>
          <cell r="AZ16">
            <v>80</v>
          </cell>
          <cell r="BA16">
            <v>40</v>
          </cell>
          <cell r="BB16" t="str">
            <v>Level 3</v>
          </cell>
          <cell r="BC16">
            <v>1</v>
          </cell>
          <cell r="BD16">
            <v>39</v>
          </cell>
          <cell r="BE16">
            <v>39</v>
          </cell>
          <cell r="BF16" t="str">
            <v>Level 2</v>
          </cell>
          <cell r="BG16" t="str">
            <v>-</v>
          </cell>
          <cell r="BH16" t="str">
            <v>-</v>
          </cell>
          <cell r="BI16" t="str">
            <v>-</v>
          </cell>
          <cell r="BJ16" t="str">
            <v>-</v>
          </cell>
          <cell r="BK16" t="str">
            <v>-</v>
          </cell>
          <cell r="BL16" t="str">
            <v>-</v>
          </cell>
          <cell r="BM16" t="str">
            <v>-</v>
          </cell>
          <cell r="BN16" t="str">
            <v>-</v>
          </cell>
          <cell r="BO16" t="str">
            <v>-</v>
          </cell>
          <cell r="BP16" t="str">
            <v>-</v>
          </cell>
          <cell r="BQ16" t="str">
            <v>-</v>
          </cell>
          <cell r="BR16" t="str">
            <v>-</v>
          </cell>
          <cell r="BS16" t="str">
            <v>-</v>
          </cell>
          <cell r="BT16" t="str">
            <v>-</v>
          </cell>
          <cell r="BU16" t="str">
            <v>-</v>
          </cell>
          <cell r="BV16" t="str">
            <v>-</v>
          </cell>
          <cell r="BW16" t="str">
            <v>-</v>
          </cell>
          <cell r="BX16" t="str">
            <v>-</v>
          </cell>
          <cell r="BY16" t="str">
            <v>-</v>
          </cell>
          <cell r="BZ16" t="str">
            <v>-</v>
          </cell>
          <cell r="CA16" t="str">
            <v>-</v>
          </cell>
          <cell r="CB16" t="str">
            <v>-</v>
          </cell>
          <cell r="CC16" t="str">
            <v>-</v>
          </cell>
          <cell r="CD16" t="str">
            <v>-</v>
          </cell>
          <cell r="CE16" t="str">
            <v>-</v>
          </cell>
          <cell r="CF16" t="str">
            <v>-</v>
          </cell>
          <cell r="CG16" t="str">
            <v>-</v>
          </cell>
          <cell r="CH16" t="str">
            <v>-</v>
          </cell>
          <cell r="CI16" t="str">
            <v>-</v>
          </cell>
          <cell r="CJ16" t="str">
            <v>-</v>
          </cell>
          <cell r="CK16" t="str">
            <v>-</v>
          </cell>
          <cell r="CL16" t="str">
            <v>-</v>
          </cell>
          <cell r="CM16">
            <v>1</v>
          </cell>
          <cell r="CN16">
            <v>24</v>
          </cell>
          <cell r="CO16">
            <v>24</v>
          </cell>
          <cell r="CP16" t="str">
            <v>Level 1</v>
          </cell>
          <cell r="CQ16" t="str">
            <v>-</v>
          </cell>
          <cell r="CR16" t="str">
            <v>-</v>
          </cell>
          <cell r="CS16" t="str">
            <v>-</v>
          </cell>
          <cell r="CT16" t="str">
            <v>-</v>
          </cell>
          <cell r="CU16" t="str">
            <v>-</v>
          </cell>
          <cell r="CV16" t="str">
            <v>-</v>
          </cell>
          <cell r="CW16" t="str">
            <v>-</v>
          </cell>
          <cell r="CX16" t="str">
            <v>-</v>
          </cell>
          <cell r="CY16" t="str">
            <v>-</v>
          </cell>
          <cell r="CZ16" t="str">
            <v>-</v>
          </cell>
          <cell r="DA16" t="str">
            <v>-</v>
          </cell>
          <cell r="DB16" t="str">
            <v>-</v>
          </cell>
          <cell r="DC16" t="str">
            <v>-</v>
          </cell>
          <cell r="DD16" t="str">
            <v>-</v>
          </cell>
          <cell r="DE16" t="str">
            <v>-</v>
          </cell>
          <cell r="DF16" t="str">
            <v>-</v>
          </cell>
          <cell r="DG16" t="str">
            <v>-</v>
          </cell>
          <cell r="DH16" t="str">
            <v>-</v>
          </cell>
          <cell r="DI16" t="str">
            <v>-</v>
          </cell>
          <cell r="DJ16" t="str">
            <v>-</v>
          </cell>
          <cell r="DK16" t="str">
            <v>-</v>
          </cell>
          <cell r="DL16" t="str">
            <v>-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 t="str">
            <v>-</v>
          </cell>
          <cell r="DX16" t="str">
            <v>-</v>
          </cell>
          <cell r="DY16" t="str">
            <v>-</v>
          </cell>
          <cell r="DZ16" t="str">
            <v>-</v>
          </cell>
          <cell r="EA16" t="str">
            <v>-</v>
          </cell>
          <cell r="EB16" t="str">
            <v>-</v>
          </cell>
          <cell r="EC16" t="str">
            <v>-</v>
          </cell>
          <cell r="ED16" t="str">
            <v>-</v>
          </cell>
          <cell r="EE16" t="str">
            <v>-</v>
          </cell>
          <cell r="EF16" t="str">
            <v>-</v>
          </cell>
          <cell r="EG16" t="str">
            <v>-</v>
          </cell>
          <cell r="EH16" t="str">
            <v>-</v>
          </cell>
          <cell r="EI16" t="str">
            <v>-</v>
          </cell>
          <cell r="EJ16" t="str">
            <v>-</v>
          </cell>
          <cell r="EK16" t="str">
            <v>-</v>
          </cell>
          <cell r="EL16" t="str">
            <v>-</v>
          </cell>
          <cell r="EM16" t="str">
            <v>-</v>
          </cell>
          <cell r="EN16" t="str">
            <v>-</v>
          </cell>
          <cell r="EO16" t="str">
            <v>-</v>
          </cell>
          <cell r="EP16" t="str">
            <v>-</v>
          </cell>
          <cell r="EQ16" t="str">
            <v>-</v>
          </cell>
          <cell r="ER16" t="str">
            <v>-</v>
          </cell>
          <cell r="ES16" t="str">
            <v>-</v>
          </cell>
          <cell r="ET16" t="str">
            <v>-</v>
          </cell>
          <cell r="EU16" t="str">
            <v>-</v>
          </cell>
          <cell r="EV16" t="str">
            <v>-</v>
          </cell>
          <cell r="EW16" t="str">
            <v>-</v>
          </cell>
          <cell r="EX16" t="str">
            <v>-</v>
          </cell>
          <cell r="EY16" t="str">
            <v>-</v>
          </cell>
          <cell r="EZ16" t="str">
            <v>-</v>
          </cell>
          <cell r="FA16" t="str">
            <v>-</v>
          </cell>
          <cell r="FB16" t="str">
            <v>-</v>
          </cell>
          <cell r="FC16" t="str">
            <v>-</v>
          </cell>
          <cell r="FD16" t="str">
            <v>-</v>
          </cell>
          <cell r="FE16" t="str">
            <v>-</v>
          </cell>
          <cell r="FF16" t="str">
            <v>-</v>
          </cell>
          <cell r="FG16" t="str">
            <v>-</v>
          </cell>
          <cell r="FH16" t="str">
            <v>-</v>
          </cell>
          <cell r="FI16" t="str">
            <v>-</v>
          </cell>
          <cell r="FJ16" t="str">
            <v>-</v>
          </cell>
          <cell r="FK16" t="str">
            <v>-</v>
          </cell>
          <cell r="FL16" t="str">
            <v>-</v>
          </cell>
          <cell r="FM16" t="str">
            <v>-</v>
          </cell>
          <cell r="FN16" t="str">
            <v>-</v>
          </cell>
          <cell r="FO16" t="str">
            <v>-</v>
          </cell>
          <cell r="FP16" t="str">
            <v>-</v>
          </cell>
          <cell r="FQ16" t="str">
            <v>-</v>
          </cell>
          <cell r="FR16" t="str">
            <v>-</v>
          </cell>
          <cell r="FS16" t="str">
            <v>-</v>
          </cell>
          <cell r="FT16" t="str">
            <v>-</v>
          </cell>
          <cell r="FU16" t="str">
            <v>-</v>
          </cell>
          <cell r="FV16" t="str">
            <v>-</v>
          </cell>
          <cell r="FW16" t="str">
            <v>-</v>
          </cell>
          <cell r="FX16" t="str">
            <v>-</v>
          </cell>
          <cell r="FY16" t="str">
            <v>-</v>
          </cell>
          <cell r="FZ16" t="str">
            <v>-</v>
          </cell>
          <cell r="GA16" t="str">
            <v>-</v>
          </cell>
        </row>
        <row r="17">
          <cell r="A17">
            <v>90565</v>
          </cell>
          <cell r="B17" t="str">
            <v>ELISABETH YOVITA NATHANIA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13</v>
          </cell>
          <cell r="H17">
            <v>407</v>
          </cell>
          <cell r="I17">
            <v>31.307692307692307</v>
          </cell>
          <cell r="J17" t="str">
            <v>Level 2</v>
          </cell>
          <cell r="K17">
            <v>10</v>
          </cell>
          <cell r="L17">
            <v>276</v>
          </cell>
          <cell r="M17">
            <v>27.6</v>
          </cell>
          <cell r="N17" t="str">
            <v>Level 1</v>
          </cell>
          <cell r="O17">
            <v>14</v>
          </cell>
          <cell r="P17">
            <v>446</v>
          </cell>
          <cell r="Q17">
            <v>31.857142857142858</v>
          </cell>
          <cell r="R17" t="str">
            <v>Level 2</v>
          </cell>
          <cell r="S17">
            <v>16</v>
          </cell>
          <cell r="T17">
            <v>448</v>
          </cell>
          <cell r="U17">
            <v>28</v>
          </cell>
          <cell r="V17" t="str">
            <v>Level 1</v>
          </cell>
          <cell r="W17">
            <v>20</v>
          </cell>
          <cell r="X17">
            <v>616</v>
          </cell>
          <cell r="Y17">
            <v>30.8</v>
          </cell>
          <cell r="Z17" t="str">
            <v>Level 2</v>
          </cell>
          <cell r="AA17">
            <v>6</v>
          </cell>
          <cell r="AB17">
            <v>186</v>
          </cell>
          <cell r="AC17">
            <v>31</v>
          </cell>
          <cell r="AD17" t="str">
            <v>Level 2</v>
          </cell>
          <cell r="AE17">
            <v>15</v>
          </cell>
          <cell r="AF17">
            <v>555</v>
          </cell>
          <cell r="AG17">
            <v>37</v>
          </cell>
          <cell r="AH17" t="str">
            <v>Level 2</v>
          </cell>
          <cell r="AI17">
            <v>2</v>
          </cell>
          <cell r="AJ17">
            <v>56</v>
          </cell>
          <cell r="AK17">
            <v>28</v>
          </cell>
          <cell r="AL17" t="str">
            <v>Level 1</v>
          </cell>
          <cell r="AM17">
            <v>22</v>
          </cell>
          <cell r="AN17">
            <v>707</v>
          </cell>
          <cell r="AO17">
            <v>32.136363636363633</v>
          </cell>
          <cell r="AP17" t="str">
            <v>Level 2</v>
          </cell>
          <cell r="AQ17">
            <v>16</v>
          </cell>
          <cell r="AR17">
            <v>644</v>
          </cell>
          <cell r="AS17">
            <v>40.25</v>
          </cell>
          <cell r="AT17" t="str">
            <v>Level 3</v>
          </cell>
          <cell r="AU17">
            <v>23</v>
          </cell>
          <cell r="AV17">
            <v>832</v>
          </cell>
          <cell r="AW17">
            <v>36.173913043478258</v>
          </cell>
          <cell r="AX17" t="str">
            <v>Level 2</v>
          </cell>
          <cell r="AY17">
            <v>20</v>
          </cell>
          <cell r="AZ17">
            <v>619</v>
          </cell>
          <cell r="BA17">
            <v>30.95</v>
          </cell>
          <cell r="BB17" t="str">
            <v>Level 2</v>
          </cell>
          <cell r="BC17">
            <v>15</v>
          </cell>
          <cell r="BD17">
            <v>537</v>
          </cell>
          <cell r="BE17">
            <v>35.799999999999997</v>
          </cell>
          <cell r="BF17" t="str">
            <v>Level 2</v>
          </cell>
          <cell r="BG17">
            <v>23</v>
          </cell>
          <cell r="BH17">
            <v>816</v>
          </cell>
          <cell r="BI17">
            <v>35.478260869565219</v>
          </cell>
          <cell r="BJ17" t="str">
            <v>Level 2</v>
          </cell>
          <cell r="BK17">
            <v>22</v>
          </cell>
          <cell r="BL17">
            <v>881</v>
          </cell>
          <cell r="BM17">
            <v>40.045454545454547</v>
          </cell>
          <cell r="BN17" t="str">
            <v>Level 3</v>
          </cell>
          <cell r="BO17">
            <v>16</v>
          </cell>
          <cell r="BP17">
            <v>602</v>
          </cell>
          <cell r="BQ17">
            <v>37.625</v>
          </cell>
          <cell r="BR17" t="str">
            <v>Level 2</v>
          </cell>
          <cell r="BS17">
            <v>25</v>
          </cell>
          <cell r="BT17">
            <v>877</v>
          </cell>
          <cell r="BU17">
            <v>35.08</v>
          </cell>
          <cell r="BV17" t="str">
            <v>Level 2</v>
          </cell>
          <cell r="BW17">
            <v>23</v>
          </cell>
          <cell r="BX17">
            <v>785</v>
          </cell>
          <cell r="BY17">
            <v>34.130434782608695</v>
          </cell>
          <cell r="BZ17" t="str">
            <v>Level 2</v>
          </cell>
          <cell r="CA17">
            <v>19</v>
          </cell>
          <cell r="CB17">
            <v>667</v>
          </cell>
          <cell r="CC17">
            <v>35.10526315789474</v>
          </cell>
          <cell r="CD17" t="str">
            <v>Level 2</v>
          </cell>
          <cell r="CE17">
            <v>18</v>
          </cell>
          <cell r="CF17">
            <v>703</v>
          </cell>
          <cell r="CG17">
            <v>39.055555555555557</v>
          </cell>
          <cell r="CH17" t="str">
            <v>Level 2</v>
          </cell>
          <cell r="CI17">
            <v>26</v>
          </cell>
          <cell r="CJ17">
            <v>930</v>
          </cell>
          <cell r="CK17">
            <v>35.769230769230766</v>
          </cell>
          <cell r="CL17" t="str">
            <v>Level 2</v>
          </cell>
          <cell r="CM17">
            <v>28</v>
          </cell>
          <cell r="CN17">
            <v>853</v>
          </cell>
          <cell r="CO17">
            <v>30.464285714285715</v>
          </cell>
          <cell r="CP17" t="str">
            <v>Level 2</v>
          </cell>
          <cell r="CQ17">
            <v>25</v>
          </cell>
          <cell r="CR17">
            <v>1012</v>
          </cell>
          <cell r="CS17">
            <v>40.479999999999997</v>
          </cell>
          <cell r="CT17" t="str">
            <v>Level 3</v>
          </cell>
          <cell r="CU17">
            <v>23</v>
          </cell>
          <cell r="CV17">
            <v>751</v>
          </cell>
          <cell r="CW17">
            <v>32.652173913043477</v>
          </cell>
          <cell r="CX17" t="str">
            <v>Level 2</v>
          </cell>
          <cell r="CY17">
            <v>26</v>
          </cell>
          <cell r="CZ17">
            <v>857</v>
          </cell>
          <cell r="DA17">
            <v>32.96153846153846</v>
          </cell>
          <cell r="DB17" t="str">
            <v>Level 2</v>
          </cell>
          <cell r="DC17">
            <v>23</v>
          </cell>
          <cell r="DD17">
            <v>897</v>
          </cell>
          <cell r="DE17">
            <v>39</v>
          </cell>
          <cell r="DF17" t="str">
            <v>Level 2</v>
          </cell>
          <cell r="DG17">
            <v>22</v>
          </cell>
          <cell r="DH17">
            <v>877</v>
          </cell>
          <cell r="DI17">
            <v>39.863636363636367</v>
          </cell>
          <cell r="DJ17" t="str">
            <v>Level 2</v>
          </cell>
          <cell r="DK17">
            <v>22</v>
          </cell>
          <cell r="DL17">
            <v>589</v>
          </cell>
          <cell r="DM17">
            <v>26.772727272727273</v>
          </cell>
          <cell r="DN17" t="str">
            <v>Level 1</v>
          </cell>
          <cell r="DO17">
            <v>27</v>
          </cell>
          <cell r="DP17">
            <v>936</v>
          </cell>
          <cell r="DQ17">
            <v>34.666666666666664</v>
          </cell>
          <cell r="DR17" t="str">
            <v>Level 2</v>
          </cell>
          <cell r="DS17">
            <v>24</v>
          </cell>
          <cell r="DT17">
            <v>883</v>
          </cell>
          <cell r="DU17">
            <v>36.791666666666664</v>
          </cell>
          <cell r="DV17" t="str">
            <v>Level 2</v>
          </cell>
          <cell r="DW17">
            <v>26</v>
          </cell>
          <cell r="DX17">
            <v>1112</v>
          </cell>
          <cell r="DY17">
            <v>42.769230769230766</v>
          </cell>
          <cell r="DZ17" t="str">
            <v>Level 3</v>
          </cell>
          <cell r="EA17">
            <v>2</v>
          </cell>
          <cell r="EB17">
            <v>60</v>
          </cell>
          <cell r="EC17">
            <v>30</v>
          </cell>
          <cell r="ED17" t="str">
            <v>Level 2</v>
          </cell>
          <cell r="EE17">
            <v>9</v>
          </cell>
          <cell r="EF17">
            <v>307</v>
          </cell>
          <cell r="EG17">
            <v>34.111111111111114</v>
          </cell>
          <cell r="EH17" t="str">
            <v>Level 2</v>
          </cell>
          <cell r="EI17">
            <v>6</v>
          </cell>
          <cell r="EJ17">
            <v>174</v>
          </cell>
          <cell r="EK17">
            <v>29</v>
          </cell>
          <cell r="EL17" t="str">
            <v>Level 2</v>
          </cell>
          <cell r="EM17">
            <v>12</v>
          </cell>
          <cell r="EN17">
            <v>403</v>
          </cell>
          <cell r="EO17">
            <v>33.583333333333336</v>
          </cell>
          <cell r="EP17" t="str">
            <v>Level 2</v>
          </cell>
          <cell r="EQ17">
            <v>4</v>
          </cell>
          <cell r="ER17">
            <v>120</v>
          </cell>
          <cell r="ES17">
            <v>30</v>
          </cell>
          <cell r="ET17" t="str">
            <v>Level 2</v>
          </cell>
          <cell r="EU17">
            <v>16</v>
          </cell>
          <cell r="EV17">
            <v>617</v>
          </cell>
          <cell r="EW17">
            <v>38.5625</v>
          </cell>
          <cell r="EX17" t="str">
            <v>Level 2</v>
          </cell>
          <cell r="EY17">
            <v>13</v>
          </cell>
          <cell r="EZ17">
            <v>416</v>
          </cell>
          <cell r="FA17">
            <v>32</v>
          </cell>
          <cell r="FB17" t="str">
            <v>Level 2</v>
          </cell>
          <cell r="FC17">
            <v>22</v>
          </cell>
          <cell r="FD17">
            <v>783</v>
          </cell>
          <cell r="FE17">
            <v>35.590909090909093</v>
          </cell>
          <cell r="FF17" t="str">
            <v>Level 2</v>
          </cell>
          <cell r="FG17">
            <v>16</v>
          </cell>
          <cell r="FH17">
            <v>436</v>
          </cell>
          <cell r="FI17">
            <v>27.25</v>
          </cell>
          <cell r="FJ17" t="str">
            <v>Level 1</v>
          </cell>
          <cell r="FK17">
            <v>14</v>
          </cell>
          <cell r="FL17">
            <v>579</v>
          </cell>
          <cell r="FM17">
            <v>41.357142857142854</v>
          </cell>
          <cell r="FN17" t="str">
            <v>Level 3</v>
          </cell>
          <cell r="FO17">
            <v>13</v>
          </cell>
          <cell r="FP17">
            <v>557</v>
          </cell>
          <cell r="FQ17">
            <v>42.846153846153847</v>
          </cell>
          <cell r="FR17" t="str">
            <v>Level 3</v>
          </cell>
          <cell r="FS17">
            <v>17</v>
          </cell>
          <cell r="FT17">
            <v>639</v>
          </cell>
          <cell r="FU17">
            <v>37.588235294117645</v>
          </cell>
          <cell r="FV17" t="str">
            <v>Level 2</v>
          </cell>
          <cell r="FW17" t="str">
            <v>-</v>
          </cell>
          <cell r="FX17" t="str">
            <v>-</v>
          </cell>
          <cell r="FY17" t="str">
            <v>-</v>
          </cell>
          <cell r="FZ17" t="str">
            <v>-</v>
          </cell>
          <cell r="GA17" t="str">
            <v>-</v>
          </cell>
        </row>
        <row r="18">
          <cell r="A18">
            <v>92479</v>
          </cell>
          <cell r="B18" t="str">
            <v>ELISA JAYANTI LESTARI</v>
          </cell>
          <cell r="C18">
            <v>4</v>
          </cell>
          <cell r="D18">
            <v>59</v>
          </cell>
          <cell r="E18">
            <v>14.75</v>
          </cell>
          <cell r="F18" t="str">
            <v>Level 1</v>
          </cell>
          <cell r="G18">
            <v>10</v>
          </cell>
          <cell r="H18">
            <v>329</v>
          </cell>
          <cell r="I18">
            <v>32.9</v>
          </cell>
          <cell r="J18" t="str">
            <v>Level 2</v>
          </cell>
          <cell r="K18">
            <v>14</v>
          </cell>
          <cell r="L18">
            <v>457</v>
          </cell>
          <cell r="M18">
            <v>32.642857142857146</v>
          </cell>
          <cell r="N18" t="str">
            <v>Level 2</v>
          </cell>
          <cell r="O18">
            <v>17</v>
          </cell>
          <cell r="P18">
            <v>551</v>
          </cell>
          <cell r="Q18">
            <v>32.411764705882355</v>
          </cell>
          <cell r="R18" t="str">
            <v>Level 2</v>
          </cell>
          <cell r="S18">
            <v>19</v>
          </cell>
          <cell r="T18">
            <v>524</v>
          </cell>
          <cell r="U18">
            <v>27.578947368421051</v>
          </cell>
          <cell r="V18" t="str">
            <v>Level 1</v>
          </cell>
          <cell r="W18">
            <v>20</v>
          </cell>
          <cell r="X18">
            <v>742</v>
          </cell>
          <cell r="Y18">
            <v>37.1</v>
          </cell>
          <cell r="Z18" t="str">
            <v>Level 2</v>
          </cell>
          <cell r="AA18">
            <v>18</v>
          </cell>
          <cell r="AB18">
            <v>816</v>
          </cell>
          <cell r="AC18">
            <v>45.333333333333336</v>
          </cell>
          <cell r="AD18" t="str">
            <v>Level 3</v>
          </cell>
          <cell r="AE18">
            <v>19</v>
          </cell>
          <cell r="AF18">
            <v>829</v>
          </cell>
          <cell r="AG18">
            <v>43.631578947368418</v>
          </cell>
          <cell r="AH18" t="str">
            <v>Level 3</v>
          </cell>
          <cell r="AI18">
            <v>16</v>
          </cell>
          <cell r="AJ18">
            <v>656</v>
          </cell>
          <cell r="AK18">
            <v>41</v>
          </cell>
          <cell r="AL18" t="str">
            <v>Level 3</v>
          </cell>
          <cell r="AM18">
            <v>21</v>
          </cell>
          <cell r="AN18">
            <v>817</v>
          </cell>
          <cell r="AO18">
            <v>38.904761904761905</v>
          </cell>
          <cell r="AP18" t="str">
            <v>Level 2</v>
          </cell>
          <cell r="AQ18">
            <v>22</v>
          </cell>
          <cell r="AR18">
            <v>976</v>
          </cell>
          <cell r="AS18">
            <v>44.363636363636367</v>
          </cell>
          <cell r="AT18" t="str">
            <v>Level 3</v>
          </cell>
          <cell r="AU18">
            <v>20</v>
          </cell>
          <cell r="AV18">
            <v>884</v>
          </cell>
          <cell r="AW18">
            <v>44.2</v>
          </cell>
          <cell r="AX18" t="str">
            <v>Level 3</v>
          </cell>
          <cell r="AY18">
            <v>15</v>
          </cell>
          <cell r="AZ18">
            <v>504</v>
          </cell>
          <cell r="BA18">
            <v>33.6</v>
          </cell>
          <cell r="BB18" t="str">
            <v>Level 2</v>
          </cell>
          <cell r="BC18">
            <v>18</v>
          </cell>
          <cell r="BD18">
            <v>746</v>
          </cell>
          <cell r="BE18">
            <v>41.444444444444443</v>
          </cell>
          <cell r="BF18" t="str">
            <v>Level 3</v>
          </cell>
          <cell r="BG18">
            <v>16</v>
          </cell>
          <cell r="BH18">
            <v>648</v>
          </cell>
          <cell r="BI18">
            <v>40.5</v>
          </cell>
          <cell r="BJ18" t="str">
            <v>Level 3</v>
          </cell>
          <cell r="BK18">
            <v>13</v>
          </cell>
          <cell r="BL18">
            <v>534</v>
          </cell>
          <cell r="BM18">
            <v>41.07692307692308</v>
          </cell>
          <cell r="BN18" t="str">
            <v>Level 3</v>
          </cell>
          <cell r="BO18" t="str">
            <v>-</v>
          </cell>
          <cell r="BP18" t="str">
            <v>-</v>
          </cell>
          <cell r="BQ18" t="str">
            <v>-</v>
          </cell>
          <cell r="BR18" t="str">
            <v>-</v>
          </cell>
          <cell r="BS18" t="str">
            <v>-</v>
          </cell>
          <cell r="BT18" t="str">
            <v>-</v>
          </cell>
          <cell r="BU18" t="str">
            <v>-</v>
          </cell>
          <cell r="BV18" t="str">
            <v>-</v>
          </cell>
          <cell r="BW18" t="str">
            <v>-</v>
          </cell>
          <cell r="BX18" t="str">
            <v>-</v>
          </cell>
          <cell r="BY18" t="str">
            <v>-</v>
          </cell>
          <cell r="BZ18" t="str">
            <v>-</v>
          </cell>
          <cell r="CA18" t="str">
            <v>-</v>
          </cell>
          <cell r="CB18" t="str">
            <v>-</v>
          </cell>
          <cell r="CC18" t="str">
            <v>-</v>
          </cell>
          <cell r="CD18" t="str">
            <v>-</v>
          </cell>
          <cell r="CE18">
            <v>9</v>
          </cell>
          <cell r="CF18">
            <v>316</v>
          </cell>
          <cell r="CG18">
            <v>35.111111111111114</v>
          </cell>
          <cell r="CH18" t="str">
            <v>Level 2</v>
          </cell>
          <cell r="CI18">
            <v>18</v>
          </cell>
          <cell r="CJ18">
            <v>700</v>
          </cell>
          <cell r="CK18">
            <v>38.888888888888886</v>
          </cell>
          <cell r="CL18" t="str">
            <v>Level 2</v>
          </cell>
          <cell r="CM18">
            <v>13</v>
          </cell>
          <cell r="CN18">
            <v>403</v>
          </cell>
          <cell r="CO18">
            <v>31</v>
          </cell>
          <cell r="CP18" t="str">
            <v>Level 2</v>
          </cell>
          <cell r="CQ18">
            <v>16</v>
          </cell>
          <cell r="CR18">
            <v>628</v>
          </cell>
          <cell r="CS18">
            <v>39.25</v>
          </cell>
          <cell r="CT18" t="str">
            <v>Level 2</v>
          </cell>
          <cell r="CU18">
            <v>6</v>
          </cell>
          <cell r="CV18">
            <v>234</v>
          </cell>
          <cell r="CW18">
            <v>39</v>
          </cell>
          <cell r="CX18" t="str">
            <v>Level 2</v>
          </cell>
          <cell r="CY18">
            <v>4</v>
          </cell>
          <cell r="CZ18">
            <v>138</v>
          </cell>
          <cell r="DA18">
            <v>34.5</v>
          </cell>
          <cell r="DB18" t="str">
            <v>Level 2</v>
          </cell>
          <cell r="DC18" t="str">
            <v>-</v>
          </cell>
          <cell r="DD18" t="str">
            <v>-</v>
          </cell>
          <cell r="DE18" t="str">
            <v>-</v>
          </cell>
          <cell r="DF18" t="str">
            <v>-</v>
          </cell>
          <cell r="DG18" t="str">
            <v>-</v>
          </cell>
          <cell r="DH18" t="str">
            <v>-</v>
          </cell>
          <cell r="DI18" t="str">
            <v>-</v>
          </cell>
          <cell r="DJ18" t="str">
            <v>-</v>
          </cell>
          <cell r="DK18" t="str">
            <v>-</v>
          </cell>
          <cell r="DL18" t="str">
            <v>-</v>
          </cell>
          <cell r="DM18" t="str">
            <v>-</v>
          </cell>
          <cell r="DN18" t="str">
            <v>-</v>
          </cell>
          <cell r="DO18">
            <v>4</v>
          </cell>
          <cell r="DP18">
            <v>129</v>
          </cell>
          <cell r="DQ18">
            <v>32.25</v>
          </cell>
          <cell r="DR18" t="str">
            <v>Level 2</v>
          </cell>
          <cell r="DS18" t="str">
            <v>-</v>
          </cell>
          <cell r="DT18" t="str">
            <v>-</v>
          </cell>
          <cell r="DU18" t="str">
            <v>-</v>
          </cell>
          <cell r="DV18" t="str">
            <v>-</v>
          </cell>
          <cell r="DW18" t="str">
            <v>-</v>
          </cell>
          <cell r="DX18" t="str">
            <v>-</v>
          </cell>
          <cell r="DY18" t="str">
            <v>-</v>
          </cell>
          <cell r="DZ18" t="str">
            <v>-</v>
          </cell>
          <cell r="EA18" t="str">
            <v>-</v>
          </cell>
          <cell r="EB18" t="str">
            <v>-</v>
          </cell>
          <cell r="EC18" t="str">
            <v>-</v>
          </cell>
          <cell r="ED18" t="str">
            <v>-</v>
          </cell>
          <cell r="EE18" t="str">
            <v>-</v>
          </cell>
          <cell r="EF18" t="str">
            <v>-</v>
          </cell>
          <cell r="EG18" t="str">
            <v>-</v>
          </cell>
          <cell r="EH18" t="str">
            <v>-</v>
          </cell>
          <cell r="EI18" t="str">
            <v>-</v>
          </cell>
          <cell r="EJ18" t="str">
            <v>-</v>
          </cell>
          <cell r="EK18" t="str">
            <v>-</v>
          </cell>
          <cell r="EL18" t="str">
            <v>-</v>
          </cell>
          <cell r="EM18" t="str">
            <v>-</v>
          </cell>
          <cell r="EN18" t="str">
            <v>-</v>
          </cell>
          <cell r="EO18" t="str">
            <v>-</v>
          </cell>
          <cell r="EP18" t="str">
            <v>-</v>
          </cell>
          <cell r="EQ18" t="str">
            <v>-</v>
          </cell>
          <cell r="ER18" t="str">
            <v>-</v>
          </cell>
          <cell r="ES18" t="str">
            <v>-</v>
          </cell>
          <cell r="ET18" t="str">
            <v>-</v>
          </cell>
          <cell r="EU18" t="str">
            <v>-</v>
          </cell>
          <cell r="EV18" t="str">
            <v>-</v>
          </cell>
          <cell r="EW18" t="str">
            <v>-</v>
          </cell>
          <cell r="EX18" t="str">
            <v>-</v>
          </cell>
          <cell r="EY18" t="str">
            <v>-</v>
          </cell>
          <cell r="EZ18" t="str">
            <v>-</v>
          </cell>
          <cell r="FA18" t="str">
            <v>-</v>
          </cell>
          <cell r="FB18" t="str">
            <v>-</v>
          </cell>
          <cell r="FC18" t="str">
            <v>-</v>
          </cell>
          <cell r="FD18" t="str">
            <v>-</v>
          </cell>
          <cell r="FE18" t="str">
            <v>-</v>
          </cell>
          <cell r="FF18" t="str">
            <v>-</v>
          </cell>
          <cell r="FG18" t="str">
            <v>-</v>
          </cell>
          <cell r="FH18" t="str">
            <v>-</v>
          </cell>
          <cell r="FI18" t="str">
            <v>-</v>
          </cell>
          <cell r="FJ18" t="str">
            <v>-</v>
          </cell>
          <cell r="FK18" t="str">
            <v>-</v>
          </cell>
          <cell r="FL18" t="str">
            <v>-</v>
          </cell>
          <cell r="FM18" t="str">
            <v>-</v>
          </cell>
          <cell r="FN18" t="str">
            <v>-</v>
          </cell>
          <cell r="FO18" t="str">
            <v>-</v>
          </cell>
          <cell r="FP18" t="str">
            <v>-</v>
          </cell>
          <cell r="FQ18" t="str">
            <v>-</v>
          </cell>
          <cell r="FR18" t="str">
            <v>-</v>
          </cell>
          <cell r="FS18" t="str">
            <v>-</v>
          </cell>
          <cell r="FT18" t="str">
            <v>-</v>
          </cell>
          <cell r="FU18" t="str">
            <v>-</v>
          </cell>
          <cell r="FV18" t="str">
            <v>-</v>
          </cell>
          <cell r="FW18" t="str">
            <v>-</v>
          </cell>
          <cell r="FX18" t="str">
            <v>-</v>
          </cell>
          <cell r="FY18" t="str">
            <v>-</v>
          </cell>
          <cell r="FZ18" t="str">
            <v>-</v>
          </cell>
          <cell r="GA18" t="str">
            <v>-</v>
          </cell>
        </row>
        <row r="19">
          <cell r="A19" t="str">
            <v>A0130</v>
          </cell>
          <cell r="B19" t="str">
            <v>GIANTY HERLINA MELISSA SIDEBANG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39</v>
          </cell>
          <cell r="M19">
            <v>19.5</v>
          </cell>
          <cell r="N19" t="str">
            <v>Level 1</v>
          </cell>
          <cell r="O19">
            <v>11</v>
          </cell>
          <cell r="P19">
            <v>318</v>
          </cell>
          <cell r="Q19">
            <v>28.90909090909091</v>
          </cell>
          <cell r="R19" t="str">
            <v>Level 1</v>
          </cell>
          <cell r="S19">
            <v>14</v>
          </cell>
          <cell r="T19">
            <v>414</v>
          </cell>
          <cell r="U19">
            <v>29.571428571428573</v>
          </cell>
          <cell r="V19" t="str">
            <v>Level 2</v>
          </cell>
          <cell r="W19">
            <v>17</v>
          </cell>
          <cell r="X19">
            <v>604</v>
          </cell>
          <cell r="Y19">
            <v>35.529411764705884</v>
          </cell>
          <cell r="Z19" t="str">
            <v>Level 2</v>
          </cell>
          <cell r="AA19">
            <v>12</v>
          </cell>
          <cell r="AB19">
            <v>440</v>
          </cell>
          <cell r="AC19">
            <v>36.666666666666664</v>
          </cell>
          <cell r="AD19" t="str">
            <v>Level 2</v>
          </cell>
          <cell r="AE19">
            <v>12</v>
          </cell>
          <cell r="AF19">
            <v>473</v>
          </cell>
          <cell r="AG19">
            <v>39.416666666666664</v>
          </cell>
          <cell r="AH19" t="str">
            <v>Level 2</v>
          </cell>
          <cell r="AI19">
            <v>21</v>
          </cell>
          <cell r="AJ19">
            <v>749</v>
          </cell>
          <cell r="AK19">
            <v>35.666666666666664</v>
          </cell>
          <cell r="AL19" t="str">
            <v>Level 2</v>
          </cell>
          <cell r="AM19">
            <v>17</v>
          </cell>
          <cell r="AN19">
            <v>603</v>
          </cell>
          <cell r="AO19">
            <v>35.470588235294116</v>
          </cell>
          <cell r="AP19" t="str">
            <v>Level 2</v>
          </cell>
          <cell r="AQ19">
            <v>22</v>
          </cell>
          <cell r="AR19">
            <v>801</v>
          </cell>
          <cell r="AS19">
            <v>36.409090909090907</v>
          </cell>
          <cell r="AT19" t="str">
            <v>Level 2</v>
          </cell>
          <cell r="AU19">
            <v>20</v>
          </cell>
          <cell r="AV19">
            <v>768</v>
          </cell>
          <cell r="AW19">
            <v>38.4</v>
          </cell>
          <cell r="AX19" t="str">
            <v>Level 2</v>
          </cell>
          <cell r="AY19">
            <v>21</v>
          </cell>
          <cell r="AZ19">
            <v>746</v>
          </cell>
          <cell r="BA19">
            <v>35.523809523809526</v>
          </cell>
          <cell r="BB19" t="str">
            <v>Level 2</v>
          </cell>
          <cell r="BC19">
            <v>13</v>
          </cell>
          <cell r="BD19">
            <v>543</v>
          </cell>
          <cell r="BE19">
            <v>41.769230769230766</v>
          </cell>
          <cell r="BF19" t="str">
            <v>Level 3</v>
          </cell>
          <cell r="BG19" t="str">
            <v>-</v>
          </cell>
          <cell r="BH19" t="str">
            <v>-</v>
          </cell>
          <cell r="BI19" t="str">
            <v>-</v>
          </cell>
          <cell r="BJ19" t="str">
            <v>-</v>
          </cell>
          <cell r="BK19" t="str">
            <v>-</v>
          </cell>
          <cell r="BL19" t="str">
            <v>-</v>
          </cell>
          <cell r="BM19" t="str">
            <v>-</v>
          </cell>
          <cell r="BN19" t="str">
            <v>-</v>
          </cell>
          <cell r="BO19" t="str">
            <v>-</v>
          </cell>
          <cell r="BP19" t="str">
            <v>-</v>
          </cell>
          <cell r="BQ19" t="str">
            <v>-</v>
          </cell>
          <cell r="BR19" t="str">
            <v>-</v>
          </cell>
          <cell r="BS19" t="str">
            <v>-</v>
          </cell>
          <cell r="BT19" t="str">
            <v>-</v>
          </cell>
          <cell r="BU19" t="str">
            <v>-</v>
          </cell>
          <cell r="BV19" t="str">
            <v>-</v>
          </cell>
          <cell r="BW19" t="str">
            <v>-</v>
          </cell>
          <cell r="BX19" t="str">
            <v>-</v>
          </cell>
          <cell r="BY19" t="str">
            <v>-</v>
          </cell>
          <cell r="BZ19" t="str">
            <v>-</v>
          </cell>
          <cell r="CA19" t="str">
            <v>-</v>
          </cell>
          <cell r="CB19" t="str">
            <v>-</v>
          </cell>
          <cell r="CC19" t="str">
            <v>-</v>
          </cell>
          <cell r="CD19" t="str">
            <v>-</v>
          </cell>
          <cell r="CE19" t="str">
            <v>-</v>
          </cell>
          <cell r="CF19" t="str">
            <v>-</v>
          </cell>
          <cell r="CG19" t="str">
            <v>-</v>
          </cell>
          <cell r="CH19" t="str">
            <v>-</v>
          </cell>
          <cell r="CI19" t="str">
            <v>-</v>
          </cell>
          <cell r="CJ19" t="str">
            <v>-</v>
          </cell>
          <cell r="CK19" t="str">
            <v>-</v>
          </cell>
          <cell r="CL19" t="str">
            <v>-</v>
          </cell>
          <cell r="CM19" t="str">
            <v>-</v>
          </cell>
          <cell r="CN19" t="str">
            <v>-</v>
          </cell>
          <cell r="CO19" t="str">
            <v>-</v>
          </cell>
          <cell r="CP19" t="str">
            <v>-</v>
          </cell>
          <cell r="CQ19" t="str">
            <v>-</v>
          </cell>
          <cell r="CR19" t="str">
            <v>-</v>
          </cell>
          <cell r="CS19" t="str">
            <v>-</v>
          </cell>
          <cell r="CT19" t="str">
            <v>-</v>
          </cell>
          <cell r="CU19" t="str">
            <v>-</v>
          </cell>
          <cell r="CV19" t="str">
            <v>-</v>
          </cell>
          <cell r="CW19" t="str">
            <v>-</v>
          </cell>
          <cell r="CX19" t="str">
            <v>-</v>
          </cell>
          <cell r="CY19" t="str">
            <v>-</v>
          </cell>
          <cell r="CZ19" t="str">
            <v>-</v>
          </cell>
          <cell r="DA19" t="str">
            <v>-</v>
          </cell>
          <cell r="DB19" t="str">
            <v>-</v>
          </cell>
          <cell r="DC19" t="str">
            <v>-</v>
          </cell>
          <cell r="DD19" t="str">
            <v>-</v>
          </cell>
          <cell r="DE19" t="str">
            <v>-</v>
          </cell>
          <cell r="DF19" t="str">
            <v>-</v>
          </cell>
          <cell r="DG19" t="str">
            <v>-</v>
          </cell>
          <cell r="DH19" t="str">
            <v>-</v>
          </cell>
          <cell r="DI19" t="str">
            <v>-</v>
          </cell>
          <cell r="DJ19" t="str">
            <v>-</v>
          </cell>
          <cell r="DK19" t="str">
            <v>-</v>
          </cell>
          <cell r="DL19" t="str">
            <v>-</v>
          </cell>
          <cell r="DM19" t="str">
            <v>-</v>
          </cell>
          <cell r="DN19" t="str">
            <v>-</v>
          </cell>
          <cell r="DO19" t="str">
            <v>-</v>
          </cell>
          <cell r="DP19" t="str">
            <v>-</v>
          </cell>
          <cell r="DQ19" t="str">
            <v>-</v>
          </cell>
          <cell r="DR19" t="str">
            <v>-</v>
          </cell>
          <cell r="DS19" t="str">
            <v>-</v>
          </cell>
          <cell r="DT19" t="str">
            <v>-</v>
          </cell>
          <cell r="DU19" t="str">
            <v>-</v>
          </cell>
          <cell r="DV19" t="str">
            <v>-</v>
          </cell>
          <cell r="DW19" t="str">
            <v>-</v>
          </cell>
          <cell r="DX19" t="str">
            <v>-</v>
          </cell>
          <cell r="DY19" t="str">
            <v>-</v>
          </cell>
          <cell r="DZ19" t="str">
            <v>-</v>
          </cell>
          <cell r="EA19" t="str">
            <v>-</v>
          </cell>
          <cell r="EB19" t="str">
            <v>-</v>
          </cell>
          <cell r="EC19" t="str">
            <v>-</v>
          </cell>
          <cell r="ED19" t="str">
            <v>-</v>
          </cell>
          <cell r="EE19" t="str">
            <v>-</v>
          </cell>
          <cell r="EF19" t="str">
            <v>-</v>
          </cell>
          <cell r="EG19" t="str">
            <v>-</v>
          </cell>
          <cell r="EH19" t="str">
            <v>-</v>
          </cell>
          <cell r="EI19" t="str">
            <v>-</v>
          </cell>
          <cell r="EJ19" t="str">
            <v>-</v>
          </cell>
          <cell r="EK19" t="str">
            <v>-</v>
          </cell>
          <cell r="EL19" t="str">
            <v>-</v>
          </cell>
          <cell r="EM19" t="str">
            <v>-</v>
          </cell>
          <cell r="EN19" t="str">
            <v>-</v>
          </cell>
          <cell r="EO19" t="str">
            <v>-</v>
          </cell>
          <cell r="EP19" t="str">
            <v>-</v>
          </cell>
          <cell r="EQ19" t="str">
            <v>-</v>
          </cell>
          <cell r="ER19" t="str">
            <v>-</v>
          </cell>
          <cell r="ES19" t="str">
            <v>-</v>
          </cell>
          <cell r="ET19" t="str">
            <v>-</v>
          </cell>
          <cell r="EU19" t="str">
            <v>-</v>
          </cell>
          <cell r="EV19" t="str">
            <v>-</v>
          </cell>
          <cell r="EW19" t="str">
            <v>-</v>
          </cell>
          <cell r="EX19" t="str">
            <v>-</v>
          </cell>
          <cell r="EY19" t="str">
            <v>-</v>
          </cell>
          <cell r="EZ19" t="str">
            <v>-</v>
          </cell>
          <cell r="FA19" t="str">
            <v>-</v>
          </cell>
          <cell r="FB19" t="str">
            <v>-</v>
          </cell>
          <cell r="FC19" t="str">
            <v>-</v>
          </cell>
          <cell r="FD19" t="str">
            <v>-</v>
          </cell>
          <cell r="FE19" t="str">
            <v>-</v>
          </cell>
          <cell r="FF19" t="str">
            <v>-</v>
          </cell>
          <cell r="FG19" t="str">
            <v>-</v>
          </cell>
          <cell r="FH19" t="str">
            <v>-</v>
          </cell>
          <cell r="FI19" t="str">
            <v>-</v>
          </cell>
          <cell r="FJ19" t="str">
            <v>-</v>
          </cell>
          <cell r="FK19" t="str">
            <v>-</v>
          </cell>
          <cell r="FL19" t="str">
            <v>-</v>
          </cell>
          <cell r="FM19" t="str">
            <v>-</v>
          </cell>
          <cell r="FN19" t="str">
            <v>-</v>
          </cell>
          <cell r="FO19" t="str">
            <v>-</v>
          </cell>
          <cell r="FP19" t="str">
            <v>-</v>
          </cell>
          <cell r="FQ19" t="str">
            <v>-</v>
          </cell>
          <cell r="FR19" t="str">
            <v>-</v>
          </cell>
          <cell r="FS19" t="str">
            <v>-</v>
          </cell>
          <cell r="FT19" t="str">
            <v>-</v>
          </cell>
          <cell r="FU19" t="str">
            <v>-</v>
          </cell>
          <cell r="FV19" t="str">
            <v>-</v>
          </cell>
          <cell r="FW19" t="str">
            <v>-</v>
          </cell>
          <cell r="FX19" t="str">
            <v>-</v>
          </cell>
          <cell r="FY19" t="str">
            <v>-</v>
          </cell>
          <cell r="FZ19" t="str">
            <v>-</v>
          </cell>
          <cell r="GA19" t="str">
            <v>-</v>
          </cell>
        </row>
        <row r="20">
          <cell r="A20" t="str">
            <v>A0039</v>
          </cell>
          <cell r="B20" t="str">
            <v>ALFI WAHYU ZAHARA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12</v>
          </cell>
          <cell r="P20">
            <v>303</v>
          </cell>
          <cell r="Q20">
            <v>25.25</v>
          </cell>
          <cell r="R20" t="str">
            <v>Level 1</v>
          </cell>
          <cell r="S20">
            <v>14</v>
          </cell>
          <cell r="T20">
            <v>395</v>
          </cell>
          <cell r="U20">
            <v>28.214285714285715</v>
          </cell>
          <cell r="V20" t="str">
            <v>Level 1</v>
          </cell>
          <cell r="W20">
            <v>4</v>
          </cell>
          <cell r="X20">
            <v>129</v>
          </cell>
          <cell r="Y20">
            <v>32.25</v>
          </cell>
          <cell r="Z20" t="str">
            <v>Level 2</v>
          </cell>
          <cell r="AA20">
            <v>8</v>
          </cell>
          <cell r="AB20">
            <v>213</v>
          </cell>
          <cell r="AC20">
            <v>26.625</v>
          </cell>
          <cell r="AD20" t="str">
            <v>Level 1</v>
          </cell>
          <cell r="AE20">
            <v>14</v>
          </cell>
          <cell r="AF20">
            <v>542</v>
          </cell>
          <cell r="AG20">
            <v>38.714285714285715</v>
          </cell>
          <cell r="AH20" t="str">
            <v>Level 2</v>
          </cell>
          <cell r="AI20">
            <v>20</v>
          </cell>
          <cell r="AJ20">
            <v>692</v>
          </cell>
          <cell r="AK20">
            <v>34.6</v>
          </cell>
          <cell r="AL20" t="str">
            <v>Level 2</v>
          </cell>
          <cell r="AM20">
            <v>20</v>
          </cell>
          <cell r="AN20">
            <v>692</v>
          </cell>
          <cell r="AO20">
            <v>34.6</v>
          </cell>
          <cell r="AP20" t="str">
            <v>Level 2</v>
          </cell>
          <cell r="AQ20">
            <v>16</v>
          </cell>
          <cell r="AR20">
            <v>539</v>
          </cell>
          <cell r="AS20">
            <v>33.6875</v>
          </cell>
          <cell r="AT20" t="str">
            <v>Level 2</v>
          </cell>
          <cell r="AU20">
            <v>14</v>
          </cell>
          <cell r="AV20">
            <v>496</v>
          </cell>
          <cell r="AW20">
            <v>35.428571428571431</v>
          </cell>
          <cell r="AX20" t="str">
            <v>Level 2</v>
          </cell>
          <cell r="AY20">
            <v>2</v>
          </cell>
          <cell r="AZ20">
            <v>91</v>
          </cell>
          <cell r="BA20">
            <v>45.5</v>
          </cell>
          <cell r="BB20" t="str">
            <v>Level 3</v>
          </cell>
          <cell r="BC20">
            <v>15</v>
          </cell>
          <cell r="BD20">
            <v>606</v>
          </cell>
          <cell r="BE20">
            <v>40.4</v>
          </cell>
          <cell r="BF20" t="str">
            <v>Level 3</v>
          </cell>
          <cell r="BG20">
            <v>17</v>
          </cell>
          <cell r="BH20">
            <v>661</v>
          </cell>
          <cell r="BI20">
            <v>38.882352941176471</v>
          </cell>
          <cell r="BJ20" t="str">
            <v>Level 2</v>
          </cell>
          <cell r="BK20">
            <v>19</v>
          </cell>
          <cell r="BL20">
            <v>802</v>
          </cell>
          <cell r="BM20">
            <v>42.210526315789473</v>
          </cell>
          <cell r="BN20" t="str">
            <v>Level 3</v>
          </cell>
          <cell r="BO20">
            <v>11</v>
          </cell>
          <cell r="BP20">
            <v>503</v>
          </cell>
          <cell r="BQ20">
            <v>45.727272727272727</v>
          </cell>
          <cell r="BR20" t="str">
            <v>Level 3</v>
          </cell>
          <cell r="BS20" t="str">
            <v>-</v>
          </cell>
          <cell r="BT20" t="str">
            <v>-</v>
          </cell>
          <cell r="BU20" t="str">
            <v>-</v>
          </cell>
          <cell r="BV20" t="str">
            <v>-</v>
          </cell>
          <cell r="BW20" t="str">
            <v>-</v>
          </cell>
          <cell r="BX20" t="str">
            <v>-</v>
          </cell>
          <cell r="BY20" t="str">
            <v>-</v>
          </cell>
          <cell r="BZ20" t="str">
            <v>-</v>
          </cell>
          <cell r="CA20">
            <v>14</v>
          </cell>
          <cell r="CB20">
            <v>514</v>
          </cell>
          <cell r="CC20">
            <v>36.714285714285715</v>
          </cell>
          <cell r="CD20" t="str">
            <v>Level 2</v>
          </cell>
          <cell r="CE20">
            <v>12</v>
          </cell>
          <cell r="CF20">
            <v>481</v>
          </cell>
          <cell r="CG20">
            <v>40.083333333333336</v>
          </cell>
          <cell r="CH20" t="str">
            <v>Level 3</v>
          </cell>
          <cell r="CI20">
            <v>8</v>
          </cell>
          <cell r="CJ20">
            <v>321</v>
          </cell>
          <cell r="CK20">
            <v>40.125</v>
          </cell>
          <cell r="CL20" t="str">
            <v>Level 3</v>
          </cell>
          <cell r="CM20" t="str">
            <v>-</v>
          </cell>
          <cell r="CN20" t="str">
            <v>-</v>
          </cell>
          <cell r="CO20" t="str">
            <v>-</v>
          </cell>
          <cell r="CP20" t="str">
            <v>-</v>
          </cell>
          <cell r="CQ20" t="str">
            <v>-</v>
          </cell>
          <cell r="CR20" t="str">
            <v>-</v>
          </cell>
          <cell r="CS20" t="str">
            <v>-</v>
          </cell>
          <cell r="CT20" t="str">
            <v>-</v>
          </cell>
          <cell r="CU20" t="str">
            <v>-</v>
          </cell>
          <cell r="CV20" t="str">
            <v>-</v>
          </cell>
          <cell r="CW20" t="str">
            <v>-</v>
          </cell>
          <cell r="CX20" t="str">
            <v>-</v>
          </cell>
          <cell r="CY20">
            <v>5</v>
          </cell>
          <cell r="CZ20">
            <v>168</v>
          </cell>
          <cell r="DA20">
            <v>33.6</v>
          </cell>
          <cell r="DB20" t="str">
            <v>Level 2</v>
          </cell>
          <cell r="DC20" t="str">
            <v>-</v>
          </cell>
          <cell r="DD20" t="str">
            <v>-</v>
          </cell>
          <cell r="DE20" t="str">
            <v>-</v>
          </cell>
          <cell r="DF20" t="str">
            <v>-</v>
          </cell>
          <cell r="DG20">
            <v>12</v>
          </cell>
          <cell r="DH20">
            <v>546</v>
          </cell>
          <cell r="DI20">
            <v>45.5</v>
          </cell>
          <cell r="DJ20" t="str">
            <v>Level 3</v>
          </cell>
          <cell r="DK20">
            <v>13</v>
          </cell>
          <cell r="DL20">
            <v>415</v>
          </cell>
          <cell r="DM20">
            <v>31.923076923076923</v>
          </cell>
          <cell r="DN20" t="str">
            <v>Level 2</v>
          </cell>
          <cell r="DO20">
            <v>12</v>
          </cell>
          <cell r="DP20">
            <v>425</v>
          </cell>
          <cell r="DQ20">
            <v>35.416666666666664</v>
          </cell>
          <cell r="DR20" t="str">
            <v>Level 2</v>
          </cell>
          <cell r="DS20">
            <v>8</v>
          </cell>
          <cell r="DT20">
            <v>292</v>
          </cell>
          <cell r="DU20">
            <v>36.5</v>
          </cell>
          <cell r="DV20" t="str">
            <v>Level 2</v>
          </cell>
          <cell r="DW20">
            <v>3</v>
          </cell>
          <cell r="DX20">
            <v>126</v>
          </cell>
          <cell r="DY20">
            <v>42</v>
          </cell>
          <cell r="DZ20" t="str">
            <v>Level 3</v>
          </cell>
          <cell r="EA20" t="str">
            <v>-</v>
          </cell>
          <cell r="EB20" t="str">
            <v>-</v>
          </cell>
          <cell r="EC20" t="str">
            <v>-</v>
          </cell>
          <cell r="ED20" t="str">
            <v>-</v>
          </cell>
          <cell r="EE20" t="str">
            <v>-</v>
          </cell>
          <cell r="EF20" t="str">
            <v>-</v>
          </cell>
          <cell r="EG20" t="str">
            <v>-</v>
          </cell>
          <cell r="EH20" t="str">
            <v>-</v>
          </cell>
          <cell r="EI20" t="str">
            <v>-</v>
          </cell>
          <cell r="EJ20" t="str">
            <v>-</v>
          </cell>
          <cell r="EK20" t="str">
            <v>-</v>
          </cell>
          <cell r="EL20" t="str">
            <v>-</v>
          </cell>
          <cell r="EM20">
            <v>1</v>
          </cell>
          <cell r="EN20">
            <v>21</v>
          </cell>
          <cell r="EO20">
            <v>21</v>
          </cell>
          <cell r="EP20" t="str">
            <v>Level 1</v>
          </cell>
          <cell r="EQ20" t="str">
            <v>-</v>
          </cell>
          <cell r="ER20" t="str">
            <v>-</v>
          </cell>
          <cell r="ES20" t="str">
            <v>-</v>
          </cell>
          <cell r="ET20" t="str">
            <v>-</v>
          </cell>
          <cell r="EU20" t="str">
            <v>-</v>
          </cell>
          <cell r="EV20" t="str">
            <v>-</v>
          </cell>
          <cell r="EW20" t="str">
            <v>-</v>
          </cell>
          <cell r="EX20" t="str">
            <v>-</v>
          </cell>
          <cell r="EY20">
            <v>12</v>
          </cell>
          <cell r="EZ20">
            <v>384</v>
          </cell>
          <cell r="FA20">
            <v>32</v>
          </cell>
          <cell r="FB20" t="str">
            <v>Level 2</v>
          </cell>
          <cell r="FC20" t="str">
            <v>-</v>
          </cell>
          <cell r="FD20" t="str">
            <v>-</v>
          </cell>
          <cell r="FE20" t="str">
            <v>-</v>
          </cell>
          <cell r="FF20" t="str">
            <v>-</v>
          </cell>
          <cell r="FG20" t="str">
            <v>-</v>
          </cell>
          <cell r="FH20" t="str">
            <v>-</v>
          </cell>
          <cell r="FI20" t="str">
            <v>-</v>
          </cell>
          <cell r="FJ20" t="str">
            <v>-</v>
          </cell>
          <cell r="FK20" t="str">
            <v>-</v>
          </cell>
          <cell r="FL20" t="str">
            <v>-</v>
          </cell>
          <cell r="FM20" t="str">
            <v>-</v>
          </cell>
          <cell r="FN20" t="str">
            <v>-</v>
          </cell>
          <cell r="FO20" t="str">
            <v>-</v>
          </cell>
          <cell r="FP20" t="str">
            <v>-</v>
          </cell>
          <cell r="FQ20" t="str">
            <v>-</v>
          </cell>
          <cell r="FR20" t="str">
            <v>-</v>
          </cell>
          <cell r="FS20" t="str">
            <v>-</v>
          </cell>
          <cell r="FT20" t="str">
            <v>-</v>
          </cell>
          <cell r="FU20" t="str">
            <v>-</v>
          </cell>
          <cell r="FV20" t="str">
            <v>-</v>
          </cell>
          <cell r="FW20" t="str">
            <v>-</v>
          </cell>
          <cell r="FX20" t="str">
            <v>-</v>
          </cell>
          <cell r="FY20" t="str">
            <v>-</v>
          </cell>
          <cell r="FZ20" t="str">
            <v>-</v>
          </cell>
          <cell r="GA20" t="str">
            <v>-</v>
          </cell>
        </row>
        <row r="21">
          <cell r="A21" t="str">
            <v>A0167</v>
          </cell>
          <cell r="B21" t="str">
            <v>Safa Aqilla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7</v>
          </cell>
          <cell r="P21">
            <v>134</v>
          </cell>
          <cell r="Q21">
            <v>19.142857142857142</v>
          </cell>
          <cell r="R21" t="str">
            <v>Level 1</v>
          </cell>
          <cell r="S21">
            <v>19</v>
          </cell>
          <cell r="T21">
            <v>457</v>
          </cell>
          <cell r="U21">
            <v>24.05263157894737</v>
          </cell>
          <cell r="V21" t="str">
            <v>Level 1</v>
          </cell>
          <cell r="W21">
            <v>19</v>
          </cell>
          <cell r="X21">
            <v>617</v>
          </cell>
          <cell r="Y21">
            <v>32.473684210526315</v>
          </cell>
          <cell r="Z21" t="str">
            <v>Level 2</v>
          </cell>
          <cell r="AA21">
            <v>15</v>
          </cell>
          <cell r="AB21">
            <v>607</v>
          </cell>
          <cell r="AC21">
            <v>40.466666666666669</v>
          </cell>
          <cell r="AD21" t="str">
            <v>Level 3</v>
          </cell>
          <cell r="AE21">
            <v>16</v>
          </cell>
          <cell r="AF21">
            <v>645</v>
          </cell>
          <cell r="AG21">
            <v>40.3125</v>
          </cell>
          <cell r="AH21" t="str">
            <v>Level 3</v>
          </cell>
          <cell r="AI21">
            <v>18</v>
          </cell>
          <cell r="AJ21">
            <v>627</v>
          </cell>
          <cell r="AK21">
            <v>34.833333333333336</v>
          </cell>
          <cell r="AL21" t="str">
            <v>Level 2</v>
          </cell>
          <cell r="AM21">
            <v>26</v>
          </cell>
          <cell r="AN21">
            <v>1043</v>
          </cell>
          <cell r="AO21">
            <v>40.115384615384613</v>
          </cell>
          <cell r="AP21" t="str">
            <v>Level 3</v>
          </cell>
          <cell r="AQ21">
            <v>20</v>
          </cell>
          <cell r="AR21">
            <v>751</v>
          </cell>
          <cell r="AS21">
            <v>37.549999999999997</v>
          </cell>
          <cell r="AT21" t="str">
            <v>Level 2</v>
          </cell>
          <cell r="AU21">
            <v>23</v>
          </cell>
          <cell r="AV21">
            <v>1005</v>
          </cell>
          <cell r="AW21">
            <v>43.695652173913047</v>
          </cell>
          <cell r="AX21" t="str">
            <v>Level 3</v>
          </cell>
          <cell r="AY21">
            <v>19</v>
          </cell>
          <cell r="AZ21">
            <v>816</v>
          </cell>
          <cell r="BA21">
            <v>42.94736842105263</v>
          </cell>
          <cell r="BB21" t="str">
            <v>Level 3</v>
          </cell>
          <cell r="BC21">
            <v>14</v>
          </cell>
          <cell r="BD21">
            <v>615</v>
          </cell>
          <cell r="BE21">
            <v>43.928571428571431</v>
          </cell>
          <cell r="BF21" t="str">
            <v>Level 3</v>
          </cell>
          <cell r="BG21">
            <v>10</v>
          </cell>
          <cell r="BH21">
            <v>430</v>
          </cell>
          <cell r="BI21">
            <v>43</v>
          </cell>
          <cell r="BJ21" t="str">
            <v>Level 3</v>
          </cell>
          <cell r="BK21">
            <v>13</v>
          </cell>
          <cell r="BL21">
            <v>679</v>
          </cell>
          <cell r="BM21">
            <v>52.230769230769234</v>
          </cell>
          <cell r="BN21" t="str">
            <v>Level 3</v>
          </cell>
          <cell r="BO21">
            <v>12</v>
          </cell>
          <cell r="BP21">
            <v>665</v>
          </cell>
          <cell r="BQ21">
            <v>55.416666666666664</v>
          </cell>
          <cell r="BR21" t="str">
            <v>Level 3</v>
          </cell>
          <cell r="BS21">
            <v>11</v>
          </cell>
          <cell r="BT21">
            <v>570</v>
          </cell>
          <cell r="BU21">
            <v>51.81818181818182</v>
          </cell>
          <cell r="BV21" t="str">
            <v>Level 3</v>
          </cell>
          <cell r="BW21">
            <v>11</v>
          </cell>
          <cell r="BX21">
            <v>446</v>
          </cell>
          <cell r="BY21">
            <v>40.545454545454547</v>
          </cell>
          <cell r="BZ21" t="str">
            <v>Level 3</v>
          </cell>
          <cell r="CA21">
            <v>11</v>
          </cell>
          <cell r="CB21">
            <v>444</v>
          </cell>
          <cell r="CC21">
            <v>40.363636363636367</v>
          </cell>
          <cell r="CD21" t="str">
            <v>Level 3</v>
          </cell>
          <cell r="CE21">
            <v>4</v>
          </cell>
          <cell r="CF21">
            <v>114</v>
          </cell>
          <cell r="CG21">
            <v>28.5</v>
          </cell>
          <cell r="CH21" t="str">
            <v>Level 1</v>
          </cell>
          <cell r="CI21" t="str">
            <v>-</v>
          </cell>
          <cell r="CJ21" t="str">
            <v>-</v>
          </cell>
          <cell r="CK21" t="str">
            <v>-</v>
          </cell>
          <cell r="CL21" t="str">
            <v>-</v>
          </cell>
          <cell r="CM21" t="str">
            <v>-</v>
          </cell>
          <cell r="CN21" t="str">
            <v>-</v>
          </cell>
          <cell r="CO21" t="str">
            <v>-</v>
          </cell>
          <cell r="CP21" t="str">
            <v>-</v>
          </cell>
          <cell r="CQ21" t="str">
            <v>-</v>
          </cell>
          <cell r="CR21" t="str">
            <v>-</v>
          </cell>
          <cell r="CS21" t="str">
            <v>-</v>
          </cell>
          <cell r="CT21" t="str">
            <v>-</v>
          </cell>
          <cell r="CU21" t="str">
            <v>-</v>
          </cell>
          <cell r="CV21" t="str">
            <v>-</v>
          </cell>
          <cell r="CW21" t="str">
            <v>-</v>
          </cell>
          <cell r="CX21" t="str">
            <v>-</v>
          </cell>
          <cell r="CY21" t="str">
            <v>-</v>
          </cell>
          <cell r="CZ21" t="str">
            <v>-</v>
          </cell>
          <cell r="DA21" t="str">
            <v>-</v>
          </cell>
          <cell r="DB21" t="str">
            <v>-</v>
          </cell>
          <cell r="DC21" t="str">
            <v>-</v>
          </cell>
          <cell r="DD21" t="str">
            <v>-</v>
          </cell>
          <cell r="DE21" t="str">
            <v>-</v>
          </cell>
          <cell r="DF21" t="str">
            <v>-</v>
          </cell>
          <cell r="DG21" t="str">
            <v>-</v>
          </cell>
          <cell r="DH21" t="str">
            <v>-</v>
          </cell>
          <cell r="DI21" t="str">
            <v>-</v>
          </cell>
          <cell r="DJ21" t="str">
            <v>-</v>
          </cell>
          <cell r="DK21" t="str">
            <v>-</v>
          </cell>
          <cell r="DL21" t="str">
            <v>-</v>
          </cell>
          <cell r="DM21" t="str">
            <v>-</v>
          </cell>
          <cell r="DN21" t="str">
            <v>-</v>
          </cell>
          <cell r="DO21" t="str">
            <v>-</v>
          </cell>
          <cell r="DP21" t="str">
            <v>-</v>
          </cell>
          <cell r="DQ21" t="str">
            <v>-</v>
          </cell>
          <cell r="DR21" t="str">
            <v>-</v>
          </cell>
          <cell r="DS21" t="str">
            <v>-</v>
          </cell>
          <cell r="DT21" t="str">
            <v>-</v>
          </cell>
          <cell r="DU21" t="str">
            <v>-</v>
          </cell>
          <cell r="DV21" t="str">
            <v>-</v>
          </cell>
          <cell r="DW21" t="str">
            <v>-</v>
          </cell>
          <cell r="DX21" t="str">
            <v>-</v>
          </cell>
          <cell r="DY21" t="str">
            <v>-</v>
          </cell>
          <cell r="DZ21" t="str">
            <v>-</v>
          </cell>
          <cell r="EA21" t="str">
            <v>-</v>
          </cell>
          <cell r="EB21" t="str">
            <v>-</v>
          </cell>
          <cell r="EC21" t="str">
            <v>-</v>
          </cell>
          <cell r="ED21" t="str">
            <v>-</v>
          </cell>
          <cell r="EE21" t="str">
            <v>-</v>
          </cell>
          <cell r="EF21" t="str">
            <v>-</v>
          </cell>
          <cell r="EG21" t="str">
            <v>-</v>
          </cell>
          <cell r="EH21" t="str">
            <v>-</v>
          </cell>
          <cell r="EI21" t="str">
            <v>-</v>
          </cell>
          <cell r="EJ21" t="str">
            <v>-</v>
          </cell>
          <cell r="EK21" t="str">
            <v>-</v>
          </cell>
          <cell r="EL21" t="str">
            <v>-</v>
          </cell>
          <cell r="EM21" t="str">
            <v>-</v>
          </cell>
          <cell r="EN21" t="str">
            <v>-</v>
          </cell>
          <cell r="EO21" t="str">
            <v>-</v>
          </cell>
          <cell r="EP21" t="str">
            <v>-</v>
          </cell>
          <cell r="EQ21" t="str">
            <v>-</v>
          </cell>
          <cell r="ER21" t="str">
            <v>-</v>
          </cell>
          <cell r="ES21" t="str">
            <v>-</v>
          </cell>
          <cell r="ET21" t="str">
            <v>-</v>
          </cell>
          <cell r="EU21" t="str">
            <v>-</v>
          </cell>
          <cell r="EV21" t="str">
            <v>-</v>
          </cell>
          <cell r="EW21" t="str">
            <v>-</v>
          </cell>
          <cell r="EX21" t="str">
            <v>-</v>
          </cell>
          <cell r="EY21" t="str">
            <v>-</v>
          </cell>
          <cell r="EZ21" t="str">
            <v>-</v>
          </cell>
          <cell r="FA21" t="str">
            <v>-</v>
          </cell>
          <cell r="FB21" t="str">
            <v>-</v>
          </cell>
          <cell r="FC21" t="str">
            <v>-</v>
          </cell>
          <cell r="FD21" t="str">
            <v>-</v>
          </cell>
          <cell r="FE21" t="str">
            <v>-</v>
          </cell>
          <cell r="FF21" t="str">
            <v>-</v>
          </cell>
          <cell r="FG21" t="str">
            <v>-</v>
          </cell>
          <cell r="FH21" t="str">
            <v>-</v>
          </cell>
          <cell r="FI21" t="str">
            <v>-</v>
          </cell>
          <cell r="FJ21" t="str">
            <v>-</v>
          </cell>
          <cell r="FK21" t="str">
            <v>-</v>
          </cell>
          <cell r="FL21" t="str">
            <v>-</v>
          </cell>
          <cell r="FM21" t="str">
            <v>-</v>
          </cell>
          <cell r="FN21" t="str">
            <v>-</v>
          </cell>
          <cell r="FO21" t="str">
            <v>-</v>
          </cell>
          <cell r="FP21" t="str">
            <v>-</v>
          </cell>
          <cell r="FQ21" t="str">
            <v>-</v>
          </cell>
          <cell r="FR21" t="str">
            <v>-</v>
          </cell>
          <cell r="FS21" t="str">
            <v>-</v>
          </cell>
          <cell r="FT21" t="str">
            <v>-</v>
          </cell>
          <cell r="FU21" t="str">
            <v>-</v>
          </cell>
          <cell r="FV21" t="str">
            <v>-</v>
          </cell>
          <cell r="FW21" t="str">
            <v>-</v>
          </cell>
          <cell r="FX21" t="str">
            <v>-</v>
          </cell>
          <cell r="FY21" t="str">
            <v>-</v>
          </cell>
          <cell r="FZ21" t="str">
            <v>-</v>
          </cell>
          <cell r="GA21" t="str">
            <v>-</v>
          </cell>
        </row>
        <row r="22">
          <cell r="A22">
            <v>90616</v>
          </cell>
          <cell r="B22" t="str">
            <v>WIDYA BUDI PRAYOGO</v>
          </cell>
          <cell r="C22">
            <v>2</v>
          </cell>
          <cell r="D22">
            <v>35</v>
          </cell>
          <cell r="E22">
            <v>17.5</v>
          </cell>
          <cell r="F22" t="str">
            <v>Level 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10</v>
          </cell>
          <cell r="X22">
            <v>239</v>
          </cell>
          <cell r="Y22">
            <v>23.9</v>
          </cell>
          <cell r="Z22" t="str">
            <v>Level 1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>
            <v>2</v>
          </cell>
          <cell r="AF22">
            <v>37</v>
          </cell>
          <cell r="AG22">
            <v>18.5</v>
          </cell>
          <cell r="AH22" t="str">
            <v>Level 1</v>
          </cell>
          <cell r="AI22" t="str">
            <v>-</v>
          </cell>
          <cell r="AJ22" t="str">
            <v>-</v>
          </cell>
          <cell r="AK22" t="str">
            <v>-</v>
          </cell>
          <cell r="AL22" t="str">
            <v>-</v>
          </cell>
          <cell r="AM22" t="str">
            <v>-</v>
          </cell>
          <cell r="AN22" t="str">
            <v>-</v>
          </cell>
          <cell r="AO22" t="str">
            <v>-</v>
          </cell>
          <cell r="AP22" t="str">
            <v>-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  <cell r="AW22" t="str">
            <v>-</v>
          </cell>
          <cell r="AX22" t="str">
            <v>-</v>
          </cell>
          <cell r="AY22" t="str">
            <v>-</v>
          </cell>
          <cell r="AZ22" t="str">
            <v>-</v>
          </cell>
          <cell r="BA22" t="str">
            <v>-</v>
          </cell>
          <cell r="BB22" t="str">
            <v>-</v>
          </cell>
          <cell r="BC22" t="str">
            <v>-</v>
          </cell>
          <cell r="BD22" t="str">
            <v>-</v>
          </cell>
          <cell r="BE22" t="str">
            <v>-</v>
          </cell>
          <cell r="BF22" t="str">
            <v>-</v>
          </cell>
          <cell r="BG22" t="str">
            <v>-</v>
          </cell>
          <cell r="BH22" t="str">
            <v>-</v>
          </cell>
          <cell r="BI22" t="str">
            <v>-</v>
          </cell>
          <cell r="BJ22" t="str">
            <v>-</v>
          </cell>
          <cell r="BK22" t="str">
            <v>-</v>
          </cell>
          <cell r="BL22" t="str">
            <v>-</v>
          </cell>
          <cell r="BM22" t="str">
            <v>-</v>
          </cell>
          <cell r="BN22" t="str">
            <v>-</v>
          </cell>
          <cell r="BO22" t="str">
            <v>-</v>
          </cell>
          <cell r="BP22" t="str">
            <v>-</v>
          </cell>
          <cell r="BQ22" t="str">
            <v>-</v>
          </cell>
          <cell r="BR22" t="str">
            <v>-</v>
          </cell>
          <cell r="BS22" t="str">
            <v>-</v>
          </cell>
          <cell r="BT22" t="str">
            <v>-</v>
          </cell>
          <cell r="BU22" t="str">
            <v>-</v>
          </cell>
          <cell r="BV22" t="str">
            <v>-</v>
          </cell>
          <cell r="BW22" t="str">
            <v>-</v>
          </cell>
          <cell r="BX22" t="str">
            <v>-</v>
          </cell>
          <cell r="BY22" t="str">
            <v>-</v>
          </cell>
          <cell r="BZ22" t="str">
            <v>-</v>
          </cell>
          <cell r="CA22" t="str">
            <v>-</v>
          </cell>
          <cell r="CB22" t="str">
            <v>-</v>
          </cell>
          <cell r="CC22" t="str">
            <v>-</v>
          </cell>
          <cell r="CD22" t="str">
            <v>-</v>
          </cell>
          <cell r="CE22" t="str">
            <v>-</v>
          </cell>
          <cell r="CF22" t="str">
            <v>-</v>
          </cell>
          <cell r="CG22" t="str">
            <v>-</v>
          </cell>
          <cell r="CH22" t="str">
            <v>-</v>
          </cell>
          <cell r="CI22" t="str">
            <v>-</v>
          </cell>
          <cell r="CJ22" t="str">
            <v>-</v>
          </cell>
          <cell r="CK22" t="str">
            <v>-</v>
          </cell>
          <cell r="CL22" t="str">
            <v>-</v>
          </cell>
          <cell r="CM22" t="str">
            <v>-</v>
          </cell>
          <cell r="CN22" t="str">
            <v>-</v>
          </cell>
          <cell r="CO22" t="str">
            <v>-</v>
          </cell>
          <cell r="CP22" t="str">
            <v>-</v>
          </cell>
          <cell r="CQ22" t="str">
            <v>-</v>
          </cell>
          <cell r="CR22" t="str">
            <v>-</v>
          </cell>
          <cell r="CS22" t="str">
            <v>-</v>
          </cell>
          <cell r="CT22" t="str">
            <v>-</v>
          </cell>
          <cell r="CU22" t="str">
            <v>-</v>
          </cell>
          <cell r="CV22" t="str">
            <v>-</v>
          </cell>
          <cell r="CW22" t="str">
            <v>-</v>
          </cell>
          <cell r="CX22" t="str">
            <v>-</v>
          </cell>
          <cell r="CY22" t="str">
            <v>-</v>
          </cell>
          <cell r="CZ22" t="str">
            <v>-</v>
          </cell>
          <cell r="DA22" t="str">
            <v>-</v>
          </cell>
          <cell r="DB22" t="str">
            <v>-</v>
          </cell>
          <cell r="DC22" t="str">
            <v>-</v>
          </cell>
          <cell r="DD22" t="str">
            <v>-</v>
          </cell>
          <cell r="DE22" t="str">
            <v>-</v>
          </cell>
          <cell r="DF22" t="str">
            <v>-</v>
          </cell>
          <cell r="DG22" t="str">
            <v>-</v>
          </cell>
          <cell r="DH22" t="str">
            <v>-</v>
          </cell>
          <cell r="DI22" t="str">
            <v>-</v>
          </cell>
          <cell r="DJ22" t="str">
            <v>-</v>
          </cell>
          <cell r="DK22" t="str">
            <v>-</v>
          </cell>
          <cell r="DL22" t="str">
            <v>-</v>
          </cell>
          <cell r="DM22" t="str">
            <v>-</v>
          </cell>
          <cell r="DN22" t="str">
            <v>-</v>
          </cell>
          <cell r="DO22" t="str">
            <v>-</v>
          </cell>
          <cell r="DP22" t="str">
            <v>-</v>
          </cell>
          <cell r="DQ22" t="str">
            <v>-</v>
          </cell>
          <cell r="DR22" t="str">
            <v>-</v>
          </cell>
          <cell r="DS22" t="str">
            <v>-</v>
          </cell>
          <cell r="DT22" t="str">
            <v>-</v>
          </cell>
          <cell r="DU22" t="str">
            <v>-</v>
          </cell>
          <cell r="DV22" t="str">
            <v>-</v>
          </cell>
          <cell r="DW22" t="str">
            <v>-</v>
          </cell>
          <cell r="DX22" t="str">
            <v>-</v>
          </cell>
          <cell r="DY22" t="str">
            <v>-</v>
          </cell>
          <cell r="DZ22" t="str">
            <v>-</v>
          </cell>
          <cell r="EA22" t="str">
            <v>-</v>
          </cell>
          <cell r="EB22" t="str">
            <v>-</v>
          </cell>
          <cell r="EC22" t="str">
            <v>-</v>
          </cell>
          <cell r="ED22" t="str">
            <v>-</v>
          </cell>
          <cell r="EE22" t="str">
            <v>-</v>
          </cell>
          <cell r="EF22" t="str">
            <v>-</v>
          </cell>
          <cell r="EG22" t="str">
            <v>-</v>
          </cell>
          <cell r="EH22" t="str">
            <v>-</v>
          </cell>
          <cell r="EI22" t="str">
            <v>-</v>
          </cell>
          <cell r="EJ22" t="str">
            <v>-</v>
          </cell>
          <cell r="EK22" t="str">
            <v>-</v>
          </cell>
          <cell r="EL22" t="str">
            <v>-</v>
          </cell>
          <cell r="EM22" t="str">
            <v>-</v>
          </cell>
          <cell r="EN22" t="str">
            <v>-</v>
          </cell>
          <cell r="EO22" t="str">
            <v>-</v>
          </cell>
          <cell r="EP22" t="str">
            <v>-</v>
          </cell>
          <cell r="EQ22" t="str">
            <v>-</v>
          </cell>
          <cell r="ER22" t="str">
            <v>-</v>
          </cell>
          <cell r="ES22" t="str">
            <v>-</v>
          </cell>
          <cell r="ET22" t="str">
            <v>-</v>
          </cell>
          <cell r="EU22" t="str">
            <v>-</v>
          </cell>
          <cell r="EV22" t="str">
            <v>-</v>
          </cell>
          <cell r="EW22" t="str">
            <v>-</v>
          </cell>
          <cell r="EX22" t="str">
            <v>-</v>
          </cell>
          <cell r="EY22" t="str">
            <v>-</v>
          </cell>
          <cell r="EZ22" t="str">
            <v>-</v>
          </cell>
          <cell r="FA22" t="str">
            <v>-</v>
          </cell>
          <cell r="FB22" t="str">
            <v>-</v>
          </cell>
          <cell r="FC22" t="str">
            <v>-</v>
          </cell>
          <cell r="FD22" t="str">
            <v>-</v>
          </cell>
          <cell r="FE22" t="str">
            <v>-</v>
          </cell>
          <cell r="FF22" t="str">
            <v>-</v>
          </cell>
          <cell r="FG22" t="str">
            <v>-</v>
          </cell>
          <cell r="FH22" t="str">
            <v>-</v>
          </cell>
          <cell r="FI22" t="str">
            <v>-</v>
          </cell>
          <cell r="FJ22" t="str">
            <v>-</v>
          </cell>
          <cell r="FK22" t="str">
            <v>-</v>
          </cell>
          <cell r="FL22" t="str">
            <v>-</v>
          </cell>
          <cell r="FM22" t="str">
            <v>-</v>
          </cell>
          <cell r="FN22" t="str">
            <v>-</v>
          </cell>
          <cell r="FO22" t="str">
            <v>-</v>
          </cell>
          <cell r="FP22" t="str">
            <v>-</v>
          </cell>
          <cell r="FQ22" t="str">
            <v>-</v>
          </cell>
          <cell r="FR22" t="str">
            <v>-</v>
          </cell>
          <cell r="FS22" t="str">
            <v>-</v>
          </cell>
          <cell r="FT22" t="str">
            <v>-</v>
          </cell>
          <cell r="FU22" t="str">
            <v>-</v>
          </cell>
          <cell r="FV22" t="str">
            <v>-</v>
          </cell>
          <cell r="FW22" t="str">
            <v>-</v>
          </cell>
          <cell r="FX22" t="str">
            <v>-</v>
          </cell>
          <cell r="FY22" t="str">
            <v>-</v>
          </cell>
          <cell r="FZ22" t="str">
            <v>-</v>
          </cell>
          <cell r="GA22" t="str">
            <v>-</v>
          </cell>
        </row>
        <row r="23">
          <cell r="A23" t="str">
            <v>A0043</v>
          </cell>
          <cell r="B23" t="str">
            <v>RIYANI ARFARASARI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21</v>
          </cell>
          <cell r="M23">
            <v>21</v>
          </cell>
          <cell r="N23" t="str">
            <v>Level 1</v>
          </cell>
          <cell r="O23">
            <v>12</v>
          </cell>
          <cell r="P23">
            <v>395</v>
          </cell>
          <cell r="Q23">
            <v>32.916666666666664</v>
          </cell>
          <cell r="R23" t="str">
            <v>Level 2</v>
          </cell>
          <cell r="S23">
            <v>16</v>
          </cell>
          <cell r="T23">
            <v>446</v>
          </cell>
          <cell r="U23">
            <v>27.875</v>
          </cell>
          <cell r="V23" t="str">
            <v>Level 1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>
            <v>5</v>
          </cell>
          <cell r="AF23">
            <v>166</v>
          </cell>
          <cell r="AG23">
            <v>33.200000000000003</v>
          </cell>
          <cell r="AH23" t="str">
            <v>Level 2</v>
          </cell>
          <cell r="AI23">
            <v>23</v>
          </cell>
          <cell r="AJ23">
            <v>735</v>
          </cell>
          <cell r="AK23">
            <v>31.956521739130434</v>
          </cell>
          <cell r="AL23" t="str">
            <v>Level 2</v>
          </cell>
          <cell r="AM23">
            <v>27</v>
          </cell>
          <cell r="AN23">
            <v>958</v>
          </cell>
          <cell r="AO23">
            <v>35.481481481481481</v>
          </cell>
          <cell r="AP23" t="str">
            <v>Level 2</v>
          </cell>
          <cell r="AQ23">
            <v>23</v>
          </cell>
          <cell r="AR23">
            <v>808</v>
          </cell>
          <cell r="AS23">
            <v>35.130434782608695</v>
          </cell>
          <cell r="AT23" t="str">
            <v>Level 2</v>
          </cell>
          <cell r="AU23">
            <v>27</v>
          </cell>
          <cell r="AV23">
            <v>1116</v>
          </cell>
          <cell r="AW23">
            <v>41.333333333333336</v>
          </cell>
          <cell r="AX23" t="str">
            <v>Level 3</v>
          </cell>
          <cell r="AY23">
            <v>22</v>
          </cell>
          <cell r="AZ23">
            <v>869</v>
          </cell>
          <cell r="BA23">
            <v>39.5</v>
          </cell>
          <cell r="BB23" t="str">
            <v>Level 2</v>
          </cell>
          <cell r="BC23">
            <v>15</v>
          </cell>
          <cell r="BD23">
            <v>582</v>
          </cell>
          <cell r="BE23">
            <v>38.799999999999997</v>
          </cell>
          <cell r="BF23" t="str">
            <v>Level 2</v>
          </cell>
          <cell r="BG23">
            <v>13</v>
          </cell>
          <cell r="BH23">
            <v>510</v>
          </cell>
          <cell r="BI23">
            <v>39.230769230769234</v>
          </cell>
          <cell r="BJ23" t="str">
            <v>Level 2</v>
          </cell>
          <cell r="BK23">
            <v>12</v>
          </cell>
          <cell r="BL23">
            <v>518</v>
          </cell>
          <cell r="BM23">
            <v>43.166666666666664</v>
          </cell>
          <cell r="BN23" t="str">
            <v>Level 3</v>
          </cell>
          <cell r="BO23" t="str">
            <v>-</v>
          </cell>
          <cell r="BP23" t="str">
            <v>-</v>
          </cell>
          <cell r="BQ23" t="str">
            <v>-</v>
          </cell>
          <cell r="BR23" t="str">
            <v>-</v>
          </cell>
          <cell r="BS23">
            <v>11</v>
          </cell>
          <cell r="BT23">
            <v>500</v>
          </cell>
          <cell r="BU23">
            <v>45.454545454545453</v>
          </cell>
          <cell r="BV23" t="str">
            <v>Level 3</v>
          </cell>
          <cell r="BW23">
            <v>5</v>
          </cell>
          <cell r="BX23">
            <v>173</v>
          </cell>
          <cell r="BY23">
            <v>34.6</v>
          </cell>
          <cell r="BZ23" t="str">
            <v>Level 2</v>
          </cell>
          <cell r="CA23">
            <v>7</v>
          </cell>
          <cell r="CB23">
            <v>214</v>
          </cell>
          <cell r="CC23">
            <v>30.571428571428573</v>
          </cell>
          <cell r="CD23" t="str">
            <v>Level 2</v>
          </cell>
          <cell r="CE23">
            <v>2</v>
          </cell>
          <cell r="CF23">
            <v>72</v>
          </cell>
          <cell r="CG23">
            <v>36</v>
          </cell>
          <cell r="CH23" t="str">
            <v>Level 2</v>
          </cell>
          <cell r="CI23">
            <v>6</v>
          </cell>
          <cell r="CJ23">
            <v>225</v>
          </cell>
          <cell r="CK23">
            <v>37.5</v>
          </cell>
          <cell r="CL23" t="str">
            <v>Level 2</v>
          </cell>
          <cell r="CM23" t="str">
            <v>-</v>
          </cell>
          <cell r="CN23" t="str">
            <v>-</v>
          </cell>
          <cell r="CO23" t="str">
            <v>-</v>
          </cell>
          <cell r="CP23" t="str">
            <v>-</v>
          </cell>
          <cell r="CQ23">
            <v>10</v>
          </cell>
          <cell r="CR23">
            <v>349</v>
          </cell>
          <cell r="CS23">
            <v>34.9</v>
          </cell>
          <cell r="CT23" t="str">
            <v>Level 2</v>
          </cell>
          <cell r="CU23">
            <v>26</v>
          </cell>
          <cell r="CV23">
            <v>1021</v>
          </cell>
          <cell r="CW23">
            <v>39.269230769230766</v>
          </cell>
          <cell r="CX23" t="str">
            <v>Level 2</v>
          </cell>
          <cell r="CY23">
            <v>27</v>
          </cell>
          <cell r="CZ23">
            <v>1058</v>
          </cell>
          <cell r="DA23">
            <v>39.185185185185183</v>
          </cell>
          <cell r="DB23" t="str">
            <v>Level 2</v>
          </cell>
          <cell r="DC23">
            <v>25</v>
          </cell>
          <cell r="DD23">
            <v>1066</v>
          </cell>
          <cell r="DE23">
            <v>42.64</v>
          </cell>
          <cell r="DF23" t="str">
            <v>Level 3</v>
          </cell>
          <cell r="DG23">
            <v>25</v>
          </cell>
          <cell r="DH23">
            <v>1205</v>
          </cell>
          <cell r="DI23">
            <v>48.2</v>
          </cell>
          <cell r="DJ23" t="str">
            <v>Level 3</v>
          </cell>
          <cell r="DK23">
            <v>22</v>
          </cell>
          <cell r="DL23">
            <v>737</v>
          </cell>
          <cell r="DM23">
            <v>33.5</v>
          </cell>
          <cell r="DN23" t="str">
            <v>Level 2</v>
          </cell>
          <cell r="DO23">
            <v>26</v>
          </cell>
          <cell r="DP23">
            <v>988</v>
          </cell>
          <cell r="DQ23">
            <v>38</v>
          </cell>
          <cell r="DR23" t="str">
            <v>Level 2</v>
          </cell>
          <cell r="DS23">
            <v>26</v>
          </cell>
          <cell r="DT23">
            <v>986</v>
          </cell>
          <cell r="DU23">
            <v>37.92307692307692</v>
          </cell>
          <cell r="DV23" t="str">
            <v>Level 2</v>
          </cell>
          <cell r="DW23">
            <v>26</v>
          </cell>
          <cell r="DX23">
            <v>1220</v>
          </cell>
          <cell r="DY23">
            <v>46.92307692307692</v>
          </cell>
          <cell r="DZ23" t="str">
            <v>Level 3</v>
          </cell>
          <cell r="EA23">
            <v>24</v>
          </cell>
          <cell r="EB23">
            <v>1068</v>
          </cell>
          <cell r="EC23">
            <v>44.5</v>
          </cell>
          <cell r="ED23" t="str">
            <v>Level 3</v>
          </cell>
          <cell r="EE23">
            <v>26</v>
          </cell>
          <cell r="EF23">
            <v>1060</v>
          </cell>
          <cell r="EG23">
            <v>40.769230769230766</v>
          </cell>
          <cell r="EH23" t="str">
            <v>Level 3</v>
          </cell>
          <cell r="EI23">
            <v>21</v>
          </cell>
          <cell r="EJ23">
            <v>861</v>
          </cell>
          <cell r="EK23">
            <v>41</v>
          </cell>
          <cell r="EL23" t="str">
            <v>Level 3</v>
          </cell>
          <cell r="EM23">
            <v>28</v>
          </cell>
          <cell r="EN23">
            <v>1286</v>
          </cell>
          <cell r="EO23">
            <v>45.928571428571431</v>
          </cell>
          <cell r="EP23" t="str">
            <v>Level 3</v>
          </cell>
          <cell r="EQ23">
            <v>21</v>
          </cell>
          <cell r="ER23">
            <v>821</v>
          </cell>
          <cell r="ES23">
            <v>39.095238095238095</v>
          </cell>
          <cell r="ET23" t="str">
            <v>Level 2</v>
          </cell>
          <cell r="EU23">
            <v>24</v>
          </cell>
          <cell r="EV23">
            <v>1132</v>
          </cell>
          <cell r="EW23">
            <v>47.166666666666664</v>
          </cell>
          <cell r="EX23" t="str">
            <v>Level 3</v>
          </cell>
          <cell r="EY23">
            <v>21</v>
          </cell>
          <cell r="EZ23">
            <v>855</v>
          </cell>
          <cell r="FA23">
            <v>40.714285714285715</v>
          </cell>
          <cell r="FB23" t="str">
            <v>Level 3</v>
          </cell>
          <cell r="FC23">
            <v>25</v>
          </cell>
          <cell r="FD23">
            <v>1025</v>
          </cell>
          <cell r="FE23">
            <v>41</v>
          </cell>
          <cell r="FF23" t="str">
            <v>Level 3</v>
          </cell>
          <cell r="FG23">
            <v>17</v>
          </cell>
          <cell r="FH23">
            <v>568</v>
          </cell>
          <cell r="FI23">
            <v>33.411764705882355</v>
          </cell>
          <cell r="FJ23" t="str">
            <v>Level 2</v>
          </cell>
          <cell r="FK23">
            <v>26</v>
          </cell>
          <cell r="FL23">
            <v>1214</v>
          </cell>
          <cell r="FM23">
            <v>46.692307692307693</v>
          </cell>
          <cell r="FN23" t="str">
            <v>Level 3</v>
          </cell>
          <cell r="FO23">
            <v>22</v>
          </cell>
          <cell r="FP23">
            <v>1281</v>
          </cell>
          <cell r="FQ23">
            <v>58.227272727272727</v>
          </cell>
          <cell r="FR23" t="str">
            <v>Level 3</v>
          </cell>
          <cell r="FS23">
            <v>25</v>
          </cell>
          <cell r="FT23">
            <v>1278</v>
          </cell>
          <cell r="FU23">
            <v>51.12</v>
          </cell>
          <cell r="FV23" t="str">
            <v>Level 3</v>
          </cell>
          <cell r="FW23">
            <v>23</v>
          </cell>
          <cell r="FX23">
            <v>1170</v>
          </cell>
          <cell r="FY23">
            <v>50.869565217391305</v>
          </cell>
          <cell r="FZ23" t="str">
            <v>Level 3</v>
          </cell>
          <cell r="GA23">
            <v>24</v>
          </cell>
        </row>
        <row r="24">
          <cell r="A24">
            <v>90095</v>
          </cell>
          <cell r="B24" t="str">
            <v>INEXCELCIS DEO SURYADI</v>
          </cell>
          <cell r="C24">
            <v>20</v>
          </cell>
          <cell r="D24">
            <v>641</v>
          </cell>
          <cell r="E24">
            <v>32.049999999999997</v>
          </cell>
          <cell r="F24" t="str">
            <v>Level 2</v>
          </cell>
          <cell r="G24">
            <v>19</v>
          </cell>
          <cell r="H24">
            <v>591</v>
          </cell>
          <cell r="I24">
            <v>31.105263157894736</v>
          </cell>
          <cell r="J24" t="str">
            <v>Level 2</v>
          </cell>
          <cell r="K24">
            <v>12</v>
          </cell>
          <cell r="L24">
            <v>307</v>
          </cell>
          <cell r="M24">
            <v>25.583333333333332</v>
          </cell>
          <cell r="N24" t="str">
            <v>Level 1</v>
          </cell>
          <cell r="O24">
            <v>18</v>
          </cell>
          <cell r="P24">
            <v>425</v>
          </cell>
          <cell r="Q24">
            <v>23.611111111111111</v>
          </cell>
          <cell r="R24" t="str">
            <v>Level 1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>
            <v>4</v>
          </cell>
          <cell r="AZ24">
            <v>99</v>
          </cell>
          <cell r="BA24">
            <v>24.75</v>
          </cell>
          <cell r="BB24" t="str">
            <v>Level 1</v>
          </cell>
          <cell r="BC24" t="str">
            <v>-</v>
          </cell>
          <cell r="BD24" t="str">
            <v>-</v>
          </cell>
          <cell r="BE24" t="str">
            <v>-</v>
          </cell>
          <cell r="BF24" t="str">
            <v>-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 t="str">
            <v>-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-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 t="str">
            <v>-</v>
          </cell>
          <cell r="CN24" t="str">
            <v>-</v>
          </cell>
          <cell r="CO24" t="str">
            <v>-</v>
          </cell>
          <cell r="CP24" t="str">
            <v>-</v>
          </cell>
          <cell r="CQ24" t="str">
            <v>-</v>
          </cell>
          <cell r="CR24" t="str">
            <v>-</v>
          </cell>
          <cell r="CS24" t="str">
            <v>-</v>
          </cell>
          <cell r="CT24" t="str">
            <v>-</v>
          </cell>
          <cell r="CU24" t="str">
            <v>-</v>
          </cell>
          <cell r="CV24" t="str">
            <v>-</v>
          </cell>
          <cell r="CW24" t="str">
            <v>-</v>
          </cell>
          <cell r="CX24" t="str">
            <v>-</v>
          </cell>
          <cell r="CY24" t="str">
            <v>-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 t="str">
            <v>-</v>
          </cell>
          <cell r="DX24" t="str">
            <v>-</v>
          </cell>
          <cell r="DY24" t="str">
            <v>-</v>
          </cell>
          <cell r="DZ24" t="str">
            <v>-</v>
          </cell>
          <cell r="EA24" t="str">
            <v>-</v>
          </cell>
          <cell r="EB24" t="str">
            <v>-</v>
          </cell>
          <cell r="EC24" t="str">
            <v>-</v>
          </cell>
          <cell r="ED24" t="str">
            <v>-</v>
          </cell>
          <cell r="EE24" t="str">
            <v>-</v>
          </cell>
          <cell r="EF24" t="str">
            <v>-</v>
          </cell>
          <cell r="EG24" t="str">
            <v>-</v>
          </cell>
          <cell r="EH24" t="str">
            <v>-</v>
          </cell>
          <cell r="EI24" t="str">
            <v>-</v>
          </cell>
          <cell r="EJ24" t="str">
            <v>-</v>
          </cell>
          <cell r="EK24" t="str">
            <v>-</v>
          </cell>
          <cell r="EL24" t="str">
            <v>-</v>
          </cell>
          <cell r="EM24" t="str">
            <v>-</v>
          </cell>
          <cell r="EN24" t="str">
            <v>-</v>
          </cell>
          <cell r="EO24" t="str">
            <v>-</v>
          </cell>
          <cell r="EP24" t="str">
            <v>-</v>
          </cell>
          <cell r="EQ24" t="str">
            <v>-</v>
          </cell>
          <cell r="ER24" t="str">
            <v>-</v>
          </cell>
          <cell r="ES24" t="str">
            <v>-</v>
          </cell>
          <cell r="ET24" t="str">
            <v>-</v>
          </cell>
          <cell r="EU24" t="str">
            <v>-</v>
          </cell>
          <cell r="EV24" t="str">
            <v>-</v>
          </cell>
          <cell r="EW24" t="str">
            <v>-</v>
          </cell>
          <cell r="EX24" t="str">
            <v>-</v>
          </cell>
          <cell r="EY24" t="str">
            <v>-</v>
          </cell>
          <cell r="EZ24" t="str">
            <v>-</v>
          </cell>
          <cell r="FA24" t="str">
            <v>-</v>
          </cell>
          <cell r="FB24" t="str">
            <v>-</v>
          </cell>
          <cell r="FC24" t="str">
            <v>-</v>
          </cell>
          <cell r="FD24" t="str">
            <v>-</v>
          </cell>
          <cell r="FE24" t="str">
            <v>-</v>
          </cell>
          <cell r="FF24" t="str">
            <v>-</v>
          </cell>
          <cell r="FG24" t="str">
            <v>-</v>
          </cell>
          <cell r="FH24" t="str">
            <v>-</v>
          </cell>
          <cell r="FI24" t="str">
            <v>-</v>
          </cell>
          <cell r="FJ24" t="str">
            <v>-</v>
          </cell>
          <cell r="FK24" t="str">
            <v>-</v>
          </cell>
          <cell r="FL24" t="str">
            <v>-</v>
          </cell>
          <cell r="FM24" t="str">
            <v>-</v>
          </cell>
          <cell r="FN24" t="str">
            <v>-</v>
          </cell>
          <cell r="FO24" t="str">
            <v>-</v>
          </cell>
          <cell r="FP24" t="str">
            <v>-</v>
          </cell>
          <cell r="FQ24" t="str">
            <v>-</v>
          </cell>
          <cell r="FR24" t="str">
            <v>-</v>
          </cell>
          <cell r="FS24" t="str">
            <v>-</v>
          </cell>
          <cell r="FT24" t="str">
            <v>-</v>
          </cell>
          <cell r="FU24" t="str">
            <v>-</v>
          </cell>
          <cell r="FV24" t="str">
            <v>-</v>
          </cell>
          <cell r="FW24" t="str">
            <v>-</v>
          </cell>
          <cell r="FX24" t="str">
            <v>-</v>
          </cell>
          <cell r="FY24" t="str">
            <v>-</v>
          </cell>
          <cell r="FZ24" t="str">
            <v>-</v>
          </cell>
          <cell r="GA24" t="str">
            <v>-</v>
          </cell>
        </row>
        <row r="25">
          <cell r="A25">
            <v>92500</v>
          </cell>
          <cell r="B25" t="str">
            <v>AULIA FARAH</v>
          </cell>
          <cell r="C25">
            <v>4</v>
          </cell>
          <cell r="D25">
            <v>99</v>
          </cell>
          <cell r="E25">
            <v>24.75</v>
          </cell>
          <cell r="F25" t="str">
            <v>Level 1</v>
          </cell>
          <cell r="G25">
            <v>1</v>
          </cell>
          <cell r="H25">
            <v>40</v>
          </cell>
          <cell r="I25">
            <v>40</v>
          </cell>
          <cell r="J25" t="str">
            <v>Level 3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H25" t="str">
            <v>-</v>
          </cell>
          <cell r="AI25" t="str">
            <v>-</v>
          </cell>
          <cell r="AJ25" t="str">
            <v>-</v>
          </cell>
          <cell r="AK25" t="str">
            <v>-</v>
          </cell>
          <cell r="AL25" t="str">
            <v>-</v>
          </cell>
          <cell r="AM25" t="str">
            <v>-</v>
          </cell>
          <cell r="AN25" t="str">
            <v>-</v>
          </cell>
          <cell r="AO25" t="str">
            <v>-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  <cell r="AW25" t="str">
            <v>-</v>
          </cell>
          <cell r="AX25" t="str">
            <v>-</v>
          </cell>
          <cell r="AY25" t="str">
            <v>-</v>
          </cell>
          <cell r="AZ25" t="str">
            <v>-</v>
          </cell>
          <cell r="BA25" t="str">
            <v>-</v>
          </cell>
          <cell r="BB25" t="str">
            <v>-</v>
          </cell>
          <cell r="BC25" t="str">
            <v>-</v>
          </cell>
          <cell r="BD25" t="str">
            <v>-</v>
          </cell>
          <cell r="BE25" t="str">
            <v>-</v>
          </cell>
          <cell r="BF25" t="str">
            <v>-</v>
          </cell>
          <cell r="BG25" t="str">
            <v>-</v>
          </cell>
          <cell r="BH25" t="str">
            <v>-</v>
          </cell>
          <cell r="BI25" t="str">
            <v>-</v>
          </cell>
          <cell r="BJ25" t="str">
            <v>-</v>
          </cell>
          <cell r="BK25" t="str">
            <v>-</v>
          </cell>
          <cell r="BL25" t="str">
            <v>-</v>
          </cell>
          <cell r="BM25" t="str">
            <v>-</v>
          </cell>
          <cell r="BN25" t="str">
            <v>-</v>
          </cell>
          <cell r="BO25" t="str">
            <v>-</v>
          </cell>
          <cell r="BP25" t="str">
            <v>-</v>
          </cell>
          <cell r="BQ25" t="str">
            <v>-</v>
          </cell>
          <cell r="BR25" t="str">
            <v>-</v>
          </cell>
          <cell r="BS25" t="str">
            <v>-</v>
          </cell>
          <cell r="BT25" t="str">
            <v>-</v>
          </cell>
          <cell r="BU25" t="str">
            <v>-</v>
          </cell>
          <cell r="BV25" t="str">
            <v>-</v>
          </cell>
          <cell r="BW25" t="str">
            <v>-</v>
          </cell>
          <cell r="BX25" t="str">
            <v>-</v>
          </cell>
          <cell r="BY25" t="str">
            <v>-</v>
          </cell>
          <cell r="BZ25" t="str">
            <v>-</v>
          </cell>
          <cell r="CA25" t="str">
            <v>-</v>
          </cell>
          <cell r="CB25" t="str">
            <v>-</v>
          </cell>
          <cell r="CC25" t="str">
            <v>-</v>
          </cell>
          <cell r="CD25" t="str">
            <v>-</v>
          </cell>
          <cell r="CE25" t="str">
            <v>-</v>
          </cell>
          <cell r="CF25" t="str">
            <v>-</v>
          </cell>
          <cell r="CG25" t="str">
            <v>-</v>
          </cell>
          <cell r="CH25" t="str">
            <v>-</v>
          </cell>
          <cell r="CI25" t="str">
            <v>-</v>
          </cell>
          <cell r="CJ25" t="str">
            <v>-</v>
          </cell>
          <cell r="CK25" t="str">
            <v>-</v>
          </cell>
          <cell r="CL25" t="str">
            <v>-</v>
          </cell>
          <cell r="CM25" t="str">
            <v>-</v>
          </cell>
          <cell r="CN25" t="str">
            <v>-</v>
          </cell>
          <cell r="CO25" t="str">
            <v>-</v>
          </cell>
          <cell r="CP25" t="str">
            <v>-</v>
          </cell>
          <cell r="CQ25" t="str">
            <v>-</v>
          </cell>
          <cell r="CR25" t="str">
            <v>-</v>
          </cell>
          <cell r="CS25" t="str">
            <v>-</v>
          </cell>
          <cell r="CT25" t="str">
            <v>-</v>
          </cell>
          <cell r="CU25" t="str">
            <v>-</v>
          </cell>
          <cell r="CV25" t="str">
            <v>-</v>
          </cell>
          <cell r="CW25" t="str">
            <v>-</v>
          </cell>
          <cell r="CX25" t="str">
            <v>-</v>
          </cell>
          <cell r="CY25" t="str">
            <v>-</v>
          </cell>
          <cell r="CZ25" t="str">
            <v>-</v>
          </cell>
          <cell r="DA25" t="str">
            <v>-</v>
          </cell>
          <cell r="DB25" t="str">
            <v>-</v>
          </cell>
          <cell r="DC25" t="str">
            <v>-</v>
          </cell>
          <cell r="DD25" t="str">
            <v>-</v>
          </cell>
          <cell r="DE25" t="str">
            <v>-</v>
          </cell>
          <cell r="DF25" t="str">
            <v>-</v>
          </cell>
          <cell r="DG25" t="str">
            <v>-</v>
          </cell>
          <cell r="DH25" t="str">
            <v>-</v>
          </cell>
          <cell r="DI25" t="str">
            <v>-</v>
          </cell>
          <cell r="DJ25" t="str">
            <v>-</v>
          </cell>
          <cell r="DK25" t="str">
            <v>-</v>
          </cell>
          <cell r="DL25" t="str">
            <v>-</v>
          </cell>
          <cell r="DM25" t="str">
            <v>-</v>
          </cell>
          <cell r="DN25" t="str">
            <v>-</v>
          </cell>
          <cell r="DO25" t="str">
            <v>-</v>
          </cell>
          <cell r="DP25" t="str">
            <v>-</v>
          </cell>
          <cell r="DQ25" t="str">
            <v>-</v>
          </cell>
          <cell r="DR25" t="str">
            <v>-</v>
          </cell>
          <cell r="DS25" t="str">
            <v>-</v>
          </cell>
          <cell r="DT25" t="str">
            <v>-</v>
          </cell>
          <cell r="DU25" t="str">
            <v>-</v>
          </cell>
          <cell r="DV25" t="str">
            <v>-</v>
          </cell>
          <cell r="DW25" t="str">
            <v>-</v>
          </cell>
          <cell r="DX25" t="str">
            <v>-</v>
          </cell>
          <cell r="DY25" t="str">
            <v>-</v>
          </cell>
          <cell r="DZ25" t="str">
            <v>-</v>
          </cell>
          <cell r="EA25" t="str">
            <v>-</v>
          </cell>
          <cell r="EB25" t="str">
            <v>-</v>
          </cell>
          <cell r="EC25" t="str">
            <v>-</v>
          </cell>
          <cell r="ED25" t="str">
            <v>-</v>
          </cell>
          <cell r="EE25" t="str">
            <v>-</v>
          </cell>
          <cell r="EF25" t="str">
            <v>-</v>
          </cell>
          <cell r="EG25" t="str">
            <v>-</v>
          </cell>
          <cell r="EH25" t="str">
            <v>-</v>
          </cell>
          <cell r="EI25" t="str">
            <v>-</v>
          </cell>
          <cell r="EJ25" t="str">
            <v>-</v>
          </cell>
          <cell r="EK25" t="str">
            <v>-</v>
          </cell>
          <cell r="EL25" t="str">
            <v>-</v>
          </cell>
          <cell r="EM25" t="str">
            <v>-</v>
          </cell>
          <cell r="EN25" t="str">
            <v>-</v>
          </cell>
          <cell r="EO25" t="str">
            <v>-</v>
          </cell>
          <cell r="EP25" t="str">
            <v>-</v>
          </cell>
          <cell r="EQ25" t="str">
            <v>-</v>
          </cell>
          <cell r="ER25" t="str">
            <v>-</v>
          </cell>
          <cell r="ES25" t="str">
            <v>-</v>
          </cell>
          <cell r="ET25" t="str">
            <v>-</v>
          </cell>
          <cell r="EU25" t="str">
            <v>-</v>
          </cell>
          <cell r="EV25" t="str">
            <v>-</v>
          </cell>
          <cell r="EW25" t="str">
            <v>-</v>
          </cell>
          <cell r="EX25" t="str">
            <v>-</v>
          </cell>
          <cell r="EY25" t="str">
            <v>-</v>
          </cell>
          <cell r="EZ25" t="str">
            <v>-</v>
          </cell>
          <cell r="FA25" t="str">
            <v>-</v>
          </cell>
          <cell r="FB25" t="str">
            <v>-</v>
          </cell>
          <cell r="FC25" t="str">
            <v>-</v>
          </cell>
          <cell r="FD25" t="str">
            <v>-</v>
          </cell>
          <cell r="FE25" t="str">
            <v>-</v>
          </cell>
          <cell r="FF25" t="str">
            <v>-</v>
          </cell>
          <cell r="FG25" t="str">
            <v>-</v>
          </cell>
          <cell r="FH25" t="str">
            <v>-</v>
          </cell>
          <cell r="FI25" t="str">
            <v>-</v>
          </cell>
          <cell r="FJ25" t="str">
            <v>-</v>
          </cell>
          <cell r="FK25" t="str">
            <v>-</v>
          </cell>
          <cell r="FL25" t="str">
            <v>-</v>
          </cell>
          <cell r="FM25" t="str">
            <v>-</v>
          </cell>
          <cell r="FN25" t="str">
            <v>-</v>
          </cell>
          <cell r="FO25" t="str">
            <v>-</v>
          </cell>
          <cell r="FP25" t="str">
            <v>-</v>
          </cell>
          <cell r="FQ25" t="str">
            <v>-</v>
          </cell>
          <cell r="FR25" t="str">
            <v>-</v>
          </cell>
          <cell r="FS25">
            <v>10</v>
          </cell>
          <cell r="FT25">
            <v>258</v>
          </cell>
          <cell r="FU25">
            <v>25.8</v>
          </cell>
          <cell r="FV25" t="str">
            <v>Level 1</v>
          </cell>
          <cell r="FW25">
            <v>2</v>
          </cell>
          <cell r="FX25">
            <v>73</v>
          </cell>
          <cell r="FY25">
            <v>36.5</v>
          </cell>
          <cell r="FZ25" t="str">
            <v>Level 2</v>
          </cell>
          <cell r="GA25">
            <v>6</v>
          </cell>
        </row>
        <row r="26">
          <cell r="A26">
            <v>92573</v>
          </cell>
          <cell r="B26" t="str">
            <v>Fahmi Setianto</v>
          </cell>
          <cell r="C26">
            <v>2</v>
          </cell>
          <cell r="D26">
            <v>32</v>
          </cell>
          <cell r="E26">
            <v>16</v>
          </cell>
          <cell r="F26" t="str">
            <v>Level 1</v>
          </cell>
          <cell r="G26">
            <v>2</v>
          </cell>
          <cell r="H26">
            <v>59</v>
          </cell>
          <cell r="I26">
            <v>29.5</v>
          </cell>
          <cell r="J26" t="str">
            <v>Level 2</v>
          </cell>
          <cell r="K26">
            <v>1</v>
          </cell>
          <cell r="L26">
            <v>18</v>
          </cell>
          <cell r="M26">
            <v>18</v>
          </cell>
          <cell r="N26" t="str">
            <v>Level 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 t="str">
            <v>-</v>
          </cell>
          <cell r="AH26" t="str">
            <v>-</v>
          </cell>
          <cell r="AI26" t="str">
            <v>-</v>
          </cell>
          <cell r="AJ26" t="str">
            <v>-</v>
          </cell>
          <cell r="AK26" t="str">
            <v>-</v>
          </cell>
          <cell r="AL26" t="str">
            <v>-</v>
          </cell>
          <cell r="AM26" t="str">
            <v>-</v>
          </cell>
          <cell r="AN26" t="str">
            <v>-</v>
          </cell>
          <cell r="AO26" t="str">
            <v>-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  <cell r="AW26" t="str">
            <v>-</v>
          </cell>
          <cell r="AX26" t="str">
            <v>-</v>
          </cell>
          <cell r="AY26" t="str">
            <v>-</v>
          </cell>
          <cell r="AZ26" t="str">
            <v>-</v>
          </cell>
          <cell r="BA26" t="str">
            <v>-</v>
          </cell>
          <cell r="BB26" t="str">
            <v>-</v>
          </cell>
          <cell r="BC26" t="str">
            <v>-</v>
          </cell>
          <cell r="BD26" t="str">
            <v>-</v>
          </cell>
          <cell r="BE26" t="str">
            <v>-</v>
          </cell>
          <cell r="BF26" t="str">
            <v>-</v>
          </cell>
          <cell r="BG26" t="str">
            <v>-</v>
          </cell>
          <cell r="BH26" t="str">
            <v>-</v>
          </cell>
          <cell r="BI26" t="str">
            <v>-</v>
          </cell>
          <cell r="BJ26" t="str">
            <v>-</v>
          </cell>
          <cell r="BK26" t="str">
            <v>-</v>
          </cell>
          <cell r="BL26" t="str">
            <v>-</v>
          </cell>
          <cell r="BM26" t="str">
            <v>-</v>
          </cell>
          <cell r="BN26" t="str">
            <v>-</v>
          </cell>
          <cell r="BO26" t="str">
            <v>-</v>
          </cell>
          <cell r="BP26" t="str">
            <v>-</v>
          </cell>
          <cell r="BQ26" t="str">
            <v>-</v>
          </cell>
          <cell r="BR26" t="str">
            <v>-</v>
          </cell>
          <cell r="BS26" t="str">
            <v>-</v>
          </cell>
          <cell r="BT26" t="str">
            <v>-</v>
          </cell>
          <cell r="BU26" t="str">
            <v>-</v>
          </cell>
          <cell r="BV26" t="str">
            <v>-</v>
          </cell>
          <cell r="BW26" t="str">
            <v>-</v>
          </cell>
          <cell r="BX26" t="str">
            <v>-</v>
          </cell>
          <cell r="BY26" t="str">
            <v>-</v>
          </cell>
          <cell r="BZ26" t="str">
            <v>-</v>
          </cell>
          <cell r="CA26" t="str">
            <v>-</v>
          </cell>
          <cell r="CB26" t="str">
            <v>-</v>
          </cell>
          <cell r="CC26" t="str">
            <v>-</v>
          </cell>
          <cell r="CD26" t="str">
            <v>-</v>
          </cell>
          <cell r="CE26" t="str">
            <v>-</v>
          </cell>
          <cell r="CF26" t="str">
            <v>-</v>
          </cell>
          <cell r="CG26" t="str">
            <v>-</v>
          </cell>
          <cell r="CH26" t="str">
            <v>-</v>
          </cell>
          <cell r="CI26" t="str">
            <v>-</v>
          </cell>
          <cell r="CJ26" t="str">
            <v>-</v>
          </cell>
          <cell r="CK26" t="str">
            <v>-</v>
          </cell>
          <cell r="CL26" t="str">
            <v>-</v>
          </cell>
          <cell r="CM26" t="str">
            <v>-</v>
          </cell>
          <cell r="CN26" t="str">
            <v>-</v>
          </cell>
          <cell r="CO26" t="str">
            <v>-</v>
          </cell>
          <cell r="CP26" t="str">
            <v>-</v>
          </cell>
          <cell r="CQ26" t="str">
            <v>-</v>
          </cell>
          <cell r="CR26" t="str">
            <v>-</v>
          </cell>
          <cell r="CS26" t="str">
            <v>-</v>
          </cell>
          <cell r="CT26" t="str">
            <v>-</v>
          </cell>
          <cell r="CU26" t="str">
            <v>-</v>
          </cell>
          <cell r="CV26" t="str">
            <v>-</v>
          </cell>
          <cell r="CW26" t="str">
            <v>-</v>
          </cell>
          <cell r="CX26" t="str">
            <v>-</v>
          </cell>
          <cell r="CY26" t="str">
            <v>-</v>
          </cell>
          <cell r="CZ26" t="str">
            <v>-</v>
          </cell>
          <cell r="DA26" t="str">
            <v>-</v>
          </cell>
          <cell r="DB26" t="str">
            <v>-</v>
          </cell>
          <cell r="DC26" t="str">
            <v>-</v>
          </cell>
          <cell r="DD26" t="str">
            <v>-</v>
          </cell>
          <cell r="DE26" t="str">
            <v>-</v>
          </cell>
          <cell r="DF26" t="str">
            <v>-</v>
          </cell>
          <cell r="DG26" t="str">
            <v>-</v>
          </cell>
          <cell r="DH26" t="str">
            <v>-</v>
          </cell>
          <cell r="DI26" t="str">
            <v>-</v>
          </cell>
          <cell r="DJ26" t="str">
            <v>-</v>
          </cell>
          <cell r="DK26" t="str">
            <v>-</v>
          </cell>
          <cell r="DL26" t="str">
            <v>-</v>
          </cell>
          <cell r="DM26" t="str">
            <v>-</v>
          </cell>
          <cell r="DN26" t="str">
            <v>-</v>
          </cell>
          <cell r="DO26" t="str">
            <v>-</v>
          </cell>
          <cell r="DP26" t="str">
            <v>-</v>
          </cell>
          <cell r="DQ26" t="str">
            <v>-</v>
          </cell>
          <cell r="DR26" t="str">
            <v>-</v>
          </cell>
          <cell r="DS26" t="str">
            <v>-</v>
          </cell>
          <cell r="DT26" t="str">
            <v>-</v>
          </cell>
          <cell r="DU26" t="str">
            <v>-</v>
          </cell>
          <cell r="DV26" t="str">
            <v>-</v>
          </cell>
          <cell r="DW26" t="str">
            <v>-</v>
          </cell>
          <cell r="DX26" t="str">
            <v>-</v>
          </cell>
          <cell r="DY26" t="str">
            <v>-</v>
          </cell>
          <cell r="DZ26" t="str">
            <v>-</v>
          </cell>
          <cell r="EA26" t="str">
            <v>-</v>
          </cell>
          <cell r="EB26" t="str">
            <v>-</v>
          </cell>
          <cell r="EC26" t="str">
            <v>-</v>
          </cell>
          <cell r="ED26" t="str">
            <v>-</v>
          </cell>
          <cell r="EE26" t="str">
            <v>-</v>
          </cell>
          <cell r="EF26" t="str">
            <v>-</v>
          </cell>
          <cell r="EG26" t="str">
            <v>-</v>
          </cell>
          <cell r="EH26" t="str">
            <v>-</v>
          </cell>
          <cell r="EI26" t="str">
            <v>-</v>
          </cell>
          <cell r="EJ26" t="str">
            <v>-</v>
          </cell>
          <cell r="EK26" t="str">
            <v>-</v>
          </cell>
          <cell r="EL26" t="str">
            <v>-</v>
          </cell>
          <cell r="EM26" t="str">
            <v>-</v>
          </cell>
          <cell r="EN26" t="str">
            <v>-</v>
          </cell>
          <cell r="EO26" t="str">
            <v>-</v>
          </cell>
          <cell r="EP26" t="str">
            <v>-</v>
          </cell>
          <cell r="EQ26" t="str">
            <v>-</v>
          </cell>
          <cell r="ER26" t="str">
            <v>-</v>
          </cell>
          <cell r="ES26" t="str">
            <v>-</v>
          </cell>
          <cell r="ET26" t="str">
            <v>-</v>
          </cell>
          <cell r="EU26" t="str">
            <v>-</v>
          </cell>
          <cell r="EV26" t="str">
            <v>-</v>
          </cell>
          <cell r="EW26" t="str">
            <v>-</v>
          </cell>
          <cell r="EX26" t="str">
            <v>-</v>
          </cell>
          <cell r="EY26" t="str">
            <v>-</v>
          </cell>
          <cell r="EZ26" t="str">
            <v>-</v>
          </cell>
          <cell r="FA26" t="str">
            <v>-</v>
          </cell>
          <cell r="FB26" t="str">
            <v>-</v>
          </cell>
          <cell r="FC26" t="str">
            <v>-</v>
          </cell>
          <cell r="FD26" t="str">
            <v>-</v>
          </cell>
          <cell r="FE26" t="str">
            <v>-</v>
          </cell>
          <cell r="FF26" t="str">
            <v>-</v>
          </cell>
          <cell r="FG26" t="str">
            <v>-</v>
          </cell>
          <cell r="FH26" t="str">
            <v>-</v>
          </cell>
          <cell r="FI26" t="str">
            <v>-</v>
          </cell>
          <cell r="FJ26" t="str">
            <v>-</v>
          </cell>
          <cell r="FK26" t="str">
            <v>-</v>
          </cell>
          <cell r="FL26" t="str">
            <v>-</v>
          </cell>
          <cell r="FM26" t="str">
            <v>-</v>
          </cell>
          <cell r="FN26" t="str">
            <v>-</v>
          </cell>
          <cell r="FO26" t="str">
            <v>-</v>
          </cell>
          <cell r="FP26" t="str">
            <v>-</v>
          </cell>
          <cell r="FQ26" t="str">
            <v>-</v>
          </cell>
          <cell r="FR26" t="str">
            <v>-</v>
          </cell>
          <cell r="FS26" t="str">
            <v>-</v>
          </cell>
          <cell r="FT26" t="str">
            <v>-</v>
          </cell>
          <cell r="FU26" t="str">
            <v>-</v>
          </cell>
          <cell r="FV26" t="str">
            <v>-</v>
          </cell>
          <cell r="FW26" t="str">
            <v>-</v>
          </cell>
          <cell r="FX26" t="str">
            <v>-</v>
          </cell>
          <cell r="FY26" t="str">
            <v>-</v>
          </cell>
          <cell r="FZ26" t="str">
            <v>-</v>
          </cell>
          <cell r="GA26" t="str">
            <v>-</v>
          </cell>
        </row>
        <row r="27">
          <cell r="A27">
            <v>92154</v>
          </cell>
          <cell r="B27" t="str">
            <v>BRABAT PRAMUDITO</v>
          </cell>
          <cell r="C27">
            <v>12</v>
          </cell>
          <cell r="D27">
            <v>260</v>
          </cell>
          <cell r="E27">
            <v>21.666666666666668</v>
          </cell>
          <cell r="F27" t="str">
            <v>Level 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H27" t="str">
            <v>-</v>
          </cell>
          <cell r="AI27" t="str">
            <v>-</v>
          </cell>
          <cell r="AJ27" t="str">
            <v>-</v>
          </cell>
          <cell r="AK27" t="str">
            <v>-</v>
          </cell>
          <cell r="AL27" t="str">
            <v>-</v>
          </cell>
          <cell r="AM27" t="str">
            <v>-</v>
          </cell>
          <cell r="AN27" t="str">
            <v>-</v>
          </cell>
          <cell r="AO27" t="str">
            <v>-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  <cell r="AW27" t="str">
            <v>-</v>
          </cell>
          <cell r="AX27" t="str">
            <v>-</v>
          </cell>
          <cell r="AY27" t="str">
            <v>-</v>
          </cell>
          <cell r="AZ27" t="str">
            <v>-</v>
          </cell>
          <cell r="BA27" t="str">
            <v>-</v>
          </cell>
          <cell r="BB27" t="str">
            <v>-</v>
          </cell>
          <cell r="BC27" t="str">
            <v>-</v>
          </cell>
          <cell r="BD27" t="str">
            <v>-</v>
          </cell>
          <cell r="BE27" t="str">
            <v>-</v>
          </cell>
          <cell r="BF27" t="str">
            <v>-</v>
          </cell>
          <cell r="BG27" t="str">
            <v>-</v>
          </cell>
          <cell r="BH27" t="str">
            <v>-</v>
          </cell>
          <cell r="BI27" t="str">
            <v>-</v>
          </cell>
          <cell r="BJ27" t="str">
            <v>-</v>
          </cell>
          <cell r="BK27" t="str">
            <v>-</v>
          </cell>
          <cell r="BL27" t="str">
            <v>-</v>
          </cell>
          <cell r="BM27" t="str">
            <v>-</v>
          </cell>
          <cell r="BN27" t="str">
            <v>-</v>
          </cell>
          <cell r="BO27" t="str">
            <v>-</v>
          </cell>
          <cell r="BP27" t="str">
            <v>-</v>
          </cell>
          <cell r="BQ27" t="str">
            <v>-</v>
          </cell>
          <cell r="BR27" t="str">
            <v>-</v>
          </cell>
          <cell r="BS27" t="str">
            <v>-</v>
          </cell>
          <cell r="BT27" t="str">
            <v>-</v>
          </cell>
          <cell r="BU27" t="str">
            <v>-</v>
          </cell>
          <cell r="BV27" t="str">
            <v>-</v>
          </cell>
          <cell r="BW27" t="str">
            <v>-</v>
          </cell>
          <cell r="BX27" t="str">
            <v>-</v>
          </cell>
          <cell r="BY27" t="str">
            <v>-</v>
          </cell>
          <cell r="BZ27" t="str">
            <v>-</v>
          </cell>
          <cell r="CA27" t="str">
            <v>-</v>
          </cell>
          <cell r="CB27" t="str">
            <v>-</v>
          </cell>
          <cell r="CC27" t="str">
            <v>-</v>
          </cell>
          <cell r="CD27" t="str">
            <v>-</v>
          </cell>
          <cell r="CE27" t="str">
            <v>-</v>
          </cell>
          <cell r="CF27" t="str">
            <v>-</v>
          </cell>
          <cell r="CG27" t="str">
            <v>-</v>
          </cell>
          <cell r="CH27" t="str">
            <v>-</v>
          </cell>
          <cell r="CI27" t="str">
            <v>-</v>
          </cell>
          <cell r="CJ27" t="str">
            <v>-</v>
          </cell>
          <cell r="CK27" t="str">
            <v>-</v>
          </cell>
          <cell r="CL27" t="str">
            <v>-</v>
          </cell>
          <cell r="CM27" t="str">
            <v>-</v>
          </cell>
          <cell r="CN27" t="str">
            <v>-</v>
          </cell>
          <cell r="CO27" t="str">
            <v>-</v>
          </cell>
          <cell r="CP27" t="str">
            <v>-</v>
          </cell>
          <cell r="CQ27" t="str">
            <v>-</v>
          </cell>
          <cell r="CR27" t="str">
            <v>-</v>
          </cell>
          <cell r="CS27" t="str">
            <v>-</v>
          </cell>
          <cell r="CT27" t="str">
            <v>-</v>
          </cell>
          <cell r="CU27" t="str">
            <v>-</v>
          </cell>
          <cell r="CV27" t="str">
            <v>-</v>
          </cell>
          <cell r="CW27" t="str">
            <v>-</v>
          </cell>
          <cell r="CX27" t="str">
            <v>-</v>
          </cell>
          <cell r="CY27" t="str">
            <v>-</v>
          </cell>
          <cell r="CZ27" t="str">
            <v>-</v>
          </cell>
          <cell r="DA27" t="str">
            <v>-</v>
          </cell>
          <cell r="DB27" t="str">
            <v>-</v>
          </cell>
          <cell r="DC27" t="str">
            <v>-</v>
          </cell>
          <cell r="DD27" t="str">
            <v>-</v>
          </cell>
          <cell r="DE27" t="str">
            <v>-</v>
          </cell>
          <cell r="DF27" t="str">
            <v>-</v>
          </cell>
          <cell r="DG27" t="str">
            <v>-</v>
          </cell>
          <cell r="DH27" t="str">
            <v>-</v>
          </cell>
          <cell r="DI27" t="str">
            <v>-</v>
          </cell>
          <cell r="DJ27" t="str">
            <v>-</v>
          </cell>
          <cell r="DK27" t="str">
            <v>-</v>
          </cell>
          <cell r="DL27" t="str">
            <v>-</v>
          </cell>
          <cell r="DM27" t="str">
            <v>-</v>
          </cell>
          <cell r="DN27" t="str">
            <v>-</v>
          </cell>
          <cell r="DO27" t="str">
            <v>-</v>
          </cell>
          <cell r="DP27" t="str">
            <v>-</v>
          </cell>
          <cell r="DQ27" t="str">
            <v>-</v>
          </cell>
          <cell r="DR27" t="str">
            <v>-</v>
          </cell>
          <cell r="DS27" t="str">
            <v>-</v>
          </cell>
          <cell r="DT27" t="str">
            <v>-</v>
          </cell>
          <cell r="DU27" t="str">
            <v>-</v>
          </cell>
          <cell r="DV27" t="str">
            <v>-</v>
          </cell>
          <cell r="DW27" t="str">
            <v>-</v>
          </cell>
          <cell r="DX27" t="str">
            <v>-</v>
          </cell>
          <cell r="DY27" t="str">
            <v>-</v>
          </cell>
          <cell r="DZ27" t="str">
            <v>-</v>
          </cell>
          <cell r="EA27" t="str">
            <v>-</v>
          </cell>
          <cell r="EB27" t="str">
            <v>-</v>
          </cell>
          <cell r="EC27" t="str">
            <v>-</v>
          </cell>
          <cell r="ED27" t="str">
            <v>-</v>
          </cell>
          <cell r="EE27" t="str">
            <v>-</v>
          </cell>
          <cell r="EF27" t="str">
            <v>-</v>
          </cell>
          <cell r="EG27" t="str">
            <v>-</v>
          </cell>
          <cell r="EH27" t="str">
            <v>-</v>
          </cell>
          <cell r="EI27" t="str">
            <v>-</v>
          </cell>
          <cell r="EJ27" t="str">
            <v>-</v>
          </cell>
          <cell r="EK27" t="str">
            <v>-</v>
          </cell>
          <cell r="EL27" t="str">
            <v>-</v>
          </cell>
          <cell r="EM27" t="str">
            <v>-</v>
          </cell>
          <cell r="EN27" t="str">
            <v>-</v>
          </cell>
          <cell r="EO27" t="str">
            <v>-</v>
          </cell>
          <cell r="EP27" t="str">
            <v>-</v>
          </cell>
          <cell r="EQ27" t="str">
            <v>-</v>
          </cell>
          <cell r="ER27" t="str">
            <v>-</v>
          </cell>
          <cell r="ES27" t="str">
            <v>-</v>
          </cell>
          <cell r="ET27" t="str">
            <v>-</v>
          </cell>
          <cell r="EU27" t="str">
            <v>-</v>
          </cell>
          <cell r="EV27" t="str">
            <v>-</v>
          </cell>
          <cell r="EW27" t="str">
            <v>-</v>
          </cell>
          <cell r="EX27" t="str">
            <v>-</v>
          </cell>
          <cell r="EY27" t="str">
            <v>-</v>
          </cell>
          <cell r="EZ27" t="str">
            <v>-</v>
          </cell>
          <cell r="FA27" t="str">
            <v>-</v>
          </cell>
          <cell r="FB27" t="str">
            <v>-</v>
          </cell>
          <cell r="FC27" t="str">
            <v>-</v>
          </cell>
          <cell r="FD27" t="str">
            <v>-</v>
          </cell>
          <cell r="FE27" t="str">
            <v>-</v>
          </cell>
          <cell r="FF27" t="str">
            <v>-</v>
          </cell>
          <cell r="FG27" t="str">
            <v>-</v>
          </cell>
          <cell r="FH27" t="str">
            <v>-</v>
          </cell>
          <cell r="FI27" t="str">
            <v>-</v>
          </cell>
          <cell r="FJ27" t="str">
            <v>-</v>
          </cell>
          <cell r="FK27" t="str">
            <v>-</v>
          </cell>
          <cell r="FL27" t="str">
            <v>-</v>
          </cell>
          <cell r="FM27" t="str">
            <v>-</v>
          </cell>
          <cell r="FN27" t="str">
            <v>-</v>
          </cell>
          <cell r="FO27" t="str">
            <v>-</v>
          </cell>
          <cell r="FP27" t="str">
            <v>-</v>
          </cell>
          <cell r="FQ27" t="str">
            <v>-</v>
          </cell>
          <cell r="FR27" t="str">
            <v>-</v>
          </cell>
          <cell r="FS27" t="str">
            <v>-</v>
          </cell>
          <cell r="FT27" t="str">
            <v>-</v>
          </cell>
          <cell r="FU27" t="str">
            <v>-</v>
          </cell>
          <cell r="FV27" t="str">
            <v>-</v>
          </cell>
          <cell r="FW27" t="str">
            <v>-</v>
          </cell>
          <cell r="FX27" t="str">
            <v>-</v>
          </cell>
          <cell r="FY27" t="str">
            <v>-</v>
          </cell>
          <cell r="FZ27" t="str">
            <v>-</v>
          </cell>
          <cell r="GA27" t="str">
            <v>-</v>
          </cell>
        </row>
        <row r="28">
          <cell r="A28">
            <v>90733</v>
          </cell>
          <cell r="B28" t="str">
            <v>CHINTYA AMELYA PUTRI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</v>
          </cell>
          <cell r="H28">
            <v>17</v>
          </cell>
          <cell r="I28">
            <v>17</v>
          </cell>
          <cell r="J28" t="str">
            <v>Level 1</v>
          </cell>
          <cell r="K28">
            <v>2</v>
          </cell>
          <cell r="L28">
            <v>29</v>
          </cell>
          <cell r="M28">
            <v>14.5</v>
          </cell>
          <cell r="N28" t="str">
            <v>Level 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 t="str">
            <v>-</v>
          </cell>
          <cell r="AH28" t="str">
            <v>-</v>
          </cell>
          <cell r="AI28" t="str">
            <v>-</v>
          </cell>
          <cell r="AJ28" t="str">
            <v>-</v>
          </cell>
          <cell r="AK28" t="str">
            <v>-</v>
          </cell>
          <cell r="AL28" t="str">
            <v>-</v>
          </cell>
          <cell r="AM28" t="str">
            <v>-</v>
          </cell>
          <cell r="AN28" t="str">
            <v>-</v>
          </cell>
          <cell r="AO28" t="str">
            <v>-</v>
          </cell>
          <cell r="AP28" t="str">
            <v>-</v>
          </cell>
          <cell r="AQ28" t="str">
            <v>-</v>
          </cell>
          <cell r="AR28" t="str">
            <v>-</v>
          </cell>
          <cell r="AS28" t="str">
            <v>-</v>
          </cell>
          <cell r="AT28" t="str">
            <v>-</v>
          </cell>
          <cell r="AU28" t="str">
            <v>-</v>
          </cell>
          <cell r="AV28" t="str">
            <v>-</v>
          </cell>
          <cell r="AW28" t="str">
            <v>-</v>
          </cell>
          <cell r="AX28" t="str">
            <v>-</v>
          </cell>
          <cell r="AY28" t="str">
            <v>-</v>
          </cell>
          <cell r="AZ28" t="str">
            <v>-</v>
          </cell>
          <cell r="BA28" t="str">
            <v>-</v>
          </cell>
          <cell r="BB28" t="str">
            <v>-</v>
          </cell>
          <cell r="BC28" t="str">
            <v>-</v>
          </cell>
          <cell r="BD28" t="str">
            <v>-</v>
          </cell>
          <cell r="BE28" t="str">
            <v>-</v>
          </cell>
          <cell r="BF28" t="str">
            <v>-</v>
          </cell>
          <cell r="BG28" t="str">
            <v>-</v>
          </cell>
          <cell r="BH28" t="str">
            <v>-</v>
          </cell>
          <cell r="BI28" t="str">
            <v>-</v>
          </cell>
          <cell r="BJ28" t="str">
            <v>-</v>
          </cell>
          <cell r="BK28" t="str">
            <v>-</v>
          </cell>
          <cell r="BL28" t="str">
            <v>-</v>
          </cell>
          <cell r="BM28" t="str">
            <v>-</v>
          </cell>
          <cell r="BN28" t="str">
            <v>-</v>
          </cell>
          <cell r="BO28" t="str">
            <v>-</v>
          </cell>
          <cell r="BP28" t="str">
            <v>-</v>
          </cell>
          <cell r="BQ28" t="str">
            <v>-</v>
          </cell>
          <cell r="BR28" t="str">
            <v>-</v>
          </cell>
          <cell r="BS28" t="str">
            <v>-</v>
          </cell>
          <cell r="BT28" t="str">
            <v>-</v>
          </cell>
          <cell r="BU28" t="str">
            <v>-</v>
          </cell>
          <cell r="BV28" t="str">
            <v>-</v>
          </cell>
          <cell r="BW28" t="str">
            <v>-</v>
          </cell>
          <cell r="BX28" t="str">
            <v>-</v>
          </cell>
          <cell r="BY28" t="str">
            <v>-</v>
          </cell>
          <cell r="BZ28" t="str">
            <v>-</v>
          </cell>
          <cell r="CA28" t="str">
            <v>-</v>
          </cell>
          <cell r="CB28" t="str">
            <v>-</v>
          </cell>
          <cell r="CC28" t="str">
            <v>-</v>
          </cell>
          <cell r="CD28" t="str">
            <v>-</v>
          </cell>
          <cell r="CE28" t="str">
            <v>-</v>
          </cell>
          <cell r="CF28" t="str">
            <v>-</v>
          </cell>
          <cell r="CG28" t="str">
            <v>-</v>
          </cell>
          <cell r="CH28" t="str">
            <v>-</v>
          </cell>
          <cell r="CI28" t="str">
            <v>-</v>
          </cell>
          <cell r="CJ28" t="str">
            <v>-</v>
          </cell>
          <cell r="CK28" t="str">
            <v>-</v>
          </cell>
          <cell r="CL28" t="str">
            <v>-</v>
          </cell>
          <cell r="CM28" t="str">
            <v>-</v>
          </cell>
          <cell r="CN28" t="str">
            <v>-</v>
          </cell>
          <cell r="CO28" t="str">
            <v>-</v>
          </cell>
          <cell r="CP28" t="str">
            <v>-</v>
          </cell>
          <cell r="CQ28" t="str">
            <v>-</v>
          </cell>
          <cell r="CR28" t="str">
            <v>-</v>
          </cell>
          <cell r="CS28" t="str">
            <v>-</v>
          </cell>
          <cell r="CT28" t="str">
            <v>-</v>
          </cell>
          <cell r="CU28" t="str">
            <v>-</v>
          </cell>
          <cell r="CV28" t="str">
            <v>-</v>
          </cell>
          <cell r="CW28" t="str">
            <v>-</v>
          </cell>
          <cell r="CX28" t="str">
            <v>-</v>
          </cell>
          <cell r="CY28" t="str">
            <v>-</v>
          </cell>
          <cell r="CZ28" t="str">
            <v>-</v>
          </cell>
          <cell r="DA28" t="str">
            <v>-</v>
          </cell>
          <cell r="DB28" t="str">
            <v>-</v>
          </cell>
          <cell r="DC28" t="str">
            <v>-</v>
          </cell>
          <cell r="DD28" t="str">
            <v>-</v>
          </cell>
          <cell r="DE28" t="str">
            <v>-</v>
          </cell>
          <cell r="DF28" t="str">
            <v>-</v>
          </cell>
          <cell r="DG28" t="str">
            <v>-</v>
          </cell>
          <cell r="DH28" t="str">
            <v>-</v>
          </cell>
          <cell r="DI28" t="str">
            <v>-</v>
          </cell>
          <cell r="DJ28" t="str">
            <v>-</v>
          </cell>
          <cell r="DK28" t="str">
            <v>-</v>
          </cell>
          <cell r="DL28" t="str">
            <v>-</v>
          </cell>
          <cell r="DM28" t="str">
            <v>-</v>
          </cell>
          <cell r="DN28" t="str">
            <v>-</v>
          </cell>
          <cell r="DO28" t="str">
            <v>-</v>
          </cell>
          <cell r="DP28" t="str">
            <v>-</v>
          </cell>
          <cell r="DQ28" t="str">
            <v>-</v>
          </cell>
          <cell r="DR28" t="str">
            <v>-</v>
          </cell>
          <cell r="DS28" t="str">
            <v>-</v>
          </cell>
          <cell r="DT28" t="str">
            <v>-</v>
          </cell>
          <cell r="DU28" t="str">
            <v>-</v>
          </cell>
          <cell r="DV28" t="str">
            <v>-</v>
          </cell>
          <cell r="DW28" t="str">
            <v>-</v>
          </cell>
          <cell r="DX28" t="str">
            <v>-</v>
          </cell>
          <cell r="DY28" t="str">
            <v>-</v>
          </cell>
          <cell r="DZ28" t="str">
            <v>-</v>
          </cell>
          <cell r="EA28" t="str">
            <v>-</v>
          </cell>
          <cell r="EB28" t="str">
            <v>-</v>
          </cell>
          <cell r="EC28" t="str">
            <v>-</v>
          </cell>
          <cell r="ED28" t="str">
            <v>-</v>
          </cell>
          <cell r="EE28" t="str">
            <v>-</v>
          </cell>
          <cell r="EF28" t="str">
            <v>-</v>
          </cell>
          <cell r="EG28" t="str">
            <v>-</v>
          </cell>
          <cell r="EH28" t="str">
            <v>-</v>
          </cell>
          <cell r="EI28" t="str">
            <v>-</v>
          </cell>
          <cell r="EJ28" t="str">
            <v>-</v>
          </cell>
          <cell r="EK28" t="str">
            <v>-</v>
          </cell>
          <cell r="EL28" t="str">
            <v>-</v>
          </cell>
          <cell r="EM28" t="str">
            <v>-</v>
          </cell>
          <cell r="EN28" t="str">
            <v>-</v>
          </cell>
          <cell r="EO28" t="str">
            <v>-</v>
          </cell>
          <cell r="EP28" t="str">
            <v>-</v>
          </cell>
          <cell r="EQ28" t="str">
            <v>-</v>
          </cell>
          <cell r="ER28" t="str">
            <v>-</v>
          </cell>
          <cell r="ES28" t="str">
            <v>-</v>
          </cell>
          <cell r="ET28" t="str">
            <v>-</v>
          </cell>
          <cell r="EU28" t="str">
            <v>-</v>
          </cell>
          <cell r="EV28" t="str">
            <v>-</v>
          </cell>
          <cell r="EW28" t="str">
            <v>-</v>
          </cell>
          <cell r="EX28" t="str">
            <v>-</v>
          </cell>
          <cell r="EY28" t="str">
            <v>-</v>
          </cell>
          <cell r="EZ28" t="str">
            <v>-</v>
          </cell>
          <cell r="FA28" t="str">
            <v>-</v>
          </cell>
          <cell r="FB28" t="str">
            <v>-</v>
          </cell>
          <cell r="FC28" t="str">
            <v>-</v>
          </cell>
          <cell r="FD28" t="str">
            <v>-</v>
          </cell>
          <cell r="FE28" t="str">
            <v>-</v>
          </cell>
          <cell r="FF28" t="str">
            <v>-</v>
          </cell>
          <cell r="FG28" t="str">
            <v>-</v>
          </cell>
          <cell r="FH28" t="str">
            <v>-</v>
          </cell>
          <cell r="FI28" t="str">
            <v>-</v>
          </cell>
          <cell r="FJ28" t="str">
            <v>-</v>
          </cell>
          <cell r="FK28" t="str">
            <v>-</v>
          </cell>
          <cell r="FL28" t="str">
            <v>-</v>
          </cell>
          <cell r="FM28" t="str">
            <v>-</v>
          </cell>
          <cell r="FN28" t="str">
            <v>-</v>
          </cell>
          <cell r="FO28" t="str">
            <v>-</v>
          </cell>
          <cell r="FP28" t="str">
            <v>-</v>
          </cell>
          <cell r="FQ28" t="str">
            <v>-</v>
          </cell>
          <cell r="FR28" t="str">
            <v>-</v>
          </cell>
          <cell r="FS28" t="str">
            <v>-</v>
          </cell>
          <cell r="FT28" t="str">
            <v>-</v>
          </cell>
          <cell r="FU28" t="str">
            <v>-</v>
          </cell>
          <cell r="FV28" t="str">
            <v>-</v>
          </cell>
          <cell r="FW28" t="str">
            <v>-</v>
          </cell>
          <cell r="FX28" t="str">
            <v>-</v>
          </cell>
          <cell r="FY28" t="str">
            <v>-</v>
          </cell>
          <cell r="FZ28" t="str">
            <v>-</v>
          </cell>
          <cell r="GA28" t="str">
            <v>-</v>
          </cell>
        </row>
        <row r="29">
          <cell r="A29">
            <v>90744</v>
          </cell>
          <cell r="B29" t="str">
            <v>GABRIELLA YOVITA MARLASARI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 t="str">
            <v>-</v>
          </cell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  <cell r="AM29" t="str">
            <v>-</v>
          </cell>
          <cell r="AN29" t="str">
            <v>-</v>
          </cell>
          <cell r="AO29" t="str">
            <v>-</v>
          </cell>
          <cell r="AP29" t="str">
            <v>-</v>
          </cell>
          <cell r="AQ29" t="str">
            <v>-</v>
          </cell>
          <cell r="AR29" t="str">
            <v>-</v>
          </cell>
          <cell r="AS29" t="str">
            <v>-</v>
          </cell>
          <cell r="AT29" t="str">
            <v>-</v>
          </cell>
          <cell r="AU29" t="str">
            <v>-</v>
          </cell>
          <cell r="AV29" t="str">
            <v>-</v>
          </cell>
          <cell r="AW29" t="str">
            <v>-</v>
          </cell>
          <cell r="AX29" t="str">
            <v>-</v>
          </cell>
          <cell r="AY29" t="str">
            <v>-</v>
          </cell>
          <cell r="AZ29" t="str">
            <v>-</v>
          </cell>
          <cell r="BA29" t="str">
            <v>-</v>
          </cell>
          <cell r="BB29" t="str">
            <v>-</v>
          </cell>
          <cell r="BC29" t="str">
            <v>-</v>
          </cell>
          <cell r="BD29" t="str">
            <v>-</v>
          </cell>
          <cell r="BE29" t="str">
            <v>-</v>
          </cell>
          <cell r="BF29" t="str">
            <v>-</v>
          </cell>
          <cell r="BG29" t="str">
            <v>-</v>
          </cell>
          <cell r="BH29" t="str">
            <v>-</v>
          </cell>
          <cell r="BI29" t="str">
            <v>-</v>
          </cell>
          <cell r="BJ29" t="str">
            <v>-</v>
          </cell>
          <cell r="BK29" t="str">
            <v>-</v>
          </cell>
          <cell r="BL29" t="str">
            <v>-</v>
          </cell>
          <cell r="BM29" t="str">
            <v>-</v>
          </cell>
          <cell r="BN29" t="str">
            <v>-</v>
          </cell>
          <cell r="BO29" t="str">
            <v>-</v>
          </cell>
          <cell r="BP29" t="str">
            <v>-</v>
          </cell>
          <cell r="BQ29" t="str">
            <v>-</v>
          </cell>
          <cell r="BR29" t="str">
            <v>-</v>
          </cell>
          <cell r="BS29" t="str">
            <v>-</v>
          </cell>
          <cell r="BT29" t="str">
            <v>-</v>
          </cell>
          <cell r="BU29" t="str">
            <v>-</v>
          </cell>
          <cell r="BV29" t="str">
            <v>-</v>
          </cell>
          <cell r="BW29" t="str">
            <v>-</v>
          </cell>
          <cell r="BX29" t="str">
            <v>-</v>
          </cell>
          <cell r="BY29" t="str">
            <v>-</v>
          </cell>
          <cell r="BZ29" t="str">
            <v>-</v>
          </cell>
          <cell r="CA29" t="str">
            <v>-</v>
          </cell>
          <cell r="CB29" t="str">
            <v>-</v>
          </cell>
          <cell r="CC29" t="str">
            <v>-</v>
          </cell>
          <cell r="CD29" t="str">
            <v>-</v>
          </cell>
          <cell r="CE29" t="str">
            <v>-</v>
          </cell>
          <cell r="CF29" t="str">
            <v>-</v>
          </cell>
          <cell r="CG29" t="str">
            <v>-</v>
          </cell>
          <cell r="CH29" t="str">
            <v>-</v>
          </cell>
          <cell r="CI29" t="str">
            <v>-</v>
          </cell>
          <cell r="CJ29" t="str">
            <v>-</v>
          </cell>
          <cell r="CK29" t="str">
            <v>-</v>
          </cell>
          <cell r="CL29" t="str">
            <v>-</v>
          </cell>
          <cell r="CM29" t="str">
            <v>-</v>
          </cell>
          <cell r="CN29" t="str">
            <v>-</v>
          </cell>
          <cell r="CO29" t="str">
            <v>-</v>
          </cell>
          <cell r="CP29" t="str">
            <v>-</v>
          </cell>
          <cell r="CQ29" t="str">
            <v>-</v>
          </cell>
          <cell r="CR29" t="str">
            <v>-</v>
          </cell>
          <cell r="CS29" t="str">
            <v>-</v>
          </cell>
          <cell r="CT29" t="str">
            <v>-</v>
          </cell>
          <cell r="CU29" t="str">
            <v>-</v>
          </cell>
          <cell r="CV29" t="str">
            <v>-</v>
          </cell>
          <cell r="CW29" t="str">
            <v>-</v>
          </cell>
          <cell r="CX29" t="str">
            <v>-</v>
          </cell>
          <cell r="CY29" t="str">
            <v>-</v>
          </cell>
          <cell r="CZ29" t="str">
            <v>-</v>
          </cell>
          <cell r="DA29" t="str">
            <v>-</v>
          </cell>
          <cell r="DB29" t="str">
            <v>-</v>
          </cell>
          <cell r="DC29" t="str">
            <v>-</v>
          </cell>
          <cell r="DD29" t="str">
            <v>-</v>
          </cell>
          <cell r="DE29" t="str">
            <v>-</v>
          </cell>
          <cell r="DF29" t="str">
            <v>-</v>
          </cell>
          <cell r="DG29" t="str">
            <v>-</v>
          </cell>
          <cell r="DH29" t="str">
            <v>-</v>
          </cell>
          <cell r="DI29" t="str">
            <v>-</v>
          </cell>
          <cell r="DJ29" t="str">
            <v>-</v>
          </cell>
          <cell r="DK29" t="str">
            <v>-</v>
          </cell>
          <cell r="DL29" t="str">
            <v>-</v>
          </cell>
          <cell r="DM29" t="str">
            <v>-</v>
          </cell>
          <cell r="DN29" t="str">
            <v>-</v>
          </cell>
          <cell r="DO29" t="str">
            <v>-</v>
          </cell>
          <cell r="DP29" t="str">
            <v>-</v>
          </cell>
          <cell r="DQ29" t="str">
            <v>-</v>
          </cell>
          <cell r="DR29" t="str">
            <v>-</v>
          </cell>
          <cell r="DS29" t="str">
            <v>-</v>
          </cell>
          <cell r="DT29" t="str">
            <v>-</v>
          </cell>
          <cell r="DU29" t="str">
            <v>-</v>
          </cell>
          <cell r="DV29" t="str">
            <v>-</v>
          </cell>
          <cell r="DW29" t="str">
            <v>-</v>
          </cell>
          <cell r="DX29" t="str">
            <v>-</v>
          </cell>
          <cell r="DY29" t="str">
            <v>-</v>
          </cell>
          <cell r="DZ29" t="str">
            <v>-</v>
          </cell>
          <cell r="EA29" t="str">
            <v>-</v>
          </cell>
          <cell r="EB29" t="str">
            <v>-</v>
          </cell>
          <cell r="EC29" t="str">
            <v>-</v>
          </cell>
          <cell r="ED29" t="str">
            <v>-</v>
          </cell>
          <cell r="EE29" t="str">
            <v>-</v>
          </cell>
          <cell r="EF29" t="str">
            <v>-</v>
          </cell>
          <cell r="EG29" t="str">
            <v>-</v>
          </cell>
          <cell r="EH29" t="str">
            <v>-</v>
          </cell>
          <cell r="EI29" t="str">
            <v>-</v>
          </cell>
          <cell r="EJ29" t="str">
            <v>-</v>
          </cell>
          <cell r="EK29" t="str">
            <v>-</v>
          </cell>
          <cell r="EL29" t="str">
            <v>-</v>
          </cell>
          <cell r="EM29" t="str">
            <v>-</v>
          </cell>
          <cell r="EN29" t="str">
            <v>-</v>
          </cell>
          <cell r="EO29" t="str">
            <v>-</v>
          </cell>
          <cell r="EP29" t="str">
            <v>-</v>
          </cell>
          <cell r="EQ29" t="str">
            <v>-</v>
          </cell>
          <cell r="ER29" t="str">
            <v>-</v>
          </cell>
          <cell r="ES29" t="str">
            <v>-</v>
          </cell>
          <cell r="ET29" t="str">
            <v>-</v>
          </cell>
          <cell r="EU29" t="str">
            <v>-</v>
          </cell>
          <cell r="EV29" t="str">
            <v>-</v>
          </cell>
          <cell r="EW29" t="str">
            <v>-</v>
          </cell>
          <cell r="EX29" t="str">
            <v>-</v>
          </cell>
          <cell r="EY29" t="str">
            <v>-</v>
          </cell>
          <cell r="EZ29" t="str">
            <v>-</v>
          </cell>
          <cell r="FA29" t="str">
            <v>-</v>
          </cell>
          <cell r="FB29" t="str">
            <v>-</v>
          </cell>
          <cell r="FC29" t="str">
            <v>-</v>
          </cell>
          <cell r="FD29" t="str">
            <v>-</v>
          </cell>
          <cell r="FE29" t="str">
            <v>-</v>
          </cell>
          <cell r="FF29" t="str">
            <v>-</v>
          </cell>
          <cell r="FG29" t="str">
            <v>-</v>
          </cell>
          <cell r="FH29" t="str">
            <v>-</v>
          </cell>
          <cell r="FI29" t="str">
            <v>-</v>
          </cell>
          <cell r="FJ29" t="str">
            <v>-</v>
          </cell>
          <cell r="FK29" t="str">
            <v>-</v>
          </cell>
          <cell r="FL29" t="str">
            <v>-</v>
          </cell>
          <cell r="FM29" t="str">
            <v>-</v>
          </cell>
          <cell r="FN29" t="str">
            <v>-</v>
          </cell>
          <cell r="FO29" t="str">
            <v>-</v>
          </cell>
          <cell r="FP29" t="str">
            <v>-</v>
          </cell>
          <cell r="FQ29" t="str">
            <v>-</v>
          </cell>
          <cell r="FR29" t="str">
            <v>-</v>
          </cell>
          <cell r="FS29" t="str">
            <v>-</v>
          </cell>
          <cell r="FT29" t="str">
            <v>-</v>
          </cell>
          <cell r="FU29" t="str">
            <v>-</v>
          </cell>
          <cell r="FV29" t="str">
            <v>-</v>
          </cell>
          <cell r="FW29" t="str">
            <v>-</v>
          </cell>
          <cell r="FX29" t="str">
            <v>-</v>
          </cell>
          <cell r="FY29" t="str">
            <v>-</v>
          </cell>
          <cell r="FZ29" t="str">
            <v>-</v>
          </cell>
          <cell r="GA29" t="str">
            <v>-</v>
          </cell>
        </row>
        <row r="30">
          <cell r="A30" t="str">
            <v>A0158</v>
          </cell>
          <cell r="B30" t="str">
            <v>Fifi Amini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3</v>
          </cell>
          <cell r="T30">
            <v>58</v>
          </cell>
          <cell r="U30">
            <v>19.333333333333332</v>
          </cell>
          <cell r="V30" t="str">
            <v>Level 1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-</v>
          </cell>
          <cell r="AE30">
            <v>10</v>
          </cell>
          <cell r="AF30">
            <v>262</v>
          </cell>
          <cell r="AG30">
            <v>26.2</v>
          </cell>
          <cell r="AH30" t="str">
            <v>Level 1</v>
          </cell>
          <cell r="AI30">
            <v>1</v>
          </cell>
          <cell r="AJ30">
            <v>32</v>
          </cell>
          <cell r="AK30">
            <v>32</v>
          </cell>
          <cell r="AL30" t="str">
            <v>Level 2</v>
          </cell>
          <cell r="AM30" t="str">
            <v>-</v>
          </cell>
          <cell r="AN30" t="str">
            <v>-</v>
          </cell>
          <cell r="AO30" t="str">
            <v>-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-</v>
          </cell>
          <cell r="AU30" t="str">
            <v>-</v>
          </cell>
          <cell r="AV30" t="str">
            <v>-</v>
          </cell>
          <cell r="AW30" t="str">
            <v>-</v>
          </cell>
          <cell r="AX30" t="str">
            <v>-</v>
          </cell>
          <cell r="AY30">
            <v>6</v>
          </cell>
          <cell r="AZ30">
            <v>133</v>
          </cell>
          <cell r="BA30">
            <v>22.166666666666668</v>
          </cell>
          <cell r="BB30" t="str">
            <v>Level 1</v>
          </cell>
          <cell r="BC30" t="str">
            <v>-</v>
          </cell>
          <cell r="BD30" t="str">
            <v>-</v>
          </cell>
          <cell r="BE30" t="str">
            <v>-</v>
          </cell>
          <cell r="BF30" t="str">
            <v>-</v>
          </cell>
          <cell r="BG30" t="str">
            <v>-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 t="str">
            <v>-</v>
          </cell>
          <cell r="BM30" t="str">
            <v>-</v>
          </cell>
          <cell r="BN30" t="str">
            <v>-</v>
          </cell>
          <cell r="BO30" t="str">
            <v>-</v>
          </cell>
          <cell r="BP30" t="str">
            <v>-</v>
          </cell>
          <cell r="BQ30" t="str">
            <v>-</v>
          </cell>
          <cell r="BR30" t="str">
            <v>-</v>
          </cell>
          <cell r="BS30" t="str">
            <v>-</v>
          </cell>
          <cell r="BT30" t="str">
            <v>-</v>
          </cell>
          <cell r="BU30" t="str">
            <v>-</v>
          </cell>
          <cell r="BV30" t="str">
            <v>-</v>
          </cell>
          <cell r="BW30" t="str">
            <v>-</v>
          </cell>
          <cell r="BX30" t="str">
            <v>-</v>
          </cell>
          <cell r="BY30" t="str">
            <v>-</v>
          </cell>
          <cell r="BZ30" t="str">
            <v>-</v>
          </cell>
          <cell r="CA30" t="str">
            <v>-</v>
          </cell>
          <cell r="CB30" t="str">
            <v>-</v>
          </cell>
          <cell r="CC30" t="str">
            <v>-</v>
          </cell>
          <cell r="CD30" t="str">
            <v>-</v>
          </cell>
          <cell r="CE30" t="str">
            <v>-</v>
          </cell>
          <cell r="CF30" t="str">
            <v>-</v>
          </cell>
          <cell r="CG30" t="str">
            <v>-</v>
          </cell>
          <cell r="CH30" t="str">
            <v>-</v>
          </cell>
          <cell r="CI30" t="str">
            <v>-</v>
          </cell>
          <cell r="CJ30" t="str">
            <v>-</v>
          </cell>
          <cell r="CK30" t="str">
            <v>-</v>
          </cell>
          <cell r="CL30" t="str">
            <v>-</v>
          </cell>
          <cell r="CM30" t="str">
            <v>-</v>
          </cell>
          <cell r="CN30" t="str">
            <v>-</v>
          </cell>
          <cell r="CO30" t="str">
            <v>-</v>
          </cell>
          <cell r="CP30" t="str">
            <v>-</v>
          </cell>
          <cell r="CQ30" t="str">
            <v>-</v>
          </cell>
          <cell r="CR30" t="str">
            <v>-</v>
          </cell>
          <cell r="CS30" t="str">
            <v>-</v>
          </cell>
          <cell r="CT30" t="str">
            <v>-</v>
          </cell>
          <cell r="CU30" t="str">
            <v>-</v>
          </cell>
          <cell r="CV30" t="str">
            <v>-</v>
          </cell>
          <cell r="CW30" t="str">
            <v>-</v>
          </cell>
          <cell r="CX30" t="str">
            <v>-</v>
          </cell>
          <cell r="CY30" t="str">
            <v>-</v>
          </cell>
          <cell r="CZ30" t="str">
            <v>-</v>
          </cell>
          <cell r="DA30" t="str">
            <v>-</v>
          </cell>
          <cell r="DB30" t="str">
            <v>-</v>
          </cell>
          <cell r="DC30" t="str">
            <v>-</v>
          </cell>
          <cell r="DD30" t="str">
            <v>-</v>
          </cell>
          <cell r="DE30" t="str">
            <v>-</v>
          </cell>
          <cell r="DF30" t="str">
            <v>-</v>
          </cell>
          <cell r="DG30" t="str">
            <v>-</v>
          </cell>
          <cell r="DH30" t="str">
            <v>-</v>
          </cell>
          <cell r="DI30" t="str">
            <v>-</v>
          </cell>
          <cell r="DJ30" t="str">
            <v>-</v>
          </cell>
          <cell r="DK30" t="str">
            <v>-</v>
          </cell>
          <cell r="DL30" t="str">
            <v>-</v>
          </cell>
          <cell r="DM30" t="str">
            <v>-</v>
          </cell>
          <cell r="DN30" t="str">
            <v>-</v>
          </cell>
          <cell r="DO30" t="str">
            <v>-</v>
          </cell>
          <cell r="DP30" t="str">
            <v>-</v>
          </cell>
          <cell r="DQ30" t="str">
            <v>-</v>
          </cell>
          <cell r="DR30" t="str">
            <v>-</v>
          </cell>
          <cell r="DS30" t="str">
            <v>-</v>
          </cell>
          <cell r="DT30" t="str">
            <v>-</v>
          </cell>
          <cell r="DU30" t="str">
            <v>-</v>
          </cell>
          <cell r="DV30" t="str">
            <v>-</v>
          </cell>
          <cell r="DW30" t="str">
            <v>-</v>
          </cell>
          <cell r="DX30" t="str">
            <v>-</v>
          </cell>
          <cell r="DY30" t="str">
            <v>-</v>
          </cell>
          <cell r="DZ30" t="str">
            <v>-</v>
          </cell>
          <cell r="EA30" t="str">
            <v>-</v>
          </cell>
          <cell r="EB30" t="str">
            <v>-</v>
          </cell>
          <cell r="EC30" t="str">
            <v>-</v>
          </cell>
          <cell r="ED30" t="str">
            <v>-</v>
          </cell>
          <cell r="EE30" t="str">
            <v>-</v>
          </cell>
          <cell r="EF30" t="str">
            <v>-</v>
          </cell>
          <cell r="EG30" t="str">
            <v>-</v>
          </cell>
          <cell r="EH30" t="str">
            <v>-</v>
          </cell>
          <cell r="EI30" t="str">
            <v>-</v>
          </cell>
          <cell r="EJ30" t="str">
            <v>-</v>
          </cell>
          <cell r="EK30" t="str">
            <v>-</v>
          </cell>
          <cell r="EL30" t="str">
            <v>-</v>
          </cell>
          <cell r="EM30" t="str">
            <v>-</v>
          </cell>
          <cell r="EN30" t="str">
            <v>-</v>
          </cell>
          <cell r="EO30" t="str">
            <v>-</v>
          </cell>
          <cell r="EP30" t="str">
            <v>-</v>
          </cell>
          <cell r="EQ30" t="str">
            <v>-</v>
          </cell>
          <cell r="ER30" t="str">
            <v>-</v>
          </cell>
          <cell r="ES30" t="str">
            <v>-</v>
          </cell>
          <cell r="ET30" t="str">
            <v>-</v>
          </cell>
          <cell r="EU30" t="str">
            <v>-</v>
          </cell>
          <cell r="EV30" t="str">
            <v>-</v>
          </cell>
          <cell r="EW30" t="str">
            <v>-</v>
          </cell>
          <cell r="EX30" t="str">
            <v>-</v>
          </cell>
          <cell r="EY30" t="str">
            <v>-</v>
          </cell>
          <cell r="EZ30" t="str">
            <v>-</v>
          </cell>
          <cell r="FA30" t="str">
            <v>-</v>
          </cell>
          <cell r="FB30" t="str">
            <v>-</v>
          </cell>
          <cell r="FC30" t="str">
            <v>-</v>
          </cell>
          <cell r="FD30" t="str">
            <v>-</v>
          </cell>
          <cell r="FE30" t="str">
            <v>-</v>
          </cell>
          <cell r="FF30" t="str">
            <v>-</v>
          </cell>
          <cell r="FG30" t="str">
            <v>-</v>
          </cell>
          <cell r="FH30" t="str">
            <v>-</v>
          </cell>
          <cell r="FI30" t="str">
            <v>-</v>
          </cell>
          <cell r="FJ30" t="str">
            <v>-</v>
          </cell>
          <cell r="FK30" t="str">
            <v>-</v>
          </cell>
          <cell r="FL30" t="str">
            <v>-</v>
          </cell>
          <cell r="FM30" t="str">
            <v>-</v>
          </cell>
          <cell r="FN30" t="str">
            <v>-</v>
          </cell>
          <cell r="FO30" t="str">
            <v>-</v>
          </cell>
          <cell r="FP30" t="str">
            <v>-</v>
          </cell>
          <cell r="FQ30" t="str">
            <v>-</v>
          </cell>
          <cell r="FR30" t="str">
            <v>-</v>
          </cell>
          <cell r="FS30" t="str">
            <v>-</v>
          </cell>
          <cell r="FT30" t="str">
            <v>-</v>
          </cell>
          <cell r="FU30" t="str">
            <v>-</v>
          </cell>
          <cell r="FV30" t="str">
            <v>-</v>
          </cell>
          <cell r="FW30" t="str">
            <v>-</v>
          </cell>
          <cell r="FX30" t="str">
            <v>-</v>
          </cell>
          <cell r="FY30" t="str">
            <v>-</v>
          </cell>
          <cell r="FZ30" t="str">
            <v>-</v>
          </cell>
          <cell r="GA30" t="str">
            <v>-</v>
          </cell>
        </row>
        <row r="31">
          <cell r="A31" t="str">
            <v>A0532</v>
          </cell>
          <cell r="B31" t="str">
            <v>DEVARA KRISNAWATI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11</v>
          </cell>
          <cell r="AJ31">
            <v>200</v>
          </cell>
          <cell r="AK31">
            <v>18.181818181818183</v>
          </cell>
          <cell r="AL31" t="str">
            <v>Level 1</v>
          </cell>
          <cell r="AM31">
            <v>15</v>
          </cell>
          <cell r="AN31">
            <v>275</v>
          </cell>
          <cell r="AO31">
            <v>18.333333333333332</v>
          </cell>
          <cell r="AP31" t="str">
            <v>Level 1</v>
          </cell>
          <cell r="AQ31">
            <v>21</v>
          </cell>
          <cell r="AR31">
            <v>426</v>
          </cell>
          <cell r="AS31">
            <v>20.285714285714285</v>
          </cell>
          <cell r="AT31" t="str">
            <v>Level 1</v>
          </cell>
          <cell r="AU31">
            <v>11</v>
          </cell>
          <cell r="AV31">
            <v>188</v>
          </cell>
          <cell r="AW31">
            <v>17.09090909090909</v>
          </cell>
          <cell r="AX31" t="str">
            <v>Level 1</v>
          </cell>
          <cell r="AY31">
            <v>11</v>
          </cell>
          <cell r="AZ31">
            <v>252</v>
          </cell>
          <cell r="BA31">
            <v>22.90909090909091</v>
          </cell>
          <cell r="BB31" t="str">
            <v>Level 1</v>
          </cell>
          <cell r="BC31">
            <v>1</v>
          </cell>
          <cell r="BD31">
            <v>15</v>
          </cell>
          <cell r="BE31">
            <v>15</v>
          </cell>
          <cell r="BF31" t="str">
            <v>Level 1</v>
          </cell>
          <cell r="BG31" t="str">
            <v>-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 t="str">
            <v>-</v>
          </cell>
          <cell r="BM31" t="str">
            <v>-</v>
          </cell>
          <cell r="BN31" t="str">
            <v>-</v>
          </cell>
          <cell r="BO31" t="str">
            <v>-</v>
          </cell>
          <cell r="BP31" t="str">
            <v>-</v>
          </cell>
          <cell r="BQ31" t="str">
            <v>-</v>
          </cell>
          <cell r="BR31" t="str">
            <v>-</v>
          </cell>
          <cell r="BS31" t="str">
            <v>-</v>
          </cell>
          <cell r="BT31" t="str">
            <v>-</v>
          </cell>
          <cell r="BU31" t="str">
            <v>-</v>
          </cell>
          <cell r="BV31" t="str">
            <v>-</v>
          </cell>
          <cell r="BW31" t="str">
            <v>-</v>
          </cell>
          <cell r="BX31" t="str">
            <v>-</v>
          </cell>
          <cell r="BY31" t="str">
            <v>-</v>
          </cell>
          <cell r="BZ31" t="str">
            <v>-</v>
          </cell>
          <cell r="CA31" t="str">
            <v>-</v>
          </cell>
          <cell r="CB31" t="str">
            <v>-</v>
          </cell>
          <cell r="CC31" t="str">
            <v>-</v>
          </cell>
          <cell r="CD31" t="str">
            <v>-</v>
          </cell>
          <cell r="CE31" t="str">
            <v>-</v>
          </cell>
          <cell r="CF31" t="str">
            <v>-</v>
          </cell>
          <cell r="CG31" t="str">
            <v>-</v>
          </cell>
          <cell r="CH31" t="str">
            <v>-</v>
          </cell>
          <cell r="CI31" t="str">
            <v>-</v>
          </cell>
          <cell r="CJ31" t="str">
            <v>-</v>
          </cell>
          <cell r="CK31" t="str">
            <v>-</v>
          </cell>
          <cell r="CL31" t="str">
            <v>-</v>
          </cell>
          <cell r="CM31" t="str">
            <v>-</v>
          </cell>
          <cell r="CN31" t="str">
            <v>-</v>
          </cell>
          <cell r="CO31" t="str">
            <v>-</v>
          </cell>
          <cell r="CP31" t="str">
            <v>-</v>
          </cell>
          <cell r="CQ31" t="str">
            <v>-</v>
          </cell>
          <cell r="CR31" t="str">
            <v>-</v>
          </cell>
          <cell r="CS31" t="str">
            <v>-</v>
          </cell>
          <cell r="CT31" t="str">
            <v>-</v>
          </cell>
          <cell r="CU31" t="str">
            <v>-</v>
          </cell>
          <cell r="CV31" t="str">
            <v>-</v>
          </cell>
          <cell r="CW31" t="str">
            <v>-</v>
          </cell>
          <cell r="CX31" t="str">
            <v>-</v>
          </cell>
          <cell r="CY31" t="str">
            <v>-</v>
          </cell>
          <cell r="CZ31" t="str">
            <v>-</v>
          </cell>
          <cell r="DA31" t="str">
            <v>-</v>
          </cell>
          <cell r="DB31" t="str">
            <v>-</v>
          </cell>
          <cell r="DC31" t="str">
            <v>-</v>
          </cell>
          <cell r="DD31" t="str">
            <v>-</v>
          </cell>
          <cell r="DE31" t="str">
            <v>-</v>
          </cell>
          <cell r="DF31" t="str">
            <v>-</v>
          </cell>
          <cell r="DG31" t="str">
            <v>-</v>
          </cell>
          <cell r="DH31" t="str">
            <v>-</v>
          </cell>
          <cell r="DI31" t="str">
            <v>-</v>
          </cell>
          <cell r="DJ31" t="str">
            <v>-</v>
          </cell>
          <cell r="DK31" t="str">
            <v>-</v>
          </cell>
          <cell r="DL31" t="str">
            <v>-</v>
          </cell>
          <cell r="DM31" t="str">
            <v>-</v>
          </cell>
          <cell r="DN31" t="str">
            <v>-</v>
          </cell>
          <cell r="DO31" t="str">
            <v>-</v>
          </cell>
          <cell r="DP31" t="str">
            <v>-</v>
          </cell>
          <cell r="DQ31" t="str">
            <v>-</v>
          </cell>
          <cell r="DR31" t="str">
            <v>-</v>
          </cell>
          <cell r="DS31" t="str">
            <v>-</v>
          </cell>
          <cell r="DT31" t="str">
            <v>-</v>
          </cell>
          <cell r="DU31" t="str">
            <v>-</v>
          </cell>
          <cell r="DV31" t="str">
            <v>-</v>
          </cell>
          <cell r="DW31" t="str">
            <v>-</v>
          </cell>
          <cell r="DX31" t="str">
            <v>-</v>
          </cell>
          <cell r="DY31" t="str">
            <v>-</v>
          </cell>
          <cell r="DZ31" t="str">
            <v>-</v>
          </cell>
          <cell r="EA31" t="str">
            <v>-</v>
          </cell>
          <cell r="EB31" t="str">
            <v>-</v>
          </cell>
          <cell r="EC31" t="str">
            <v>-</v>
          </cell>
          <cell r="ED31" t="str">
            <v>-</v>
          </cell>
          <cell r="EE31" t="str">
            <v>-</v>
          </cell>
          <cell r="EF31" t="str">
            <v>-</v>
          </cell>
          <cell r="EG31" t="str">
            <v>-</v>
          </cell>
          <cell r="EH31" t="str">
            <v>-</v>
          </cell>
          <cell r="EI31" t="str">
            <v>-</v>
          </cell>
          <cell r="EJ31" t="str">
            <v>-</v>
          </cell>
          <cell r="EK31" t="str">
            <v>-</v>
          </cell>
          <cell r="EL31" t="str">
            <v>-</v>
          </cell>
          <cell r="EM31" t="str">
            <v>-</v>
          </cell>
          <cell r="EN31" t="str">
            <v>-</v>
          </cell>
          <cell r="EO31" t="str">
            <v>-</v>
          </cell>
          <cell r="EP31" t="str">
            <v>-</v>
          </cell>
          <cell r="EQ31" t="str">
            <v>-</v>
          </cell>
          <cell r="ER31" t="str">
            <v>-</v>
          </cell>
          <cell r="ES31" t="str">
            <v>-</v>
          </cell>
          <cell r="ET31" t="str">
            <v>-</v>
          </cell>
          <cell r="EU31" t="str">
            <v>-</v>
          </cell>
          <cell r="EV31" t="str">
            <v>-</v>
          </cell>
          <cell r="EW31" t="str">
            <v>-</v>
          </cell>
          <cell r="EX31" t="str">
            <v>-</v>
          </cell>
          <cell r="EY31" t="str">
            <v>-</v>
          </cell>
          <cell r="EZ31" t="str">
            <v>-</v>
          </cell>
          <cell r="FA31" t="str">
            <v>-</v>
          </cell>
          <cell r="FB31" t="str">
            <v>-</v>
          </cell>
          <cell r="FC31" t="str">
            <v>-</v>
          </cell>
          <cell r="FD31" t="str">
            <v>-</v>
          </cell>
          <cell r="FE31" t="str">
            <v>-</v>
          </cell>
          <cell r="FF31" t="str">
            <v>-</v>
          </cell>
          <cell r="FG31" t="str">
            <v>-</v>
          </cell>
          <cell r="FH31" t="str">
            <v>-</v>
          </cell>
          <cell r="FI31" t="str">
            <v>-</v>
          </cell>
          <cell r="FJ31" t="str">
            <v>-</v>
          </cell>
          <cell r="FK31" t="str">
            <v>-</v>
          </cell>
          <cell r="FL31" t="str">
            <v>-</v>
          </cell>
          <cell r="FM31" t="str">
            <v>-</v>
          </cell>
          <cell r="FN31" t="str">
            <v>-</v>
          </cell>
          <cell r="FO31" t="str">
            <v>-</v>
          </cell>
          <cell r="FP31" t="str">
            <v>-</v>
          </cell>
          <cell r="FQ31" t="str">
            <v>-</v>
          </cell>
          <cell r="FR31" t="str">
            <v>-</v>
          </cell>
          <cell r="FS31" t="str">
            <v>-</v>
          </cell>
          <cell r="FT31" t="str">
            <v>-</v>
          </cell>
          <cell r="FU31" t="str">
            <v>-</v>
          </cell>
          <cell r="FV31" t="str">
            <v>-</v>
          </cell>
          <cell r="FW31" t="str">
            <v>-</v>
          </cell>
          <cell r="FX31" t="str">
            <v>-</v>
          </cell>
          <cell r="FY31" t="str">
            <v>-</v>
          </cell>
          <cell r="FZ31" t="str">
            <v>-</v>
          </cell>
          <cell r="GA31" t="str">
            <v>-</v>
          </cell>
        </row>
        <row r="32">
          <cell r="A32" t="str">
            <v>A0525</v>
          </cell>
          <cell r="B32" t="str">
            <v>ELISA BAYUSRI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12</v>
          </cell>
          <cell r="AJ32">
            <v>285</v>
          </cell>
          <cell r="AK32">
            <v>23.75</v>
          </cell>
          <cell r="AL32" t="str">
            <v>Level 1</v>
          </cell>
          <cell r="AM32">
            <v>11</v>
          </cell>
          <cell r="AN32">
            <v>277</v>
          </cell>
          <cell r="AO32">
            <v>25.181818181818183</v>
          </cell>
          <cell r="AP32" t="str">
            <v>Level 1</v>
          </cell>
          <cell r="AQ32">
            <v>23</v>
          </cell>
          <cell r="AR32">
            <v>644</v>
          </cell>
          <cell r="AS32">
            <v>28</v>
          </cell>
          <cell r="AT32" t="str">
            <v>Level 1</v>
          </cell>
          <cell r="AU32">
            <v>17</v>
          </cell>
          <cell r="AV32">
            <v>511</v>
          </cell>
          <cell r="AW32">
            <v>30.058823529411764</v>
          </cell>
          <cell r="AX32" t="str">
            <v>Level 2</v>
          </cell>
          <cell r="AY32">
            <v>27</v>
          </cell>
          <cell r="AZ32">
            <v>869</v>
          </cell>
          <cell r="BA32">
            <v>32.185185185185183</v>
          </cell>
          <cell r="BB32" t="str">
            <v>Level 2</v>
          </cell>
          <cell r="BC32">
            <v>17</v>
          </cell>
          <cell r="BD32">
            <v>580</v>
          </cell>
          <cell r="BE32">
            <v>34.117647058823529</v>
          </cell>
          <cell r="BF32" t="str">
            <v>Level 2</v>
          </cell>
          <cell r="BG32">
            <v>26</v>
          </cell>
          <cell r="BH32">
            <v>896</v>
          </cell>
          <cell r="BI32">
            <v>34.46153846153846</v>
          </cell>
          <cell r="BJ32" t="str">
            <v>Level 2</v>
          </cell>
          <cell r="BK32">
            <v>25</v>
          </cell>
          <cell r="BL32">
            <v>897</v>
          </cell>
          <cell r="BM32">
            <v>35.880000000000003</v>
          </cell>
          <cell r="BN32" t="str">
            <v>Level 2</v>
          </cell>
          <cell r="BO32">
            <v>23</v>
          </cell>
          <cell r="BP32">
            <v>866</v>
          </cell>
          <cell r="BQ32">
            <v>37.652173913043477</v>
          </cell>
          <cell r="BR32" t="str">
            <v>Level 2</v>
          </cell>
          <cell r="BS32">
            <v>24</v>
          </cell>
          <cell r="BT32">
            <v>743</v>
          </cell>
          <cell r="BU32">
            <v>30.958333333333332</v>
          </cell>
          <cell r="BV32" t="str">
            <v>Level 2</v>
          </cell>
          <cell r="BW32">
            <v>21</v>
          </cell>
          <cell r="BX32">
            <v>696</v>
          </cell>
          <cell r="BY32">
            <v>33.142857142857146</v>
          </cell>
          <cell r="BZ32" t="str">
            <v>Level 2</v>
          </cell>
          <cell r="CA32">
            <v>26</v>
          </cell>
          <cell r="CB32">
            <v>921</v>
          </cell>
          <cell r="CC32">
            <v>35.42307692307692</v>
          </cell>
          <cell r="CD32" t="str">
            <v>Level 2</v>
          </cell>
          <cell r="CE32">
            <v>22</v>
          </cell>
          <cell r="CF32">
            <v>836</v>
          </cell>
          <cell r="CG32">
            <v>38</v>
          </cell>
          <cell r="CH32" t="str">
            <v>Level 2</v>
          </cell>
          <cell r="CI32">
            <v>25</v>
          </cell>
          <cell r="CJ32">
            <v>989</v>
          </cell>
          <cell r="CK32">
            <v>39.56</v>
          </cell>
          <cell r="CL32" t="str">
            <v>Level 2</v>
          </cell>
          <cell r="CM32">
            <v>24</v>
          </cell>
          <cell r="CN32">
            <v>844</v>
          </cell>
          <cell r="CO32">
            <v>35.166666666666664</v>
          </cell>
          <cell r="CP32" t="str">
            <v>Level 2</v>
          </cell>
          <cell r="CQ32">
            <v>26</v>
          </cell>
          <cell r="CR32">
            <v>981</v>
          </cell>
          <cell r="CS32">
            <v>37.730769230769234</v>
          </cell>
          <cell r="CT32" t="str">
            <v>Level 2</v>
          </cell>
          <cell r="CU32">
            <v>24</v>
          </cell>
          <cell r="CV32">
            <v>945</v>
          </cell>
          <cell r="CW32">
            <v>39.375</v>
          </cell>
          <cell r="CX32" t="str">
            <v>Level 2</v>
          </cell>
          <cell r="CY32">
            <v>26</v>
          </cell>
          <cell r="CZ32">
            <v>983</v>
          </cell>
          <cell r="DA32">
            <v>37.807692307692307</v>
          </cell>
          <cell r="DB32" t="str">
            <v>Level 2</v>
          </cell>
          <cell r="DC32">
            <v>24</v>
          </cell>
          <cell r="DD32">
            <v>970</v>
          </cell>
          <cell r="DE32">
            <v>40.416666666666664</v>
          </cell>
          <cell r="DF32" t="str">
            <v>Level 3</v>
          </cell>
          <cell r="DG32">
            <v>24</v>
          </cell>
          <cell r="DH32">
            <v>1161</v>
          </cell>
          <cell r="DI32">
            <v>48.375</v>
          </cell>
          <cell r="DJ32" t="str">
            <v>Level 3</v>
          </cell>
          <cell r="DK32">
            <v>22</v>
          </cell>
          <cell r="DL32">
            <v>739</v>
          </cell>
          <cell r="DM32">
            <v>33.590909090909093</v>
          </cell>
          <cell r="DN32" t="str">
            <v>Level 2</v>
          </cell>
          <cell r="DO32">
            <v>28</v>
          </cell>
          <cell r="DP32">
            <v>1001</v>
          </cell>
          <cell r="DQ32">
            <v>35.75</v>
          </cell>
          <cell r="DR32" t="str">
            <v>Level 2</v>
          </cell>
          <cell r="DS32">
            <v>25</v>
          </cell>
          <cell r="DT32">
            <v>960</v>
          </cell>
          <cell r="DU32">
            <v>38.4</v>
          </cell>
          <cell r="DV32" t="str">
            <v>Level 2</v>
          </cell>
          <cell r="DW32">
            <v>26</v>
          </cell>
          <cell r="DX32">
            <v>1222</v>
          </cell>
          <cell r="DY32">
            <v>47</v>
          </cell>
          <cell r="DZ32" t="str">
            <v>Level 3</v>
          </cell>
          <cell r="EA32">
            <v>24</v>
          </cell>
          <cell r="EB32">
            <v>1105</v>
          </cell>
          <cell r="EC32">
            <v>46.041666666666664</v>
          </cell>
          <cell r="ED32" t="str">
            <v>Level 3</v>
          </cell>
          <cell r="EE32">
            <v>24</v>
          </cell>
          <cell r="EF32">
            <v>917</v>
          </cell>
          <cell r="EG32">
            <v>38.208333333333336</v>
          </cell>
          <cell r="EH32" t="str">
            <v>Level 2</v>
          </cell>
          <cell r="EI32">
            <v>23</v>
          </cell>
          <cell r="EJ32">
            <v>973</v>
          </cell>
          <cell r="EK32">
            <v>42.304347826086953</v>
          </cell>
          <cell r="EL32" t="str">
            <v>Level 3</v>
          </cell>
          <cell r="EM32">
            <v>28</v>
          </cell>
          <cell r="EN32">
            <v>1166</v>
          </cell>
          <cell r="EO32">
            <v>41.642857142857146</v>
          </cell>
          <cell r="EP32" t="str">
            <v>Level 3</v>
          </cell>
          <cell r="EQ32">
            <v>20</v>
          </cell>
          <cell r="ER32">
            <v>757</v>
          </cell>
          <cell r="ES32">
            <v>37.85</v>
          </cell>
          <cell r="ET32" t="str">
            <v>Level 2</v>
          </cell>
          <cell r="EU32">
            <v>22</v>
          </cell>
          <cell r="EV32">
            <v>1010</v>
          </cell>
          <cell r="EW32">
            <v>45.909090909090907</v>
          </cell>
          <cell r="EX32" t="str">
            <v>Level 3</v>
          </cell>
          <cell r="EY32" t="str">
            <v>-</v>
          </cell>
          <cell r="EZ32" t="str">
            <v>-</v>
          </cell>
          <cell r="FA32" t="str">
            <v>-</v>
          </cell>
          <cell r="FB32" t="str">
            <v>-</v>
          </cell>
          <cell r="FC32" t="str">
            <v>-</v>
          </cell>
          <cell r="FD32" t="str">
            <v>-</v>
          </cell>
          <cell r="FE32" t="str">
            <v>-</v>
          </cell>
          <cell r="FF32" t="str">
            <v>-</v>
          </cell>
          <cell r="FG32" t="str">
            <v>-</v>
          </cell>
          <cell r="FH32" t="str">
            <v>-</v>
          </cell>
          <cell r="FI32" t="str">
            <v>-</v>
          </cell>
          <cell r="FJ32" t="str">
            <v>-</v>
          </cell>
          <cell r="FK32" t="str">
            <v>-</v>
          </cell>
          <cell r="FL32" t="str">
            <v>-</v>
          </cell>
          <cell r="FM32" t="str">
            <v>-</v>
          </cell>
          <cell r="FN32" t="str">
            <v>-</v>
          </cell>
          <cell r="FO32" t="str">
            <v>-</v>
          </cell>
          <cell r="FP32" t="str">
            <v>-</v>
          </cell>
          <cell r="FQ32" t="str">
            <v>-</v>
          </cell>
          <cell r="FR32" t="str">
            <v>-</v>
          </cell>
          <cell r="FS32" t="str">
            <v>-</v>
          </cell>
          <cell r="FT32" t="str">
            <v>-</v>
          </cell>
          <cell r="FU32" t="str">
            <v>-</v>
          </cell>
          <cell r="FV32" t="str">
            <v>-</v>
          </cell>
          <cell r="FW32" t="str">
            <v>-</v>
          </cell>
          <cell r="FX32" t="str">
            <v>-</v>
          </cell>
          <cell r="FY32" t="str">
            <v>-</v>
          </cell>
          <cell r="FZ32" t="str">
            <v>-</v>
          </cell>
          <cell r="GA32" t="str">
            <v>-</v>
          </cell>
        </row>
        <row r="33">
          <cell r="A33">
            <v>90495</v>
          </cell>
          <cell r="B33" t="str">
            <v>GANISH GIOVANNI SRIOYO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2</v>
          </cell>
          <cell r="AJ33">
            <v>66</v>
          </cell>
          <cell r="AK33">
            <v>33</v>
          </cell>
          <cell r="AL33" t="str">
            <v>Level 2</v>
          </cell>
          <cell r="AM33">
            <v>3</v>
          </cell>
          <cell r="AN33">
            <v>121</v>
          </cell>
          <cell r="AO33">
            <v>40.333333333333336</v>
          </cell>
          <cell r="AP33" t="str">
            <v>Level 3</v>
          </cell>
          <cell r="AQ33">
            <v>5</v>
          </cell>
          <cell r="AR33">
            <v>193</v>
          </cell>
          <cell r="AS33">
            <v>38.6</v>
          </cell>
          <cell r="AT33" t="str">
            <v>Level 2</v>
          </cell>
          <cell r="AU33">
            <v>2</v>
          </cell>
          <cell r="AV33">
            <v>77</v>
          </cell>
          <cell r="AW33">
            <v>38.5</v>
          </cell>
          <cell r="AX33" t="str">
            <v>Level 2</v>
          </cell>
          <cell r="AY33">
            <v>2</v>
          </cell>
          <cell r="AZ33">
            <v>46</v>
          </cell>
          <cell r="BA33">
            <v>23</v>
          </cell>
          <cell r="BB33" t="str">
            <v>Level 1</v>
          </cell>
          <cell r="BC33" t="str">
            <v>-</v>
          </cell>
          <cell r="BD33" t="str">
            <v>-</v>
          </cell>
          <cell r="BE33" t="str">
            <v>-</v>
          </cell>
          <cell r="BF33" t="str">
            <v>-</v>
          </cell>
          <cell r="BG33">
            <v>3</v>
          </cell>
          <cell r="BH33">
            <v>110</v>
          </cell>
          <cell r="BI33">
            <v>36.666666666666664</v>
          </cell>
          <cell r="BJ33" t="str">
            <v>Level 2</v>
          </cell>
          <cell r="BK33">
            <v>2</v>
          </cell>
          <cell r="BL33">
            <v>40</v>
          </cell>
          <cell r="BM33">
            <v>20</v>
          </cell>
          <cell r="BN33" t="str">
            <v>Level 1</v>
          </cell>
          <cell r="BO33" t="str">
            <v>-</v>
          </cell>
          <cell r="BP33" t="str">
            <v>-</v>
          </cell>
          <cell r="BQ33" t="str">
            <v>-</v>
          </cell>
          <cell r="BR33" t="str">
            <v>-</v>
          </cell>
          <cell r="BS33">
            <v>3</v>
          </cell>
          <cell r="BT33">
            <v>172</v>
          </cell>
          <cell r="BU33">
            <v>57.333333333333336</v>
          </cell>
          <cell r="BV33" t="str">
            <v>Level 3</v>
          </cell>
          <cell r="BW33">
            <v>2</v>
          </cell>
          <cell r="BX33">
            <v>40</v>
          </cell>
          <cell r="BY33">
            <v>20</v>
          </cell>
          <cell r="BZ33" t="str">
            <v>Level 1</v>
          </cell>
          <cell r="CA33">
            <v>3</v>
          </cell>
          <cell r="CB33">
            <v>90</v>
          </cell>
          <cell r="CC33">
            <v>30</v>
          </cell>
          <cell r="CD33" t="str">
            <v>Level 2</v>
          </cell>
          <cell r="CE33" t="str">
            <v>-</v>
          </cell>
          <cell r="CF33" t="str">
            <v>-</v>
          </cell>
          <cell r="CG33" t="str">
            <v>-</v>
          </cell>
          <cell r="CH33" t="str">
            <v>-</v>
          </cell>
          <cell r="CI33">
            <v>2</v>
          </cell>
          <cell r="CJ33">
            <v>72</v>
          </cell>
          <cell r="CK33">
            <v>36</v>
          </cell>
          <cell r="CL33" t="str">
            <v>Level 2</v>
          </cell>
          <cell r="CM33">
            <v>3</v>
          </cell>
          <cell r="CN33">
            <v>101</v>
          </cell>
          <cell r="CO33">
            <v>33.666666666666664</v>
          </cell>
          <cell r="CP33" t="str">
            <v>Level 2</v>
          </cell>
          <cell r="CQ33">
            <v>1</v>
          </cell>
          <cell r="CR33">
            <v>18</v>
          </cell>
          <cell r="CS33">
            <v>18</v>
          </cell>
          <cell r="CT33" t="str">
            <v>Level 1</v>
          </cell>
          <cell r="CU33">
            <v>2</v>
          </cell>
          <cell r="CV33">
            <v>76</v>
          </cell>
          <cell r="CW33">
            <v>38</v>
          </cell>
          <cell r="CX33" t="str">
            <v>Level 2</v>
          </cell>
          <cell r="CY33" t="str">
            <v>-</v>
          </cell>
          <cell r="CZ33" t="str">
            <v>-</v>
          </cell>
          <cell r="DA33" t="str">
            <v>-</v>
          </cell>
          <cell r="DB33" t="str">
            <v>-</v>
          </cell>
          <cell r="DC33" t="str">
            <v>-</v>
          </cell>
          <cell r="DD33" t="str">
            <v>-</v>
          </cell>
          <cell r="DE33" t="str">
            <v>-</v>
          </cell>
          <cell r="DF33" t="str">
            <v>-</v>
          </cell>
          <cell r="DG33" t="str">
            <v>-</v>
          </cell>
          <cell r="DH33" t="str">
            <v>-</v>
          </cell>
          <cell r="DI33" t="str">
            <v>-</v>
          </cell>
          <cell r="DJ33" t="str">
            <v>-</v>
          </cell>
          <cell r="DK33" t="str">
            <v>-</v>
          </cell>
          <cell r="DL33" t="str">
            <v>-</v>
          </cell>
          <cell r="DM33" t="str">
            <v>-</v>
          </cell>
          <cell r="DN33" t="str">
            <v>-</v>
          </cell>
          <cell r="DO33" t="str">
            <v>-</v>
          </cell>
          <cell r="DP33" t="str">
            <v>-</v>
          </cell>
          <cell r="DQ33" t="str">
            <v>-</v>
          </cell>
          <cell r="DR33" t="str">
            <v>-</v>
          </cell>
          <cell r="DS33">
            <v>1</v>
          </cell>
          <cell r="DT33">
            <v>36</v>
          </cell>
          <cell r="DU33">
            <v>36</v>
          </cell>
          <cell r="DV33" t="str">
            <v>Level 2</v>
          </cell>
          <cell r="DW33" t="str">
            <v>-</v>
          </cell>
          <cell r="DX33" t="str">
            <v>-</v>
          </cell>
          <cell r="DY33" t="str">
            <v>-</v>
          </cell>
          <cell r="DZ33" t="str">
            <v>-</v>
          </cell>
          <cell r="EA33" t="str">
            <v>-</v>
          </cell>
          <cell r="EB33" t="str">
            <v>-</v>
          </cell>
          <cell r="EC33" t="str">
            <v>-</v>
          </cell>
          <cell r="ED33" t="str">
            <v>-</v>
          </cell>
          <cell r="EE33" t="str">
            <v>-</v>
          </cell>
          <cell r="EF33" t="str">
            <v>-</v>
          </cell>
          <cell r="EG33" t="str">
            <v>-</v>
          </cell>
          <cell r="EH33" t="str">
            <v>-</v>
          </cell>
          <cell r="EI33" t="str">
            <v>-</v>
          </cell>
          <cell r="EJ33" t="str">
            <v>-</v>
          </cell>
          <cell r="EK33" t="str">
            <v>-</v>
          </cell>
          <cell r="EL33" t="str">
            <v>-</v>
          </cell>
          <cell r="EM33" t="str">
            <v>-</v>
          </cell>
          <cell r="EN33" t="str">
            <v>-</v>
          </cell>
          <cell r="EO33" t="str">
            <v>-</v>
          </cell>
          <cell r="EP33" t="str">
            <v>-</v>
          </cell>
          <cell r="EQ33" t="str">
            <v>-</v>
          </cell>
          <cell r="ER33" t="str">
            <v>-</v>
          </cell>
          <cell r="ES33" t="str">
            <v>-</v>
          </cell>
          <cell r="ET33" t="str">
            <v>-</v>
          </cell>
          <cell r="EU33" t="str">
            <v>-</v>
          </cell>
          <cell r="EV33" t="str">
            <v>-</v>
          </cell>
          <cell r="EW33" t="str">
            <v>-</v>
          </cell>
          <cell r="EX33" t="str">
            <v>-</v>
          </cell>
          <cell r="EY33" t="str">
            <v>-</v>
          </cell>
          <cell r="EZ33" t="str">
            <v>-</v>
          </cell>
          <cell r="FA33" t="str">
            <v>-</v>
          </cell>
          <cell r="FB33" t="str">
            <v>-</v>
          </cell>
          <cell r="FC33" t="str">
            <v>-</v>
          </cell>
          <cell r="FD33" t="str">
            <v>-</v>
          </cell>
          <cell r="FE33" t="str">
            <v>-</v>
          </cell>
          <cell r="FF33" t="str">
            <v>-</v>
          </cell>
          <cell r="FG33" t="str">
            <v>-</v>
          </cell>
          <cell r="FH33" t="str">
            <v>-</v>
          </cell>
          <cell r="FI33" t="str">
            <v>-</v>
          </cell>
          <cell r="FJ33" t="str">
            <v>-</v>
          </cell>
          <cell r="FK33" t="str">
            <v>-</v>
          </cell>
          <cell r="FL33" t="str">
            <v>-</v>
          </cell>
          <cell r="FM33" t="str">
            <v>-</v>
          </cell>
          <cell r="FN33" t="str">
            <v>-</v>
          </cell>
          <cell r="FO33" t="str">
            <v>-</v>
          </cell>
          <cell r="FP33" t="str">
            <v>-</v>
          </cell>
          <cell r="FQ33" t="str">
            <v>-</v>
          </cell>
          <cell r="FR33" t="str">
            <v>-</v>
          </cell>
          <cell r="FS33" t="str">
            <v>-</v>
          </cell>
          <cell r="FT33" t="str">
            <v>-</v>
          </cell>
          <cell r="FU33" t="str">
            <v>-</v>
          </cell>
          <cell r="FV33" t="str">
            <v>-</v>
          </cell>
          <cell r="FW33" t="str">
            <v>-</v>
          </cell>
          <cell r="FX33" t="str">
            <v>-</v>
          </cell>
          <cell r="FY33" t="str">
            <v>-</v>
          </cell>
          <cell r="FZ33" t="str">
            <v>-</v>
          </cell>
          <cell r="GA33" t="str">
            <v>-</v>
          </cell>
        </row>
        <row r="34">
          <cell r="A34" t="str">
            <v>A0550</v>
          </cell>
          <cell r="B34" t="str">
            <v>NINDA PRASTIWI PUTRI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10</v>
          </cell>
          <cell r="AJ34">
            <v>240</v>
          </cell>
          <cell r="AK34">
            <v>24</v>
          </cell>
          <cell r="AL34" t="str">
            <v>Level 1</v>
          </cell>
          <cell r="AM34">
            <v>12</v>
          </cell>
          <cell r="AN34">
            <v>297</v>
          </cell>
          <cell r="AO34">
            <v>24.75</v>
          </cell>
          <cell r="AP34" t="str">
            <v>Level 1</v>
          </cell>
          <cell r="AQ34">
            <v>17</v>
          </cell>
          <cell r="AR34">
            <v>472</v>
          </cell>
          <cell r="AS34">
            <v>27.764705882352942</v>
          </cell>
          <cell r="AT34" t="str">
            <v>Level 1</v>
          </cell>
          <cell r="AU34">
            <v>14</v>
          </cell>
          <cell r="AV34">
            <v>394</v>
          </cell>
          <cell r="AW34">
            <v>28.142857142857142</v>
          </cell>
          <cell r="AX34" t="str">
            <v>Level 1</v>
          </cell>
          <cell r="AY34">
            <v>17</v>
          </cell>
          <cell r="AZ34">
            <v>536</v>
          </cell>
          <cell r="BA34">
            <v>31.529411764705884</v>
          </cell>
          <cell r="BB34" t="str">
            <v>Level 2</v>
          </cell>
          <cell r="BC34">
            <v>10</v>
          </cell>
          <cell r="BD34">
            <v>262</v>
          </cell>
          <cell r="BE34">
            <v>26.2</v>
          </cell>
          <cell r="BF34" t="str">
            <v>Level 1</v>
          </cell>
          <cell r="BG34">
            <v>12</v>
          </cell>
          <cell r="BH34">
            <v>374</v>
          </cell>
          <cell r="BI34">
            <v>31.166666666666668</v>
          </cell>
          <cell r="BJ34" t="str">
            <v>Level 2</v>
          </cell>
          <cell r="BK34">
            <v>10</v>
          </cell>
          <cell r="BL34">
            <v>305</v>
          </cell>
          <cell r="BM34">
            <v>30.5</v>
          </cell>
          <cell r="BN34" t="str">
            <v>Level 2</v>
          </cell>
          <cell r="BO34">
            <v>11</v>
          </cell>
          <cell r="BP34">
            <v>359</v>
          </cell>
          <cell r="BQ34">
            <v>32.636363636363633</v>
          </cell>
          <cell r="BR34" t="str">
            <v>Level 2</v>
          </cell>
          <cell r="BS34">
            <v>8</v>
          </cell>
          <cell r="BT34">
            <v>293</v>
          </cell>
          <cell r="BU34">
            <v>36.625</v>
          </cell>
          <cell r="BV34" t="str">
            <v>Level 2</v>
          </cell>
          <cell r="BW34">
            <v>18</v>
          </cell>
          <cell r="BX34">
            <v>526</v>
          </cell>
          <cell r="BY34">
            <v>29.222222222222221</v>
          </cell>
          <cell r="BZ34" t="str">
            <v>Level 2</v>
          </cell>
          <cell r="CA34">
            <v>15</v>
          </cell>
          <cell r="CB34">
            <v>444</v>
          </cell>
          <cell r="CC34">
            <v>29.6</v>
          </cell>
          <cell r="CD34" t="str">
            <v>Level 2</v>
          </cell>
          <cell r="CE34">
            <v>13</v>
          </cell>
          <cell r="CF34">
            <v>391</v>
          </cell>
          <cell r="CG34">
            <v>30.076923076923077</v>
          </cell>
          <cell r="CH34" t="str">
            <v>Level 2</v>
          </cell>
          <cell r="CI34">
            <v>12</v>
          </cell>
          <cell r="CJ34">
            <v>359</v>
          </cell>
          <cell r="CK34">
            <v>29.916666666666668</v>
          </cell>
          <cell r="CL34" t="str">
            <v>Level 2</v>
          </cell>
          <cell r="CM34">
            <v>11</v>
          </cell>
          <cell r="CN34">
            <v>274</v>
          </cell>
          <cell r="CO34">
            <v>24.90909090909091</v>
          </cell>
          <cell r="CP34" t="str">
            <v>Level 1</v>
          </cell>
          <cell r="CQ34">
            <v>15</v>
          </cell>
          <cell r="CR34">
            <v>462</v>
          </cell>
          <cell r="CS34">
            <v>30.8</v>
          </cell>
          <cell r="CT34" t="str">
            <v>Level 2</v>
          </cell>
          <cell r="CU34">
            <v>9</v>
          </cell>
          <cell r="CV34">
            <v>280</v>
          </cell>
          <cell r="CW34">
            <v>31.111111111111111</v>
          </cell>
          <cell r="CX34" t="str">
            <v>Level 2</v>
          </cell>
          <cell r="CY34">
            <v>16</v>
          </cell>
          <cell r="CZ34">
            <v>476</v>
          </cell>
          <cell r="DA34">
            <v>29.75</v>
          </cell>
          <cell r="DB34" t="str">
            <v>Level 2</v>
          </cell>
          <cell r="DC34">
            <v>11</v>
          </cell>
          <cell r="DD34">
            <v>381</v>
          </cell>
          <cell r="DE34">
            <v>34.636363636363633</v>
          </cell>
          <cell r="DF34" t="str">
            <v>Level 2</v>
          </cell>
          <cell r="DG34">
            <v>1</v>
          </cell>
          <cell r="DH34">
            <v>27</v>
          </cell>
          <cell r="DI34">
            <v>27</v>
          </cell>
          <cell r="DJ34" t="str">
            <v>Level 1</v>
          </cell>
          <cell r="DK34" t="str">
            <v>-</v>
          </cell>
          <cell r="DL34" t="str">
            <v>-</v>
          </cell>
          <cell r="DM34" t="str">
            <v>-</v>
          </cell>
          <cell r="DN34" t="str">
            <v>-</v>
          </cell>
          <cell r="DO34" t="str">
            <v>-</v>
          </cell>
          <cell r="DP34" t="str">
            <v>-</v>
          </cell>
          <cell r="DQ34" t="str">
            <v>-</v>
          </cell>
          <cell r="DR34" t="str">
            <v>-</v>
          </cell>
          <cell r="DS34" t="str">
            <v>-</v>
          </cell>
          <cell r="DT34" t="str">
            <v>-</v>
          </cell>
          <cell r="DU34" t="str">
            <v>-</v>
          </cell>
          <cell r="DV34" t="str">
            <v>-</v>
          </cell>
          <cell r="DW34" t="str">
            <v>-</v>
          </cell>
          <cell r="DX34" t="str">
            <v>-</v>
          </cell>
          <cell r="DY34" t="str">
            <v>-</v>
          </cell>
          <cell r="DZ34" t="str">
            <v>-</v>
          </cell>
          <cell r="EA34" t="str">
            <v>-</v>
          </cell>
          <cell r="EB34" t="str">
            <v>-</v>
          </cell>
          <cell r="EC34" t="str">
            <v>-</v>
          </cell>
          <cell r="ED34" t="str">
            <v>-</v>
          </cell>
          <cell r="EE34" t="str">
            <v>-</v>
          </cell>
          <cell r="EF34" t="str">
            <v>-</v>
          </cell>
          <cell r="EG34" t="str">
            <v>-</v>
          </cell>
          <cell r="EH34" t="str">
            <v>-</v>
          </cell>
          <cell r="EI34" t="str">
            <v>-</v>
          </cell>
          <cell r="EJ34" t="str">
            <v>-</v>
          </cell>
          <cell r="EK34" t="str">
            <v>-</v>
          </cell>
          <cell r="EL34" t="str">
            <v>-</v>
          </cell>
          <cell r="EM34" t="str">
            <v>-</v>
          </cell>
          <cell r="EN34" t="str">
            <v>-</v>
          </cell>
          <cell r="EO34" t="str">
            <v>-</v>
          </cell>
          <cell r="EP34" t="str">
            <v>-</v>
          </cell>
          <cell r="EQ34" t="str">
            <v>-</v>
          </cell>
          <cell r="ER34" t="str">
            <v>-</v>
          </cell>
          <cell r="ES34" t="str">
            <v>-</v>
          </cell>
          <cell r="ET34" t="str">
            <v>-</v>
          </cell>
          <cell r="EU34" t="str">
            <v>-</v>
          </cell>
          <cell r="EV34" t="str">
            <v>-</v>
          </cell>
          <cell r="EW34" t="str">
            <v>-</v>
          </cell>
          <cell r="EX34" t="str">
            <v>-</v>
          </cell>
          <cell r="EY34" t="str">
            <v>-</v>
          </cell>
          <cell r="EZ34" t="str">
            <v>-</v>
          </cell>
          <cell r="FA34" t="str">
            <v>-</v>
          </cell>
          <cell r="FB34" t="str">
            <v>-</v>
          </cell>
          <cell r="FC34" t="str">
            <v>-</v>
          </cell>
          <cell r="FD34" t="str">
            <v>-</v>
          </cell>
          <cell r="FE34" t="str">
            <v>-</v>
          </cell>
          <cell r="FF34" t="str">
            <v>-</v>
          </cell>
          <cell r="FG34" t="str">
            <v>-</v>
          </cell>
          <cell r="FH34" t="str">
            <v>-</v>
          </cell>
          <cell r="FI34" t="str">
            <v>-</v>
          </cell>
          <cell r="FJ34" t="str">
            <v>-</v>
          </cell>
          <cell r="FK34" t="str">
            <v>-</v>
          </cell>
          <cell r="FL34" t="str">
            <v>-</v>
          </cell>
          <cell r="FM34" t="str">
            <v>-</v>
          </cell>
          <cell r="FN34" t="str">
            <v>-</v>
          </cell>
          <cell r="FO34" t="str">
            <v>-</v>
          </cell>
          <cell r="FP34" t="str">
            <v>-</v>
          </cell>
          <cell r="FQ34" t="str">
            <v>-</v>
          </cell>
          <cell r="FR34" t="str">
            <v>-</v>
          </cell>
          <cell r="FS34" t="str">
            <v>-</v>
          </cell>
          <cell r="FT34" t="str">
            <v>-</v>
          </cell>
          <cell r="FU34" t="str">
            <v>-</v>
          </cell>
          <cell r="FV34" t="str">
            <v>-</v>
          </cell>
          <cell r="FW34" t="str">
            <v>-</v>
          </cell>
          <cell r="FX34" t="str">
            <v>-</v>
          </cell>
          <cell r="FY34" t="str">
            <v>-</v>
          </cell>
          <cell r="FZ34" t="str">
            <v>-</v>
          </cell>
          <cell r="GA34" t="str">
            <v>-</v>
          </cell>
        </row>
        <row r="35">
          <cell r="A35" t="str">
            <v>A1918</v>
          </cell>
          <cell r="B35" t="str">
            <v>ANTONIUS PRIMERUS KAREL B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2</v>
          </cell>
          <cell r="BH35">
            <v>39</v>
          </cell>
          <cell r="BI35">
            <v>19.5</v>
          </cell>
          <cell r="BJ35" t="str">
            <v>Level 1</v>
          </cell>
          <cell r="BK35">
            <v>4</v>
          </cell>
          <cell r="BL35">
            <v>93</v>
          </cell>
          <cell r="BM35">
            <v>23.25</v>
          </cell>
          <cell r="BN35" t="str">
            <v>Level 1</v>
          </cell>
          <cell r="BO35" t="str">
            <v>-</v>
          </cell>
          <cell r="BP35" t="str">
            <v>-</v>
          </cell>
          <cell r="BQ35" t="str">
            <v>-</v>
          </cell>
          <cell r="BR35" t="str">
            <v>-</v>
          </cell>
          <cell r="BS35" t="str">
            <v>-</v>
          </cell>
          <cell r="BT35" t="str">
            <v>-</v>
          </cell>
          <cell r="BU35" t="str">
            <v>-</v>
          </cell>
          <cell r="BV35" t="str">
            <v>-</v>
          </cell>
          <cell r="BW35" t="str">
            <v>-</v>
          </cell>
          <cell r="BX35" t="str">
            <v>-</v>
          </cell>
          <cell r="BY35" t="str">
            <v>-</v>
          </cell>
          <cell r="BZ35" t="str">
            <v>-</v>
          </cell>
          <cell r="CA35" t="str">
            <v>-</v>
          </cell>
          <cell r="CB35" t="str">
            <v>-</v>
          </cell>
          <cell r="CC35" t="str">
            <v>-</v>
          </cell>
          <cell r="CD35" t="str">
            <v>-</v>
          </cell>
          <cell r="CE35" t="str">
            <v>-</v>
          </cell>
          <cell r="CF35" t="str">
            <v>-</v>
          </cell>
          <cell r="CG35" t="str">
            <v>-</v>
          </cell>
          <cell r="CH35" t="str">
            <v>-</v>
          </cell>
          <cell r="CI35" t="str">
            <v>-</v>
          </cell>
          <cell r="CJ35" t="str">
            <v>-</v>
          </cell>
          <cell r="CK35" t="str">
            <v>-</v>
          </cell>
          <cell r="CL35" t="str">
            <v>-</v>
          </cell>
          <cell r="CM35" t="str">
            <v>-</v>
          </cell>
          <cell r="CN35" t="str">
            <v>-</v>
          </cell>
          <cell r="CO35" t="str">
            <v>-</v>
          </cell>
          <cell r="CP35" t="str">
            <v>-</v>
          </cell>
          <cell r="CQ35" t="str">
            <v>-</v>
          </cell>
          <cell r="CR35" t="str">
            <v>-</v>
          </cell>
          <cell r="CS35" t="str">
            <v>-</v>
          </cell>
          <cell r="CT35" t="str">
            <v>-</v>
          </cell>
          <cell r="CU35" t="str">
            <v>-</v>
          </cell>
          <cell r="CV35" t="str">
            <v>-</v>
          </cell>
          <cell r="CW35" t="str">
            <v>-</v>
          </cell>
          <cell r="CX35" t="str">
            <v>-</v>
          </cell>
          <cell r="CY35" t="str">
            <v>-</v>
          </cell>
          <cell r="CZ35" t="str">
            <v>-</v>
          </cell>
          <cell r="DA35" t="str">
            <v>-</v>
          </cell>
          <cell r="DB35" t="str">
            <v>-</v>
          </cell>
          <cell r="DC35" t="str">
            <v>-</v>
          </cell>
          <cell r="DD35" t="str">
            <v>-</v>
          </cell>
          <cell r="DE35" t="str">
            <v>-</v>
          </cell>
          <cell r="DF35" t="str">
            <v>-</v>
          </cell>
          <cell r="DG35" t="str">
            <v>-</v>
          </cell>
          <cell r="DH35" t="str">
            <v>-</v>
          </cell>
          <cell r="DI35" t="str">
            <v>-</v>
          </cell>
          <cell r="DJ35" t="str">
            <v>-</v>
          </cell>
          <cell r="DK35" t="str">
            <v>-</v>
          </cell>
          <cell r="DL35" t="str">
            <v>-</v>
          </cell>
          <cell r="DM35" t="str">
            <v>-</v>
          </cell>
          <cell r="DN35" t="str">
            <v>-</v>
          </cell>
          <cell r="DO35" t="str">
            <v>-</v>
          </cell>
          <cell r="DP35" t="str">
            <v>-</v>
          </cell>
          <cell r="DQ35" t="str">
            <v>-</v>
          </cell>
          <cell r="DR35" t="str">
            <v>-</v>
          </cell>
          <cell r="DS35" t="str">
            <v>-</v>
          </cell>
          <cell r="DT35" t="str">
            <v>-</v>
          </cell>
          <cell r="DU35" t="str">
            <v>-</v>
          </cell>
          <cell r="DV35" t="str">
            <v>-</v>
          </cell>
          <cell r="DW35" t="str">
            <v>-</v>
          </cell>
          <cell r="DX35" t="str">
            <v>-</v>
          </cell>
          <cell r="DY35" t="str">
            <v>-</v>
          </cell>
          <cell r="DZ35" t="str">
            <v>-</v>
          </cell>
          <cell r="EA35" t="str">
            <v>-</v>
          </cell>
          <cell r="EB35" t="str">
            <v>-</v>
          </cell>
          <cell r="EC35" t="str">
            <v>-</v>
          </cell>
          <cell r="ED35" t="str">
            <v>-</v>
          </cell>
          <cell r="EE35" t="str">
            <v>-</v>
          </cell>
          <cell r="EF35" t="str">
            <v>-</v>
          </cell>
          <cell r="EG35" t="str">
            <v>-</v>
          </cell>
          <cell r="EH35" t="str">
            <v>-</v>
          </cell>
          <cell r="EI35" t="str">
            <v>-</v>
          </cell>
          <cell r="EJ35" t="str">
            <v>-</v>
          </cell>
          <cell r="EK35" t="str">
            <v>-</v>
          </cell>
          <cell r="EL35" t="str">
            <v>-</v>
          </cell>
          <cell r="EM35" t="str">
            <v>-</v>
          </cell>
          <cell r="EN35" t="str">
            <v>-</v>
          </cell>
          <cell r="EO35" t="str">
            <v>-</v>
          </cell>
          <cell r="EP35" t="str">
            <v>-</v>
          </cell>
          <cell r="EQ35" t="str">
            <v>-</v>
          </cell>
          <cell r="ER35" t="str">
            <v>-</v>
          </cell>
          <cell r="ES35" t="str">
            <v>-</v>
          </cell>
          <cell r="ET35" t="str">
            <v>-</v>
          </cell>
          <cell r="EU35" t="str">
            <v>-</v>
          </cell>
          <cell r="EV35" t="str">
            <v>-</v>
          </cell>
          <cell r="EW35" t="str">
            <v>-</v>
          </cell>
          <cell r="EX35" t="str">
            <v>-</v>
          </cell>
          <cell r="EY35" t="str">
            <v>-</v>
          </cell>
          <cell r="EZ35" t="str">
            <v>-</v>
          </cell>
          <cell r="FA35" t="str">
            <v>-</v>
          </cell>
          <cell r="FB35" t="str">
            <v>-</v>
          </cell>
          <cell r="FC35" t="str">
            <v>-</v>
          </cell>
          <cell r="FD35" t="str">
            <v>-</v>
          </cell>
          <cell r="FE35" t="str">
            <v>-</v>
          </cell>
          <cell r="FF35" t="str">
            <v>-</v>
          </cell>
          <cell r="FG35" t="str">
            <v>-</v>
          </cell>
          <cell r="FH35" t="str">
            <v>-</v>
          </cell>
          <cell r="FI35" t="str">
            <v>-</v>
          </cell>
          <cell r="FJ35" t="str">
            <v>-</v>
          </cell>
          <cell r="FK35" t="str">
            <v>-</v>
          </cell>
          <cell r="FL35" t="str">
            <v>-</v>
          </cell>
          <cell r="FM35" t="str">
            <v>-</v>
          </cell>
          <cell r="FN35" t="str">
            <v>-</v>
          </cell>
          <cell r="FO35" t="str">
            <v>-</v>
          </cell>
          <cell r="FP35" t="str">
            <v>-</v>
          </cell>
          <cell r="FQ35" t="str">
            <v>-</v>
          </cell>
          <cell r="FR35" t="str">
            <v>-</v>
          </cell>
          <cell r="FS35" t="str">
            <v>-</v>
          </cell>
          <cell r="FT35" t="str">
            <v>-</v>
          </cell>
          <cell r="FU35" t="str">
            <v>-</v>
          </cell>
          <cell r="FV35" t="str">
            <v>-</v>
          </cell>
          <cell r="FW35" t="str">
            <v>-</v>
          </cell>
          <cell r="FX35" t="str">
            <v>-</v>
          </cell>
          <cell r="FY35" t="str">
            <v>-</v>
          </cell>
          <cell r="FZ35" t="str">
            <v>-</v>
          </cell>
          <cell r="GA35" t="str">
            <v>-</v>
          </cell>
        </row>
        <row r="36">
          <cell r="A36" t="str">
            <v>A1945</v>
          </cell>
          <cell r="B36" t="str">
            <v>MARIA CHINDRYANITA GALA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1</v>
          </cell>
          <cell r="BH36">
            <v>4</v>
          </cell>
          <cell r="BI36">
            <v>4</v>
          </cell>
          <cell r="BJ36" t="str">
            <v>Level 1</v>
          </cell>
          <cell r="BK36">
            <v>3</v>
          </cell>
          <cell r="BL36">
            <v>44</v>
          </cell>
          <cell r="BM36">
            <v>14.666666666666666</v>
          </cell>
          <cell r="BN36" t="str">
            <v>Level 1</v>
          </cell>
          <cell r="BO36">
            <v>4</v>
          </cell>
          <cell r="BP36">
            <v>94</v>
          </cell>
          <cell r="BQ36">
            <v>23.5</v>
          </cell>
          <cell r="BR36" t="str">
            <v>Level 1</v>
          </cell>
          <cell r="BS36">
            <v>6</v>
          </cell>
          <cell r="BT36">
            <v>93</v>
          </cell>
          <cell r="BU36">
            <v>15.5</v>
          </cell>
          <cell r="BV36" t="str">
            <v>Level 1</v>
          </cell>
          <cell r="BW36">
            <v>12</v>
          </cell>
          <cell r="BX36">
            <v>275</v>
          </cell>
          <cell r="BY36">
            <v>22.916666666666668</v>
          </cell>
          <cell r="BZ36" t="str">
            <v>Level 1</v>
          </cell>
          <cell r="CA36">
            <v>17</v>
          </cell>
          <cell r="CB36">
            <v>438</v>
          </cell>
          <cell r="CC36">
            <v>25.764705882352942</v>
          </cell>
          <cell r="CD36" t="str">
            <v>Level 1</v>
          </cell>
          <cell r="CE36">
            <v>6</v>
          </cell>
          <cell r="CF36">
            <v>152</v>
          </cell>
          <cell r="CG36">
            <v>25.333333333333332</v>
          </cell>
          <cell r="CH36" t="str">
            <v>Level 1</v>
          </cell>
          <cell r="CI36">
            <v>14</v>
          </cell>
          <cell r="CJ36">
            <v>409</v>
          </cell>
          <cell r="CK36">
            <v>29.214285714285715</v>
          </cell>
          <cell r="CL36" t="str">
            <v>Level 2</v>
          </cell>
          <cell r="CM36">
            <v>13</v>
          </cell>
          <cell r="CN36">
            <v>361</v>
          </cell>
          <cell r="CO36">
            <v>27.76923076923077</v>
          </cell>
          <cell r="CP36" t="str">
            <v>Level 1</v>
          </cell>
          <cell r="CQ36">
            <v>12</v>
          </cell>
          <cell r="CR36">
            <v>359</v>
          </cell>
          <cell r="CS36">
            <v>29.916666666666668</v>
          </cell>
          <cell r="CT36" t="str">
            <v>Level 2</v>
          </cell>
          <cell r="CU36">
            <v>2</v>
          </cell>
          <cell r="CV36">
            <v>43</v>
          </cell>
          <cell r="CW36">
            <v>21.5</v>
          </cell>
          <cell r="CX36" t="str">
            <v>Level 1</v>
          </cell>
          <cell r="CY36">
            <v>14</v>
          </cell>
          <cell r="CZ36">
            <v>422</v>
          </cell>
          <cell r="DA36">
            <v>30.142857142857142</v>
          </cell>
          <cell r="DB36" t="str">
            <v>Level 2</v>
          </cell>
          <cell r="DC36">
            <v>4</v>
          </cell>
          <cell r="DD36">
            <v>161</v>
          </cell>
          <cell r="DE36">
            <v>40.25</v>
          </cell>
          <cell r="DF36" t="str">
            <v>Level 3</v>
          </cell>
          <cell r="DG36" t="str">
            <v>-</v>
          </cell>
          <cell r="DH36" t="str">
            <v>-</v>
          </cell>
          <cell r="DI36" t="str">
            <v>-</v>
          </cell>
          <cell r="DJ36" t="str">
            <v>-</v>
          </cell>
          <cell r="DK36" t="str">
            <v>-</v>
          </cell>
          <cell r="DL36" t="str">
            <v>-</v>
          </cell>
          <cell r="DM36" t="str">
            <v>-</v>
          </cell>
          <cell r="DN36" t="str">
            <v>-</v>
          </cell>
          <cell r="DO36">
            <v>11</v>
          </cell>
          <cell r="DP36">
            <v>319</v>
          </cell>
          <cell r="DQ36">
            <v>29</v>
          </cell>
          <cell r="DR36" t="str">
            <v>Level 2</v>
          </cell>
          <cell r="DS36">
            <v>9</v>
          </cell>
          <cell r="DT36">
            <v>266</v>
          </cell>
          <cell r="DU36">
            <v>29.555555555555557</v>
          </cell>
          <cell r="DV36" t="str">
            <v>Level 2</v>
          </cell>
          <cell r="DW36">
            <v>10</v>
          </cell>
          <cell r="DX36">
            <v>337</v>
          </cell>
          <cell r="DY36">
            <v>33.700000000000003</v>
          </cell>
          <cell r="DZ36" t="str">
            <v>Level 2</v>
          </cell>
          <cell r="EA36">
            <v>13</v>
          </cell>
          <cell r="EB36">
            <v>466</v>
          </cell>
          <cell r="EC36">
            <v>35.846153846153847</v>
          </cell>
          <cell r="ED36" t="str">
            <v>Level 2</v>
          </cell>
          <cell r="EE36">
            <v>11</v>
          </cell>
          <cell r="EF36">
            <v>348</v>
          </cell>
          <cell r="EG36">
            <v>31.636363636363637</v>
          </cell>
          <cell r="EH36" t="str">
            <v>Level 2</v>
          </cell>
          <cell r="EI36">
            <v>17</v>
          </cell>
          <cell r="EJ36">
            <v>523</v>
          </cell>
          <cell r="EK36">
            <v>30.764705882352942</v>
          </cell>
          <cell r="EL36" t="str">
            <v>Level 2</v>
          </cell>
          <cell r="EM36">
            <v>21</v>
          </cell>
          <cell r="EN36">
            <v>805</v>
          </cell>
          <cell r="EO36">
            <v>38.333333333333336</v>
          </cell>
          <cell r="EP36" t="str">
            <v>Level 2</v>
          </cell>
          <cell r="EQ36">
            <v>19</v>
          </cell>
          <cell r="ER36">
            <v>576</v>
          </cell>
          <cell r="ES36">
            <v>30.315789473684209</v>
          </cell>
          <cell r="ET36" t="str">
            <v>Level 2</v>
          </cell>
          <cell r="EU36">
            <v>20</v>
          </cell>
          <cell r="EV36">
            <v>622</v>
          </cell>
          <cell r="EW36">
            <v>31.1</v>
          </cell>
          <cell r="EX36" t="str">
            <v>Level 2</v>
          </cell>
          <cell r="EY36">
            <v>18</v>
          </cell>
          <cell r="EZ36">
            <v>618</v>
          </cell>
          <cell r="FA36">
            <v>34.333333333333336</v>
          </cell>
          <cell r="FB36" t="str">
            <v>Level 2</v>
          </cell>
          <cell r="FC36">
            <v>11</v>
          </cell>
          <cell r="FD36">
            <v>338</v>
          </cell>
          <cell r="FE36">
            <v>30.727272727272727</v>
          </cell>
          <cell r="FF36" t="str">
            <v>Level 2</v>
          </cell>
          <cell r="FG36">
            <v>12</v>
          </cell>
          <cell r="FH36">
            <v>350</v>
          </cell>
          <cell r="FI36">
            <v>29.166666666666668</v>
          </cell>
          <cell r="FJ36" t="str">
            <v>Level 2</v>
          </cell>
          <cell r="FK36">
            <v>16</v>
          </cell>
          <cell r="FL36">
            <v>513</v>
          </cell>
          <cell r="FM36">
            <v>32.0625</v>
          </cell>
          <cell r="FN36" t="str">
            <v>Level 2</v>
          </cell>
          <cell r="FO36" t="str">
            <v>-</v>
          </cell>
          <cell r="FP36" t="str">
            <v>-</v>
          </cell>
          <cell r="FQ36" t="str">
            <v>-</v>
          </cell>
          <cell r="FR36" t="str">
            <v>-</v>
          </cell>
          <cell r="FS36">
            <v>12</v>
          </cell>
          <cell r="FT36">
            <v>400</v>
          </cell>
          <cell r="FU36">
            <v>33.333333333333336</v>
          </cell>
          <cell r="FV36" t="str">
            <v>Level 2</v>
          </cell>
          <cell r="FW36" t="str">
            <v>-</v>
          </cell>
          <cell r="FX36" t="str">
            <v>-</v>
          </cell>
          <cell r="FY36" t="str">
            <v>-</v>
          </cell>
          <cell r="FZ36" t="str">
            <v>-</v>
          </cell>
          <cell r="GA36" t="str">
            <v>-</v>
          </cell>
        </row>
        <row r="37">
          <cell r="A37" t="str">
            <v>A0477</v>
          </cell>
          <cell r="B37" t="str">
            <v>THERESIA YUSI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5</v>
          </cell>
          <cell r="BH37">
            <v>80</v>
          </cell>
          <cell r="BI37">
            <v>16</v>
          </cell>
          <cell r="BJ37" t="str">
            <v>Level 1</v>
          </cell>
          <cell r="BK37">
            <v>2</v>
          </cell>
          <cell r="BL37">
            <v>35</v>
          </cell>
          <cell r="BM37">
            <v>17.5</v>
          </cell>
          <cell r="BN37" t="str">
            <v>Level 1</v>
          </cell>
          <cell r="BO37" t="str">
            <v>-</v>
          </cell>
          <cell r="BP37" t="str">
            <v>-</v>
          </cell>
          <cell r="BQ37" t="str">
            <v>-</v>
          </cell>
          <cell r="BR37" t="str">
            <v>-</v>
          </cell>
          <cell r="BS37" t="str">
            <v>-</v>
          </cell>
          <cell r="BT37" t="str">
            <v>-</v>
          </cell>
          <cell r="BU37" t="str">
            <v>-</v>
          </cell>
          <cell r="BV37" t="str">
            <v>-</v>
          </cell>
          <cell r="BW37" t="str">
            <v>-</v>
          </cell>
          <cell r="BX37" t="str">
            <v>-</v>
          </cell>
          <cell r="BY37" t="str">
            <v>-</v>
          </cell>
          <cell r="BZ37" t="str">
            <v>-</v>
          </cell>
          <cell r="CA37" t="str">
            <v>-</v>
          </cell>
          <cell r="CB37" t="str">
            <v>-</v>
          </cell>
          <cell r="CC37" t="str">
            <v>-</v>
          </cell>
          <cell r="CD37" t="str">
            <v>-</v>
          </cell>
          <cell r="CE37" t="str">
            <v>-</v>
          </cell>
          <cell r="CF37" t="str">
            <v>-</v>
          </cell>
          <cell r="CG37" t="str">
            <v>-</v>
          </cell>
          <cell r="CH37" t="str">
            <v>-</v>
          </cell>
          <cell r="CI37" t="str">
            <v>-</v>
          </cell>
          <cell r="CJ37" t="str">
            <v>-</v>
          </cell>
          <cell r="CK37" t="str">
            <v>-</v>
          </cell>
          <cell r="CL37" t="str">
            <v>-</v>
          </cell>
          <cell r="CM37" t="str">
            <v>-</v>
          </cell>
          <cell r="CN37" t="str">
            <v>-</v>
          </cell>
          <cell r="CO37" t="str">
            <v>-</v>
          </cell>
          <cell r="CP37" t="str">
            <v>-</v>
          </cell>
          <cell r="CQ37" t="str">
            <v>-</v>
          </cell>
          <cell r="CR37" t="str">
            <v>-</v>
          </cell>
          <cell r="CS37" t="str">
            <v>-</v>
          </cell>
          <cell r="CT37" t="str">
            <v>-</v>
          </cell>
          <cell r="CU37" t="str">
            <v>-</v>
          </cell>
          <cell r="CV37" t="str">
            <v>-</v>
          </cell>
          <cell r="CW37" t="str">
            <v>-</v>
          </cell>
          <cell r="CX37" t="str">
            <v>-</v>
          </cell>
          <cell r="CY37" t="str">
            <v>-</v>
          </cell>
          <cell r="CZ37" t="str">
            <v>-</v>
          </cell>
          <cell r="DA37" t="str">
            <v>-</v>
          </cell>
          <cell r="DB37" t="str">
            <v>-</v>
          </cell>
          <cell r="DC37" t="str">
            <v>-</v>
          </cell>
          <cell r="DD37" t="str">
            <v>-</v>
          </cell>
          <cell r="DE37" t="str">
            <v>-</v>
          </cell>
          <cell r="DF37" t="str">
            <v>-</v>
          </cell>
          <cell r="DG37" t="str">
            <v>-</v>
          </cell>
          <cell r="DH37" t="str">
            <v>-</v>
          </cell>
          <cell r="DI37" t="str">
            <v>-</v>
          </cell>
          <cell r="DJ37" t="str">
            <v>-</v>
          </cell>
          <cell r="DK37" t="str">
            <v>-</v>
          </cell>
          <cell r="DL37" t="str">
            <v>-</v>
          </cell>
          <cell r="DM37" t="str">
            <v>-</v>
          </cell>
          <cell r="DN37" t="str">
            <v>-</v>
          </cell>
          <cell r="DO37" t="str">
            <v>-</v>
          </cell>
          <cell r="DP37" t="str">
            <v>-</v>
          </cell>
          <cell r="DQ37" t="str">
            <v>-</v>
          </cell>
          <cell r="DR37" t="str">
            <v>-</v>
          </cell>
          <cell r="DS37" t="str">
            <v>-</v>
          </cell>
          <cell r="DT37" t="str">
            <v>-</v>
          </cell>
          <cell r="DU37" t="str">
            <v>-</v>
          </cell>
          <cell r="DV37" t="str">
            <v>-</v>
          </cell>
          <cell r="DW37" t="str">
            <v>-</v>
          </cell>
          <cell r="DX37" t="str">
            <v>-</v>
          </cell>
          <cell r="DY37" t="str">
            <v>-</v>
          </cell>
          <cell r="DZ37" t="str">
            <v>-</v>
          </cell>
          <cell r="EA37" t="str">
            <v>-</v>
          </cell>
          <cell r="EB37" t="str">
            <v>-</v>
          </cell>
          <cell r="EC37" t="str">
            <v>-</v>
          </cell>
          <cell r="ED37" t="str">
            <v>-</v>
          </cell>
          <cell r="EE37" t="str">
            <v>-</v>
          </cell>
          <cell r="EF37" t="str">
            <v>-</v>
          </cell>
          <cell r="EG37" t="str">
            <v>-</v>
          </cell>
          <cell r="EH37" t="str">
            <v>-</v>
          </cell>
          <cell r="EI37" t="str">
            <v>-</v>
          </cell>
          <cell r="EJ37" t="str">
            <v>-</v>
          </cell>
          <cell r="EK37" t="str">
            <v>-</v>
          </cell>
          <cell r="EL37" t="str">
            <v>-</v>
          </cell>
          <cell r="EM37" t="str">
            <v>-</v>
          </cell>
          <cell r="EN37" t="str">
            <v>-</v>
          </cell>
          <cell r="EO37" t="str">
            <v>-</v>
          </cell>
          <cell r="EP37" t="str">
            <v>-</v>
          </cell>
          <cell r="EQ37" t="str">
            <v>-</v>
          </cell>
          <cell r="ER37" t="str">
            <v>-</v>
          </cell>
          <cell r="ES37" t="str">
            <v>-</v>
          </cell>
          <cell r="ET37" t="str">
            <v>-</v>
          </cell>
          <cell r="EU37" t="str">
            <v>-</v>
          </cell>
          <cell r="EV37" t="str">
            <v>-</v>
          </cell>
          <cell r="EW37" t="str">
            <v>-</v>
          </cell>
          <cell r="EX37" t="str">
            <v>-</v>
          </cell>
          <cell r="EY37" t="str">
            <v>-</v>
          </cell>
          <cell r="EZ37" t="str">
            <v>-</v>
          </cell>
          <cell r="FA37" t="str">
            <v>-</v>
          </cell>
          <cell r="FB37" t="str">
            <v>-</v>
          </cell>
          <cell r="FC37" t="str">
            <v>-</v>
          </cell>
          <cell r="FD37" t="str">
            <v>-</v>
          </cell>
          <cell r="FE37" t="str">
            <v>-</v>
          </cell>
          <cell r="FF37" t="str">
            <v>-</v>
          </cell>
          <cell r="FG37" t="str">
            <v>-</v>
          </cell>
          <cell r="FH37" t="str">
            <v>-</v>
          </cell>
          <cell r="FI37" t="str">
            <v>-</v>
          </cell>
          <cell r="FJ37" t="str">
            <v>-</v>
          </cell>
          <cell r="FK37" t="str">
            <v>-</v>
          </cell>
          <cell r="FL37" t="str">
            <v>-</v>
          </cell>
          <cell r="FM37" t="str">
            <v>-</v>
          </cell>
          <cell r="FN37" t="str">
            <v>-</v>
          </cell>
          <cell r="FO37" t="str">
            <v>-</v>
          </cell>
          <cell r="FP37" t="str">
            <v>-</v>
          </cell>
          <cell r="FQ37" t="str">
            <v>-</v>
          </cell>
          <cell r="FR37" t="str">
            <v>-</v>
          </cell>
          <cell r="FS37" t="str">
            <v>-</v>
          </cell>
          <cell r="FT37" t="str">
            <v>-</v>
          </cell>
          <cell r="FU37" t="str">
            <v>-</v>
          </cell>
          <cell r="FV37" t="str">
            <v>-</v>
          </cell>
          <cell r="FW37" t="str">
            <v>-</v>
          </cell>
          <cell r="FX37" t="str">
            <v>-</v>
          </cell>
          <cell r="FY37" t="str">
            <v>-</v>
          </cell>
          <cell r="FZ37" t="str">
            <v>-</v>
          </cell>
          <cell r="GA37" t="str">
            <v>-</v>
          </cell>
        </row>
        <row r="38">
          <cell r="A38" t="str">
            <v>A1941</v>
          </cell>
          <cell r="B38" t="str">
            <v>HANA CHRISTINA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6</v>
          </cell>
          <cell r="BL38">
            <v>116</v>
          </cell>
          <cell r="BM38">
            <v>19.333333333333332</v>
          </cell>
          <cell r="BN38" t="str">
            <v>Level 1</v>
          </cell>
          <cell r="BO38">
            <v>3</v>
          </cell>
          <cell r="BP38">
            <v>58</v>
          </cell>
          <cell r="BQ38">
            <v>19.333333333333332</v>
          </cell>
          <cell r="BR38" t="str">
            <v>Level 1</v>
          </cell>
          <cell r="BS38">
            <v>2</v>
          </cell>
          <cell r="BT38">
            <v>13</v>
          </cell>
          <cell r="BU38">
            <v>6.5</v>
          </cell>
          <cell r="BV38" t="str">
            <v>Level 1</v>
          </cell>
          <cell r="BW38">
            <v>2</v>
          </cell>
          <cell r="BX38">
            <v>40</v>
          </cell>
          <cell r="BY38">
            <v>20</v>
          </cell>
          <cell r="BZ38" t="str">
            <v>Level 1</v>
          </cell>
          <cell r="CA38">
            <v>4</v>
          </cell>
          <cell r="CB38">
            <v>160</v>
          </cell>
          <cell r="CC38">
            <v>40</v>
          </cell>
          <cell r="CD38" t="str">
            <v>Level 3</v>
          </cell>
          <cell r="CE38">
            <v>3</v>
          </cell>
          <cell r="CF38">
            <v>58</v>
          </cell>
          <cell r="CG38">
            <v>19.333333333333332</v>
          </cell>
          <cell r="CH38" t="str">
            <v>Level 1</v>
          </cell>
          <cell r="CI38">
            <v>5</v>
          </cell>
          <cell r="CJ38">
            <v>162</v>
          </cell>
          <cell r="CK38">
            <v>32.4</v>
          </cell>
          <cell r="CL38" t="str">
            <v>Level 2</v>
          </cell>
          <cell r="CM38">
            <v>3</v>
          </cell>
          <cell r="CN38">
            <v>68</v>
          </cell>
          <cell r="CO38">
            <v>22.666666666666668</v>
          </cell>
          <cell r="CP38" t="str">
            <v>Level 1</v>
          </cell>
          <cell r="CQ38">
            <v>5</v>
          </cell>
          <cell r="CR38">
            <v>130</v>
          </cell>
          <cell r="CS38">
            <v>26</v>
          </cell>
          <cell r="CT38" t="str">
            <v>Level 1</v>
          </cell>
          <cell r="CU38">
            <v>1</v>
          </cell>
          <cell r="CV38">
            <v>23</v>
          </cell>
          <cell r="CW38">
            <v>23</v>
          </cell>
          <cell r="CX38" t="str">
            <v>Level 1</v>
          </cell>
          <cell r="CY38">
            <v>4</v>
          </cell>
          <cell r="CZ38">
            <v>84</v>
          </cell>
          <cell r="DA38">
            <v>21</v>
          </cell>
          <cell r="DB38" t="str">
            <v>Level 1</v>
          </cell>
          <cell r="DC38" t="str">
            <v>-</v>
          </cell>
          <cell r="DD38" t="str">
            <v>-</v>
          </cell>
          <cell r="DE38" t="str">
            <v>-</v>
          </cell>
          <cell r="DF38" t="str">
            <v>-</v>
          </cell>
          <cell r="DG38">
            <v>5</v>
          </cell>
          <cell r="DH38">
            <v>150</v>
          </cell>
          <cell r="DI38">
            <v>30</v>
          </cell>
          <cell r="DJ38" t="str">
            <v>Level 2</v>
          </cell>
          <cell r="DK38">
            <v>1</v>
          </cell>
          <cell r="DL38">
            <v>25</v>
          </cell>
          <cell r="DM38">
            <v>25</v>
          </cell>
          <cell r="DN38" t="str">
            <v>Level 1</v>
          </cell>
          <cell r="DO38">
            <v>8</v>
          </cell>
          <cell r="DP38">
            <v>189</v>
          </cell>
          <cell r="DQ38">
            <v>23.625</v>
          </cell>
          <cell r="DR38" t="str">
            <v>Level 1</v>
          </cell>
          <cell r="DS38">
            <v>4</v>
          </cell>
          <cell r="DT38">
            <v>90</v>
          </cell>
          <cell r="DU38">
            <v>22.5</v>
          </cell>
          <cell r="DV38" t="str">
            <v>Level 1</v>
          </cell>
          <cell r="DW38">
            <v>2</v>
          </cell>
          <cell r="DX38">
            <v>70</v>
          </cell>
          <cell r="DY38">
            <v>35</v>
          </cell>
          <cell r="DZ38" t="str">
            <v>Level 2</v>
          </cell>
          <cell r="EA38" t="str">
            <v>-</v>
          </cell>
          <cell r="EB38" t="str">
            <v>-</v>
          </cell>
          <cell r="EC38" t="str">
            <v>-</v>
          </cell>
          <cell r="ED38" t="str">
            <v>-</v>
          </cell>
          <cell r="EE38">
            <v>1</v>
          </cell>
          <cell r="EF38">
            <v>14</v>
          </cell>
          <cell r="EG38">
            <v>14</v>
          </cell>
          <cell r="EH38" t="str">
            <v>Level 1</v>
          </cell>
          <cell r="EI38">
            <v>1</v>
          </cell>
          <cell r="EJ38">
            <v>12</v>
          </cell>
          <cell r="EK38">
            <v>12</v>
          </cell>
          <cell r="EL38" t="str">
            <v>Level 1</v>
          </cell>
          <cell r="EM38">
            <v>2</v>
          </cell>
          <cell r="EN38">
            <v>49</v>
          </cell>
          <cell r="EO38">
            <v>24.5</v>
          </cell>
          <cell r="EP38" t="str">
            <v>Level 1</v>
          </cell>
          <cell r="EQ38">
            <v>3</v>
          </cell>
          <cell r="ER38">
            <v>64</v>
          </cell>
          <cell r="ES38">
            <v>21.333333333333332</v>
          </cell>
          <cell r="ET38" t="str">
            <v>Level 1</v>
          </cell>
          <cell r="EU38">
            <v>2</v>
          </cell>
          <cell r="EV38">
            <v>55</v>
          </cell>
          <cell r="EW38">
            <v>27.5</v>
          </cell>
          <cell r="EX38" t="str">
            <v>Level 1</v>
          </cell>
          <cell r="EY38">
            <v>1</v>
          </cell>
          <cell r="EZ38">
            <v>13</v>
          </cell>
          <cell r="FA38">
            <v>13</v>
          </cell>
          <cell r="FB38" t="str">
            <v>Level 1</v>
          </cell>
          <cell r="FC38">
            <v>2</v>
          </cell>
          <cell r="FD38">
            <v>59</v>
          </cell>
          <cell r="FE38">
            <v>29.5</v>
          </cell>
          <cell r="FF38" t="str">
            <v>Level 2</v>
          </cell>
          <cell r="FG38">
            <v>1</v>
          </cell>
          <cell r="FH38">
            <v>13</v>
          </cell>
          <cell r="FI38">
            <v>13</v>
          </cell>
          <cell r="FJ38" t="str">
            <v>Level 1</v>
          </cell>
          <cell r="FK38">
            <v>2</v>
          </cell>
          <cell r="FL38">
            <v>68</v>
          </cell>
          <cell r="FM38">
            <v>34</v>
          </cell>
          <cell r="FN38" t="str">
            <v>Level 2</v>
          </cell>
          <cell r="FO38" t="str">
            <v>-</v>
          </cell>
          <cell r="FP38" t="str">
            <v>-</v>
          </cell>
          <cell r="FQ38" t="str">
            <v>-</v>
          </cell>
          <cell r="FR38" t="str">
            <v>-</v>
          </cell>
          <cell r="FS38">
            <v>2</v>
          </cell>
          <cell r="FT38">
            <v>63</v>
          </cell>
          <cell r="FU38">
            <v>31.5</v>
          </cell>
          <cell r="FV38" t="str">
            <v>Level 2</v>
          </cell>
          <cell r="FW38">
            <v>1</v>
          </cell>
          <cell r="FX38">
            <v>32</v>
          </cell>
          <cell r="FY38">
            <v>32</v>
          </cell>
          <cell r="FZ38" t="str">
            <v>Level 2</v>
          </cell>
          <cell r="GA38" t="str">
            <v>-</v>
          </cell>
        </row>
        <row r="39">
          <cell r="A39" t="str">
            <v>A2066</v>
          </cell>
          <cell r="B39" t="str">
            <v xml:space="preserve">YULIANT EFENDI 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22</v>
          </cell>
          <cell r="BP39">
            <v>896</v>
          </cell>
          <cell r="BQ39">
            <v>40.727272727272727</v>
          </cell>
          <cell r="BR39" t="str">
            <v>Level 3</v>
          </cell>
          <cell r="BS39">
            <v>23</v>
          </cell>
          <cell r="BT39">
            <v>885</v>
          </cell>
          <cell r="BU39">
            <v>38.478260869565219</v>
          </cell>
          <cell r="BV39" t="str">
            <v>Level 2</v>
          </cell>
          <cell r="BW39">
            <v>23</v>
          </cell>
          <cell r="BX39">
            <v>904</v>
          </cell>
          <cell r="BY39">
            <v>39.304347826086953</v>
          </cell>
          <cell r="BZ39" t="str">
            <v>Level 2</v>
          </cell>
          <cell r="CA39">
            <v>26</v>
          </cell>
          <cell r="CB39">
            <v>1133</v>
          </cell>
          <cell r="CC39">
            <v>43.57692307692308</v>
          </cell>
          <cell r="CD39" t="str">
            <v>Level 3</v>
          </cell>
          <cell r="CE39">
            <v>21</v>
          </cell>
          <cell r="CF39">
            <v>913</v>
          </cell>
          <cell r="CG39">
            <v>43.476190476190474</v>
          </cell>
          <cell r="CH39" t="str">
            <v>Level 3</v>
          </cell>
          <cell r="CI39">
            <v>27</v>
          </cell>
          <cell r="CJ39">
            <v>1135</v>
          </cell>
          <cell r="CK39">
            <v>42.037037037037038</v>
          </cell>
          <cell r="CL39" t="str">
            <v>Level 3</v>
          </cell>
          <cell r="CM39">
            <v>24</v>
          </cell>
          <cell r="CN39">
            <v>916</v>
          </cell>
          <cell r="CO39">
            <v>38.166666666666664</v>
          </cell>
          <cell r="CP39" t="str">
            <v>Level 2</v>
          </cell>
          <cell r="CQ39">
            <v>27</v>
          </cell>
          <cell r="CR39">
            <v>1146</v>
          </cell>
          <cell r="CS39">
            <v>42.444444444444443</v>
          </cell>
          <cell r="CT39" t="str">
            <v>Level 3</v>
          </cell>
          <cell r="CU39">
            <v>26</v>
          </cell>
          <cell r="CV39">
            <v>1082</v>
          </cell>
          <cell r="CW39">
            <v>41.615384615384613</v>
          </cell>
          <cell r="CX39" t="str">
            <v>Level 3</v>
          </cell>
          <cell r="CY39">
            <v>26</v>
          </cell>
          <cell r="CZ39">
            <v>1041</v>
          </cell>
          <cell r="DA39">
            <v>40.03846153846154</v>
          </cell>
          <cell r="DB39" t="str">
            <v>Level 3</v>
          </cell>
          <cell r="DC39">
            <v>25</v>
          </cell>
          <cell r="DD39">
            <v>1057</v>
          </cell>
          <cell r="DE39">
            <v>42.28</v>
          </cell>
          <cell r="DF39" t="str">
            <v>Level 3</v>
          </cell>
          <cell r="DG39">
            <v>15</v>
          </cell>
          <cell r="DH39">
            <v>636</v>
          </cell>
          <cell r="DI39">
            <v>42.4</v>
          </cell>
          <cell r="DJ39" t="str">
            <v>Level 3</v>
          </cell>
          <cell r="DK39">
            <v>22</v>
          </cell>
          <cell r="DL39">
            <v>724</v>
          </cell>
          <cell r="DM39">
            <v>32.909090909090907</v>
          </cell>
          <cell r="DN39" t="str">
            <v>Level 2</v>
          </cell>
          <cell r="DO39">
            <v>28</v>
          </cell>
          <cell r="DP39">
            <v>1130</v>
          </cell>
          <cell r="DQ39">
            <v>40.357142857142854</v>
          </cell>
          <cell r="DR39" t="str">
            <v>Level 3</v>
          </cell>
          <cell r="DS39">
            <v>22</v>
          </cell>
          <cell r="DT39">
            <v>800</v>
          </cell>
          <cell r="DU39">
            <v>36.363636363636367</v>
          </cell>
          <cell r="DV39" t="str">
            <v>Level 2</v>
          </cell>
          <cell r="DW39">
            <v>25</v>
          </cell>
          <cell r="DX39">
            <v>1170</v>
          </cell>
          <cell r="DY39">
            <v>46.8</v>
          </cell>
          <cell r="DZ39" t="str">
            <v>Level 3</v>
          </cell>
          <cell r="EA39">
            <v>24</v>
          </cell>
          <cell r="EB39">
            <v>1074</v>
          </cell>
          <cell r="EC39">
            <v>44.75</v>
          </cell>
          <cell r="ED39" t="str">
            <v>Level 3</v>
          </cell>
          <cell r="EE39">
            <v>24</v>
          </cell>
          <cell r="EF39">
            <v>882</v>
          </cell>
          <cell r="EG39">
            <v>36.75</v>
          </cell>
          <cell r="EH39" t="str">
            <v>Level 2</v>
          </cell>
          <cell r="EI39">
            <v>22</v>
          </cell>
          <cell r="EJ39">
            <v>882</v>
          </cell>
          <cell r="EK39">
            <v>40.090909090909093</v>
          </cell>
          <cell r="EL39" t="str">
            <v>Level 3</v>
          </cell>
          <cell r="EM39">
            <v>27</v>
          </cell>
          <cell r="EN39">
            <v>1192</v>
          </cell>
          <cell r="EO39">
            <v>44.148148148148145</v>
          </cell>
          <cell r="EP39" t="str">
            <v>Level 3</v>
          </cell>
          <cell r="EQ39">
            <v>20</v>
          </cell>
          <cell r="ER39">
            <v>770</v>
          </cell>
          <cell r="ES39">
            <v>38.5</v>
          </cell>
          <cell r="ET39" t="str">
            <v>Level 2</v>
          </cell>
          <cell r="EU39">
            <v>23</v>
          </cell>
          <cell r="EV39">
            <v>1087</v>
          </cell>
          <cell r="EW39">
            <v>47.260869565217391</v>
          </cell>
          <cell r="EX39" t="str">
            <v>Level 3</v>
          </cell>
          <cell r="EY39">
            <v>23</v>
          </cell>
          <cell r="EZ39">
            <v>834</v>
          </cell>
          <cell r="FA39">
            <v>36.260869565217391</v>
          </cell>
          <cell r="FB39" t="str">
            <v>Level 2</v>
          </cell>
          <cell r="FC39">
            <v>26</v>
          </cell>
          <cell r="FD39">
            <v>1067</v>
          </cell>
          <cell r="FE39">
            <v>41.03846153846154</v>
          </cell>
          <cell r="FF39" t="str">
            <v>Level 3</v>
          </cell>
          <cell r="FG39">
            <v>17</v>
          </cell>
          <cell r="FH39">
            <v>551</v>
          </cell>
          <cell r="FI39">
            <v>32.411764705882355</v>
          </cell>
          <cell r="FJ39" t="str">
            <v>Level 2</v>
          </cell>
          <cell r="FK39">
            <v>28</v>
          </cell>
          <cell r="FL39">
            <v>1216</v>
          </cell>
          <cell r="FM39">
            <v>43.428571428571431</v>
          </cell>
          <cell r="FN39" t="str">
            <v>Level 3</v>
          </cell>
          <cell r="FO39">
            <v>21</v>
          </cell>
          <cell r="FP39">
            <v>1109</v>
          </cell>
          <cell r="FQ39">
            <v>52.80952380952381</v>
          </cell>
          <cell r="FR39" t="str">
            <v>Level 3</v>
          </cell>
          <cell r="FS39">
            <v>25</v>
          </cell>
          <cell r="FT39">
            <v>1187</v>
          </cell>
          <cell r="FU39">
            <v>47.48</v>
          </cell>
          <cell r="FV39" t="str">
            <v>Level 3</v>
          </cell>
          <cell r="FW39">
            <v>22</v>
          </cell>
          <cell r="FX39">
            <v>1089</v>
          </cell>
          <cell r="FY39">
            <v>49.5</v>
          </cell>
          <cell r="FZ39" t="str">
            <v>Level 3</v>
          </cell>
          <cell r="GA39">
            <v>22</v>
          </cell>
        </row>
        <row r="40">
          <cell r="A40" t="str">
            <v>A2080</v>
          </cell>
          <cell r="B40" t="str">
            <v>SHABRINA DARMESTI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7</v>
          </cell>
          <cell r="BT40">
            <v>91</v>
          </cell>
          <cell r="BU40">
            <v>13</v>
          </cell>
          <cell r="BV40" t="str">
            <v>Level 1</v>
          </cell>
          <cell r="BW40" t="str">
            <v>-</v>
          </cell>
          <cell r="BX40" t="str">
            <v>-</v>
          </cell>
          <cell r="BY40" t="str">
            <v>-</v>
          </cell>
          <cell r="BZ40" t="str">
            <v>-</v>
          </cell>
          <cell r="CA40" t="str">
            <v>-</v>
          </cell>
          <cell r="CB40" t="str">
            <v>-</v>
          </cell>
          <cell r="CC40" t="str">
            <v>-</v>
          </cell>
          <cell r="CD40" t="str">
            <v>-</v>
          </cell>
          <cell r="CE40" t="str">
            <v>-</v>
          </cell>
          <cell r="CF40" t="str">
            <v>-</v>
          </cell>
          <cell r="CG40" t="str">
            <v>-</v>
          </cell>
          <cell r="CH40" t="str">
            <v>-</v>
          </cell>
          <cell r="CI40" t="str">
            <v>-</v>
          </cell>
          <cell r="CJ40" t="str">
            <v>-</v>
          </cell>
          <cell r="CK40" t="str">
            <v>-</v>
          </cell>
          <cell r="CL40" t="str">
            <v>-</v>
          </cell>
          <cell r="CM40" t="str">
            <v>-</v>
          </cell>
          <cell r="CN40" t="str">
            <v>-</v>
          </cell>
          <cell r="CO40" t="str">
            <v>-</v>
          </cell>
          <cell r="CP40" t="str">
            <v>-</v>
          </cell>
          <cell r="CQ40" t="str">
            <v>-</v>
          </cell>
          <cell r="CR40" t="str">
            <v>-</v>
          </cell>
          <cell r="CS40" t="str">
            <v>-</v>
          </cell>
          <cell r="CT40" t="str">
            <v>-</v>
          </cell>
          <cell r="CU40" t="str">
            <v>-</v>
          </cell>
          <cell r="CV40" t="str">
            <v>-</v>
          </cell>
          <cell r="CW40" t="str">
            <v>-</v>
          </cell>
          <cell r="CX40" t="str">
            <v>-</v>
          </cell>
          <cell r="CY40" t="str">
            <v>-</v>
          </cell>
          <cell r="CZ40" t="str">
            <v>-</v>
          </cell>
          <cell r="DA40" t="str">
            <v>-</v>
          </cell>
          <cell r="DB40" t="str">
            <v>-</v>
          </cell>
          <cell r="DC40" t="str">
            <v>-</v>
          </cell>
          <cell r="DD40" t="str">
            <v>-</v>
          </cell>
          <cell r="DE40" t="str">
            <v>-</v>
          </cell>
          <cell r="DF40" t="str">
            <v>-</v>
          </cell>
          <cell r="DG40" t="str">
            <v>-</v>
          </cell>
          <cell r="DH40" t="str">
            <v>-</v>
          </cell>
          <cell r="DI40" t="str">
            <v>-</v>
          </cell>
          <cell r="DJ40" t="str">
            <v>-</v>
          </cell>
          <cell r="DK40" t="str">
            <v>-</v>
          </cell>
          <cell r="DL40" t="str">
            <v>-</v>
          </cell>
          <cell r="DM40" t="str">
            <v>-</v>
          </cell>
          <cell r="DN40" t="str">
            <v>-</v>
          </cell>
          <cell r="DO40" t="str">
            <v>-</v>
          </cell>
          <cell r="DP40" t="str">
            <v>-</v>
          </cell>
          <cell r="DQ40" t="str">
            <v>-</v>
          </cell>
          <cell r="DR40" t="str">
            <v>-</v>
          </cell>
          <cell r="DS40" t="str">
            <v>-</v>
          </cell>
          <cell r="DT40" t="str">
            <v>-</v>
          </cell>
          <cell r="DU40" t="str">
            <v>-</v>
          </cell>
          <cell r="DV40" t="str">
            <v>-</v>
          </cell>
          <cell r="DW40" t="str">
            <v>-</v>
          </cell>
          <cell r="DX40" t="str">
            <v>-</v>
          </cell>
          <cell r="DY40" t="str">
            <v>-</v>
          </cell>
          <cell r="DZ40" t="str">
            <v>-</v>
          </cell>
          <cell r="EA40" t="str">
            <v>-</v>
          </cell>
          <cell r="EB40" t="str">
            <v>-</v>
          </cell>
          <cell r="EC40" t="str">
            <v>-</v>
          </cell>
          <cell r="ED40" t="str">
            <v>-</v>
          </cell>
          <cell r="EE40" t="str">
            <v>-</v>
          </cell>
          <cell r="EF40" t="str">
            <v>-</v>
          </cell>
          <cell r="EG40" t="str">
            <v>-</v>
          </cell>
          <cell r="EH40" t="str">
            <v>-</v>
          </cell>
          <cell r="EI40" t="str">
            <v>-</v>
          </cell>
          <cell r="EJ40" t="str">
            <v>-</v>
          </cell>
          <cell r="EK40" t="str">
            <v>-</v>
          </cell>
          <cell r="EL40" t="str">
            <v>-</v>
          </cell>
          <cell r="EM40" t="str">
            <v>-</v>
          </cell>
          <cell r="EN40" t="str">
            <v>-</v>
          </cell>
          <cell r="EO40" t="str">
            <v>-</v>
          </cell>
          <cell r="EP40" t="str">
            <v>-</v>
          </cell>
          <cell r="EQ40" t="str">
            <v>-</v>
          </cell>
          <cell r="ER40" t="str">
            <v>-</v>
          </cell>
          <cell r="ES40" t="str">
            <v>-</v>
          </cell>
          <cell r="ET40" t="str">
            <v>-</v>
          </cell>
          <cell r="EU40" t="str">
            <v>-</v>
          </cell>
          <cell r="EV40" t="str">
            <v>-</v>
          </cell>
          <cell r="EW40" t="str">
            <v>-</v>
          </cell>
          <cell r="EX40" t="str">
            <v>-</v>
          </cell>
          <cell r="EY40" t="str">
            <v>-</v>
          </cell>
          <cell r="EZ40" t="str">
            <v>-</v>
          </cell>
          <cell r="FA40" t="str">
            <v>-</v>
          </cell>
          <cell r="FB40" t="str">
            <v>-</v>
          </cell>
          <cell r="FC40" t="str">
            <v>-</v>
          </cell>
          <cell r="FD40" t="str">
            <v>-</v>
          </cell>
          <cell r="FE40" t="str">
            <v>-</v>
          </cell>
          <cell r="FF40" t="str">
            <v>-</v>
          </cell>
          <cell r="FG40" t="str">
            <v>-</v>
          </cell>
          <cell r="FH40" t="str">
            <v>-</v>
          </cell>
          <cell r="FI40" t="str">
            <v>-</v>
          </cell>
          <cell r="FJ40" t="str">
            <v>-</v>
          </cell>
          <cell r="FK40" t="str">
            <v>-</v>
          </cell>
          <cell r="FL40" t="str">
            <v>-</v>
          </cell>
          <cell r="FM40" t="str">
            <v>-</v>
          </cell>
          <cell r="FN40" t="str">
            <v>-</v>
          </cell>
          <cell r="FO40" t="str">
            <v>-</v>
          </cell>
          <cell r="FP40" t="str">
            <v>-</v>
          </cell>
          <cell r="FQ40" t="str">
            <v>-</v>
          </cell>
          <cell r="FR40" t="str">
            <v>-</v>
          </cell>
          <cell r="FS40" t="str">
            <v>-</v>
          </cell>
          <cell r="FT40" t="str">
            <v>-</v>
          </cell>
          <cell r="FU40" t="str">
            <v>-</v>
          </cell>
          <cell r="FV40" t="str">
            <v>-</v>
          </cell>
          <cell r="FW40" t="str">
            <v>-</v>
          </cell>
          <cell r="FX40" t="str">
            <v>-</v>
          </cell>
          <cell r="FY40" t="str">
            <v>-</v>
          </cell>
          <cell r="FZ40" t="str">
            <v>-</v>
          </cell>
          <cell r="GA40" t="str">
            <v>-</v>
          </cell>
        </row>
        <row r="41">
          <cell r="A41" t="str">
            <v>A2078</v>
          </cell>
          <cell r="B41" t="str">
            <v>ANASTASIA LESTARI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6</v>
          </cell>
          <cell r="BT41">
            <v>120</v>
          </cell>
          <cell r="BU41">
            <v>20</v>
          </cell>
          <cell r="BV41" t="str">
            <v>Level 1</v>
          </cell>
          <cell r="BW41">
            <v>5</v>
          </cell>
          <cell r="BX41">
            <v>107</v>
          </cell>
          <cell r="BY41">
            <v>21.4</v>
          </cell>
          <cell r="BZ41" t="str">
            <v>Level 1</v>
          </cell>
          <cell r="CA41" t="str">
            <v>-</v>
          </cell>
          <cell r="CB41" t="str">
            <v>-</v>
          </cell>
          <cell r="CC41" t="str">
            <v>-</v>
          </cell>
          <cell r="CD41" t="str">
            <v>-</v>
          </cell>
          <cell r="CE41" t="str">
            <v>-</v>
          </cell>
          <cell r="CF41" t="str">
            <v>-</v>
          </cell>
          <cell r="CG41" t="str">
            <v>-</v>
          </cell>
          <cell r="CH41" t="str">
            <v>-</v>
          </cell>
          <cell r="CI41" t="str">
            <v>-</v>
          </cell>
          <cell r="CJ41" t="str">
            <v>-</v>
          </cell>
          <cell r="CK41" t="str">
            <v>-</v>
          </cell>
          <cell r="CL41" t="str">
            <v>-</v>
          </cell>
          <cell r="CM41" t="str">
            <v>-</v>
          </cell>
          <cell r="CN41" t="str">
            <v>-</v>
          </cell>
          <cell r="CO41" t="str">
            <v>-</v>
          </cell>
          <cell r="CP41" t="str">
            <v>-</v>
          </cell>
          <cell r="CQ41" t="str">
            <v>-</v>
          </cell>
          <cell r="CR41" t="str">
            <v>-</v>
          </cell>
          <cell r="CS41" t="str">
            <v>-</v>
          </cell>
          <cell r="CT41" t="str">
            <v>-</v>
          </cell>
          <cell r="CU41" t="str">
            <v>-</v>
          </cell>
          <cell r="CV41" t="str">
            <v>-</v>
          </cell>
          <cell r="CW41" t="str">
            <v>-</v>
          </cell>
          <cell r="CX41" t="str">
            <v>-</v>
          </cell>
          <cell r="CY41" t="str">
            <v>-</v>
          </cell>
          <cell r="CZ41" t="str">
            <v>-</v>
          </cell>
          <cell r="DA41" t="str">
            <v>-</v>
          </cell>
          <cell r="DB41" t="str">
            <v>-</v>
          </cell>
          <cell r="DC41" t="str">
            <v>-</v>
          </cell>
          <cell r="DD41" t="str">
            <v>-</v>
          </cell>
          <cell r="DE41" t="str">
            <v>-</v>
          </cell>
          <cell r="DF41" t="str">
            <v>-</v>
          </cell>
          <cell r="DG41" t="str">
            <v>-</v>
          </cell>
          <cell r="DH41" t="str">
            <v>-</v>
          </cell>
          <cell r="DI41" t="str">
            <v>-</v>
          </cell>
          <cell r="DJ41" t="str">
            <v>-</v>
          </cell>
          <cell r="DK41" t="str">
            <v>-</v>
          </cell>
          <cell r="DL41" t="str">
            <v>-</v>
          </cell>
          <cell r="DM41" t="str">
            <v>-</v>
          </cell>
          <cell r="DN41" t="str">
            <v>-</v>
          </cell>
          <cell r="DO41" t="str">
            <v>-</v>
          </cell>
          <cell r="DP41" t="str">
            <v>-</v>
          </cell>
          <cell r="DQ41" t="str">
            <v>-</v>
          </cell>
          <cell r="DR41" t="str">
            <v>-</v>
          </cell>
          <cell r="DS41" t="str">
            <v>-</v>
          </cell>
          <cell r="DT41" t="str">
            <v>-</v>
          </cell>
          <cell r="DU41" t="str">
            <v>-</v>
          </cell>
          <cell r="DV41" t="str">
            <v>-</v>
          </cell>
          <cell r="DW41" t="str">
            <v>-</v>
          </cell>
          <cell r="DX41" t="str">
            <v>-</v>
          </cell>
          <cell r="DY41" t="str">
            <v>-</v>
          </cell>
          <cell r="DZ41" t="str">
            <v>-</v>
          </cell>
          <cell r="EA41" t="str">
            <v>-</v>
          </cell>
          <cell r="EB41" t="str">
            <v>-</v>
          </cell>
          <cell r="EC41" t="str">
            <v>-</v>
          </cell>
          <cell r="ED41" t="str">
            <v>-</v>
          </cell>
          <cell r="EE41" t="str">
            <v>-</v>
          </cell>
          <cell r="EF41" t="str">
            <v>-</v>
          </cell>
          <cell r="EG41" t="str">
            <v>-</v>
          </cell>
          <cell r="EH41" t="str">
            <v>-</v>
          </cell>
          <cell r="EI41" t="str">
            <v>-</v>
          </cell>
          <cell r="EJ41" t="str">
            <v>-</v>
          </cell>
          <cell r="EK41" t="str">
            <v>-</v>
          </cell>
          <cell r="EL41" t="str">
            <v>-</v>
          </cell>
          <cell r="EM41" t="str">
            <v>-</v>
          </cell>
          <cell r="EN41" t="str">
            <v>-</v>
          </cell>
          <cell r="EO41" t="str">
            <v>-</v>
          </cell>
          <cell r="EP41" t="str">
            <v>-</v>
          </cell>
          <cell r="EQ41" t="str">
            <v>-</v>
          </cell>
          <cell r="ER41" t="str">
            <v>-</v>
          </cell>
          <cell r="ES41" t="str">
            <v>-</v>
          </cell>
          <cell r="ET41" t="str">
            <v>-</v>
          </cell>
          <cell r="EU41" t="str">
            <v>-</v>
          </cell>
          <cell r="EV41" t="str">
            <v>-</v>
          </cell>
          <cell r="EW41" t="str">
            <v>-</v>
          </cell>
          <cell r="EX41" t="str">
            <v>-</v>
          </cell>
          <cell r="EY41" t="str">
            <v>-</v>
          </cell>
          <cell r="EZ41" t="str">
            <v>-</v>
          </cell>
          <cell r="FA41" t="str">
            <v>-</v>
          </cell>
          <cell r="FB41" t="str">
            <v>-</v>
          </cell>
          <cell r="FC41" t="str">
            <v>-</v>
          </cell>
          <cell r="FD41" t="str">
            <v>-</v>
          </cell>
          <cell r="FE41" t="str">
            <v>-</v>
          </cell>
          <cell r="FF41" t="str">
            <v>-</v>
          </cell>
          <cell r="FG41" t="str">
            <v>-</v>
          </cell>
          <cell r="FH41" t="str">
            <v>-</v>
          </cell>
          <cell r="FI41" t="str">
            <v>-</v>
          </cell>
          <cell r="FJ41" t="str">
            <v>-</v>
          </cell>
          <cell r="FK41" t="str">
            <v>-</v>
          </cell>
          <cell r="FL41" t="str">
            <v>-</v>
          </cell>
          <cell r="FM41" t="str">
            <v>-</v>
          </cell>
          <cell r="FN41" t="str">
            <v>-</v>
          </cell>
          <cell r="FO41" t="str">
            <v>-</v>
          </cell>
          <cell r="FP41" t="str">
            <v>-</v>
          </cell>
          <cell r="FQ41" t="str">
            <v>-</v>
          </cell>
          <cell r="FR41" t="str">
            <v>-</v>
          </cell>
          <cell r="FS41" t="str">
            <v>-</v>
          </cell>
          <cell r="FT41" t="str">
            <v>-</v>
          </cell>
          <cell r="FU41" t="str">
            <v>-</v>
          </cell>
          <cell r="FV41" t="str">
            <v>-</v>
          </cell>
          <cell r="FW41" t="str">
            <v>-</v>
          </cell>
          <cell r="FX41" t="str">
            <v>-</v>
          </cell>
          <cell r="FY41" t="str">
            <v>-</v>
          </cell>
          <cell r="FZ41" t="str">
            <v>-</v>
          </cell>
          <cell r="GA41" t="str">
            <v>-</v>
          </cell>
        </row>
        <row r="42">
          <cell r="A42" t="str">
            <v>A2079</v>
          </cell>
          <cell r="B42" t="str">
            <v>IDA AYU KOMANG DINDA MAHA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2</v>
          </cell>
          <cell r="BT42">
            <v>35</v>
          </cell>
          <cell r="BU42">
            <v>17.5</v>
          </cell>
          <cell r="BV42" t="str">
            <v>Level 1</v>
          </cell>
          <cell r="BW42" t="str">
            <v>-</v>
          </cell>
          <cell r="BX42" t="str">
            <v>-</v>
          </cell>
          <cell r="BY42" t="str">
            <v>-</v>
          </cell>
          <cell r="BZ42" t="str">
            <v>-</v>
          </cell>
          <cell r="CA42" t="str">
            <v>-</v>
          </cell>
          <cell r="CB42" t="str">
            <v>-</v>
          </cell>
          <cell r="CC42" t="str">
            <v>-</v>
          </cell>
          <cell r="CD42" t="str">
            <v>-</v>
          </cell>
          <cell r="CE42" t="str">
            <v>-</v>
          </cell>
          <cell r="CF42" t="str">
            <v>-</v>
          </cell>
          <cell r="CG42" t="str">
            <v>-</v>
          </cell>
          <cell r="CH42" t="str">
            <v>-</v>
          </cell>
          <cell r="CI42" t="str">
            <v>-</v>
          </cell>
          <cell r="CJ42" t="str">
            <v>-</v>
          </cell>
          <cell r="CK42" t="str">
            <v>-</v>
          </cell>
          <cell r="CL42" t="str">
            <v>-</v>
          </cell>
          <cell r="CM42" t="str">
            <v>-</v>
          </cell>
          <cell r="CN42" t="str">
            <v>-</v>
          </cell>
          <cell r="CO42" t="str">
            <v>-</v>
          </cell>
          <cell r="CP42" t="str">
            <v>-</v>
          </cell>
          <cell r="CQ42" t="str">
            <v>-</v>
          </cell>
          <cell r="CR42" t="str">
            <v>-</v>
          </cell>
          <cell r="CS42" t="str">
            <v>-</v>
          </cell>
          <cell r="CT42" t="str">
            <v>-</v>
          </cell>
          <cell r="CU42" t="str">
            <v>-</v>
          </cell>
          <cell r="CV42" t="str">
            <v>-</v>
          </cell>
          <cell r="CW42" t="str">
            <v>-</v>
          </cell>
          <cell r="CX42" t="str">
            <v>-</v>
          </cell>
          <cell r="CY42" t="str">
            <v>-</v>
          </cell>
          <cell r="CZ42" t="str">
            <v>-</v>
          </cell>
          <cell r="DA42" t="str">
            <v>-</v>
          </cell>
          <cell r="DB42" t="str">
            <v>-</v>
          </cell>
          <cell r="DC42" t="str">
            <v>-</v>
          </cell>
          <cell r="DD42" t="str">
            <v>-</v>
          </cell>
          <cell r="DE42" t="str">
            <v>-</v>
          </cell>
          <cell r="DF42" t="str">
            <v>-</v>
          </cell>
          <cell r="DG42" t="str">
            <v>-</v>
          </cell>
          <cell r="DH42" t="str">
            <v>-</v>
          </cell>
          <cell r="DI42" t="str">
            <v>-</v>
          </cell>
          <cell r="DJ42" t="str">
            <v>-</v>
          </cell>
          <cell r="DK42" t="str">
            <v>-</v>
          </cell>
          <cell r="DL42" t="str">
            <v>-</v>
          </cell>
          <cell r="DM42" t="str">
            <v>-</v>
          </cell>
          <cell r="DN42" t="str">
            <v>-</v>
          </cell>
          <cell r="DO42" t="str">
            <v>-</v>
          </cell>
          <cell r="DP42" t="str">
            <v>-</v>
          </cell>
          <cell r="DQ42" t="str">
            <v>-</v>
          </cell>
          <cell r="DR42" t="str">
            <v>-</v>
          </cell>
          <cell r="DS42" t="str">
            <v>-</v>
          </cell>
          <cell r="DT42" t="str">
            <v>-</v>
          </cell>
          <cell r="DU42" t="str">
            <v>-</v>
          </cell>
          <cell r="DV42" t="str">
            <v>-</v>
          </cell>
          <cell r="DW42" t="str">
            <v>-</v>
          </cell>
          <cell r="DX42" t="str">
            <v>-</v>
          </cell>
          <cell r="DY42" t="str">
            <v>-</v>
          </cell>
          <cell r="DZ42" t="str">
            <v>-</v>
          </cell>
          <cell r="EA42" t="str">
            <v>-</v>
          </cell>
          <cell r="EB42" t="str">
            <v>-</v>
          </cell>
          <cell r="EC42" t="str">
            <v>-</v>
          </cell>
          <cell r="ED42" t="str">
            <v>-</v>
          </cell>
          <cell r="EE42" t="str">
            <v>-</v>
          </cell>
          <cell r="EF42" t="str">
            <v>-</v>
          </cell>
          <cell r="EG42" t="str">
            <v>-</v>
          </cell>
          <cell r="EH42" t="str">
            <v>-</v>
          </cell>
          <cell r="EI42" t="str">
            <v>-</v>
          </cell>
          <cell r="EJ42" t="str">
            <v>-</v>
          </cell>
          <cell r="EK42" t="str">
            <v>-</v>
          </cell>
          <cell r="EL42" t="str">
            <v>-</v>
          </cell>
          <cell r="EM42" t="str">
            <v>-</v>
          </cell>
          <cell r="EN42" t="str">
            <v>-</v>
          </cell>
          <cell r="EO42" t="str">
            <v>-</v>
          </cell>
          <cell r="EP42" t="str">
            <v>-</v>
          </cell>
          <cell r="EQ42" t="str">
            <v>-</v>
          </cell>
          <cell r="ER42" t="str">
            <v>-</v>
          </cell>
          <cell r="ES42" t="str">
            <v>-</v>
          </cell>
          <cell r="ET42" t="str">
            <v>-</v>
          </cell>
          <cell r="EU42" t="str">
            <v>-</v>
          </cell>
          <cell r="EV42" t="str">
            <v>-</v>
          </cell>
          <cell r="EW42" t="str">
            <v>-</v>
          </cell>
          <cell r="EX42" t="str">
            <v>-</v>
          </cell>
          <cell r="EY42" t="str">
            <v>-</v>
          </cell>
          <cell r="EZ42" t="str">
            <v>-</v>
          </cell>
          <cell r="FA42" t="str">
            <v>-</v>
          </cell>
          <cell r="FB42" t="str">
            <v>-</v>
          </cell>
          <cell r="FC42" t="str">
            <v>-</v>
          </cell>
          <cell r="FD42" t="str">
            <v>-</v>
          </cell>
          <cell r="FE42" t="str">
            <v>-</v>
          </cell>
          <cell r="FF42" t="str">
            <v>-</v>
          </cell>
          <cell r="FG42" t="str">
            <v>-</v>
          </cell>
          <cell r="FH42" t="str">
            <v>-</v>
          </cell>
          <cell r="FI42" t="str">
            <v>-</v>
          </cell>
          <cell r="FJ42" t="str">
            <v>-</v>
          </cell>
          <cell r="FK42" t="str">
            <v>-</v>
          </cell>
          <cell r="FL42" t="str">
            <v>-</v>
          </cell>
          <cell r="FM42" t="str">
            <v>-</v>
          </cell>
          <cell r="FN42" t="str">
            <v>-</v>
          </cell>
          <cell r="FO42" t="str">
            <v>-</v>
          </cell>
          <cell r="FP42" t="str">
            <v>-</v>
          </cell>
          <cell r="FQ42" t="str">
            <v>-</v>
          </cell>
          <cell r="FR42" t="str">
            <v>-</v>
          </cell>
          <cell r="FS42" t="str">
            <v>-</v>
          </cell>
          <cell r="FT42" t="str">
            <v>-</v>
          </cell>
          <cell r="FU42" t="str">
            <v>-</v>
          </cell>
          <cell r="FV42" t="str">
            <v>-</v>
          </cell>
          <cell r="FW42" t="str">
            <v>-</v>
          </cell>
          <cell r="FX42" t="str">
            <v>-</v>
          </cell>
          <cell r="FY42" t="str">
            <v>-</v>
          </cell>
          <cell r="FZ42" t="str">
            <v>-</v>
          </cell>
          <cell r="GA42" t="str">
            <v>-</v>
          </cell>
        </row>
        <row r="43">
          <cell r="A43" t="str">
            <v>A2076</v>
          </cell>
          <cell r="B43" t="str">
            <v xml:space="preserve">KURNIA SAFITRI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10</v>
          </cell>
          <cell r="BX43">
            <v>171</v>
          </cell>
          <cell r="BY43">
            <v>17.100000000000001</v>
          </cell>
          <cell r="BZ43" t="str">
            <v>Level 1</v>
          </cell>
          <cell r="CA43">
            <v>15</v>
          </cell>
          <cell r="CB43">
            <v>390</v>
          </cell>
          <cell r="CC43">
            <v>26</v>
          </cell>
          <cell r="CD43" t="str">
            <v>Level 1</v>
          </cell>
          <cell r="CE43">
            <v>7</v>
          </cell>
          <cell r="CF43">
            <v>176</v>
          </cell>
          <cell r="CG43">
            <v>25.142857142857142</v>
          </cell>
          <cell r="CH43" t="str">
            <v>Level 1</v>
          </cell>
          <cell r="CI43">
            <v>12</v>
          </cell>
          <cell r="CJ43">
            <v>331</v>
          </cell>
          <cell r="CK43">
            <v>27.583333333333332</v>
          </cell>
          <cell r="CL43" t="str">
            <v>Level 1</v>
          </cell>
          <cell r="CM43">
            <v>18</v>
          </cell>
          <cell r="CN43">
            <v>485</v>
          </cell>
          <cell r="CO43">
            <v>26.944444444444443</v>
          </cell>
          <cell r="CP43" t="str">
            <v>Level 1</v>
          </cell>
          <cell r="CQ43">
            <v>13</v>
          </cell>
          <cell r="CR43">
            <v>408</v>
          </cell>
          <cell r="CS43">
            <v>31.384615384615383</v>
          </cell>
          <cell r="CT43" t="str">
            <v>Level 2</v>
          </cell>
          <cell r="CU43">
            <v>8</v>
          </cell>
          <cell r="CV43">
            <v>234</v>
          </cell>
          <cell r="CW43">
            <v>29.25</v>
          </cell>
          <cell r="CX43" t="str">
            <v>Level 2</v>
          </cell>
          <cell r="CY43">
            <v>11</v>
          </cell>
          <cell r="CZ43">
            <v>284</v>
          </cell>
          <cell r="DA43">
            <v>25.818181818181817</v>
          </cell>
          <cell r="DB43" t="str">
            <v>Level 1</v>
          </cell>
          <cell r="DC43">
            <v>7</v>
          </cell>
          <cell r="DD43">
            <v>200</v>
          </cell>
          <cell r="DE43">
            <v>28.571428571428573</v>
          </cell>
          <cell r="DF43" t="str">
            <v>Level 1</v>
          </cell>
          <cell r="DG43">
            <v>11</v>
          </cell>
          <cell r="DH43">
            <v>381</v>
          </cell>
          <cell r="DI43">
            <v>34.636363636363633</v>
          </cell>
          <cell r="DJ43" t="str">
            <v>Level 2</v>
          </cell>
          <cell r="DK43">
            <v>17</v>
          </cell>
          <cell r="DL43">
            <v>437</v>
          </cell>
          <cell r="DM43">
            <v>25.705882352941178</v>
          </cell>
          <cell r="DN43" t="str">
            <v>Level 1</v>
          </cell>
          <cell r="DO43">
            <v>16</v>
          </cell>
          <cell r="DP43">
            <v>516</v>
          </cell>
          <cell r="DQ43">
            <v>32.25</v>
          </cell>
          <cell r="DR43" t="str">
            <v>Level 2</v>
          </cell>
          <cell r="DS43">
            <v>6</v>
          </cell>
          <cell r="DT43">
            <v>173</v>
          </cell>
          <cell r="DU43">
            <v>28.833333333333332</v>
          </cell>
          <cell r="DV43" t="str">
            <v>Level 1</v>
          </cell>
          <cell r="DW43">
            <v>23</v>
          </cell>
          <cell r="DX43">
            <v>785</v>
          </cell>
          <cell r="DY43">
            <v>34.130434782608695</v>
          </cell>
          <cell r="DZ43" t="str">
            <v>Level 2</v>
          </cell>
          <cell r="EA43">
            <v>17</v>
          </cell>
          <cell r="EB43">
            <v>589</v>
          </cell>
          <cell r="EC43">
            <v>34.647058823529413</v>
          </cell>
          <cell r="ED43" t="str">
            <v>Level 2</v>
          </cell>
          <cell r="EE43">
            <v>25</v>
          </cell>
          <cell r="EF43">
            <v>785</v>
          </cell>
          <cell r="EG43">
            <v>31.4</v>
          </cell>
          <cell r="EH43" t="str">
            <v>Level 2</v>
          </cell>
          <cell r="EI43">
            <v>27</v>
          </cell>
          <cell r="EJ43">
            <v>893</v>
          </cell>
          <cell r="EK43">
            <v>33.074074074074076</v>
          </cell>
          <cell r="EL43" t="str">
            <v>Level 2</v>
          </cell>
          <cell r="EM43">
            <v>17</v>
          </cell>
          <cell r="EN43">
            <v>581</v>
          </cell>
          <cell r="EO43">
            <v>34.176470588235297</v>
          </cell>
          <cell r="EP43" t="str">
            <v>Level 2</v>
          </cell>
          <cell r="EQ43">
            <v>21</v>
          </cell>
          <cell r="ER43">
            <v>680</v>
          </cell>
          <cell r="ES43">
            <v>32.38095238095238</v>
          </cell>
          <cell r="ET43" t="str">
            <v>Level 2</v>
          </cell>
          <cell r="EU43">
            <v>15</v>
          </cell>
          <cell r="EV43">
            <v>552</v>
          </cell>
          <cell r="EW43">
            <v>36.799999999999997</v>
          </cell>
          <cell r="EX43" t="str">
            <v>Level 2</v>
          </cell>
          <cell r="EY43">
            <v>13</v>
          </cell>
          <cell r="EZ43">
            <v>434</v>
          </cell>
          <cell r="FA43">
            <v>33.384615384615387</v>
          </cell>
          <cell r="FB43" t="str">
            <v>Level 2</v>
          </cell>
          <cell r="FC43">
            <v>13</v>
          </cell>
          <cell r="FD43">
            <v>454</v>
          </cell>
          <cell r="FE43">
            <v>34.92307692307692</v>
          </cell>
          <cell r="FF43" t="str">
            <v>Level 2</v>
          </cell>
          <cell r="FG43">
            <v>7</v>
          </cell>
          <cell r="FH43">
            <v>217</v>
          </cell>
          <cell r="FI43">
            <v>31</v>
          </cell>
          <cell r="FJ43" t="str">
            <v>Level 2</v>
          </cell>
          <cell r="FK43" t="str">
            <v>-</v>
          </cell>
          <cell r="FL43" t="str">
            <v>-</v>
          </cell>
          <cell r="FM43" t="str">
            <v>-</v>
          </cell>
          <cell r="FN43" t="str">
            <v>-</v>
          </cell>
          <cell r="FO43" t="str">
            <v>-</v>
          </cell>
          <cell r="FP43" t="str">
            <v>-</v>
          </cell>
          <cell r="FQ43" t="str">
            <v>-</v>
          </cell>
          <cell r="FR43" t="str">
            <v>-</v>
          </cell>
          <cell r="FS43" t="str">
            <v>-</v>
          </cell>
          <cell r="FT43" t="str">
            <v>-</v>
          </cell>
          <cell r="FU43" t="str">
            <v>-</v>
          </cell>
          <cell r="FV43" t="str">
            <v>-</v>
          </cell>
          <cell r="FW43" t="str">
            <v>-</v>
          </cell>
          <cell r="FX43" t="str">
            <v>-</v>
          </cell>
          <cell r="FY43" t="str">
            <v>-</v>
          </cell>
          <cell r="FZ43" t="str">
            <v>-</v>
          </cell>
          <cell r="GA43" t="str">
            <v>-</v>
          </cell>
        </row>
        <row r="44">
          <cell r="A44" t="str">
            <v>A2036</v>
          </cell>
          <cell r="B44" t="str">
            <v xml:space="preserve">LATHIFAH AINI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5</v>
          </cell>
          <cell r="CB44">
            <v>72</v>
          </cell>
          <cell r="CC44">
            <v>14.4</v>
          </cell>
          <cell r="CD44" t="str">
            <v>Level 1</v>
          </cell>
          <cell r="CE44">
            <v>4</v>
          </cell>
          <cell r="CF44">
            <v>54</v>
          </cell>
          <cell r="CG44">
            <v>13.5</v>
          </cell>
          <cell r="CH44" t="str">
            <v>Level 1</v>
          </cell>
          <cell r="CI44" t="str">
            <v>-</v>
          </cell>
          <cell r="CJ44" t="str">
            <v>-</v>
          </cell>
          <cell r="CK44" t="str">
            <v>-</v>
          </cell>
          <cell r="CL44" t="str">
            <v>-</v>
          </cell>
          <cell r="CM44" t="str">
            <v>-</v>
          </cell>
          <cell r="CN44" t="str">
            <v>-</v>
          </cell>
          <cell r="CO44" t="str">
            <v>-</v>
          </cell>
          <cell r="CP44" t="str">
            <v>-</v>
          </cell>
          <cell r="CQ44" t="str">
            <v>-</v>
          </cell>
          <cell r="CR44" t="str">
            <v>-</v>
          </cell>
          <cell r="CS44" t="str">
            <v>-</v>
          </cell>
          <cell r="CT44" t="str">
            <v>-</v>
          </cell>
          <cell r="CU44">
            <v>1</v>
          </cell>
          <cell r="CV44">
            <v>21</v>
          </cell>
          <cell r="CW44">
            <v>21</v>
          </cell>
          <cell r="CX44" t="str">
            <v>Level 1</v>
          </cell>
          <cell r="CY44">
            <v>4</v>
          </cell>
          <cell r="CZ44">
            <v>71</v>
          </cell>
          <cell r="DA44">
            <v>17.75</v>
          </cell>
          <cell r="DB44" t="str">
            <v>Level 1</v>
          </cell>
          <cell r="DC44" t="str">
            <v>-</v>
          </cell>
          <cell r="DD44" t="str">
            <v>-</v>
          </cell>
          <cell r="DE44" t="str">
            <v>-</v>
          </cell>
          <cell r="DF44" t="str">
            <v>-</v>
          </cell>
          <cell r="DG44" t="str">
            <v>-</v>
          </cell>
          <cell r="DH44" t="str">
            <v>-</v>
          </cell>
          <cell r="DI44" t="str">
            <v>-</v>
          </cell>
          <cell r="DJ44" t="str">
            <v>-</v>
          </cell>
          <cell r="DK44">
            <v>1</v>
          </cell>
          <cell r="DL44">
            <v>11</v>
          </cell>
          <cell r="DM44">
            <v>11</v>
          </cell>
          <cell r="DN44" t="str">
            <v>Level 1</v>
          </cell>
          <cell r="DO44" t="str">
            <v>-</v>
          </cell>
          <cell r="DP44" t="str">
            <v>-</v>
          </cell>
          <cell r="DQ44" t="str">
            <v>-</v>
          </cell>
          <cell r="DR44" t="str">
            <v>-</v>
          </cell>
          <cell r="DS44" t="str">
            <v>-</v>
          </cell>
          <cell r="DT44" t="str">
            <v>-</v>
          </cell>
          <cell r="DU44" t="str">
            <v>-</v>
          </cell>
          <cell r="DV44" t="str">
            <v>-</v>
          </cell>
          <cell r="DW44" t="str">
            <v>-</v>
          </cell>
          <cell r="DX44" t="str">
            <v>-</v>
          </cell>
          <cell r="DY44" t="str">
            <v>-</v>
          </cell>
          <cell r="DZ44" t="str">
            <v>-</v>
          </cell>
          <cell r="EA44" t="str">
            <v>-</v>
          </cell>
          <cell r="EB44" t="str">
            <v>-</v>
          </cell>
          <cell r="EC44" t="str">
            <v>-</v>
          </cell>
          <cell r="ED44" t="str">
            <v>-</v>
          </cell>
          <cell r="EE44" t="str">
            <v>-</v>
          </cell>
          <cell r="EF44" t="str">
            <v>-</v>
          </cell>
          <cell r="EG44" t="str">
            <v>-</v>
          </cell>
          <cell r="EH44" t="str">
            <v>-</v>
          </cell>
          <cell r="EI44" t="str">
            <v>-</v>
          </cell>
          <cell r="EJ44" t="str">
            <v>-</v>
          </cell>
          <cell r="EK44" t="str">
            <v>-</v>
          </cell>
          <cell r="EL44" t="str">
            <v>-</v>
          </cell>
          <cell r="EM44" t="str">
            <v>-</v>
          </cell>
          <cell r="EN44" t="str">
            <v>-</v>
          </cell>
          <cell r="EO44" t="str">
            <v>-</v>
          </cell>
          <cell r="EP44" t="str">
            <v>-</v>
          </cell>
          <cell r="EQ44" t="str">
            <v>-</v>
          </cell>
          <cell r="ER44" t="str">
            <v>-</v>
          </cell>
          <cell r="ES44" t="str">
            <v>-</v>
          </cell>
          <cell r="ET44" t="str">
            <v>-</v>
          </cell>
          <cell r="EU44" t="str">
            <v>-</v>
          </cell>
          <cell r="EV44" t="str">
            <v>-</v>
          </cell>
          <cell r="EW44" t="str">
            <v>-</v>
          </cell>
          <cell r="EX44" t="str">
            <v>-</v>
          </cell>
          <cell r="EY44" t="str">
            <v>-</v>
          </cell>
          <cell r="EZ44" t="str">
            <v>-</v>
          </cell>
          <cell r="FA44" t="str">
            <v>-</v>
          </cell>
          <cell r="FB44" t="str">
            <v>-</v>
          </cell>
          <cell r="FC44" t="str">
            <v>-</v>
          </cell>
          <cell r="FD44" t="str">
            <v>-</v>
          </cell>
          <cell r="FE44" t="str">
            <v>-</v>
          </cell>
          <cell r="FF44" t="str">
            <v>-</v>
          </cell>
          <cell r="FG44" t="str">
            <v>-</v>
          </cell>
          <cell r="FH44" t="str">
            <v>-</v>
          </cell>
          <cell r="FI44" t="str">
            <v>-</v>
          </cell>
          <cell r="FJ44" t="str">
            <v>-</v>
          </cell>
          <cell r="FK44" t="str">
            <v>-</v>
          </cell>
          <cell r="FL44" t="str">
            <v>-</v>
          </cell>
          <cell r="FM44" t="str">
            <v>-</v>
          </cell>
          <cell r="FN44" t="str">
            <v>-</v>
          </cell>
          <cell r="FO44" t="str">
            <v>-</v>
          </cell>
          <cell r="FP44" t="str">
            <v>-</v>
          </cell>
          <cell r="FQ44" t="str">
            <v>-</v>
          </cell>
          <cell r="FR44" t="str">
            <v>-</v>
          </cell>
          <cell r="FS44" t="str">
            <v>-</v>
          </cell>
          <cell r="FT44" t="str">
            <v>-</v>
          </cell>
          <cell r="FU44" t="str">
            <v>-</v>
          </cell>
          <cell r="FV44" t="str">
            <v>-</v>
          </cell>
          <cell r="FW44" t="str">
            <v>-</v>
          </cell>
          <cell r="FX44" t="str">
            <v>-</v>
          </cell>
          <cell r="FY44" t="str">
            <v>-</v>
          </cell>
          <cell r="FZ44" t="str">
            <v>-</v>
          </cell>
          <cell r="GA44" t="str">
            <v>-</v>
          </cell>
        </row>
        <row r="45">
          <cell r="A45" t="str">
            <v>A0349</v>
          </cell>
          <cell r="B45" t="str">
            <v xml:space="preserve">AHMAD ZAINAL ARIFIN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1</v>
          </cell>
          <cell r="CR45">
            <v>15</v>
          </cell>
          <cell r="CS45">
            <v>15</v>
          </cell>
          <cell r="CT45" t="str">
            <v>Level 1</v>
          </cell>
          <cell r="CU45">
            <v>1</v>
          </cell>
          <cell r="CV45">
            <v>19</v>
          </cell>
          <cell r="CW45">
            <v>19</v>
          </cell>
          <cell r="CX45" t="str">
            <v>Level 1</v>
          </cell>
          <cell r="CY45">
            <v>15</v>
          </cell>
          <cell r="CZ45">
            <v>310</v>
          </cell>
          <cell r="DA45">
            <v>20.666666666666668</v>
          </cell>
          <cell r="DB45" t="str">
            <v>Level 1</v>
          </cell>
          <cell r="DC45">
            <v>11</v>
          </cell>
          <cell r="DD45">
            <v>265</v>
          </cell>
          <cell r="DE45">
            <v>24.09090909090909</v>
          </cell>
          <cell r="DF45" t="str">
            <v>Level 1</v>
          </cell>
          <cell r="DG45">
            <v>16</v>
          </cell>
          <cell r="DH45">
            <v>421</v>
          </cell>
          <cell r="DI45">
            <v>26.3125</v>
          </cell>
          <cell r="DJ45" t="str">
            <v>Level 1</v>
          </cell>
          <cell r="DK45">
            <v>2</v>
          </cell>
          <cell r="DL45">
            <v>44</v>
          </cell>
          <cell r="DM45">
            <v>22</v>
          </cell>
          <cell r="DN45" t="str">
            <v>Level 1</v>
          </cell>
          <cell r="DO45">
            <v>12</v>
          </cell>
          <cell r="DP45">
            <v>297</v>
          </cell>
          <cell r="DQ45">
            <v>24.75</v>
          </cell>
          <cell r="DR45" t="str">
            <v>Level 1</v>
          </cell>
          <cell r="DS45" t="str">
            <v>-</v>
          </cell>
          <cell r="DT45" t="str">
            <v>-</v>
          </cell>
          <cell r="DU45" t="str">
            <v>-</v>
          </cell>
          <cell r="DV45" t="str">
            <v>-</v>
          </cell>
          <cell r="DW45">
            <v>3</v>
          </cell>
          <cell r="DX45">
            <v>93</v>
          </cell>
          <cell r="DY45">
            <v>31</v>
          </cell>
          <cell r="DZ45" t="str">
            <v>Level 2</v>
          </cell>
          <cell r="EA45">
            <v>8</v>
          </cell>
          <cell r="EB45">
            <v>255</v>
          </cell>
          <cell r="EC45">
            <v>31.875</v>
          </cell>
          <cell r="ED45" t="str">
            <v>Level 2</v>
          </cell>
          <cell r="EE45">
            <v>17</v>
          </cell>
          <cell r="EF45">
            <v>511</v>
          </cell>
          <cell r="EG45">
            <v>30.058823529411764</v>
          </cell>
          <cell r="EH45" t="str">
            <v>Level 2</v>
          </cell>
          <cell r="EI45">
            <v>23</v>
          </cell>
          <cell r="EJ45">
            <v>641</v>
          </cell>
          <cell r="EK45">
            <v>27.869565217391305</v>
          </cell>
          <cell r="EL45" t="str">
            <v>Level 1</v>
          </cell>
          <cell r="EM45">
            <v>7</v>
          </cell>
          <cell r="EN45">
            <v>182</v>
          </cell>
          <cell r="EO45">
            <v>26</v>
          </cell>
          <cell r="EP45" t="str">
            <v>Level 1</v>
          </cell>
          <cell r="EQ45">
            <v>10</v>
          </cell>
          <cell r="ER45">
            <v>305</v>
          </cell>
          <cell r="ES45">
            <v>30.5</v>
          </cell>
          <cell r="ET45" t="str">
            <v>Level 2</v>
          </cell>
          <cell r="EU45">
            <v>8</v>
          </cell>
          <cell r="EV45">
            <v>278</v>
          </cell>
          <cell r="EW45">
            <v>34.75</v>
          </cell>
          <cell r="EX45" t="str">
            <v>Level 2</v>
          </cell>
          <cell r="EY45">
            <v>23</v>
          </cell>
          <cell r="EZ45">
            <v>733</v>
          </cell>
          <cell r="FA45">
            <v>31.869565217391305</v>
          </cell>
          <cell r="FB45" t="str">
            <v>Level 2</v>
          </cell>
          <cell r="FC45">
            <v>25</v>
          </cell>
          <cell r="FD45">
            <v>909</v>
          </cell>
          <cell r="FE45">
            <v>36.36</v>
          </cell>
          <cell r="FF45" t="str">
            <v>Level 2</v>
          </cell>
          <cell r="FG45">
            <v>17</v>
          </cell>
          <cell r="FH45">
            <v>507</v>
          </cell>
          <cell r="FI45">
            <v>29.823529411764707</v>
          </cell>
          <cell r="FJ45" t="str">
            <v>Level 2</v>
          </cell>
          <cell r="FK45">
            <v>25</v>
          </cell>
          <cell r="FL45">
            <v>1010</v>
          </cell>
          <cell r="FM45">
            <v>40.4</v>
          </cell>
          <cell r="FN45" t="str">
            <v>Level 3</v>
          </cell>
          <cell r="FO45">
            <v>22</v>
          </cell>
          <cell r="FP45">
            <v>1072</v>
          </cell>
          <cell r="FQ45">
            <v>48.727272727272727</v>
          </cell>
          <cell r="FR45" t="str">
            <v>Level 3</v>
          </cell>
          <cell r="FS45">
            <v>26</v>
          </cell>
          <cell r="FT45">
            <v>1114</v>
          </cell>
          <cell r="FU45">
            <v>42.846153846153847</v>
          </cell>
          <cell r="FV45" t="str">
            <v>Level 3</v>
          </cell>
          <cell r="FW45">
            <v>24</v>
          </cell>
          <cell r="FX45">
            <v>1087</v>
          </cell>
          <cell r="FY45">
            <v>45.291666666666664</v>
          </cell>
          <cell r="FZ45" t="str">
            <v>Level 3</v>
          </cell>
          <cell r="GA45">
            <v>24</v>
          </cell>
        </row>
        <row r="46">
          <cell r="A46" t="str">
            <v>A2659</v>
          </cell>
          <cell r="B46" t="str">
            <v>FRANSISKUS ASISI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4</v>
          </cell>
          <cell r="CR46">
            <v>79</v>
          </cell>
          <cell r="CS46">
            <v>19.75</v>
          </cell>
          <cell r="CT46" t="str">
            <v>Level 1</v>
          </cell>
          <cell r="CU46">
            <v>2</v>
          </cell>
          <cell r="CV46">
            <v>53</v>
          </cell>
          <cell r="CW46">
            <v>26.5</v>
          </cell>
          <cell r="CX46" t="str">
            <v>Level 1</v>
          </cell>
          <cell r="CY46" t="str">
            <v>-</v>
          </cell>
          <cell r="CZ46" t="str">
            <v>-</v>
          </cell>
          <cell r="DA46" t="str">
            <v>-</v>
          </cell>
          <cell r="DB46" t="str">
            <v>-</v>
          </cell>
          <cell r="DC46">
            <v>1</v>
          </cell>
          <cell r="DD46">
            <v>29</v>
          </cell>
          <cell r="DE46">
            <v>29</v>
          </cell>
          <cell r="DF46" t="str">
            <v>Level 2</v>
          </cell>
          <cell r="DG46">
            <v>2</v>
          </cell>
          <cell r="DH46">
            <v>48</v>
          </cell>
          <cell r="DI46">
            <v>24</v>
          </cell>
          <cell r="DJ46" t="str">
            <v>Level 1</v>
          </cell>
          <cell r="DK46" t="str">
            <v>-</v>
          </cell>
          <cell r="DL46" t="str">
            <v>-</v>
          </cell>
          <cell r="DM46" t="str">
            <v>-</v>
          </cell>
          <cell r="DN46" t="str">
            <v>-</v>
          </cell>
          <cell r="DO46">
            <v>1</v>
          </cell>
          <cell r="DP46">
            <v>18</v>
          </cell>
          <cell r="DQ46">
            <v>18</v>
          </cell>
          <cell r="DR46" t="str">
            <v>Level 1</v>
          </cell>
          <cell r="DS46" t="str">
            <v>-</v>
          </cell>
          <cell r="DT46" t="str">
            <v>-</v>
          </cell>
          <cell r="DU46" t="str">
            <v>-</v>
          </cell>
          <cell r="DV46" t="str">
            <v>-</v>
          </cell>
          <cell r="DW46" t="str">
            <v>-</v>
          </cell>
          <cell r="DX46" t="str">
            <v>-</v>
          </cell>
          <cell r="DY46" t="str">
            <v>-</v>
          </cell>
          <cell r="DZ46" t="str">
            <v>-</v>
          </cell>
          <cell r="EA46" t="str">
            <v>-</v>
          </cell>
          <cell r="EB46" t="str">
            <v>-</v>
          </cell>
          <cell r="EC46" t="str">
            <v>-</v>
          </cell>
          <cell r="ED46" t="str">
            <v>-</v>
          </cell>
          <cell r="EE46" t="str">
            <v>-</v>
          </cell>
          <cell r="EF46" t="str">
            <v>-</v>
          </cell>
          <cell r="EG46" t="str">
            <v>-</v>
          </cell>
          <cell r="EH46" t="str">
            <v>-</v>
          </cell>
          <cell r="EI46" t="str">
            <v>-</v>
          </cell>
          <cell r="EJ46" t="str">
            <v>-</v>
          </cell>
          <cell r="EK46" t="str">
            <v>-</v>
          </cell>
          <cell r="EL46" t="str">
            <v>-</v>
          </cell>
          <cell r="EM46" t="str">
            <v>-</v>
          </cell>
          <cell r="EN46" t="str">
            <v>-</v>
          </cell>
          <cell r="EO46" t="str">
            <v>-</v>
          </cell>
          <cell r="EP46" t="str">
            <v>-</v>
          </cell>
          <cell r="EQ46" t="str">
            <v>-</v>
          </cell>
          <cell r="ER46" t="str">
            <v>-</v>
          </cell>
          <cell r="ES46" t="str">
            <v>-</v>
          </cell>
          <cell r="ET46" t="str">
            <v>-</v>
          </cell>
          <cell r="EU46" t="str">
            <v>-</v>
          </cell>
          <cell r="EV46" t="str">
            <v>-</v>
          </cell>
          <cell r="EW46" t="str">
            <v>-</v>
          </cell>
          <cell r="EX46" t="str">
            <v>-</v>
          </cell>
          <cell r="EY46" t="str">
            <v>-</v>
          </cell>
          <cell r="EZ46" t="str">
            <v>-</v>
          </cell>
          <cell r="FA46" t="str">
            <v>-</v>
          </cell>
          <cell r="FB46" t="str">
            <v>-</v>
          </cell>
          <cell r="FC46" t="str">
            <v>-</v>
          </cell>
          <cell r="FD46" t="str">
            <v>-</v>
          </cell>
          <cell r="FE46" t="str">
            <v>-</v>
          </cell>
          <cell r="FF46" t="str">
            <v>-</v>
          </cell>
          <cell r="FG46" t="str">
            <v>-</v>
          </cell>
          <cell r="FH46" t="str">
            <v>-</v>
          </cell>
          <cell r="FI46" t="str">
            <v>-</v>
          </cell>
          <cell r="FJ46" t="str">
            <v>-</v>
          </cell>
          <cell r="FK46" t="str">
            <v>-</v>
          </cell>
          <cell r="FL46" t="str">
            <v>-</v>
          </cell>
          <cell r="FM46" t="str">
            <v>-</v>
          </cell>
          <cell r="FN46" t="str">
            <v>-</v>
          </cell>
          <cell r="FO46" t="str">
            <v>-</v>
          </cell>
          <cell r="FP46" t="str">
            <v>-</v>
          </cell>
          <cell r="FQ46" t="str">
            <v>-</v>
          </cell>
          <cell r="FR46" t="str">
            <v>-</v>
          </cell>
          <cell r="FS46" t="str">
            <v>-</v>
          </cell>
          <cell r="FT46" t="str">
            <v>-</v>
          </cell>
          <cell r="FU46" t="str">
            <v>-</v>
          </cell>
          <cell r="FV46" t="str">
            <v>-</v>
          </cell>
          <cell r="FW46" t="str">
            <v>-</v>
          </cell>
          <cell r="FX46" t="str">
            <v>-</v>
          </cell>
          <cell r="FY46" t="str">
            <v>-</v>
          </cell>
          <cell r="FZ46" t="str">
            <v>-</v>
          </cell>
          <cell r="GA46" t="str">
            <v>-</v>
          </cell>
        </row>
        <row r="47">
          <cell r="A47" t="str">
            <v>A2797</v>
          </cell>
          <cell r="B47" t="str">
            <v>ISTI MULATSIH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1</v>
          </cell>
          <cell r="CR47">
            <v>19</v>
          </cell>
          <cell r="CS47">
            <v>19</v>
          </cell>
          <cell r="CT47" t="str">
            <v>Level 1</v>
          </cell>
          <cell r="CU47" t="str">
            <v>-</v>
          </cell>
          <cell r="CV47" t="str">
            <v>-</v>
          </cell>
          <cell r="CW47" t="str">
            <v>-</v>
          </cell>
          <cell r="CX47" t="str">
            <v>-</v>
          </cell>
          <cell r="CY47">
            <v>16</v>
          </cell>
          <cell r="CZ47">
            <v>362</v>
          </cell>
          <cell r="DA47">
            <v>22.625</v>
          </cell>
          <cell r="DB47" t="str">
            <v>Level 1</v>
          </cell>
          <cell r="DC47">
            <v>2</v>
          </cell>
          <cell r="DD47">
            <v>49</v>
          </cell>
          <cell r="DE47">
            <v>24.5</v>
          </cell>
          <cell r="DF47" t="str">
            <v>Level 1</v>
          </cell>
          <cell r="DG47" t="str">
            <v>-</v>
          </cell>
          <cell r="DH47" t="str">
            <v>-</v>
          </cell>
          <cell r="DI47" t="str">
            <v>-</v>
          </cell>
          <cell r="DJ47" t="str">
            <v>-</v>
          </cell>
          <cell r="DK47" t="str">
            <v>-</v>
          </cell>
          <cell r="DL47" t="str">
            <v>-</v>
          </cell>
          <cell r="DM47" t="str">
            <v>-</v>
          </cell>
          <cell r="DN47" t="str">
            <v>-</v>
          </cell>
          <cell r="DO47" t="str">
            <v>-</v>
          </cell>
          <cell r="DP47" t="str">
            <v>-</v>
          </cell>
          <cell r="DQ47" t="str">
            <v>-</v>
          </cell>
          <cell r="DR47" t="str">
            <v>-</v>
          </cell>
          <cell r="DS47" t="str">
            <v>-</v>
          </cell>
          <cell r="DT47" t="str">
            <v>-</v>
          </cell>
          <cell r="DU47" t="str">
            <v>-</v>
          </cell>
          <cell r="DV47" t="str">
            <v>-</v>
          </cell>
          <cell r="DW47" t="str">
            <v>-</v>
          </cell>
          <cell r="DX47" t="str">
            <v>-</v>
          </cell>
          <cell r="DY47" t="str">
            <v>-</v>
          </cell>
          <cell r="DZ47" t="str">
            <v>-</v>
          </cell>
          <cell r="EA47" t="str">
            <v>-</v>
          </cell>
          <cell r="EB47" t="str">
            <v>-</v>
          </cell>
          <cell r="EC47" t="str">
            <v>-</v>
          </cell>
          <cell r="ED47" t="str">
            <v>-</v>
          </cell>
          <cell r="EE47" t="str">
            <v>-</v>
          </cell>
          <cell r="EF47" t="str">
            <v>-</v>
          </cell>
          <cell r="EG47" t="str">
            <v>-</v>
          </cell>
          <cell r="EH47" t="str">
            <v>-</v>
          </cell>
          <cell r="EI47" t="str">
            <v>-</v>
          </cell>
          <cell r="EJ47" t="str">
            <v>-</v>
          </cell>
          <cell r="EK47" t="str">
            <v>-</v>
          </cell>
          <cell r="EL47" t="str">
            <v>-</v>
          </cell>
          <cell r="EM47" t="str">
            <v>-</v>
          </cell>
          <cell r="EN47" t="str">
            <v>-</v>
          </cell>
          <cell r="EO47" t="str">
            <v>-</v>
          </cell>
          <cell r="EP47" t="str">
            <v>-</v>
          </cell>
          <cell r="EQ47" t="str">
            <v>-</v>
          </cell>
          <cell r="ER47" t="str">
            <v>-</v>
          </cell>
          <cell r="ES47" t="str">
            <v>-</v>
          </cell>
          <cell r="ET47" t="str">
            <v>-</v>
          </cell>
          <cell r="EU47" t="str">
            <v>-</v>
          </cell>
          <cell r="EV47" t="str">
            <v>-</v>
          </cell>
          <cell r="EW47" t="str">
            <v>-</v>
          </cell>
          <cell r="EX47" t="str">
            <v>-</v>
          </cell>
          <cell r="EY47" t="str">
            <v>-</v>
          </cell>
          <cell r="EZ47" t="str">
            <v>-</v>
          </cell>
          <cell r="FA47" t="str">
            <v>-</v>
          </cell>
          <cell r="FB47" t="str">
            <v>-</v>
          </cell>
          <cell r="FC47" t="str">
            <v>-</v>
          </cell>
          <cell r="FD47" t="str">
            <v>-</v>
          </cell>
          <cell r="FE47" t="str">
            <v>-</v>
          </cell>
          <cell r="FF47" t="str">
            <v>-</v>
          </cell>
          <cell r="FG47" t="str">
            <v>-</v>
          </cell>
          <cell r="FH47" t="str">
            <v>-</v>
          </cell>
          <cell r="FI47" t="str">
            <v>-</v>
          </cell>
          <cell r="FJ47" t="str">
            <v>-</v>
          </cell>
          <cell r="FK47" t="str">
            <v>-</v>
          </cell>
          <cell r="FL47" t="str">
            <v>-</v>
          </cell>
          <cell r="FM47" t="str">
            <v>-</v>
          </cell>
          <cell r="FN47" t="str">
            <v>-</v>
          </cell>
          <cell r="FO47" t="str">
            <v>-</v>
          </cell>
          <cell r="FP47" t="str">
            <v>-</v>
          </cell>
          <cell r="FQ47" t="str">
            <v>-</v>
          </cell>
          <cell r="FR47" t="str">
            <v>-</v>
          </cell>
          <cell r="FS47" t="str">
            <v>-</v>
          </cell>
          <cell r="FT47" t="str">
            <v>-</v>
          </cell>
          <cell r="FU47" t="str">
            <v>-</v>
          </cell>
          <cell r="FV47" t="str">
            <v>-</v>
          </cell>
          <cell r="FW47" t="str">
            <v>-</v>
          </cell>
          <cell r="FX47" t="str">
            <v>-</v>
          </cell>
          <cell r="FY47" t="str">
            <v>-</v>
          </cell>
          <cell r="FZ47" t="str">
            <v>-</v>
          </cell>
          <cell r="GA47" t="str">
            <v>-</v>
          </cell>
        </row>
        <row r="48">
          <cell r="A48" t="str">
            <v>A2650</v>
          </cell>
          <cell r="B48" t="str">
            <v>TISA SASKIA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1</v>
          </cell>
          <cell r="CR48">
            <v>30</v>
          </cell>
          <cell r="CS48">
            <v>30</v>
          </cell>
          <cell r="CT48" t="str">
            <v>Level 2</v>
          </cell>
          <cell r="CU48">
            <v>1</v>
          </cell>
          <cell r="CV48">
            <v>24</v>
          </cell>
          <cell r="CW48">
            <v>24</v>
          </cell>
          <cell r="CX48" t="str">
            <v>Level 1</v>
          </cell>
          <cell r="CY48">
            <v>1</v>
          </cell>
          <cell r="CZ48">
            <v>16</v>
          </cell>
          <cell r="DA48">
            <v>16</v>
          </cell>
          <cell r="DB48" t="str">
            <v>Level 1</v>
          </cell>
          <cell r="DC48" t="str">
            <v>-</v>
          </cell>
          <cell r="DD48" t="str">
            <v>-</v>
          </cell>
          <cell r="DE48" t="str">
            <v>-</v>
          </cell>
          <cell r="DF48" t="str">
            <v>-</v>
          </cell>
          <cell r="DG48" t="str">
            <v>-</v>
          </cell>
          <cell r="DH48" t="str">
            <v>-</v>
          </cell>
          <cell r="DI48" t="str">
            <v>-</v>
          </cell>
          <cell r="DJ48" t="str">
            <v>-</v>
          </cell>
          <cell r="DK48" t="str">
            <v>-</v>
          </cell>
          <cell r="DL48" t="str">
            <v>-</v>
          </cell>
          <cell r="DM48" t="str">
            <v>-</v>
          </cell>
          <cell r="DN48" t="str">
            <v>-</v>
          </cell>
          <cell r="DO48" t="str">
            <v>-</v>
          </cell>
          <cell r="DP48" t="str">
            <v>-</v>
          </cell>
          <cell r="DQ48" t="str">
            <v>-</v>
          </cell>
          <cell r="DR48" t="str">
            <v>-</v>
          </cell>
          <cell r="DS48" t="str">
            <v>-</v>
          </cell>
          <cell r="DT48" t="str">
            <v>-</v>
          </cell>
          <cell r="DU48" t="str">
            <v>-</v>
          </cell>
          <cell r="DV48" t="str">
            <v>-</v>
          </cell>
          <cell r="DW48" t="str">
            <v>-</v>
          </cell>
          <cell r="DX48" t="str">
            <v>-</v>
          </cell>
          <cell r="DY48" t="str">
            <v>-</v>
          </cell>
          <cell r="DZ48" t="str">
            <v>-</v>
          </cell>
          <cell r="EA48" t="str">
            <v>-</v>
          </cell>
          <cell r="EB48" t="str">
            <v>-</v>
          </cell>
          <cell r="EC48" t="str">
            <v>-</v>
          </cell>
          <cell r="ED48" t="str">
            <v>-</v>
          </cell>
          <cell r="EE48" t="str">
            <v>-</v>
          </cell>
          <cell r="EF48" t="str">
            <v>-</v>
          </cell>
          <cell r="EG48" t="str">
            <v>-</v>
          </cell>
          <cell r="EH48" t="str">
            <v>-</v>
          </cell>
          <cell r="EI48" t="str">
            <v>-</v>
          </cell>
          <cell r="EJ48" t="str">
            <v>-</v>
          </cell>
          <cell r="EK48" t="str">
            <v>-</v>
          </cell>
          <cell r="EL48" t="str">
            <v>-</v>
          </cell>
          <cell r="EM48" t="str">
            <v>-</v>
          </cell>
          <cell r="EN48" t="str">
            <v>-</v>
          </cell>
          <cell r="EO48" t="str">
            <v>-</v>
          </cell>
          <cell r="EP48" t="str">
            <v>-</v>
          </cell>
          <cell r="EQ48" t="str">
            <v>-</v>
          </cell>
          <cell r="ER48" t="str">
            <v>-</v>
          </cell>
          <cell r="ES48" t="str">
            <v>-</v>
          </cell>
          <cell r="ET48" t="str">
            <v>-</v>
          </cell>
          <cell r="EU48" t="str">
            <v>-</v>
          </cell>
          <cell r="EV48" t="str">
            <v>-</v>
          </cell>
          <cell r="EW48" t="str">
            <v>-</v>
          </cell>
          <cell r="EX48" t="str">
            <v>-</v>
          </cell>
          <cell r="EY48" t="str">
            <v>-</v>
          </cell>
          <cell r="EZ48" t="str">
            <v>-</v>
          </cell>
          <cell r="FA48" t="str">
            <v>-</v>
          </cell>
          <cell r="FB48" t="str">
            <v>-</v>
          </cell>
          <cell r="FC48" t="str">
            <v>-</v>
          </cell>
          <cell r="FD48" t="str">
            <v>-</v>
          </cell>
          <cell r="FE48" t="str">
            <v>-</v>
          </cell>
          <cell r="FF48" t="str">
            <v>-</v>
          </cell>
          <cell r="FG48" t="str">
            <v>-</v>
          </cell>
          <cell r="FH48" t="str">
            <v>-</v>
          </cell>
          <cell r="FI48" t="str">
            <v>-</v>
          </cell>
          <cell r="FJ48" t="str">
            <v>-</v>
          </cell>
          <cell r="FK48" t="str">
            <v>-</v>
          </cell>
          <cell r="FL48" t="str">
            <v>-</v>
          </cell>
          <cell r="FM48" t="str">
            <v>-</v>
          </cell>
          <cell r="FN48" t="str">
            <v>-</v>
          </cell>
          <cell r="FO48" t="str">
            <v>-</v>
          </cell>
          <cell r="FP48" t="str">
            <v>-</v>
          </cell>
          <cell r="FQ48" t="str">
            <v>-</v>
          </cell>
          <cell r="FR48" t="str">
            <v>-</v>
          </cell>
          <cell r="FS48" t="str">
            <v>-</v>
          </cell>
          <cell r="FT48" t="str">
            <v>-</v>
          </cell>
          <cell r="FU48" t="str">
            <v>-</v>
          </cell>
          <cell r="FV48" t="str">
            <v>-</v>
          </cell>
          <cell r="FW48" t="str">
            <v>-</v>
          </cell>
          <cell r="FX48" t="str">
            <v>-</v>
          </cell>
          <cell r="FY48" t="str">
            <v>-</v>
          </cell>
          <cell r="FZ48" t="str">
            <v>-</v>
          </cell>
          <cell r="GA48" t="str">
            <v>-</v>
          </cell>
        </row>
        <row r="49">
          <cell r="A49" t="str">
            <v>A2800</v>
          </cell>
          <cell r="B49" t="str">
            <v xml:space="preserve">TSAQIF AL ADZIN IMANULLAH 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1</v>
          </cell>
          <cell r="CR49">
            <v>30</v>
          </cell>
          <cell r="CS49">
            <v>30</v>
          </cell>
          <cell r="CT49" t="str">
            <v>Level 2</v>
          </cell>
          <cell r="CU49" t="str">
            <v>-</v>
          </cell>
          <cell r="CV49" t="str">
            <v>-</v>
          </cell>
          <cell r="CW49" t="str">
            <v>-</v>
          </cell>
          <cell r="CX49" t="str">
            <v>-</v>
          </cell>
          <cell r="CY49" t="str">
            <v>-</v>
          </cell>
          <cell r="CZ49" t="str">
            <v>-</v>
          </cell>
          <cell r="DA49" t="str">
            <v>-</v>
          </cell>
          <cell r="DB49" t="str">
            <v>-</v>
          </cell>
          <cell r="DC49" t="str">
            <v>-</v>
          </cell>
          <cell r="DD49" t="str">
            <v>-</v>
          </cell>
          <cell r="DE49" t="str">
            <v>-</v>
          </cell>
          <cell r="DF49" t="str">
            <v>-</v>
          </cell>
          <cell r="DG49" t="str">
            <v>-</v>
          </cell>
          <cell r="DH49" t="str">
            <v>-</v>
          </cell>
          <cell r="DI49" t="str">
            <v>-</v>
          </cell>
          <cell r="DJ49" t="str">
            <v>-</v>
          </cell>
          <cell r="DK49" t="str">
            <v>-</v>
          </cell>
          <cell r="DL49" t="str">
            <v>-</v>
          </cell>
          <cell r="DM49" t="str">
            <v>-</v>
          </cell>
          <cell r="DN49" t="str">
            <v>-</v>
          </cell>
          <cell r="DO49" t="str">
            <v>-</v>
          </cell>
          <cell r="DP49" t="str">
            <v>-</v>
          </cell>
          <cell r="DQ49" t="str">
            <v>-</v>
          </cell>
          <cell r="DR49" t="str">
            <v>-</v>
          </cell>
          <cell r="DS49" t="str">
            <v>-</v>
          </cell>
          <cell r="DT49" t="str">
            <v>-</v>
          </cell>
          <cell r="DU49" t="str">
            <v>-</v>
          </cell>
          <cell r="DV49" t="str">
            <v>-</v>
          </cell>
          <cell r="DW49" t="str">
            <v>-</v>
          </cell>
          <cell r="DX49" t="str">
            <v>-</v>
          </cell>
          <cell r="DY49" t="str">
            <v>-</v>
          </cell>
          <cell r="DZ49" t="str">
            <v>-</v>
          </cell>
          <cell r="EA49" t="str">
            <v>-</v>
          </cell>
          <cell r="EB49" t="str">
            <v>-</v>
          </cell>
          <cell r="EC49" t="str">
            <v>-</v>
          </cell>
          <cell r="ED49" t="str">
            <v>-</v>
          </cell>
          <cell r="EE49" t="str">
            <v>-</v>
          </cell>
          <cell r="EF49" t="str">
            <v>-</v>
          </cell>
          <cell r="EG49" t="str">
            <v>-</v>
          </cell>
          <cell r="EH49" t="str">
            <v>-</v>
          </cell>
          <cell r="EI49" t="str">
            <v>-</v>
          </cell>
          <cell r="EJ49" t="str">
            <v>-</v>
          </cell>
          <cell r="EK49" t="str">
            <v>-</v>
          </cell>
          <cell r="EL49" t="str">
            <v>-</v>
          </cell>
          <cell r="EM49" t="str">
            <v>-</v>
          </cell>
          <cell r="EN49" t="str">
            <v>-</v>
          </cell>
          <cell r="EO49" t="str">
            <v>-</v>
          </cell>
          <cell r="EP49" t="str">
            <v>-</v>
          </cell>
          <cell r="EQ49" t="str">
            <v>-</v>
          </cell>
          <cell r="ER49" t="str">
            <v>-</v>
          </cell>
          <cell r="ES49" t="str">
            <v>-</v>
          </cell>
          <cell r="ET49" t="str">
            <v>-</v>
          </cell>
          <cell r="EU49" t="str">
            <v>-</v>
          </cell>
          <cell r="EV49" t="str">
            <v>-</v>
          </cell>
          <cell r="EW49" t="str">
            <v>-</v>
          </cell>
          <cell r="EX49" t="str">
            <v>-</v>
          </cell>
          <cell r="EY49" t="str">
            <v>-</v>
          </cell>
          <cell r="EZ49" t="str">
            <v>-</v>
          </cell>
          <cell r="FA49" t="str">
            <v>-</v>
          </cell>
          <cell r="FB49" t="str">
            <v>-</v>
          </cell>
          <cell r="FC49" t="str">
            <v>-</v>
          </cell>
          <cell r="FD49" t="str">
            <v>-</v>
          </cell>
          <cell r="FE49" t="str">
            <v>-</v>
          </cell>
          <cell r="FF49" t="str">
            <v>-</v>
          </cell>
          <cell r="FG49" t="str">
            <v>-</v>
          </cell>
          <cell r="FH49" t="str">
            <v>-</v>
          </cell>
          <cell r="FI49" t="str">
            <v>-</v>
          </cell>
          <cell r="FJ49" t="str">
            <v>-</v>
          </cell>
          <cell r="FK49" t="str">
            <v>-</v>
          </cell>
          <cell r="FL49" t="str">
            <v>-</v>
          </cell>
          <cell r="FM49" t="str">
            <v>-</v>
          </cell>
          <cell r="FN49" t="str">
            <v>-</v>
          </cell>
          <cell r="FO49" t="str">
            <v>-</v>
          </cell>
          <cell r="FP49" t="str">
            <v>-</v>
          </cell>
          <cell r="FQ49" t="str">
            <v>-</v>
          </cell>
          <cell r="FR49" t="str">
            <v>-</v>
          </cell>
          <cell r="FS49" t="str">
            <v>-</v>
          </cell>
          <cell r="FT49" t="str">
            <v>-</v>
          </cell>
          <cell r="FU49" t="str">
            <v>-</v>
          </cell>
          <cell r="FV49" t="str">
            <v>-</v>
          </cell>
          <cell r="FW49" t="str">
            <v>-</v>
          </cell>
          <cell r="FX49" t="str">
            <v>-</v>
          </cell>
          <cell r="FY49" t="str">
            <v>-</v>
          </cell>
          <cell r="FZ49" t="str">
            <v>-</v>
          </cell>
          <cell r="GA49" t="str">
            <v>-</v>
          </cell>
        </row>
        <row r="50">
          <cell r="A50" t="str">
            <v>A2624</v>
          </cell>
          <cell r="B50" t="str">
            <v>ANISSA APRILLIA KHARISMA DEWI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2</v>
          </cell>
          <cell r="CZ50">
            <v>42</v>
          </cell>
          <cell r="DA50">
            <v>21</v>
          </cell>
          <cell r="DB50" t="str">
            <v>Level 1</v>
          </cell>
          <cell r="DC50">
            <v>4</v>
          </cell>
          <cell r="DD50">
            <v>91</v>
          </cell>
          <cell r="DE50">
            <v>22.75</v>
          </cell>
          <cell r="DF50" t="str">
            <v>Level 1</v>
          </cell>
          <cell r="DG50">
            <v>10</v>
          </cell>
          <cell r="DH50">
            <v>265</v>
          </cell>
          <cell r="DI50">
            <v>26.5</v>
          </cell>
          <cell r="DJ50" t="str">
            <v>Level 1</v>
          </cell>
          <cell r="DK50" t="str">
            <v>-</v>
          </cell>
          <cell r="DL50" t="str">
            <v>-</v>
          </cell>
          <cell r="DM50" t="str">
            <v>-</v>
          </cell>
          <cell r="DN50" t="str">
            <v>-</v>
          </cell>
          <cell r="DO50">
            <v>18</v>
          </cell>
          <cell r="DP50">
            <v>361</v>
          </cell>
          <cell r="DQ50">
            <v>20.055555555555557</v>
          </cell>
          <cell r="DR50" t="str">
            <v>Level 1</v>
          </cell>
          <cell r="DS50" t="str">
            <v>-</v>
          </cell>
          <cell r="DT50" t="str">
            <v>-</v>
          </cell>
          <cell r="DU50" t="str">
            <v>-</v>
          </cell>
          <cell r="DV50" t="str">
            <v>-</v>
          </cell>
          <cell r="DW50">
            <v>20</v>
          </cell>
          <cell r="DX50">
            <v>439</v>
          </cell>
          <cell r="DY50">
            <v>21.95</v>
          </cell>
          <cell r="DZ50" t="str">
            <v>Level 1</v>
          </cell>
          <cell r="EA50" t="str">
            <v>-</v>
          </cell>
          <cell r="EB50" t="str">
            <v>-</v>
          </cell>
          <cell r="EC50" t="str">
            <v>-</v>
          </cell>
          <cell r="ED50" t="str">
            <v>-</v>
          </cell>
          <cell r="EE50" t="str">
            <v>-</v>
          </cell>
          <cell r="EF50" t="str">
            <v>-</v>
          </cell>
          <cell r="EG50" t="str">
            <v>-</v>
          </cell>
          <cell r="EH50" t="str">
            <v>-</v>
          </cell>
          <cell r="EI50" t="str">
            <v>-</v>
          </cell>
          <cell r="EJ50" t="str">
            <v>-</v>
          </cell>
          <cell r="EK50" t="str">
            <v>-</v>
          </cell>
          <cell r="EL50" t="str">
            <v>-</v>
          </cell>
          <cell r="EM50" t="str">
            <v>-</v>
          </cell>
          <cell r="EN50" t="str">
            <v>-</v>
          </cell>
          <cell r="EO50" t="str">
            <v>-</v>
          </cell>
          <cell r="EP50" t="str">
            <v>-</v>
          </cell>
          <cell r="EQ50" t="str">
            <v>-</v>
          </cell>
          <cell r="ER50" t="str">
            <v>-</v>
          </cell>
          <cell r="ES50" t="str">
            <v>-</v>
          </cell>
          <cell r="ET50" t="str">
            <v>-</v>
          </cell>
          <cell r="EU50" t="str">
            <v>-</v>
          </cell>
          <cell r="EV50" t="str">
            <v>-</v>
          </cell>
          <cell r="EW50" t="str">
            <v>-</v>
          </cell>
          <cell r="EX50" t="str">
            <v>-</v>
          </cell>
          <cell r="EY50" t="str">
            <v>-</v>
          </cell>
          <cell r="EZ50" t="str">
            <v>-</v>
          </cell>
          <cell r="FA50" t="str">
            <v>-</v>
          </cell>
          <cell r="FB50" t="str">
            <v>-</v>
          </cell>
          <cell r="FC50" t="str">
            <v>-</v>
          </cell>
          <cell r="FD50" t="str">
            <v>-</v>
          </cell>
          <cell r="FE50" t="str">
            <v>-</v>
          </cell>
          <cell r="FF50" t="str">
            <v>-</v>
          </cell>
          <cell r="FG50" t="str">
            <v>-</v>
          </cell>
          <cell r="FH50" t="str">
            <v>-</v>
          </cell>
          <cell r="FI50" t="str">
            <v>-</v>
          </cell>
          <cell r="FJ50" t="str">
            <v>-</v>
          </cell>
          <cell r="FK50" t="str">
            <v>-</v>
          </cell>
          <cell r="FL50" t="str">
            <v>-</v>
          </cell>
          <cell r="FM50" t="str">
            <v>-</v>
          </cell>
          <cell r="FN50" t="str">
            <v>-</v>
          </cell>
          <cell r="FO50" t="str">
            <v>-</v>
          </cell>
          <cell r="FP50" t="str">
            <v>-</v>
          </cell>
          <cell r="FQ50" t="str">
            <v>-</v>
          </cell>
          <cell r="FR50" t="str">
            <v>-</v>
          </cell>
          <cell r="FS50" t="str">
            <v>-</v>
          </cell>
          <cell r="FT50" t="str">
            <v>-</v>
          </cell>
          <cell r="FU50" t="str">
            <v>-</v>
          </cell>
          <cell r="FV50" t="str">
            <v>-</v>
          </cell>
          <cell r="FW50" t="str">
            <v>-</v>
          </cell>
          <cell r="FX50" t="str">
            <v>-</v>
          </cell>
          <cell r="FY50" t="str">
            <v>-</v>
          </cell>
          <cell r="FZ50" t="str">
            <v>-</v>
          </cell>
          <cell r="GA50" t="str">
            <v>-</v>
          </cell>
        </row>
        <row r="51">
          <cell r="A51" t="str">
            <v>A2823</v>
          </cell>
          <cell r="B51" t="str">
            <v>INE PEBRIYANTI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2</v>
          </cell>
          <cell r="CZ51">
            <v>36</v>
          </cell>
          <cell r="DA51">
            <v>18</v>
          </cell>
          <cell r="DB51" t="str">
            <v>Level 1</v>
          </cell>
          <cell r="DC51">
            <v>5</v>
          </cell>
          <cell r="DD51">
            <v>107</v>
          </cell>
          <cell r="DE51">
            <v>21.4</v>
          </cell>
          <cell r="DF51" t="str">
            <v>Level 1</v>
          </cell>
          <cell r="DG51">
            <v>9</v>
          </cell>
          <cell r="DH51">
            <v>266</v>
          </cell>
          <cell r="DI51">
            <v>29.555555555555557</v>
          </cell>
          <cell r="DJ51" t="str">
            <v>Level 2</v>
          </cell>
          <cell r="DK51">
            <v>5</v>
          </cell>
          <cell r="DL51">
            <v>100</v>
          </cell>
          <cell r="DM51">
            <v>20</v>
          </cell>
          <cell r="DN51" t="str">
            <v>Level 1</v>
          </cell>
          <cell r="DO51">
            <v>11</v>
          </cell>
          <cell r="DP51">
            <v>319</v>
          </cell>
          <cell r="DQ51">
            <v>29</v>
          </cell>
          <cell r="DR51" t="str">
            <v>Level 2</v>
          </cell>
          <cell r="DS51" t="str">
            <v>-</v>
          </cell>
          <cell r="DT51" t="str">
            <v>-</v>
          </cell>
          <cell r="DU51" t="str">
            <v>-</v>
          </cell>
          <cell r="DV51" t="str">
            <v>-</v>
          </cell>
          <cell r="DW51">
            <v>3</v>
          </cell>
          <cell r="DX51">
            <v>102</v>
          </cell>
          <cell r="DY51">
            <v>34</v>
          </cell>
          <cell r="DZ51" t="str">
            <v>Level 2</v>
          </cell>
          <cell r="EA51">
            <v>6</v>
          </cell>
          <cell r="EB51">
            <v>158</v>
          </cell>
          <cell r="EC51">
            <v>26.333333333333332</v>
          </cell>
          <cell r="ED51" t="str">
            <v>Level 1</v>
          </cell>
          <cell r="EE51">
            <v>10</v>
          </cell>
          <cell r="EF51">
            <v>253</v>
          </cell>
          <cell r="EG51">
            <v>25.3</v>
          </cell>
          <cell r="EH51" t="str">
            <v>Level 1</v>
          </cell>
          <cell r="EI51">
            <v>12</v>
          </cell>
          <cell r="EJ51">
            <v>358</v>
          </cell>
          <cell r="EK51">
            <v>29.833333333333332</v>
          </cell>
          <cell r="EL51" t="str">
            <v>Level 2</v>
          </cell>
          <cell r="EM51">
            <v>6</v>
          </cell>
          <cell r="EN51">
            <v>200</v>
          </cell>
          <cell r="EO51">
            <v>33.333333333333336</v>
          </cell>
          <cell r="EP51" t="str">
            <v>Level 2</v>
          </cell>
          <cell r="EQ51" t="str">
            <v>-</v>
          </cell>
          <cell r="ER51" t="str">
            <v>-</v>
          </cell>
          <cell r="ES51" t="str">
            <v>-</v>
          </cell>
          <cell r="ET51" t="str">
            <v>-</v>
          </cell>
          <cell r="EU51">
            <v>1</v>
          </cell>
          <cell r="EV51">
            <v>28</v>
          </cell>
          <cell r="EW51">
            <v>28</v>
          </cell>
          <cell r="EX51" t="str">
            <v>Level 1</v>
          </cell>
          <cell r="EY51">
            <v>5</v>
          </cell>
          <cell r="EZ51">
            <v>126</v>
          </cell>
          <cell r="FA51">
            <v>25.2</v>
          </cell>
          <cell r="FB51" t="str">
            <v>Level 1</v>
          </cell>
          <cell r="FC51">
            <v>9</v>
          </cell>
          <cell r="FD51">
            <v>262</v>
          </cell>
          <cell r="FE51">
            <v>29.111111111111111</v>
          </cell>
          <cell r="FF51" t="str">
            <v>Level 2</v>
          </cell>
          <cell r="FG51" t="str">
            <v>-</v>
          </cell>
          <cell r="FH51" t="str">
            <v>-</v>
          </cell>
          <cell r="FI51" t="str">
            <v>-</v>
          </cell>
          <cell r="FJ51" t="str">
            <v>-</v>
          </cell>
          <cell r="FK51" t="str">
            <v>-</v>
          </cell>
          <cell r="FL51" t="str">
            <v>-</v>
          </cell>
          <cell r="FM51" t="str">
            <v>-</v>
          </cell>
          <cell r="FN51" t="str">
            <v>-</v>
          </cell>
          <cell r="FO51" t="str">
            <v>-</v>
          </cell>
          <cell r="FP51" t="str">
            <v>-</v>
          </cell>
          <cell r="FQ51" t="str">
            <v>-</v>
          </cell>
          <cell r="FR51" t="str">
            <v>-</v>
          </cell>
          <cell r="FS51">
            <v>1</v>
          </cell>
          <cell r="FT51">
            <v>44</v>
          </cell>
          <cell r="FU51">
            <v>44</v>
          </cell>
          <cell r="FV51" t="str">
            <v>Level 3</v>
          </cell>
          <cell r="FW51" t="str">
            <v>-</v>
          </cell>
          <cell r="FX51" t="str">
            <v>-</v>
          </cell>
          <cell r="FY51" t="str">
            <v>-</v>
          </cell>
          <cell r="FZ51" t="str">
            <v>-</v>
          </cell>
          <cell r="GA51">
            <v>2</v>
          </cell>
        </row>
        <row r="52">
          <cell r="A52" t="str">
            <v>A2593</v>
          </cell>
          <cell r="B52" t="str">
            <v>GENOVEVA BUNGA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2</v>
          </cell>
          <cell r="CZ52">
            <v>39</v>
          </cell>
          <cell r="DA52">
            <v>19.5</v>
          </cell>
          <cell r="DB52" t="str">
            <v>Level 1</v>
          </cell>
          <cell r="DC52">
            <v>6</v>
          </cell>
          <cell r="DD52">
            <v>146</v>
          </cell>
          <cell r="DE52">
            <v>24.333333333333332</v>
          </cell>
          <cell r="DF52" t="str">
            <v>Level 1</v>
          </cell>
          <cell r="DG52">
            <v>9</v>
          </cell>
          <cell r="DH52">
            <v>243</v>
          </cell>
          <cell r="DI52">
            <v>27</v>
          </cell>
          <cell r="DJ52" t="str">
            <v>Level 1</v>
          </cell>
          <cell r="DK52">
            <v>2</v>
          </cell>
          <cell r="DL52">
            <v>45</v>
          </cell>
          <cell r="DM52">
            <v>22.5</v>
          </cell>
          <cell r="DN52" t="str">
            <v>Level 1</v>
          </cell>
          <cell r="DO52" t="str">
            <v>-</v>
          </cell>
          <cell r="DP52" t="str">
            <v>-</v>
          </cell>
          <cell r="DQ52" t="str">
            <v>-</v>
          </cell>
          <cell r="DR52" t="str">
            <v>-</v>
          </cell>
          <cell r="DS52" t="str">
            <v>-</v>
          </cell>
          <cell r="DT52" t="str">
            <v>-</v>
          </cell>
          <cell r="DU52" t="str">
            <v>-</v>
          </cell>
          <cell r="DV52" t="str">
            <v>-</v>
          </cell>
          <cell r="DW52" t="str">
            <v>-</v>
          </cell>
          <cell r="DX52" t="str">
            <v>-</v>
          </cell>
          <cell r="DY52" t="str">
            <v>-</v>
          </cell>
          <cell r="DZ52" t="str">
            <v>-</v>
          </cell>
          <cell r="EA52" t="str">
            <v>-</v>
          </cell>
          <cell r="EB52" t="str">
            <v>-</v>
          </cell>
          <cell r="EC52" t="str">
            <v>-</v>
          </cell>
          <cell r="ED52" t="str">
            <v>-</v>
          </cell>
          <cell r="EE52" t="str">
            <v>-</v>
          </cell>
          <cell r="EF52" t="str">
            <v>-</v>
          </cell>
          <cell r="EG52" t="str">
            <v>-</v>
          </cell>
          <cell r="EH52" t="str">
            <v>-</v>
          </cell>
          <cell r="EI52" t="str">
            <v>-</v>
          </cell>
          <cell r="EJ52" t="str">
            <v>-</v>
          </cell>
          <cell r="EK52" t="str">
            <v>-</v>
          </cell>
          <cell r="EL52" t="str">
            <v>-</v>
          </cell>
          <cell r="EM52" t="str">
            <v>-</v>
          </cell>
          <cell r="EN52" t="str">
            <v>-</v>
          </cell>
          <cell r="EO52" t="str">
            <v>-</v>
          </cell>
          <cell r="EP52" t="str">
            <v>-</v>
          </cell>
          <cell r="EQ52" t="str">
            <v>-</v>
          </cell>
          <cell r="ER52" t="str">
            <v>-</v>
          </cell>
          <cell r="ES52" t="str">
            <v>-</v>
          </cell>
          <cell r="ET52" t="str">
            <v>-</v>
          </cell>
          <cell r="EU52" t="str">
            <v>-</v>
          </cell>
          <cell r="EV52" t="str">
            <v>-</v>
          </cell>
          <cell r="EW52" t="str">
            <v>-</v>
          </cell>
          <cell r="EX52" t="str">
            <v>-</v>
          </cell>
          <cell r="EY52" t="str">
            <v>-</v>
          </cell>
          <cell r="EZ52" t="str">
            <v>-</v>
          </cell>
          <cell r="FA52" t="str">
            <v>-</v>
          </cell>
          <cell r="FB52" t="str">
            <v>-</v>
          </cell>
          <cell r="FC52" t="str">
            <v>-</v>
          </cell>
          <cell r="FD52" t="str">
            <v>-</v>
          </cell>
          <cell r="FE52" t="str">
            <v>-</v>
          </cell>
          <cell r="FF52" t="str">
            <v>-</v>
          </cell>
          <cell r="FG52" t="str">
            <v>-</v>
          </cell>
          <cell r="FH52" t="str">
            <v>-</v>
          </cell>
          <cell r="FI52" t="str">
            <v>-</v>
          </cell>
          <cell r="FJ52" t="str">
            <v>-</v>
          </cell>
          <cell r="FK52" t="str">
            <v>-</v>
          </cell>
          <cell r="FL52" t="str">
            <v>-</v>
          </cell>
          <cell r="FM52" t="str">
            <v>-</v>
          </cell>
          <cell r="FN52" t="str">
            <v>-</v>
          </cell>
          <cell r="FO52" t="str">
            <v>-</v>
          </cell>
          <cell r="FP52" t="str">
            <v>-</v>
          </cell>
          <cell r="FQ52" t="str">
            <v>-</v>
          </cell>
          <cell r="FR52" t="str">
            <v>-</v>
          </cell>
          <cell r="FS52" t="str">
            <v>-</v>
          </cell>
          <cell r="FT52" t="str">
            <v>-</v>
          </cell>
          <cell r="FU52" t="str">
            <v>-</v>
          </cell>
          <cell r="FV52" t="str">
            <v>-</v>
          </cell>
          <cell r="FW52" t="str">
            <v>-</v>
          </cell>
          <cell r="FX52" t="str">
            <v>-</v>
          </cell>
          <cell r="FY52" t="str">
            <v>-</v>
          </cell>
          <cell r="FZ52" t="str">
            <v>-</v>
          </cell>
          <cell r="GA52" t="str">
            <v>-</v>
          </cell>
        </row>
        <row r="53">
          <cell r="A53" t="str">
            <v>A2663</v>
          </cell>
          <cell r="B53" t="str">
            <v>NADIA RITA APRIYANTI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1</v>
          </cell>
          <cell r="CZ53">
            <v>14</v>
          </cell>
          <cell r="DA53">
            <v>14</v>
          </cell>
          <cell r="DB53" t="str">
            <v>Level 1</v>
          </cell>
          <cell r="DC53">
            <v>1</v>
          </cell>
          <cell r="DD53">
            <v>23</v>
          </cell>
          <cell r="DE53">
            <v>23</v>
          </cell>
          <cell r="DF53" t="str">
            <v>Level 1</v>
          </cell>
          <cell r="DG53">
            <v>4</v>
          </cell>
          <cell r="DH53">
            <v>102</v>
          </cell>
          <cell r="DI53">
            <v>25.5</v>
          </cell>
          <cell r="DJ53" t="str">
            <v>Level 1</v>
          </cell>
          <cell r="DK53" t="str">
            <v>-</v>
          </cell>
          <cell r="DL53" t="str">
            <v>-</v>
          </cell>
          <cell r="DM53" t="str">
            <v>-</v>
          </cell>
          <cell r="DN53" t="str">
            <v>-</v>
          </cell>
          <cell r="DO53" t="str">
            <v>-</v>
          </cell>
          <cell r="DP53" t="str">
            <v>-</v>
          </cell>
          <cell r="DQ53" t="str">
            <v>-</v>
          </cell>
          <cell r="DR53" t="str">
            <v>-</v>
          </cell>
          <cell r="DS53" t="str">
            <v>-</v>
          </cell>
          <cell r="DT53" t="str">
            <v>-</v>
          </cell>
          <cell r="DU53" t="str">
            <v>-</v>
          </cell>
          <cell r="DV53" t="str">
            <v>-</v>
          </cell>
          <cell r="DW53">
            <v>2</v>
          </cell>
          <cell r="DX53">
            <v>32</v>
          </cell>
          <cell r="DY53">
            <v>16</v>
          </cell>
          <cell r="DZ53" t="str">
            <v>Level 1</v>
          </cell>
          <cell r="EA53" t="str">
            <v>-</v>
          </cell>
          <cell r="EB53" t="str">
            <v>-</v>
          </cell>
          <cell r="EC53" t="str">
            <v>-</v>
          </cell>
          <cell r="ED53" t="str">
            <v>-</v>
          </cell>
          <cell r="EE53" t="str">
            <v>-</v>
          </cell>
          <cell r="EF53" t="str">
            <v>-</v>
          </cell>
          <cell r="EG53" t="str">
            <v>-</v>
          </cell>
          <cell r="EH53" t="str">
            <v>-</v>
          </cell>
          <cell r="EI53" t="str">
            <v>-</v>
          </cell>
          <cell r="EJ53" t="str">
            <v>-</v>
          </cell>
          <cell r="EK53" t="str">
            <v>-</v>
          </cell>
          <cell r="EL53" t="str">
            <v>-</v>
          </cell>
          <cell r="EM53">
            <v>2</v>
          </cell>
          <cell r="EN53">
            <v>43</v>
          </cell>
          <cell r="EO53">
            <v>21.5</v>
          </cell>
          <cell r="EP53" t="str">
            <v>Level 1</v>
          </cell>
          <cell r="EQ53" t="str">
            <v>-</v>
          </cell>
          <cell r="ER53" t="str">
            <v>-</v>
          </cell>
          <cell r="ES53" t="str">
            <v>-</v>
          </cell>
          <cell r="ET53" t="str">
            <v>-</v>
          </cell>
          <cell r="EU53" t="str">
            <v>-</v>
          </cell>
          <cell r="EV53" t="str">
            <v>-</v>
          </cell>
          <cell r="EW53" t="str">
            <v>-</v>
          </cell>
          <cell r="EX53" t="str">
            <v>-</v>
          </cell>
          <cell r="EY53" t="str">
            <v>-</v>
          </cell>
          <cell r="EZ53" t="str">
            <v>-</v>
          </cell>
          <cell r="FA53" t="str">
            <v>-</v>
          </cell>
          <cell r="FB53" t="str">
            <v>-</v>
          </cell>
          <cell r="FC53" t="str">
            <v>-</v>
          </cell>
          <cell r="FD53" t="str">
            <v>-</v>
          </cell>
          <cell r="FE53" t="str">
            <v>-</v>
          </cell>
          <cell r="FF53" t="str">
            <v>-</v>
          </cell>
          <cell r="FG53" t="str">
            <v>-</v>
          </cell>
          <cell r="FH53" t="str">
            <v>-</v>
          </cell>
          <cell r="FI53" t="str">
            <v>-</v>
          </cell>
          <cell r="FJ53" t="str">
            <v>-</v>
          </cell>
          <cell r="FK53" t="str">
            <v>-</v>
          </cell>
          <cell r="FL53" t="str">
            <v>-</v>
          </cell>
          <cell r="FM53" t="str">
            <v>-</v>
          </cell>
          <cell r="FN53" t="str">
            <v>-</v>
          </cell>
          <cell r="FO53" t="str">
            <v>-</v>
          </cell>
          <cell r="FP53" t="str">
            <v>-</v>
          </cell>
          <cell r="FQ53" t="str">
            <v>-</v>
          </cell>
          <cell r="FR53" t="str">
            <v>-</v>
          </cell>
          <cell r="FS53" t="str">
            <v>-</v>
          </cell>
          <cell r="FT53" t="str">
            <v>-</v>
          </cell>
          <cell r="FU53" t="str">
            <v>-</v>
          </cell>
          <cell r="FV53" t="str">
            <v>-</v>
          </cell>
          <cell r="FW53" t="str">
            <v>-</v>
          </cell>
          <cell r="FX53" t="str">
            <v>-</v>
          </cell>
          <cell r="FY53" t="str">
            <v>-</v>
          </cell>
          <cell r="FZ53" t="str">
            <v>-</v>
          </cell>
          <cell r="GA53" t="str">
            <v>-</v>
          </cell>
        </row>
        <row r="54">
          <cell r="A54" t="str">
            <v>A2738</v>
          </cell>
          <cell r="B54" t="str">
            <v>SHAVIRA BERTI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3</v>
          </cell>
          <cell r="DH54">
            <v>53</v>
          </cell>
          <cell r="DI54">
            <v>17.666666666666668</v>
          </cell>
          <cell r="DJ54" t="str">
            <v>Level 1</v>
          </cell>
          <cell r="DK54" t="str">
            <v>-</v>
          </cell>
          <cell r="DL54" t="str">
            <v>-</v>
          </cell>
          <cell r="DM54" t="str">
            <v>-</v>
          </cell>
          <cell r="DN54" t="str">
            <v>-</v>
          </cell>
          <cell r="DO54" t="str">
            <v>-</v>
          </cell>
          <cell r="DP54" t="str">
            <v>-</v>
          </cell>
          <cell r="DQ54" t="str">
            <v>-</v>
          </cell>
          <cell r="DR54" t="str">
            <v>-</v>
          </cell>
          <cell r="DS54" t="str">
            <v>-</v>
          </cell>
          <cell r="DT54" t="str">
            <v>-</v>
          </cell>
          <cell r="DU54" t="str">
            <v>-</v>
          </cell>
          <cell r="DV54" t="str">
            <v>-</v>
          </cell>
          <cell r="DW54" t="str">
            <v>-</v>
          </cell>
          <cell r="DX54" t="str">
            <v>-</v>
          </cell>
          <cell r="DY54" t="str">
            <v>-</v>
          </cell>
          <cell r="DZ54" t="str">
            <v>-</v>
          </cell>
          <cell r="EA54" t="str">
            <v>-</v>
          </cell>
          <cell r="EB54" t="str">
            <v>-</v>
          </cell>
          <cell r="EC54" t="str">
            <v>-</v>
          </cell>
          <cell r="ED54" t="str">
            <v>-</v>
          </cell>
          <cell r="EE54" t="str">
            <v>-</v>
          </cell>
          <cell r="EF54" t="str">
            <v>-</v>
          </cell>
          <cell r="EG54" t="str">
            <v>-</v>
          </cell>
          <cell r="EH54" t="str">
            <v>-</v>
          </cell>
          <cell r="EI54" t="str">
            <v>-</v>
          </cell>
          <cell r="EJ54" t="str">
            <v>-</v>
          </cell>
          <cell r="EK54" t="str">
            <v>-</v>
          </cell>
          <cell r="EL54" t="str">
            <v>-</v>
          </cell>
          <cell r="EM54" t="str">
            <v>-</v>
          </cell>
          <cell r="EN54" t="str">
            <v>-</v>
          </cell>
          <cell r="EO54" t="str">
            <v>-</v>
          </cell>
          <cell r="EP54" t="str">
            <v>-</v>
          </cell>
          <cell r="EQ54" t="str">
            <v>-</v>
          </cell>
          <cell r="ER54" t="str">
            <v>-</v>
          </cell>
          <cell r="ES54" t="str">
            <v>-</v>
          </cell>
          <cell r="ET54" t="str">
            <v>-</v>
          </cell>
          <cell r="EU54" t="str">
            <v>-</v>
          </cell>
          <cell r="EV54" t="str">
            <v>-</v>
          </cell>
          <cell r="EW54" t="str">
            <v>-</v>
          </cell>
          <cell r="EX54" t="str">
            <v>-</v>
          </cell>
          <cell r="EY54" t="str">
            <v>-</v>
          </cell>
          <cell r="EZ54" t="str">
            <v>-</v>
          </cell>
          <cell r="FA54" t="str">
            <v>-</v>
          </cell>
          <cell r="FB54" t="str">
            <v>-</v>
          </cell>
          <cell r="FC54" t="str">
            <v>-</v>
          </cell>
          <cell r="FD54" t="str">
            <v>-</v>
          </cell>
          <cell r="FE54" t="str">
            <v>-</v>
          </cell>
          <cell r="FF54" t="str">
            <v>-</v>
          </cell>
          <cell r="FG54" t="str">
            <v>-</v>
          </cell>
          <cell r="FH54" t="str">
            <v>-</v>
          </cell>
          <cell r="FI54" t="str">
            <v>-</v>
          </cell>
          <cell r="FJ54" t="str">
            <v>-</v>
          </cell>
          <cell r="FK54" t="str">
            <v>-</v>
          </cell>
          <cell r="FL54" t="str">
            <v>-</v>
          </cell>
          <cell r="FM54" t="str">
            <v>-</v>
          </cell>
          <cell r="FN54" t="str">
            <v>-</v>
          </cell>
          <cell r="FO54" t="str">
            <v>-</v>
          </cell>
          <cell r="FP54" t="str">
            <v>-</v>
          </cell>
          <cell r="FQ54" t="str">
            <v>-</v>
          </cell>
          <cell r="FR54" t="str">
            <v>-</v>
          </cell>
          <cell r="FS54" t="str">
            <v>-</v>
          </cell>
          <cell r="FT54" t="str">
            <v>-</v>
          </cell>
          <cell r="FU54" t="str">
            <v>-</v>
          </cell>
          <cell r="FV54" t="str">
            <v>-</v>
          </cell>
          <cell r="FW54" t="str">
            <v>-</v>
          </cell>
          <cell r="FX54" t="str">
            <v>-</v>
          </cell>
          <cell r="FY54" t="str">
            <v>-</v>
          </cell>
          <cell r="FZ54" t="str">
            <v>-</v>
          </cell>
          <cell r="GA54" t="str">
            <v>-</v>
          </cell>
        </row>
        <row r="55">
          <cell r="A55" t="str">
            <v>A2576</v>
          </cell>
          <cell r="B55" t="str">
            <v>MILKA GABRIELA WAY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3</v>
          </cell>
          <cell r="DH55">
            <v>47</v>
          </cell>
          <cell r="DI55">
            <v>15.666666666666666</v>
          </cell>
          <cell r="DJ55" t="str">
            <v>Level 1</v>
          </cell>
          <cell r="DK55" t="str">
            <v>-</v>
          </cell>
          <cell r="DL55" t="str">
            <v>-</v>
          </cell>
          <cell r="DM55" t="str">
            <v>-</v>
          </cell>
          <cell r="DN55" t="str">
            <v>-</v>
          </cell>
          <cell r="DO55" t="str">
            <v>-</v>
          </cell>
          <cell r="DP55" t="str">
            <v>-</v>
          </cell>
          <cell r="DQ55" t="str">
            <v>-</v>
          </cell>
          <cell r="DR55" t="str">
            <v>-</v>
          </cell>
          <cell r="DS55" t="str">
            <v>-</v>
          </cell>
          <cell r="DT55" t="str">
            <v>-</v>
          </cell>
          <cell r="DU55" t="str">
            <v>-</v>
          </cell>
          <cell r="DV55" t="str">
            <v>-</v>
          </cell>
          <cell r="DW55" t="str">
            <v>-</v>
          </cell>
          <cell r="DX55" t="str">
            <v>-</v>
          </cell>
          <cell r="DY55" t="str">
            <v>-</v>
          </cell>
          <cell r="DZ55" t="str">
            <v>-</v>
          </cell>
          <cell r="EA55" t="str">
            <v>-</v>
          </cell>
          <cell r="EB55" t="str">
            <v>-</v>
          </cell>
          <cell r="EC55" t="str">
            <v>-</v>
          </cell>
          <cell r="ED55" t="str">
            <v>-</v>
          </cell>
          <cell r="EE55" t="str">
            <v>-</v>
          </cell>
          <cell r="EF55" t="str">
            <v>-</v>
          </cell>
          <cell r="EG55" t="str">
            <v>-</v>
          </cell>
          <cell r="EH55" t="str">
            <v>-</v>
          </cell>
          <cell r="EI55" t="str">
            <v>-</v>
          </cell>
          <cell r="EJ55" t="str">
            <v>-</v>
          </cell>
          <cell r="EK55" t="str">
            <v>-</v>
          </cell>
          <cell r="EL55" t="str">
            <v>-</v>
          </cell>
          <cell r="EM55" t="str">
            <v>-</v>
          </cell>
          <cell r="EN55" t="str">
            <v>-</v>
          </cell>
          <cell r="EO55" t="str">
            <v>-</v>
          </cell>
          <cell r="EP55" t="str">
            <v>-</v>
          </cell>
          <cell r="EQ55" t="str">
            <v>-</v>
          </cell>
          <cell r="ER55" t="str">
            <v>-</v>
          </cell>
          <cell r="ES55" t="str">
            <v>-</v>
          </cell>
          <cell r="ET55" t="str">
            <v>-</v>
          </cell>
          <cell r="EU55" t="str">
            <v>-</v>
          </cell>
          <cell r="EV55" t="str">
            <v>-</v>
          </cell>
          <cell r="EW55" t="str">
            <v>-</v>
          </cell>
          <cell r="EX55" t="str">
            <v>-</v>
          </cell>
          <cell r="EY55" t="str">
            <v>-</v>
          </cell>
          <cell r="EZ55" t="str">
            <v>-</v>
          </cell>
          <cell r="FA55" t="str">
            <v>-</v>
          </cell>
          <cell r="FB55" t="str">
            <v>-</v>
          </cell>
          <cell r="FC55" t="str">
            <v>-</v>
          </cell>
          <cell r="FD55" t="str">
            <v>-</v>
          </cell>
          <cell r="FE55" t="str">
            <v>-</v>
          </cell>
          <cell r="FF55" t="str">
            <v>-</v>
          </cell>
          <cell r="FG55" t="str">
            <v>-</v>
          </cell>
          <cell r="FH55" t="str">
            <v>-</v>
          </cell>
          <cell r="FI55" t="str">
            <v>-</v>
          </cell>
          <cell r="FJ55" t="str">
            <v>-</v>
          </cell>
          <cell r="FK55" t="str">
            <v>-</v>
          </cell>
          <cell r="FL55" t="str">
            <v>-</v>
          </cell>
          <cell r="FM55" t="str">
            <v>-</v>
          </cell>
          <cell r="FN55" t="str">
            <v>-</v>
          </cell>
          <cell r="FO55" t="str">
            <v>-</v>
          </cell>
          <cell r="FP55" t="str">
            <v>-</v>
          </cell>
          <cell r="FQ55" t="str">
            <v>-</v>
          </cell>
          <cell r="FR55" t="str">
            <v>-</v>
          </cell>
          <cell r="FS55" t="str">
            <v>-</v>
          </cell>
          <cell r="FT55" t="str">
            <v>-</v>
          </cell>
          <cell r="FU55" t="str">
            <v>-</v>
          </cell>
          <cell r="FV55" t="str">
            <v>-</v>
          </cell>
          <cell r="FW55" t="str">
            <v>-</v>
          </cell>
          <cell r="FX55" t="str">
            <v>-</v>
          </cell>
          <cell r="FY55" t="str">
            <v>-</v>
          </cell>
          <cell r="FZ55" t="str">
            <v>-</v>
          </cell>
          <cell r="GA55" t="str">
            <v>-</v>
          </cell>
        </row>
        <row r="56">
          <cell r="A56" t="str">
            <v>A2851</v>
          </cell>
          <cell r="B56" t="str">
            <v>ARWINA UINA RAHMA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10</v>
          </cell>
          <cell r="DH56">
            <v>205</v>
          </cell>
          <cell r="DI56">
            <v>20.5</v>
          </cell>
          <cell r="DJ56" t="str">
            <v>Level 1</v>
          </cell>
          <cell r="DK56" t="str">
            <v>-</v>
          </cell>
          <cell r="DL56" t="str">
            <v>-</v>
          </cell>
          <cell r="DM56" t="str">
            <v>-</v>
          </cell>
          <cell r="DN56" t="str">
            <v>-</v>
          </cell>
          <cell r="DO56" t="str">
            <v>-</v>
          </cell>
          <cell r="DP56" t="str">
            <v>-</v>
          </cell>
          <cell r="DQ56" t="str">
            <v>-</v>
          </cell>
          <cell r="DR56" t="str">
            <v>-</v>
          </cell>
          <cell r="DS56" t="str">
            <v>-</v>
          </cell>
          <cell r="DT56" t="str">
            <v>-</v>
          </cell>
          <cell r="DU56" t="str">
            <v>-</v>
          </cell>
          <cell r="DV56" t="str">
            <v>-</v>
          </cell>
          <cell r="DW56" t="str">
            <v>-</v>
          </cell>
          <cell r="DX56" t="str">
            <v>-</v>
          </cell>
          <cell r="DY56" t="str">
            <v>-</v>
          </cell>
          <cell r="DZ56" t="str">
            <v>-</v>
          </cell>
          <cell r="EA56" t="str">
            <v>-</v>
          </cell>
          <cell r="EB56" t="str">
            <v>-</v>
          </cell>
          <cell r="EC56" t="str">
            <v>-</v>
          </cell>
          <cell r="ED56" t="str">
            <v>-</v>
          </cell>
          <cell r="EE56" t="str">
            <v>-</v>
          </cell>
          <cell r="EF56" t="str">
            <v>-</v>
          </cell>
          <cell r="EG56" t="str">
            <v>-</v>
          </cell>
          <cell r="EH56" t="str">
            <v>-</v>
          </cell>
          <cell r="EI56" t="str">
            <v>-</v>
          </cell>
          <cell r="EJ56" t="str">
            <v>-</v>
          </cell>
          <cell r="EK56" t="str">
            <v>-</v>
          </cell>
          <cell r="EL56" t="str">
            <v>-</v>
          </cell>
          <cell r="EM56" t="str">
            <v>-</v>
          </cell>
          <cell r="EN56" t="str">
            <v>-</v>
          </cell>
          <cell r="EO56" t="str">
            <v>-</v>
          </cell>
          <cell r="EP56" t="str">
            <v>-</v>
          </cell>
          <cell r="EQ56" t="str">
            <v>-</v>
          </cell>
          <cell r="ER56" t="str">
            <v>-</v>
          </cell>
          <cell r="ES56" t="str">
            <v>-</v>
          </cell>
          <cell r="ET56" t="str">
            <v>-</v>
          </cell>
          <cell r="EU56" t="str">
            <v>-</v>
          </cell>
          <cell r="EV56" t="str">
            <v>-</v>
          </cell>
          <cell r="EW56" t="str">
            <v>-</v>
          </cell>
          <cell r="EX56" t="str">
            <v>-</v>
          </cell>
          <cell r="EY56" t="str">
            <v>-</v>
          </cell>
          <cell r="EZ56" t="str">
            <v>-</v>
          </cell>
          <cell r="FA56" t="str">
            <v>-</v>
          </cell>
          <cell r="FB56" t="str">
            <v>-</v>
          </cell>
          <cell r="FC56" t="str">
            <v>-</v>
          </cell>
          <cell r="FD56" t="str">
            <v>-</v>
          </cell>
          <cell r="FE56" t="str">
            <v>-</v>
          </cell>
          <cell r="FF56" t="str">
            <v>-</v>
          </cell>
          <cell r="FG56" t="str">
            <v>-</v>
          </cell>
          <cell r="FH56" t="str">
            <v>-</v>
          </cell>
          <cell r="FI56" t="str">
            <v>-</v>
          </cell>
          <cell r="FJ56" t="str">
            <v>-</v>
          </cell>
          <cell r="FK56" t="str">
            <v>-</v>
          </cell>
          <cell r="FL56" t="str">
            <v>-</v>
          </cell>
          <cell r="FM56" t="str">
            <v>-</v>
          </cell>
          <cell r="FN56" t="str">
            <v>-</v>
          </cell>
          <cell r="FO56" t="str">
            <v>-</v>
          </cell>
          <cell r="FP56" t="str">
            <v>-</v>
          </cell>
          <cell r="FQ56" t="str">
            <v>-</v>
          </cell>
          <cell r="FR56" t="str">
            <v>-</v>
          </cell>
          <cell r="FS56" t="str">
            <v>-</v>
          </cell>
          <cell r="FT56" t="str">
            <v>-</v>
          </cell>
          <cell r="FU56" t="str">
            <v>-</v>
          </cell>
          <cell r="FV56" t="str">
            <v>-</v>
          </cell>
          <cell r="FW56" t="str">
            <v>-</v>
          </cell>
          <cell r="FX56" t="str">
            <v>-</v>
          </cell>
          <cell r="FY56" t="str">
            <v>-</v>
          </cell>
          <cell r="FZ56" t="str">
            <v>-</v>
          </cell>
          <cell r="GA56" t="str">
            <v>-</v>
          </cell>
        </row>
        <row r="57">
          <cell r="A57" t="str">
            <v>A2873</v>
          </cell>
          <cell r="B57" t="str">
            <v>CHRISTOPHER LAKSAWANA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4</v>
          </cell>
          <cell r="DH57">
            <v>80</v>
          </cell>
          <cell r="DI57">
            <v>20</v>
          </cell>
          <cell r="DJ57" t="str">
            <v>Level 1</v>
          </cell>
          <cell r="DK57">
            <v>9</v>
          </cell>
          <cell r="DL57">
            <v>171</v>
          </cell>
          <cell r="DM57">
            <v>19</v>
          </cell>
          <cell r="DN57" t="str">
            <v>Level 1</v>
          </cell>
          <cell r="DO57">
            <v>19</v>
          </cell>
          <cell r="DP57">
            <v>449</v>
          </cell>
          <cell r="DQ57">
            <v>23.631578947368421</v>
          </cell>
          <cell r="DR57" t="str">
            <v>Level 1</v>
          </cell>
          <cell r="DS57" t="str">
            <v>-</v>
          </cell>
          <cell r="DT57" t="str">
            <v>-</v>
          </cell>
          <cell r="DU57" t="str">
            <v>-</v>
          </cell>
          <cell r="DV57" t="str">
            <v>-</v>
          </cell>
          <cell r="DW57">
            <v>6</v>
          </cell>
          <cell r="DX57">
            <v>156</v>
          </cell>
          <cell r="DY57">
            <v>26</v>
          </cell>
          <cell r="DZ57" t="str">
            <v>Level 1</v>
          </cell>
          <cell r="EA57">
            <v>6</v>
          </cell>
          <cell r="EB57">
            <v>156</v>
          </cell>
          <cell r="EC57">
            <v>26</v>
          </cell>
          <cell r="ED57" t="str">
            <v>Level 1</v>
          </cell>
          <cell r="EE57" t="str">
            <v>-</v>
          </cell>
          <cell r="EF57" t="str">
            <v>-</v>
          </cell>
          <cell r="EG57" t="str">
            <v>-</v>
          </cell>
          <cell r="EH57" t="str">
            <v>-</v>
          </cell>
          <cell r="EI57">
            <v>17</v>
          </cell>
          <cell r="EJ57">
            <v>426</v>
          </cell>
          <cell r="EK57">
            <v>25.058823529411764</v>
          </cell>
          <cell r="EL57" t="str">
            <v>Level 1</v>
          </cell>
          <cell r="EM57">
            <v>11</v>
          </cell>
          <cell r="EN57">
            <v>296</v>
          </cell>
          <cell r="EO57">
            <v>26.90909090909091</v>
          </cell>
          <cell r="EP57" t="str">
            <v>Level 1</v>
          </cell>
          <cell r="EQ57">
            <v>14</v>
          </cell>
          <cell r="ER57">
            <v>390</v>
          </cell>
          <cell r="ES57">
            <v>27.857142857142858</v>
          </cell>
          <cell r="ET57" t="str">
            <v>Level 1</v>
          </cell>
          <cell r="EU57">
            <v>8</v>
          </cell>
          <cell r="EV57">
            <v>247</v>
          </cell>
          <cell r="EW57">
            <v>30.875</v>
          </cell>
          <cell r="EX57" t="str">
            <v>Level 2</v>
          </cell>
          <cell r="EY57">
            <v>21</v>
          </cell>
          <cell r="EZ57">
            <v>649</v>
          </cell>
          <cell r="FA57">
            <v>30.904761904761905</v>
          </cell>
          <cell r="FB57" t="str">
            <v>Level 2</v>
          </cell>
          <cell r="FC57">
            <v>26</v>
          </cell>
          <cell r="FD57">
            <v>924</v>
          </cell>
          <cell r="FE57">
            <v>35.53846153846154</v>
          </cell>
          <cell r="FF57" t="str">
            <v>Level 2</v>
          </cell>
          <cell r="FG57">
            <v>17</v>
          </cell>
          <cell r="FH57">
            <v>472</v>
          </cell>
          <cell r="FI57">
            <v>27.764705882352942</v>
          </cell>
          <cell r="FJ57" t="str">
            <v>Level 1</v>
          </cell>
          <cell r="FK57">
            <v>27</v>
          </cell>
          <cell r="FL57">
            <v>1070</v>
          </cell>
          <cell r="FM57">
            <v>39.629629629629626</v>
          </cell>
          <cell r="FN57" t="str">
            <v>Level 2</v>
          </cell>
          <cell r="FO57">
            <v>22</v>
          </cell>
          <cell r="FP57">
            <v>1014</v>
          </cell>
          <cell r="FQ57">
            <v>46.090909090909093</v>
          </cell>
          <cell r="FR57" t="str">
            <v>Level 3</v>
          </cell>
          <cell r="FS57">
            <v>26</v>
          </cell>
          <cell r="FT57">
            <v>1155</v>
          </cell>
          <cell r="FU57">
            <v>44.42307692307692</v>
          </cell>
          <cell r="FV57" t="str">
            <v>Level 3</v>
          </cell>
          <cell r="FW57">
            <v>24</v>
          </cell>
          <cell r="FX57">
            <v>1109</v>
          </cell>
          <cell r="FY57">
            <v>46.208333333333336</v>
          </cell>
          <cell r="FZ57" t="str">
            <v>Level 3</v>
          </cell>
          <cell r="GA57">
            <v>22</v>
          </cell>
        </row>
        <row r="58">
          <cell r="A58" t="str">
            <v>A2874</v>
          </cell>
          <cell r="B58" t="str">
            <v>KADEK FERA APRILIA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1</v>
          </cell>
          <cell r="DH58">
            <v>19</v>
          </cell>
          <cell r="DI58">
            <v>19</v>
          </cell>
          <cell r="DJ58" t="str">
            <v>Level 1</v>
          </cell>
          <cell r="DK58" t="str">
            <v>-</v>
          </cell>
          <cell r="DL58" t="str">
            <v>-</v>
          </cell>
          <cell r="DM58" t="str">
            <v>-</v>
          </cell>
          <cell r="DN58" t="str">
            <v>-</v>
          </cell>
          <cell r="DO58" t="str">
            <v>-</v>
          </cell>
          <cell r="DP58" t="str">
            <v>-</v>
          </cell>
          <cell r="DQ58" t="str">
            <v>-</v>
          </cell>
          <cell r="DR58" t="str">
            <v>-</v>
          </cell>
          <cell r="DS58" t="str">
            <v>-</v>
          </cell>
          <cell r="DT58" t="str">
            <v>-</v>
          </cell>
          <cell r="DU58" t="str">
            <v>-</v>
          </cell>
          <cell r="DV58" t="str">
            <v>-</v>
          </cell>
          <cell r="DW58" t="str">
            <v>-</v>
          </cell>
          <cell r="DX58" t="str">
            <v>-</v>
          </cell>
          <cell r="DY58" t="str">
            <v>-</v>
          </cell>
          <cell r="DZ58" t="str">
            <v>-</v>
          </cell>
          <cell r="EA58" t="str">
            <v>-</v>
          </cell>
          <cell r="EB58" t="str">
            <v>-</v>
          </cell>
          <cell r="EC58" t="str">
            <v>-</v>
          </cell>
          <cell r="ED58" t="str">
            <v>-</v>
          </cell>
          <cell r="EE58" t="str">
            <v>-</v>
          </cell>
          <cell r="EF58" t="str">
            <v>-</v>
          </cell>
          <cell r="EG58" t="str">
            <v>-</v>
          </cell>
          <cell r="EH58" t="str">
            <v>-</v>
          </cell>
          <cell r="EI58" t="str">
            <v>-</v>
          </cell>
          <cell r="EJ58" t="str">
            <v>-</v>
          </cell>
          <cell r="EK58" t="str">
            <v>-</v>
          </cell>
          <cell r="EL58" t="str">
            <v>-</v>
          </cell>
          <cell r="EM58" t="str">
            <v>-</v>
          </cell>
          <cell r="EN58" t="str">
            <v>-</v>
          </cell>
          <cell r="EO58" t="str">
            <v>-</v>
          </cell>
          <cell r="EP58" t="str">
            <v>-</v>
          </cell>
          <cell r="EQ58" t="str">
            <v>-</v>
          </cell>
          <cell r="ER58" t="str">
            <v>-</v>
          </cell>
          <cell r="ES58" t="str">
            <v>-</v>
          </cell>
          <cell r="ET58" t="str">
            <v>-</v>
          </cell>
          <cell r="EU58" t="str">
            <v>-</v>
          </cell>
          <cell r="EV58" t="str">
            <v>-</v>
          </cell>
          <cell r="EW58" t="str">
            <v>-</v>
          </cell>
          <cell r="EX58" t="str">
            <v>-</v>
          </cell>
          <cell r="EY58" t="str">
            <v>-</v>
          </cell>
          <cell r="EZ58" t="str">
            <v>-</v>
          </cell>
          <cell r="FA58" t="str">
            <v>-</v>
          </cell>
          <cell r="FB58" t="str">
            <v>-</v>
          </cell>
          <cell r="FC58" t="str">
            <v>-</v>
          </cell>
          <cell r="FD58" t="str">
            <v>-</v>
          </cell>
          <cell r="FE58" t="str">
            <v>-</v>
          </cell>
          <cell r="FF58" t="str">
            <v>-</v>
          </cell>
          <cell r="FG58" t="str">
            <v>-</v>
          </cell>
          <cell r="FH58" t="str">
            <v>-</v>
          </cell>
          <cell r="FI58" t="str">
            <v>-</v>
          </cell>
          <cell r="FJ58" t="str">
            <v>-</v>
          </cell>
          <cell r="FK58" t="str">
            <v>-</v>
          </cell>
          <cell r="FL58" t="str">
            <v>-</v>
          </cell>
          <cell r="FM58" t="str">
            <v>-</v>
          </cell>
          <cell r="FN58" t="str">
            <v>-</v>
          </cell>
          <cell r="FO58" t="str">
            <v>-</v>
          </cell>
          <cell r="FP58" t="str">
            <v>-</v>
          </cell>
          <cell r="FQ58" t="str">
            <v>-</v>
          </cell>
          <cell r="FR58" t="str">
            <v>-</v>
          </cell>
          <cell r="FS58" t="str">
            <v>-</v>
          </cell>
          <cell r="FT58" t="str">
            <v>-</v>
          </cell>
          <cell r="FU58" t="str">
            <v>-</v>
          </cell>
          <cell r="FV58" t="str">
            <v>-</v>
          </cell>
          <cell r="FW58" t="str">
            <v>-</v>
          </cell>
          <cell r="FX58" t="str">
            <v>-</v>
          </cell>
          <cell r="FY58" t="str">
            <v>-</v>
          </cell>
          <cell r="FZ58" t="str">
            <v>-</v>
          </cell>
          <cell r="GA58" t="str">
            <v>-</v>
          </cell>
        </row>
        <row r="59">
          <cell r="A59" t="str">
            <v>A2879</v>
          </cell>
          <cell r="B59" t="str">
            <v>FAUZI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6</v>
          </cell>
          <cell r="DH59">
            <v>140</v>
          </cell>
          <cell r="DI59">
            <v>23.333333333333332</v>
          </cell>
          <cell r="DJ59" t="str">
            <v>Level 1</v>
          </cell>
          <cell r="DK59">
            <v>9</v>
          </cell>
          <cell r="DL59">
            <v>194</v>
          </cell>
          <cell r="DM59">
            <v>21.555555555555557</v>
          </cell>
          <cell r="DN59" t="str">
            <v>Level 1</v>
          </cell>
          <cell r="DO59">
            <v>11</v>
          </cell>
          <cell r="DP59">
            <v>309</v>
          </cell>
          <cell r="DQ59">
            <v>28.09090909090909</v>
          </cell>
          <cell r="DR59" t="str">
            <v>Level 1</v>
          </cell>
          <cell r="DS59" t="str">
            <v>-</v>
          </cell>
          <cell r="DT59" t="str">
            <v>-</v>
          </cell>
          <cell r="DU59" t="str">
            <v>-</v>
          </cell>
          <cell r="DV59" t="str">
            <v>-</v>
          </cell>
          <cell r="DW59">
            <v>3</v>
          </cell>
          <cell r="DX59">
            <v>103</v>
          </cell>
          <cell r="DY59">
            <v>34.333333333333336</v>
          </cell>
          <cell r="DZ59" t="str">
            <v>Level 2</v>
          </cell>
          <cell r="EA59">
            <v>1</v>
          </cell>
          <cell r="EB59">
            <v>50</v>
          </cell>
          <cell r="EC59">
            <v>50</v>
          </cell>
          <cell r="ED59" t="str">
            <v>Level 3</v>
          </cell>
          <cell r="EE59">
            <v>11</v>
          </cell>
          <cell r="EF59">
            <v>312</v>
          </cell>
          <cell r="EG59">
            <v>28.363636363636363</v>
          </cell>
          <cell r="EH59" t="str">
            <v>Level 1</v>
          </cell>
          <cell r="EI59">
            <v>12</v>
          </cell>
          <cell r="EJ59">
            <v>325</v>
          </cell>
          <cell r="EK59">
            <v>27.083333333333332</v>
          </cell>
          <cell r="EL59" t="str">
            <v>Level 1</v>
          </cell>
          <cell r="EM59" t="str">
            <v>-</v>
          </cell>
          <cell r="EN59" t="str">
            <v>-</v>
          </cell>
          <cell r="EO59" t="str">
            <v>-</v>
          </cell>
          <cell r="EP59" t="str">
            <v>-</v>
          </cell>
          <cell r="EQ59" t="str">
            <v>-</v>
          </cell>
          <cell r="ER59" t="str">
            <v>-</v>
          </cell>
          <cell r="ES59" t="str">
            <v>-</v>
          </cell>
          <cell r="ET59" t="str">
            <v>-</v>
          </cell>
          <cell r="EU59">
            <v>2</v>
          </cell>
          <cell r="EV59">
            <v>75</v>
          </cell>
          <cell r="EW59">
            <v>37.5</v>
          </cell>
          <cell r="EX59" t="str">
            <v>Level 2</v>
          </cell>
          <cell r="EY59">
            <v>2</v>
          </cell>
          <cell r="EZ59">
            <v>38</v>
          </cell>
          <cell r="FA59">
            <v>19</v>
          </cell>
          <cell r="FB59" t="str">
            <v>Level 1</v>
          </cell>
          <cell r="FC59">
            <v>16</v>
          </cell>
          <cell r="FD59">
            <v>534</v>
          </cell>
          <cell r="FE59">
            <v>33.375</v>
          </cell>
          <cell r="FF59" t="str">
            <v>Level 2</v>
          </cell>
          <cell r="FG59" t="str">
            <v>-</v>
          </cell>
          <cell r="FH59" t="str">
            <v>-</v>
          </cell>
          <cell r="FI59" t="str">
            <v>-</v>
          </cell>
          <cell r="FJ59" t="str">
            <v>-</v>
          </cell>
          <cell r="FK59" t="str">
            <v>-</v>
          </cell>
          <cell r="FL59" t="str">
            <v>-</v>
          </cell>
          <cell r="FM59" t="str">
            <v>-</v>
          </cell>
          <cell r="FN59" t="str">
            <v>-</v>
          </cell>
          <cell r="FO59">
            <v>1</v>
          </cell>
          <cell r="FP59">
            <v>41</v>
          </cell>
          <cell r="FQ59">
            <v>41</v>
          </cell>
          <cell r="FR59" t="str">
            <v>Level 3</v>
          </cell>
          <cell r="FS59">
            <v>19</v>
          </cell>
          <cell r="FT59">
            <v>793</v>
          </cell>
          <cell r="FU59">
            <v>41.736842105263158</v>
          </cell>
          <cell r="FV59" t="str">
            <v>Level 3</v>
          </cell>
          <cell r="FW59">
            <v>6</v>
          </cell>
          <cell r="FX59">
            <v>278</v>
          </cell>
          <cell r="FY59">
            <v>46.333333333333336</v>
          </cell>
          <cell r="FZ59" t="str">
            <v>Level 3</v>
          </cell>
          <cell r="GA59">
            <v>15</v>
          </cell>
        </row>
        <row r="60">
          <cell r="A60" t="str">
            <v>A2615</v>
          </cell>
          <cell r="B60" t="str">
            <v>NOVITA LANGKAI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1</v>
          </cell>
          <cell r="DH60">
            <v>14</v>
          </cell>
          <cell r="DI60">
            <v>14</v>
          </cell>
          <cell r="DJ60" t="str">
            <v>Level 1</v>
          </cell>
          <cell r="DK60">
            <v>1</v>
          </cell>
          <cell r="DL60">
            <v>10</v>
          </cell>
          <cell r="DM60">
            <v>10</v>
          </cell>
          <cell r="DN60" t="str">
            <v>Level 1</v>
          </cell>
          <cell r="DO60">
            <v>3</v>
          </cell>
          <cell r="DP60">
            <v>56</v>
          </cell>
          <cell r="DQ60">
            <v>18.666666666666668</v>
          </cell>
          <cell r="DR60" t="str">
            <v>Level 1</v>
          </cell>
          <cell r="DS60">
            <v>7</v>
          </cell>
          <cell r="DT60">
            <v>208</v>
          </cell>
          <cell r="DU60">
            <v>29.714285714285715</v>
          </cell>
          <cell r="DV60" t="str">
            <v>Level 2</v>
          </cell>
          <cell r="DW60">
            <v>4</v>
          </cell>
          <cell r="DX60">
            <v>131</v>
          </cell>
          <cell r="DY60">
            <v>32.75</v>
          </cell>
          <cell r="DZ60" t="str">
            <v>Level 2</v>
          </cell>
          <cell r="EA60">
            <v>7</v>
          </cell>
          <cell r="EB60">
            <v>249</v>
          </cell>
          <cell r="EC60">
            <v>35.571428571428569</v>
          </cell>
          <cell r="ED60" t="str">
            <v>Level 2</v>
          </cell>
          <cell r="EE60">
            <v>16</v>
          </cell>
          <cell r="EF60">
            <v>495</v>
          </cell>
          <cell r="EG60">
            <v>30.9375</v>
          </cell>
          <cell r="EH60" t="str">
            <v>Level 2</v>
          </cell>
          <cell r="EI60">
            <v>21</v>
          </cell>
          <cell r="EJ60">
            <v>611</v>
          </cell>
          <cell r="EK60">
            <v>29.095238095238095</v>
          </cell>
          <cell r="EL60" t="str">
            <v>Level 2</v>
          </cell>
          <cell r="EM60">
            <v>6</v>
          </cell>
          <cell r="EN60">
            <v>170</v>
          </cell>
          <cell r="EO60">
            <v>28.333333333333332</v>
          </cell>
          <cell r="EP60" t="str">
            <v>Level 1</v>
          </cell>
          <cell r="EQ60">
            <v>16</v>
          </cell>
          <cell r="ER60">
            <v>491</v>
          </cell>
          <cell r="ES60">
            <v>30.6875</v>
          </cell>
          <cell r="ET60" t="str">
            <v>Level 2</v>
          </cell>
          <cell r="EU60" t="str">
            <v>-</v>
          </cell>
          <cell r="EV60" t="str">
            <v>-</v>
          </cell>
          <cell r="EW60" t="str">
            <v>-</v>
          </cell>
          <cell r="EX60" t="str">
            <v>-</v>
          </cell>
          <cell r="EY60">
            <v>12</v>
          </cell>
          <cell r="EZ60">
            <v>374</v>
          </cell>
          <cell r="FA60">
            <v>31.166666666666668</v>
          </cell>
          <cell r="FB60" t="str">
            <v>Level 2</v>
          </cell>
          <cell r="FC60">
            <v>15</v>
          </cell>
          <cell r="FD60">
            <v>566</v>
          </cell>
          <cell r="FE60">
            <v>37.733333333333334</v>
          </cell>
          <cell r="FF60" t="str">
            <v>Level 2</v>
          </cell>
          <cell r="FG60">
            <v>11</v>
          </cell>
          <cell r="FH60">
            <v>312</v>
          </cell>
          <cell r="FI60">
            <v>28.363636363636363</v>
          </cell>
          <cell r="FJ60" t="str">
            <v>Level 1</v>
          </cell>
          <cell r="FK60">
            <v>13</v>
          </cell>
          <cell r="FL60">
            <v>511</v>
          </cell>
          <cell r="FM60">
            <v>39.307692307692307</v>
          </cell>
          <cell r="FN60" t="str">
            <v>Level 2</v>
          </cell>
          <cell r="FO60">
            <v>3</v>
          </cell>
          <cell r="FP60">
            <v>109</v>
          </cell>
          <cell r="FQ60">
            <v>36.333333333333336</v>
          </cell>
          <cell r="FR60" t="str">
            <v>Level 2</v>
          </cell>
          <cell r="FS60">
            <v>21</v>
          </cell>
          <cell r="FT60">
            <v>805</v>
          </cell>
          <cell r="FU60">
            <v>38.333333333333336</v>
          </cell>
          <cell r="FV60" t="str">
            <v>Level 2</v>
          </cell>
          <cell r="FW60">
            <v>8</v>
          </cell>
          <cell r="FX60">
            <v>328</v>
          </cell>
          <cell r="FY60">
            <v>41</v>
          </cell>
          <cell r="FZ60" t="str">
            <v>Level 3</v>
          </cell>
          <cell r="GA60">
            <v>19</v>
          </cell>
        </row>
        <row r="61">
          <cell r="A61" t="str">
            <v>A2902</v>
          </cell>
          <cell r="B61" t="str">
            <v>ANGGRAENI RAHMAH PRASTIWI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2</v>
          </cell>
          <cell r="DP61">
            <v>28</v>
          </cell>
          <cell r="DQ61">
            <v>14</v>
          </cell>
          <cell r="DR61" t="str">
            <v>Level 1</v>
          </cell>
          <cell r="DS61" t="str">
            <v>-</v>
          </cell>
          <cell r="DT61" t="str">
            <v>-</v>
          </cell>
          <cell r="DU61" t="str">
            <v>-</v>
          </cell>
          <cell r="DV61" t="str">
            <v>-</v>
          </cell>
          <cell r="DW61" t="str">
            <v>-</v>
          </cell>
          <cell r="DX61" t="str">
            <v>-</v>
          </cell>
          <cell r="DY61" t="str">
            <v>-</v>
          </cell>
          <cell r="DZ61" t="str">
            <v>-</v>
          </cell>
          <cell r="EA61" t="str">
            <v>-</v>
          </cell>
          <cell r="EB61" t="str">
            <v>-</v>
          </cell>
          <cell r="EC61" t="str">
            <v>-</v>
          </cell>
          <cell r="ED61" t="str">
            <v>-</v>
          </cell>
          <cell r="EE61" t="str">
            <v>-</v>
          </cell>
          <cell r="EF61" t="str">
            <v>-</v>
          </cell>
          <cell r="EG61" t="str">
            <v>-</v>
          </cell>
          <cell r="EH61" t="str">
            <v>-</v>
          </cell>
          <cell r="EI61" t="str">
            <v>-</v>
          </cell>
          <cell r="EJ61" t="str">
            <v>-</v>
          </cell>
          <cell r="EK61" t="str">
            <v>-</v>
          </cell>
          <cell r="EL61" t="str">
            <v>-</v>
          </cell>
          <cell r="EM61" t="str">
            <v>-</v>
          </cell>
          <cell r="EN61" t="str">
            <v>-</v>
          </cell>
          <cell r="EO61" t="str">
            <v>-</v>
          </cell>
          <cell r="EP61" t="str">
            <v>-</v>
          </cell>
          <cell r="EQ61" t="str">
            <v>-</v>
          </cell>
          <cell r="ER61" t="str">
            <v>-</v>
          </cell>
          <cell r="ES61" t="str">
            <v>-</v>
          </cell>
          <cell r="ET61" t="str">
            <v>-</v>
          </cell>
          <cell r="EU61" t="str">
            <v>-</v>
          </cell>
          <cell r="EV61" t="str">
            <v>-</v>
          </cell>
          <cell r="EW61" t="str">
            <v>-</v>
          </cell>
          <cell r="EX61" t="str">
            <v>-</v>
          </cell>
          <cell r="EY61" t="str">
            <v>-</v>
          </cell>
          <cell r="EZ61" t="str">
            <v>-</v>
          </cell>
          <cell r="FA61" t="str">
            <v>-</v>
          </cell>
          <cell r="FB61" t="str">
            <v>-</v>
          </cell>
          <cell r="FC61" t="str">
            <v>-</v>
          </cell>
          <cell r="FD61" t="str">
            <v>-</v>
          </cell>
          <cell r="FE61" t="str">
            <v>-</v>
          </cell>
          <cell r="FF61" t="str">
            <v>-</v>
          </cell>
          <cell r="FG61" t="str">
            <v>-</v>
          </cell>
          <cell r="FH61" t="str">
            <v>-</v>
          </cell>
          <cell r="FI61" t="str">
            <v>-</v>
          </cell>
          <cell r="FJ61" t="str">
            <v>-</v>
          </cell>
          <cell r="FK61" t="str">
            <v>-</v>
          </cell>
          <cell r="FL61" t="str">
            <v>-</v>
          </cell>
          <cell r="FM61" t="str">
            <v>-</v>
          </cell>
          <cell r="FN61" t="str">
            <v>-</v>
          </cell>
          <cell r="FO61" t="str">
            <v>-</v>
          </cell>
          <cell r="FP61" t="str">
            <v>-</v>
          </cell>
          <cell r="FQ61" t="str">
            <v>-</v>
          </cell>
          <cell r="FR61" t="str">
            <v>-</v>
          </cell>
          <cell r="FS61" t="str">
            <v>-</v>
          </cell>
          <cell r="FT61" t="str">
            <v>-</v>
          </cell>
          <cell r="FU61" t="str">
            <v>-</v>
          </cell>
          <cell r="FV61" t="str">
            <v>-</v>
          </cell>
          <cell r="FW61" t="str">
            <v>-</v>
          </cell>
          <cell r="FX61" t="str">
            <v>-</v>
          </cell>
          <cell r="FY61" t="str">
            <v>-</v>
          </cell>
          <cell r="FZ61" t="str">
            <v>-</v>
          </cell>
          <cell r="GA61" t="str">
            <v>-</v>
          </cell>
        </row>
        <row r="62">
          <cell r="A62" t="str">
            <v>A0948</v>
          </cell>
          <cell r="B62" t="str">
            <v>NURUL HIKMAH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3</v>
          </cell>
          <cell r="EJ62">
            <v>28</v>
          </cell>
          <cell r="EK62">
            <v>9.3333333333333339</v>
          </cell>
          <cell r="EL62" t="str">
            <v>Level 1</v>
          </cell>
          <cell r="EM62">
            <v>1</v>
          </cell>
          <cell r="EN62">
            <v>18</v>
          </cell>
          <cell r="EO62">
            <v>18</v>
          </cell>
          <cell r="EP62" t="str">
            <v>Level 1</v>
          </cell>
          <cell r="EQ62" t="str">
            <v>-</v>
          </cell>
          <cell r="ER62" t="str">
            <v>-</v>
          </cell>
          <cell r="ES62" t="str">
            <v>-</v>
          </cell>
          <cell r="ET62" t="str">
            <v>-</v>
          </cell>
          <cell r="EU62" t="str">
            <v>-</v>
          </cell>
          <cell r="EV62" t="str">
            <v>-</v>
          </cell>
          <cell r="EW62" t="str">
            <v>-</v>
          </cell>
          <cell r="EX62" t="str">
            <v>-</v>
          </cell>
          <cell r="EY62" t="str">
            <v>-</v>
          </cell>
          <cell r="EZ62" t="str">
            <v>-</v>
          </cell>
          <cell r="FA62" t="str">
            <v>-</v>
          </cell>
          <cell r="FB62" t="str">
            <v>-</v>
          </cell>
          <cell r="FC62" t="str">
            <v>-</v>
          </cell>
          <cell r="FD62" t="str">
            <v>-</v>
          </cell>
          <cell r="FE62" t="str">
            <v>-</v>
          </cell>
          <cell r="FF62" t="str">
            <v>-</v>
          </cell>
          <cell r="FG62" t="str">
            <v>-</v>
          </cell>
          <cell r="FH62" t="str">
            <v>-</v>
          </cell>
          <cell r="FI62" t="str">
            <v>-</v>
          </cell>
          <cell r="FJ62" t="str">
            <v>-</v>
          </cell>
          <cell r="FK62" t="str">
            <v>-</v>
          </cell>
          <cell r="FL62" t="str">
            <v>-</v>
          </cell>
          <cell r="FM62" t="str">
            <v>-</v>
          </cell>
          <cell r="FN62" t="str">
            <v>-</v>
          </cell>
          <cell r="FO62" t="str">
            <v>-</v>
          </cell>
          <cell r="FP62" t="str">
            <v>-</v>
          </cell>
          <cell r="FQ62" t="str">
            <v>-</v>
          </cell>
          <cell r="FR62" t="str">
            <v>-</v>
          </cell>
          <cell r="FS62" t="str">
            <v>-</v>
          </cell>
          <cell r="FT62" t="str">
            <v>-</v>
          </cell>
          <cell r="FU62" t="str">
            <v>-</v>
          </cell>
          <cell r="FV62" t="str">
            <v>-</v>
          </cell>
          <cell r="FW62" t="str">
            <v>-</v>
          </cell>
          <cell r="FX62" t="str">
            <v>-</v>
          </cell>
          <cell r="FY62" t="str">
            <v>-</v>
          </cell>
          <cell r="FZ62" t="str">
            <v>-</v>
          </cell>
          <cell r="GA62" t="str">
            <v>-</v>
          </cell>
        </row>
        <row r="63">
          <cell r="A63" t="str">
            <v>A3612</v>
          </cell>
          <cell r="B63" t="str">
            <v>RINTAN MIRZA DIANI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1</v>
          </cell>
          <cell r="EJ63">
            <v>9</v>
          </cell>
          <cell r="EK63">
            <v>9</v>
          </cell>
          <cell r="EL63" t="str">
            <v>Level 1</v>
          </cell>
          <cell r="EM63" t="str">
            <v>-</v>
          </cell>
          <cell r="EN63" t="str">
            <v>-</v>
          </cell>
          <cell r="EO63" t="str">
            <v>-</v>
          </cell>
          <cell r="EP63" t="str">
            <v>-</v>
          </cell>
          <cell r="EQ63" t="str">
            <v>-</v>
          </cell>
          <cell r="ER63" t="str">
            <v>-</v>
          </cell>
          <cell r="ES63" t="str">
            <v>-</v>
          </cell>
          <cell r="ET63" t="str">
            <v>-</v>
          </cell>
          <cell r="EU63" t="str">
            <v>-</v>
          </cell>
          <cell r="EV63" t="str">
            <v>-</v>
          </cell>
          <cell r="EW63" t="str">
            <v>-</v>
          </cell>
          <cell r="EX63" t="str">
            <v>-</v>
          </cell>
          <cell r="EY63" t="str">
            <v>-</v>
          </cell>
          <cell r="EZ63" t="str">
            <v>-</v>
          </cell>
          <cell r="FA63" t="str">
            <v>-</v>
          </cell>
          <cell r="FB63" t="str">
            <v>-</v>
          </cell>
          <cell r="FC63" t="str">
            <v>-</v>
          </cell>
          <cell r="FD63" t="str">
            <v>-</v>
          </cell>
          <cell r="FE63" t="str">
            <v>-</v>
          </cell>
          <cell r="FF63" t="str">
            <v>-</v>
          </cell>
          <cell r="FG63" t="str">
            <v>-</v>
          </cell>
          <cell r="FH63" t="str">
            <v>-</v>
          </cell>
          <cell r="FI63" t="str">
            <v>-</v>
          </cell>
          <cell r="FJ63" t="str">
            <v>-</v>
          </cell>
          <cell r="FK63" t="str">
            <v>-</v>
          </cell>
          <cell r="FL63" t="str">
            <v>-</v>
          </cell>
          <cell r="FM63" t="str">
            <v>-</v>
          </cell>
          <cell r="FN63" t="str">
            <v>-</v>
          </cell>
          <cell r="FO63" t="str">
            <v>-</v>
          </cell>
          <cell r="FP63" t="str">
            <v>-</v>
          </cell>
          <cell r="FQ63" t="str">
            <v>-</v>
          </cell>
          <cell r="FR63" t="str">
            <v>-</v>
          </cell>
          <cell r="FS63" t="str">
            <v>-</v>
          </cell>
          <cell r="FT63" t="str">
            <v>-</v>
          </cell>
          <cell r="FU63" t="str">
            <v>-</v>
          </cell>
          <cell r="FV63" t="str">
            <v>-</v>
          </cell>
          <cell r="FW63" t="str">
            <v>-</v>
          </cell>
          <cell r="FX63" t="str">
            <v>-</v>
          </cell>
          <cell r="FY63" t="str">
            <v>-</v>
          </cell>
          <cell r="FZ63" t="str">
            <v>-</v>
          </cell>
          <cell r="GA63" t="str">
            <v>-</v>
          </cell>
        </row>
        <row r="64">
          <cell r="A64" t="str">
            <v>A3498</v>
          </cell>
          <cell r="B64" t="str">
            <v>KIRANA AMILYA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5</v>
          </cell>
          <cell r="EJ64">
            <v>89</v>
          </cell>
          <cell r="EK64">
            <v>17.8</v>
          </cell>
          <cell r="EL64" t="str">
            <v>Level 1</v>
          </cell>
          <cell r="EM64" t="str">
            <v>-</v>
          </cell>
          <cell r="EN64" t="str">
            <v>-</v>
          </cell>
          <cell r="EO64" t="str">
            <v>-</v>
          </cell>
          <cell r="EP64" t="str">
            <v>-</v>
          </cell>
          <cell r="EQ64">
            <v>3</v>
          </cell>
          <cell r="ER64">
            <v>42</v>
          </cell>
          <cell r="ES64">
            <v>14</v>
          </cell>
          <cell r="ET64" t="str">
            <v>Level 1</v>
          </cell>
          <cell r="EU64">
            <v>4</v>
          </cell>
          <cell r="EV64">
            <v>99</v>
          </cell>
          <cell r="EW64">
            <v>24.75</v>
          </cell>
          <cell r="EX64" t="str">
            <v>Level 1</v>
          </cell>
          <cell r="EY64">
            <v>4</v>
          </cell>
          <cell r="EZ64">
            <v>88</v>
          </cell>
          <cell r="FA64">
            <v>22</v>
          </cell>
          <cell r="FB64" t="str">
            <v>Level 1</v>
          </cell>
          <cell r="FC64">
            <v>3</v>
          </cell>
          <cell r="FD64">
            <v>72</v>
          </cell>
          <cell r="FE64">
            <v>24</v>
          </cell>
          <cell r="FF64" t="str">
            <v>Level 1</v>
          </cell>
          <cell r="FG64" t="str">
            <v>-</v>
          </cell>
          <cell r="FH64" t="str">
            <v>-</v>
          </cell>
          <cell r="FI64" t="str">
            <v>-</v>
          </cell>
          <cell r="FJ64" t="str">
            <v>-</v>
          </cell>
          <cell r="FK64">
            <v>7</v>
          </cell>
          <cell r="FL64">
            <v>151</v>
          </cell>
          <cell r="FM64">
            <v>21.571428571428573</v>
          </cell>
          <cell r="FN64" t="str">
            <v>Level 1</v>
          </cell>
          <cell r="FO64" t="str">
            <v>-</v>
          </cell>
          <cell r="FP64" t="str">
            <v>-</v>
          </cell>
          <cell r="FQ64" t="str">
            <v>-</v>
          </cell>
          <cell r="FR64" t="str">
            <v>-</v>
          </cell>
          <cell r="FS64">
            <v>5</v>
          </cell>
          <cell r="FT64">
            <v>160</v>
          </cell>
          <cell r="FU64">
            <v>32</v>
          </cell>
          <cell r="FV64" t="str">
            <v>Level 2</v>
          </cell>
          <cell r="FW64" t="str">
            <v>-</v>
          </cell>
          <cell r="FX64" t="str">
            <v>-</v>
          </cell>
          <cell r="FY64" t="str">
            <v>-</v>
          </cell>
          <cell r="FZ64" t="str">
            <v>-</v>
          </cell>
          <cell r="GA64">
            <v>14</v>
          </cell>
        </row>
        <row r="65">
          <cell r="A65" t="str">
            <v>A3431</v>
          </cell>
          <cell r="B65" t="str">
            <v>YULIANA DIAH AYU MITAYANI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8</v>
          </cell>
          <cell r="EJ65">
            <v>192</v>
          </cell>
          <cell r="EK65">
            <v>24</v>
          </cell>
          <cell r="EL65" t="str">
            <v>Level 1</v>
          </cell>
          <cell r="EM65">
            <v>8</v>
          </cell>
          <cell r="EN65">
            <v>230</v>
          </cell>
          <cell r="EO65">
            <v>28.75</v>
          </cell>
          <cell r="EP65" t="str">
            <v>Level 1</v>
          </cell>
          <cell r="EQ65">
            <v>4</v>
          </cell>
          <cell r="ER65">
            <v>108</v>
          </cell>
          <cell r="ES65">
            <v>27</v>
          </cell>
          <cell r="ET65" t="str">
            <v>Level 1</v>
          </cell>
          <cell r="EU65">
            <v>9</v>
          </cell>
          <cell r="EV65">
            <v>339</v>
          </cell>
          <cell r="EW65">
            <v>37.666666666666664</v>
          </cell>
          <cell r="EX65" t="str">
            <v>Level 2</v>
          </cell>
          <cell r="EY65">
            <v>6</v>
          </cell>
          <cell r="EZ65">
            <v>206</v>
          </cell>
          <cell r="FA65">
            <v>34.333333333333336</v>
          </cell>
          <cell r="FB65" t="str">
            <v>Level 2</v>
          </cell>
          <cell r="FC65">
            <v>4</v>
          </cell>
          <cell r="FD65">
            <v>171</v>
          </cell>
          <cell r="FE65">
            <v>42.75</v>
          </cell>
          <cell r="FF65" t="str">
            <v>Level 3</v>
          </cell>
          <cell r="FG65">
            <v>6</v>
          </cell>
          <cell r="FH65">
            <v>144</v>
          </cell>
          <cell r="FI65">
            <v>24</v>
          </cell>
          <cell r="FJ65" t="str">
            <v>Level 1</v>
          </cell>
          <cell r="FK65">
            <v>9</v>
          </cell>
          <cell r="FL65">
            <v>340</v>
          </cell>
          <cell r="FM65">
            <v>37.777777777777779</v>
          </cell>
          <cell r="FN65" t="str">
            <v>Level 2</v>
          </cell>
          <cell r="FO65" t="str">
            <v>-</v>
          </cell>
          <cell r="FP65" t="str">
            <v>-</v>
          </cell>
          <cell r="FQ65" t="str">
            <v>-</v>
          </cell>
          <cell r="FR65" t="str">
            <v>-</v>
          </cell>
          <cell r="FS65" t="str">
            <v>-</v>
          </cell>
          <cell r="FT65" t="str">
            <v>-</v>
          </cell>
          <cell r="FU65" t="str">
            <v>-</v>
          </cell>
          <cell r="FV65" t="str">
            <v>-</v>
          </cell>
          <cell r="FW65" t="str">
            <v>-</v>
          </cell>
          <cell r="FX65" t="str">
            <v>-</v>
          </cell>
          <cell r="FY65" t="str">
            <v>-</v>
          </cell>
          <cell r="FZ65" t="str">
            <v>-</v>
          </cell>
          <cell r="GA65" t="str">
            <v>-</v>
          </cell>
        </row>
        <row r="66">
          <cell r="A66" t="str">
            <v>A2554</v>
          </cell>
          <cell r="B66" t="str">
            <v>ALLIFYA ABIWANTARI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1</v>
          </cell>
          <cell r="FP66">
            <v>6</v>
          </cell>
          <cell r="FQ66">
            <v>6</v>
          </cell>
          <cell r="FR66" t="str">
            <v>Level 1</v>
          </cell>
          <cell r="FS66">
            <v>7</v>
          </cell>
          <cell r="FT66">
            <v>118</v>
          </cell>
          <cell r="FU66">
            <v>16.857142857142858</v>
          </cell>
          <cell r="FV66" t="str">
            <v>Level 1</v>
          </cell>
          <cell r="FW66" t="str">
            <v>-</v>
          </cell>
          <cell r="FX66" t="str">
            <v>-</v>
          </cell>
          <cell r="FY66" t="str">
            <v>-</v>
          </cell>
          <cell r="FZ66" t="str">
            <v>-</v>
          </cell>
          <cell r="GA66" t="str">
            <v>-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V"/>
      <sheetName val="GC"/>
      <sheetName val="RVO"/>
      <sheetName val="SBPV"/>
      <sheetName val="CC SK"/>
      <sheetName val="DELTA"/>
      <sheetName val="TEMA C1"/>
      <sheetName val="TEMA C2"/>
      <sheetName val="TEMA C3"/>
      <sheetName val="TEMA HAJI"/>
      <sheetName val="TEMA PD"/>
      <sheetName val="DRIVER"/>
      <sheetName val="AAV AUTO 2000"/>
      <sheetName val="DESIRE"/>
      <sheetName val="TANDEM"/>
      <sheetName val="TAMBAHAN"/>
      <sheetName val="MINICLASS"/>
      <sheetName val="KK"/>
      <sheetName val="WARMUP"/>
      <sheetName val="VAR C2"/>
      <sheetName val="VAR DC"/>
    </sheetNames>
    <sheetDataSet>
      <sheetData sheetId="0" refreshError="1">
        <row r="1">
          <cell r="A1" t="str">
            <v>PERIODE 1 DESEMBER 2024 AAV</v>
          </cell>
          <cell r="V1">
            <v>8046</v>
          </cell>
        </row>
        <row r="2">
          <cell r="A2" t="str">
            <v>TANGGAL 1 - 15 DESEMBER 2024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0</v>
          </cell>
          <cell r="F4">
            <v>45629</v>
          </cell>
          <cell r="G4">
            <v>0</v>
          </cell>
          <cell r="H4">
            <v>0</v>
          </cell>
          <cell r="I4">
            <v>45630</v>
          </cell>
          <cell r="J4">
            <v>0</v>
          </cell>
          <cell r="K4">
            <v>0</v>
          </cell>
          <cell r="L4">
            <v>45631</v>
          </cell>
          <cell r="M4">
            <v>0</v>
          </cell>
          <cell r="N4">
            <v>0</v>
          </cell>
          <cell r="O4">
            <v>45632</v>
          </cell>
          <cell r="P4">
            <v>0</v>
          </cell>
          <cell r="Q4">
            <v>0</v>
          </cell>
          <cell r="R4">
            <v>45633</v>
          </cell>
          <cell r="S4">
            <v>0</v>
          </cell>
          <cell r="T4">
            <v>45635</v>
          </cell>
          <cell r="U4">
            <v>0</v>
          </cell>
          <cell r="V4">
            <v>0</v>
          </cell>
          <cell r="W4">
            <v>45636</v>
          </cell>
          <cell r="X4">
            <v>0</v>
          </cell>
          <cell r="Y4">
            <v>0</v>
          </cell>
          <cell r="Z4">
            <v>45637</v>
          </cell>
          <cell r="AA4">
            <v>0</v>
          </cell>
          <cell r="AB4">
            <v>0</v>
          </cell>
          <cell r="AC4">
            <v>45638</v>
          </cell>
          <cell r="AD4">
            <v>0</v>
          </cell>
          <cell r="AE4">
            <v>0</v>
          </cell>
          <cell r="AF4">
            <v>45639</v>
          </cell>
          <cell r="AG4">
            <v>0</v>
          </cell>
          <cell r="AH4">
            <v>0</v>
          </cell>
          <cell r="AI4">
            <v>45640</v>
          </cell>
          <cell r="AJ4">
            <v>0</v>
          </cell>
          <cell r="AK4" t="str">
            <v xml:space="preserve">TOTAL AAV </v>
          </cell>
          <cell r="AL4" t="str">
            <v xml:space="preserve">TOTAL ERROR AAV </v>
          </cell>
          <cell r="AM4" t="str">
            <v>Total Slot</v>
          </cell>
        </row>
        <row r="5">
          <cell r="A5">
            <v>0</v>
          </cell>
          <cell r="B5">
            <v>0</v>
          </cell>
          <cell r="C5" t="str">
            <v>Slot 1</v>
          </cell>
          <cell r="D5" t="str">
            <v>Slot 2</v>
          </cell>
          <cell r="E5" t="str">
            <v>Slot 3</v>
          </cell>
          <cell r="F5" t="str">
            <v>Slot 1</v>
          </cell>
          <cell r="G5" t="str">
            <v>Slot 2</v>
          </cell>
          <cell r="H5" t="str">
            <v>Slot 3</v>
          </cell>
          <cell r="I5" t="str">
            <v>Slot 1</v>
          </cell>
          <cell r="J5" t="str">
            <v>Slot 2</v>
          </cell>
          <cell r="K5" t="str">
            <v>Slot 3</v>
          </cell>
          <cell r="L5" t="str">
            <v>Slot 1</v>
          </cell>
          <cell r="M5" t="str">
            <v>Slot 2</v>
          </cell>
          <cell r="N5" t="str">
            <v>Slot 3</v>
          </cell>
          <cell r="O5" t="str">
            <v>Slot 1</v>
          </cell>
          <cell r="P5" t="str">
            <v>Slot 2</v>
          </cell>
          <cell r="Q5" t="str">
            <v>Slot 3</v>
          </cell>
          <cell r="R5" t="str">
            <v>Slot 1</v>
          </cell>
          <cell r="S5" t="str">
            <v>Slot 2</v>
          </cell>
          <cell r="T5" t="str">
            <v>Slot 1</v>
          </cell>
          <cell r="U5" t="str">
            <v>Slot 2</v>
          </cell>
          <cell r="V5" t="str">
            <v>Slot 3</v>
          </cell>
          <cell r="W5" t="str">
            <v>Slot 1</v>
          </cell>
          <cell r="X5" t="str">
            <v>Slot 2</v>
          </cell>
          <cell r="Y5" t="str">
            <v>Slot 3</v>
          </cell>
          <cell r="Z5" t="str">
            <v>Slot 1</v>
          </cell>
          <cell r="AA5" t="str">
            <v>Slot 2</v>
          </cell>
          <cell r="AB5" t="str">
            <v>Slot 3</v>
          </cell>
          <cell r="AC5" t="str">
            <v>Slot 1</v>
          </cell>
          <cell r="AD5" t="str">
            <v>Slot 2</v>
          </cell>
          <cell r="AE5" t="str">
            <v>Slot 3</v>
          </cell>
          <cell r="AF5" t="str">
            <v>Slot 1</v>
          </cell>
          <cell r="AG5" t="str">
            <v>Slot 2</v>
          </cell>
          <cell r="AH5" t="str">
            <v>Slot 3</v>
          </cell>
          <cell r="AI5" t="str">
            <v>Slot 1</v>
          </cell>
          <cell r="AJ5" t="str">
            <v>Slot 2</v>
          </cell>
          <cell r="AK5">
            <v>0</v>
          </cell>
          <cell r="AL5">
            <v>0</v>
          </cell>
          <cell r="AM5">
            <v>0</v>
          </cell>
        </row>
        <row r="6">
          <cell r="A6">
            <v>90170</v>
          </cell>
          <cell r="B6" t="str">
            <v>AMRI ROHMATINI</v>
          </cell>
          <cell r="C6">
            <v>22</v>
          </cell>
          <cell r="D6">
            <v>0</v>
          </cell>
          <cell r="E6">
            <v>0</v>
          </cell>
          <cell r="F6">
            <v>35</v>
          </cell>
          <cell r="G6">
            <v>0</v>
          </cell>
          <cell r="H6">
            <v>0</v>
          </cell>
          <cell r="I6">
            <v>36</v>
          </cell>
          <cell r="J6">
            <v>0</v>
          </cell>
          <cell r="K6">
            <v>0</v>
          </cell>
          <cell r="L6">
            <v>47</v>
          </cell>
          <cell r="M6">
            <v>0</v>
          </cell>
          <cell r="N6">
            <v>0</v>
          </cell>
          <cell r="O6">
            <v>40</v>
          </cell>
          <cell r="P6">
            <v>0</v>
          </cell>
          <cell r="Q6">
            <v>0</v>
          </cell>
          <cell r="R6">
            <v>36</v>
          </cell>
          <cell r="S6">
            <v>0</v>
          </cell>
          <cell r="T6">
            <v>38</v>
          </cell>
          <cell r="U6">
            <v>0</v>
          </cell>
          <cell r="V6">
            <v>0</v>
          </cell>
          <cell r="W6">
            <v>33</v>
          </cell>
          <cell r="X6">
            <v>0</v>
          </cell>
          <cell r="Y6">
            <v>0</v>
          </cell>
          <cell r="Z6">
            <v>40</v>
          </cell>
          <cell r="AA6">
            <v>0</v>
          </cell>
          <cell r="AB6">
            <v>0</v>
          </cell>
          <cell r="AC6">
            <v>50</v>
          </cell>
          <cell r="AD6">
            <v>0</v>
          </cell>
          <cell r="AE6">
            <v>0</v>
          </cell>
          <cell r="AF6">
            <v>37</v>
          </cell>
          <cell r="AG6">
            <v>0</v>
          </cell>
          <cell r="AH6">
            <v>0</v>
          </cell>
          <cell r="AI6">
            <v>35</v>
          </cell>
          <cell r="AJ6">
            <v>0</v>
          </cell>
          <cell r="AK6">
            <v>449</v>
          </cell>
          <cell r="AL6">
            <v>0</v>
          </cell>
          <cell r="AM6">
            <v>12</v>
          </cell>
        </row>
        <row r="7">
          <cell r="A7">
            <v>90557</v>
          </cell>
          <cell r="B7" t="str">
            <v>TIFANI EKA ALCISHA</v>
          </cell>
          <cell r="C7">
            <v>25</v>
          </cell>
          <cell r="D7">
            <v>56</v>
          </cell>
          <cell r="E7">
            <v>0</v>
          </cell>
          <cell r="F7">
            <v>49</v>
          </cell>
          <cell r="G7">
            <v>57</v>
          </cell>
          <cell r="H7">
            <v>0</v>
          </cell>
          <cell r="I7">
            <v>45</v>
          </cell>
          <cell r="J7">
            <v>52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47</v>
          </cell>
          <cell r="P7">
            <v>47</v>
          </cell>
          <cell r="Q7">
            <v>0</v>
          </cell>
          <cell r="R7">
            <v>0</v>
          </cell>
          <cell r="S7">
            <v>0</v>
          </cell>
          <cell r="T7">
            <v>50</v>
          </cell>
          <cell r="U7">
            <v>48</v>
          </cell>
          <cell r="V7">
            <v>0</v>
          </cell>
          <cell r="W7">
            <v>43</v>
          </cell>
          <cell r="X7">
            <v>67</v>
          </cell>
          <cell r="Y7">
            <v>0</v>
          </cell>
          <cell r="Z7">
            <v>48</v>
          </cell>
          <cell r="AA7">
            <v>55</v>
          </cell>
          <cell r="AB7">
            <v>0</v>
          </cell>
          <cell r="AC7">
            <v>60</v>
          </cell>
          <cell r="AD7">
            <v>55</v>
          </cell>
          <cell r="AE7">
            <v>0</v>
          </cell>
          <cell r="AF7">
            <v>51</v>
          </cell>
          <cell r="AG7">
            <v>45</v>
          </cell>
          <cell r="AH7">
            <v>0</v>
          </cell>
          <cell r="AI7">
            <v>0</v>
          </cell>
          <cell r="AJ7">
            <v>0</v>
          </cell>
          <cell r="AK7">
            <v>900</v>
          </cell>
          <cell r="AL7">
            <v>0</v>
          </cell>
          <cell r="AM7">
            <v>18</v>
          </cell>
        </row>
        <row r="8">
          <cell r="A8">
            <v>90565</v>
          </cell>
          <cell r="B8" t="str">
            <v>ELISABETH YOVITA NATHANIA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40</v>
          </cell>
          <cell r="I8">
            <v>32</v>
          </cell>
          <cell r="J8">
            <v>42</v>
          </cell>
          <cell r="K8">
            <v>0</v>
          </cell>
          <cell r="L8">
            <v>44</v>
          </cell>
          <cell r="M8">
            <v>51</v>
          </cell>
          <cell r="N8">
            <v>0</v>
          </cell>
          <cell r="O8">
            <v>35</v>
          </cell>
          <cell r="P8">
            <v>35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38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38</v>
          </cell>
          <cell r="AH8">
            <v>0</v>
          </cell>
          <cell r="AI8">
            <v>27</v>
          </cell>
          <cell r="AJ8">
            <v>41</v>
          </cell>
          <cell r="AK8">
            <v>423</v>
          </cell>
          <cell r="AL8">
            <v>0</v>
          </cell>
          <cell r="AM8">
            <v>11</v>
          </cell>
        </row>
        <row r="9">
          <cell r="A9" t="str">
            <v>A0349</v>
          </cell>
          <cell r="B9" t="str">
            <v>Ahmad Zainal Arifin</v>
          </cell>
          <cell r="C9">
            <v>0</v>
          </cell>
          <cell r="D9">
            <v>43</v>
          </cell>
          <cell r="E9">
            <v>23</v>
          </cell>
          <cell r="F9">
            <v>0</v>
          </cell>
          <cell r="G9">
            <v>50</v>
          </cell>
          <cell r="H9">
            <v>35</v>
          </cell>
          <cell r="I9">
            <v>0</v>
          </cell>
          <cell r="J9">
            <v>40</v>
          </cell>
          <cell r="K9">
            <v>40</v>
          </cell>
          <cell r="L9">
            <v>0</v>
          </cell>
          <cell r="M9">
            <v>50</v>
          </cell>
          <cell r="N9">
            <v>37</v>
          </cell>
          <cell r="O9">
            <v>0</v>
          </cell>
          <cell r="P9">
            <v>0</v>
          </cell>
          <cell r="Q9">
            <v>45</v>
          </cell>
          <cell r="R9">
            <v>35</v>
          </cell>
          <cell r="S9">
            <v>39</v>
          </cell>
          <cell r="T9">
            <v>0</v>
          </cell>
          <cell r="U9">
            <v>43</v>
          </cell>
          <cell r="V9">
            <v>41</v>
          </cell>
          <cell r="W9">
            <v>0</v>
          </cell>
          <cell r="X9">
            <v>50</v>
          </cell>
          <cell r="Y9">
            <v>50</v>
          </cell>
          <cell r="Z9">
            <v>0</v>
          </cell>
          <cell r="AA9">
            <v>40</v>
          </cell>
          <cell r="AB9">
            <v>39</v>
          </cell>
          <cell r="AC9">
            <v>0</v>
          </cell>
          <cell r="AD9">
            <v>40</v>
          </cell>
          <cell r="AE9">
            <v>40</v>
          </cell>
          <cell r="AF9">
            <v>0</v>
          </cell>
          <cell r="AG9">
            <v>37</v>
          </cell>
          <cell r="AH9">
            <v>51</v>
          </cell>
          <cell r="AI9">
            <v>32</v>
          </cell>
          <cell r="AJ9">
            <v>0</v>
          </cell>
          <cell r="AK9">
            <v>900</v>
          </cell>
          <cell r="AL9">
            <v>0</v>
          </cell>
          <cell r="AM9">
            <v>22</v>
          </cell>
        </row>
        <row r="10">
          <cell r="A10" t="str">
            <v>A1945</v>
          </cell>
          <cell r="B10" t="str">
            <v>MARIA CHINDRYANITA GALA</v>
          </cell>
          <cell r="C10">
            <v>24</v>
          </cell>
          <cell r="D10">
            <v>0</v>
          </cell>
          <cell r="E10">
            <v>0</v>
          </cell>
          <cell r="F10">
            <v>31</v>
          </cell>
          <cell r="G10">
            <v>0</v>
          </cell>
          <cell r="H10">
            <v>0</v>
          </cell>
          <cell r="I10">
            <v>31</v>
          </cell>
          <cell r="J10">
            <v>30</v>
          </cell>
          <cell r="K10">
            <v>0</v>
          </cell>
          <cell r="L10">
            <v>48</v>
          </cell>
          <cell r="M10">
            <v>37</v>
          </cell>
          <cell r="N10">
            <v>0</v>
          </cell>
          <cell r="O10">
            <v>40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38</v>
          </cell>
          <cell r="U10">
            <v>37</v>
          </cell>
          <cell r="V10">
            <v>0</v>
          </cell>
          <cell r="W10">
            <v>34</v>
          </cell>
          <cell r="X10">
            <v>44</v>
          </cell>
          <cell r="Y10">
            <v>0</v>
          </cell>
          <cell r="Z10">
            <v>33</v>
          </cell>
          <cell r="AA10">
            <v>32</v>
          </cell>
          <cell r="AB10">
            <v>0</v>
          </cell>
          <cell r="AC10">
            <v>53</v>
          </cell>
          <cell r="AD10">
            <v>35</v>
          </cell>
          <cell r="AE10">
            <v>0</v>
          </cell>
          <cell r="AF10">
            <v>40</v>
          </cell>
          <cell r="AG10">
            <v>32</v>
          </cell>
          <cell r="AH10">
            <v>0</v>
          </cell>
          <cell r="AI10">
            <v>0</v>
          </cell>
          <cell r="AJ10">
            <v>0</v>
          </cell>
          <cell r="AK10">
            <v>619</v>
          </cell>
          <cell r="AL10">
            <v>0</v>
          </cell>
          <cell r="AM10">
            <v>17</v>
          </cell>
        </row>
        <row r="11">
          <cell r="A11" t="str">
            <v>A2066</v>
          </cell>
          <cell r="B11" t="str">
            <v>YULIANT EFENDI</v>
          </cell>
          <cell r="C11">
            <v>0</v>
          </cell>
          <cell r="D11">
            <v>46</v>
          </cell>
          <cell r="E11">
            <v>26</v>
          </cell>
          <cell r="F11">
            <v>0</v>
          </cell>
          <cell r="G11">
            <v>40</v>
          </cell>
          <cell r="H11">
            <v>45</v>
          </cell>
          <cell r="I11">
            <v>0</v>
          </cell>
          <cell r="J11">
            <v>42</v>
          </cell>
          <cell r="K11">
            <v>48</v>
          </cell>
          <cell r="L11">
            <v>0</v>
          </cell>
          <cell r="M11">
            <v>52</v>
          </cell>
          <cell r="N11">
            <v>38</v>
          </cell>
          <cell r="O11">
            <v>0</v>
          </cell>
          <cell r="P11">
            <v>38</v>
          </cell>
          <cell r="Q11">
            <v>0</v>
          </cell>
          <cell r="R11">
            <v>32</v>
          </cell>
          <cell r="S11">
            <v>42</v>
          </cell>
          <cell r="T11">
            <v>0</v>
          </cell>
          <cell r="U11">
            <v>53</v>
          </cell>
          <cell r="V11">
            <v>47</v>
          </cell>
          <cell r="W11">
            <v>0</v>
          </cell>
          <cell r="X11">
            <v>52</v>
          </cell>
          <cell r="Y11">
            <v>54</v>
          </cell>
          <cell r="Z11">
            <v>0</v>
          </cell>
          <cell r="AA11">
            <v>45</v>
          </cell>
          <cell r="AB11">
            <v>33</v>
          </cell>
          <cell r="AC11">
            <v>0</v>
          </cell>
          <cell r="AD11">
            <v>32</v>
          </cell>
          <cell r="AE11">
            <v>45</v>
          </cell>
          <cell r="AF11">
            <v>0</v>
          </cell>
          <cell r="AG11">
            <v>32</v>
          </cell>
          <cell r="AH11">
            <v>47</v>
          </cell>
          <cell r="AI11">
            <v>30</v>
          </cell>
          <cell r="AJ11">
            <v>35</v>
          </cell>
          <cell r="AK11">
            <v>954</v>
          </cell>
          <cell r="AL11">
            <v>0</v>
          </cell>
          <cell r="AM11">
            <v>23</v>
          </cell>
        </row>
        <row r="12">
          <cell r="A12" t="str">
            <v>A2615</v>
          </cell>
          <cell r="B12" t="str">
            <v>NOVITA LANGKAI</v>
          </cell>
          <cell r="C12">
            <v>25</v>
          </cell>
          <cell r="D12">
            <v>41</v>
          </cell>
          <cell r="E12">
            <v>25</v>
          </cell>
          <cell r="F12">
            <v>0</v>
          </cell>
          <cell r="G12">
            <v>49</v>
          </cell>
          <cell r="H12">
            <v>38</v>
          </cell>
          <cell r="I12">
            <v>0</v>
          </cell>
          <cell r="J12">
            <v>47</v>
          </cell>
          <cell r="K12">
            <v>44</v>
          </cell>
          <cell r="L12">
            <v>0</v>
          </cell>
          <cell r="M12">
            <v>48</v>
          </cell>
          <cell r="N12">
            <v>40</v>
          </cell>
          <cell r="O12">
            <v>0</v>
          </cell>
          <cell r="P12">
            <v>43</v>
          </cell>
          <cell r="Q12">
            <v>44</v>
          </cell>
          <cell r="R12">
            <v>40</v>
          </cell>
          <cell r="S12">
            <v>37</v>
          </cell>
          <cell r="T12">
            <v>0</v>
          </cell>
          <cell r="U12">
            <v>46</v>
          </cell>
          <cell r="V12">
            <v>42</v>
          </cell>
          <cell r="W12">
            <v>0</v>
          </cell>
          <cell r="X12">
            <v>51</v>
          </cell>
          <cell r="Y12">
            <v>55</v>
          </cell>
          <cell r="Z12">
            <v>0</v>
          </cell>
          <cell r="AA12">
            <v>41</v>
          </cell>
          <cell r="AB12">
            <v>38</v>
          </cell>
          <cell r="AC12">
            <v>0</v>
          </cell>
          <cell r="AD12">
            <v>49</v>
          </cell>
          <cell r="AE12">
            <v>46</v>
          </cell>
          <cell r="AF12">
            <v>0</v>
          </cell>
          <cell r="AG12">
            <v>0</v>
          </cell>
          <cell r="AH12">
            <v>0</v>
          </cell>
          <cell r="AI12">
            <v>36</v>
          </cell>
          <cell r="AJ12">
            <v>50</v>
          </cell>
          <cell r="AK12">
            <v>975</v>
          </cell>
          <cell r="AL12">
            <v>0</v>
          </cell>
          <cell r="AM12">
            <v>23</v>
          </cell>
        </row>
        <row r="13">
          <cell r="A13" t="str">
            <v>A2873</v>
          </cell>
          <cell r="B13" t="str">
            <v>CHRISTOPHER LAKSAWANA</v>
          </cell>
          <cell r="C13">
            <v>0</v>
          </cell>
          <cell r="D13">
            <v>45</v>
          </cell>
          <cell r="E13">
            <v>15</v>
          </cell>
          <cell r="F13">
            <v>0</v>
          </cell>
          <cell r="G13">
            <v>34</v>
          </cell>
          <cell r="H13">
            <v>39</v>
          </cell>
          <cell r="I13">
            <v>0</v>
          </cell>
          <cell r="J13">
            <v>37</v>
          </cell>
          <cell r="K13">
            <v>44</v>
          </cell>
          <cell r="L13">
            <v>0</v>
          </cell>
          <cell r="M13">
            <v>49</v>
          </cell>
          <cell r="N13">
            <v>29</v>
          </cell>
          <cell r="O13">
            <v>0</v>
          </cell>
          <cell r="P13">
            <v>31</v>
          </cell>
          <cell r="Q13">
            <v>48</v>
          </cell>
          <cell r="R13">
            <v>29</v>
          </cell>
          <cell r="S13">
            <v>37</v>
          </cell>
          <cell r="T13">
            <v>0</v>
          </cell>
          <cell r="U13">
            <v>38</v>
          </cell>
          <cell r="V13">
            <v>30</v>
          </cell>
          <cell r="W13">
            <v>0</v>
          </cell>
          <cell r="X13">
            <v>46</v>
          </cell>
          <cell r="Y13">
            <v>45</v>
          </cell>
          <cell r="Z13">
            <v>0</v>
          </cell>
          <cell r="AA13">
            <v>42</v>
          </cell>
          <cell r="AB13">
            <v>37</v>
          </cell>
          <cell r="AC13">
            <v>0</v>
          </cell>
          <cell r="AD13">
            <v>42</v>
          </cell>
          <cell r="AE13">
            <v>41</v>
          </cell>
          <cell r="AF13">
            <v>0</v>
          </cell>
          <cell r="AG13">
            <v>39</v>
          </cell>
          <cell r="AH13">
            <v>53</v>
          </cell>
          <cell r="AI13">
            <v>0</v>
          </cell>
          <cell r="AJ13">
            <v>0</v>
          </cell>
          <cell r="AK13">
            <v>850</v>
          </cell>
          <cell r="AL13">
            <v>0</v>
          </cell>
          <cell r="AM13">
            <v>22</v>
          </cell>
        </row>
        <row r="14">
          <cell r="A14" t="str">
            <v>A2879</v>
          </cell>
          <cell r="B14" t="str">
            <v>FAUZI</v>
          </cell>
          <cell r="C14">
            <v>18</v>
          </cell>
          <cell r="D14">
            <v>0</v>
          </cell>
          <cell r="E14">
            <v>20</v>
          </cell>
          <cell r="F14">
            <v>0</v>
          </cell>
          <cell r="G14">
            <v>46</v>
          </cell>
          <cell r="H14">
            <v>0</v>
          </cell>
          <cell r="I14">
            <v>0</v>
          </cell>
          <cell r="J14">
            <v>33</v>
          </cell>
          <cell r="K14">
            <v>45</v>
          </cell>
          <cell r="L14">
            <v>0</v>
          </cell>
          <cell r="M14">
            <v>0</v>
          </cell>
          <cell r="N14">
            <v>34</v>
          </cell>
          <cell r="O14">
            <v>0</v>
          </cell>
          <cell r="P14">
            <v>44</v>
          </cell>
          <cell r="Q14">
            <v>54</v>
          </cell>
          <cell r="R14">
            <v>37</v>
          </cell>
          <cell r="S14">
            <v>0</v>
          </cell>
          <cell r="T14">
            <v>0</v>
          </cell>
          <cell r="U14">
            <v>45</v>
          </cell>
          <cell r="V14">
            <v>45</v>
          </cell>
          <cell r="W14">
            <v>0</v>
          </cell>
          <cell r="X14">
            <v>47</v>
          </cell>
          <cell r="Y14">
            <v>49</v>
          </cell>
          <cell r="Z14">
            <v>0</v>
          </cell>
          <cell r="AA14">
            <v>44</v>
          </cell>
          <cell r="AB14">
            <v>38</v>
          </cell>
          <cell r="AC14">
            <v>0</v>
          </cell>
          <cell r="AD14">
            <v>46</v>
          </cell>
          <cell r="AE14">
            <v>43</v>
          </cell>
          <cell r="AF14">
            <v>0</v>
          </cell>
          <cell r="AG14">
            <v>0</v>
          </cell>
          <cell r="AH14">
            <v>0</v>
          </cell>
          <cell r="AI14">
            <v>38</v>
          </cell>
          <cell r="AJ14">
            <v>44</v>
          </cell>
          <cell r="AK14">
            <v>770</v>
          </cell>
          <cell r="AL14">
            <v>0</v>
          </cell>
          <cell r="AM14">
            <v>19</v>
          </cell>
        </row>
        <row r="15">
          <cell r="A15" t="str">
            <v>A3498</v>
          </cell>
          <cell r="B15" t="str">
            <v>KIRANA AMILYA PASCHA</v>
          </cell>
          <cell r="C15">
            <v>0</v>
          </cell>
          <cell r="D15">
            <v>0</v>
          </cell>
          <cell r="E15">
            <v>0</v>
          </cell>
          <cell r="F15">
            <v>26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29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35</v>
          </cell>
          <cell r="AG15">
            <v>0</v>
          </cell>
          <cell r="AH15">
            <v>0</v>
          </cell>
          <cell r="AI15">
            <v>0</v>
          </cell>
          <cell r="AJ15">
            <v>37</v>
          </cell>
          <cell r="AK15">
            <v>127</v>
          </cell>
          <cell r="AL15">
            <v>0</v>
          </cell>
          <cell r="AM15">
            <v>4</v>
          </cell>
        </row>
        <row r="16">
          <cell r="A16" t="str">
            <v>A1941</v>
          </cell>
          <cell r="B16" t="str">
            <v>HANA CHRISTINA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32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32</v>
          </cell>
          <cell r="AL16">
            <v>0</v>
          </cell>
          <cell r="AM16">
            <v>1</v>
          </cell>
        </row>
        <row r="17">
          <cell r="A17" t="str">
            <v>A4247</v>
          </cell>
          <cell r="B17" t="str">
            <v>WA ODE ALYA SHINTA AMALIA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31</v>
          </cell>
          <cell r="T17">
            <v>0</v>
          </cell>
          <cell r="U17">
            <v>0</v>
          </cell>
          <cell r="V17">
            <v>0</v>
          </cell>
          <cell r="W17">
            <v>25</v>
          </cell>
          <cell r="X17">
            <v>0</v>
          </cell>
          <cell r="Y17">
            <v>35</v>
          </cell>
          <cell r="Z17">
            <v>29</v>
          </cell>
          <cell r="AA17">
            <v>0</v>
          </cell>
          <cell r="AB17">
            <v>32</v>
          </cell>
          <cell r="AC17">
            <v>36</v>
          </cell>
          <cell r="AD17">
            <v>0</v>
          </cell>
          <cell r="AE17">
            <v>38</v>
          </cell>
          <cell r="AF17">
            <v>0</v>
          </cell>
          <cell r="AG17">
            <v>30</v>
          </cell>
          <cell r="AH17">
            <v>44</v>
          </cell>
          <cell r="AI17">
            <v>0</v>
          </cell>
          <cell r="AJ17">
            <v>0</v>
          </cell>
          <cell r="AK17">
            <v>300</v>
          </cell>
          <cell r="AL17">
            <v>0</v>
          </cell>
          <cell r="AM17">
            <v>9</v>
          </cell>
        </row>
        <row r="18">
          <cell r="A18" t="str">
            <v>A4348</v>
          </cell>
          <cell r="B18" t="str">
            <v>RISKA WULAN NAWANGSARI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33</v>
          </cell>
          <cell r="M18">
            <v>33</v>
          </cell>
          <cell r="N18">
            <v>29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95</v>
          </cell>
          <cell r="AL18">
            <v>0</v>
          </cell>
          <cell r="AM18">
            <v>3</v>
          </cell>
        </row>
        <row r="19">
          <cell r="A19" t="str">
            <v>A4404</v>
          </cell>
          <cell r="B19" t="str">
            <v>Antonia Maria Ajeng Galuh Dewanti</v>
          </cell>
          <cell r="C19">
            <v>20</v>
          </cell>
          <cell r="D19">
            <v>0</v>
          </cell>
          <cell r="E19">
            <v>0</v>
          </cell>
          <cell r="F19">
            <v>24</v>
          </cell>
          <cell r="G19">
            <v>0</v>
          </cell>
          <cell r="H19">
            <v>0</v>
          </cell>
          <cell r="I19">
            <v>24</v>
          </cell>
          <cell r="J19">
            <v>0</v>
          </cell>
          <cell r="K19">
            <v>0</v>
          </cell>
          <cell r="L19">
            <v>0</v>
          </cell>
          <cell r="M19">
            <v>35</v>
          </cell>
          <cell r="N19">
            <v>0</v>
          </cell>
          <cell r="O19">
            <v>23</v>
          </cell>
          <cell r="P19">
            <v>26</v>
          </cell>
          <cell r="Q19">
            <v>0</v>
          </cell>
          <cell r="R19">
            <v>0</v>
          </cell>
          <cell r="S19">
            <v>0</v>
          </cell>
          <cell r="T19">
            <v>27</v>
          </cell>
          <cell r="U19">
            <v>0</v>
          </cell>
          <cell r="V19">
            <v>0</v>
          </cell>
          <cell r="W19">
            <v>21</v>
          </cell>
          <cell r="X19">
            <v>0</v>
          </cell>
          <cell r="Y19">
            <v>0</v>
          </cell>
          <cell r="Z19">
            <v>30</v>
          </cell>
          <cell r="AA19">
            <v>21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21</v>
          </cell>
          <cell r="AG19">
            <v>32</v>
          </cell>
          <cell r="AH19">
            <v>0</v>
          </cell>
          <cell r="AI19">
            <v>0</v>
          </cell>
          <cell r="AJ19">
            <v>0</v>
          </cell>
          <cell r="AK19">
            <v>304</v>
          </cell>
          <cell r="AL19">
            <v>2</v>
          </cell>
          <cell r="AM19">
            <v>12</v>
          </cell>
        </row>
        <row r="20">
          <cell r="A20" t="str">
            <v>A4428</v>
          </cell>
          <cell r="B20" t="str">
            <v>FERDIAN ANGGA RACHMADHANI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25</v>
          </cell>
          <cell r="Q20">
            <v>25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29</v>
          </cell>
          <cell r="AI20">
            <v>0</v>
          </cell>
          <cell r="AJ20">
            <v>29</v>
          </cell>
          <cell r="AK20">
            <v>108</v>
          </cell>
          <cell r="AL20">
            <v>0</v>
          </cell>
          <cell r="AM20">
            <v>4</v>
          </cell>
        </row>
        <row r="23">
          <cell r="A23">
            <v>0</v>
          </cell>
          <cell r="B23" t="str">
            <v>Mengetahui,</v>
          </cell>
        </row>
        <row r="24">
          <cell r="A24">
            <v>0</v>
          </cell>
          <cell r="B24">
            <v>0</v>
          </cell>
          <cell r="AL24" t="str">
            <v>Avg AAV/Slot</v>
          </cell>
          <cell r="AM24" t="str">
            <v>Level</v>
          </cell>
        </row>
        <row r="25">
          <cell r="A25">
            <v>0</v>
          </cell>
          <cell r="B25">
            <v>0</v>
          </cell>
          <cell r="AL25">
            <v>0</v>
          </cell>
          <cell r="AM25">
            <v>0</v>
          </cell>
        </row>
        <row r="26">
          <cell r="A26">
            <v>0</v>
          </cell>
          <cell r="B26">
            <v>0</v>
          </cell>
          <cell r="AL26">
            <v>0</v>
          </cell>
          <cell r="AM26" t="str">
            <v>Level 1</v>
          </cell>
        </row>
        <row r="27">
          <cell r="A27">
            <v>0</v>
          </cell>
          <cell r="B27">
            <v>0</v>
          </cell>
          <cell r="AL27">
            <v>29</v>
          </cell>
          <cell r="AM27" t="str">
            <v>Level 2</v>
          </cell>
        </row>
        <row r="28">
          <cell r="A28">
            <v>0</v>
          </cell>
          <cell r="B28">
            <v>0</v>
          </cell>
          <cell r="AL28">
            <v>40</v>
          </cell>
          <cell r="AM28" t="str">
            <v>Level 3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  <cell r="B30" t="str">
            <v xml:space="preserve">SRI RAHAYU GUNADI </v>
          </cell>
        </row>
        <row r="31">
          <cell r="A31">
            <v>0</v>
          </cell>
          <cell r="B31" t="str">
            <v>HC DOC HEAD</v>
          </cell>
        </row>
      </sheetData>
      <sheetData sheetId="1" refreshError="1">
        <row r="1">
          <cell r="A1" t="str">
            <v>PERIODE 1 DESEMBER 2024 GC</v>
          </cell>
        </row>
        <row r="2">
          <cell r="A2" t="str">
            <v>TANGGAL 1 - 15 DESEMBER 2024</v>
          </cell>
        </row>
        <row r="3">
          <cell r="A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45629</v>
          </cell>
          <cell r="F4">
            <v>0</v>
          </cell>
          <cell r="G4">
            <v>45630</v>
          </cell>
          <cell r="H4">
            <v>0</v>
          </cell>
          <cell r="I4">
            <v>45631</v>
          </cell>
          <cell r="J4">
            <v>0</v>
          </cell>
          <cell r="K4">
            <v>45632</v>
          </cell>
          <cell r="L4">
            <v>0</v>
          </cell>
          <cell r="M4">
            <v>45633</v>
          </cell>
          <cell r="N4">
            <v>0</v>
          </cell>
          <cell r="O4">
            <v>45635</v>
          </cell>
          <cell r="P4">
            <v>0</v>
          </cell>
          <cell r="Q4">
            <v>45636</v>
          </cell>
          <cell r="R4">
            <v>0</v>
          </cell>
          <cell r="S4">
            <v>45638</v>
          </cell>
          <cell r="T4">
            <v>0</v>
          </cell>
          <cell r="U4">
            <v>45639</v>
          </cell>
          <cell r="V4">
            <v>0</v>
          </cell>
          <cell r="W4">
            <v>45640</v>
          </cell>
          <cell r="X4">
            <v>0</v>
          </cell>
          <cell r="Y4" t="str">
            <v>TOTAL SLOT</v>
          </cell>
        </row>
        <row r="5">
          <cell r="A5">
            <v>0</v>
          </cell>
          <cell r="B5">
            <v>0</v>
          </cell>
          <cell r="C5" t="str">
            <v>SLOT 1</v>
          </cell>
          <cell r="D5" t="str">
            <v>SLOT 2</v>
          </cell>
          <cell r="E5" t="str">
            <v>SLOT 1</v>
          </cell>
          <cell r="F5" t="str">
            <v>SLOT 2</v>
          </cell>
          <cell r="G5" t="str">
            <v>SLOT 1</v>
          </cell>
          <cell r="H5" t="str">
            <v>SLOT 2</v>
          </cell>
          <cell r="I5" t="str">
            <v>SLOT 1</v>
          </cell>
          <cell r="J5" t="str">
            <v>SLOT 2</v>
          </cell>
          <cell r="K5" t="str">
            <v>SLOT 1</v>
          </cell>
          <cell r="L5" t="str">
            <v>SLOT 2</v>
          </cell>
          <cell r="M5" t="str">
            <v>SLOT 1</v>
          </cell>
          <cell r="N5" t="str">
            <v>SLOT 2</v>
          </cell>
          <cell r="O5" t="str">
            <v>SLOT 1</v>
          </cell>
          <cell r="P5" t="str">
            <v>SLOT 2</v>
          </cell>
          <cell r="Q5" t="str">
            <v>SLOT 1</v>
          </cell>
          <cell r="R5" t="str">
            <v>SLOT 2</v>
          </cell>
          <cell r="S5" t="str">
            <v>SLOT 1</v>
          </cell>
          <cell r="T5" t="str">
            <v>SLOT 2</v>
          </cell>
          <cell r="U5" t="str">
            <v>SLOT 1</v>
          </cell>
          <cell r="V5" t="str">
            <v>SLOT 2</v>
          </cell>
          <cell r="W5" t="str">
            <v>SLOT 1</v>
          </cell>
          <cell r="X5" t="str">
            <v>SLOT 2</v>
          </cell>
          <cell r="Y5">
            <v>0</v>
          </cell>
        </row>
        <row r="6">
          <cell r="A6" t="str">
            <v>A2116</v>
          </cell>
          <cell r="B6" t="str">
            <v>AGNES SILITONGA</v>
          </cell>
          <cell r="C6">
            <v>38</v>
          </cell>
          <cell r="D6">
            <v>18</v>
          </cell>
          <cell r="E6">
            <v>42</v>
          </cell>
          <cell r="F6">
            <v>27</v>
          </cell>
          <cell r="G6">
            <v>38</v>
          </cell>
          <cell r="H6">
            <v>25</v>
          </cell>
          <cell r="I6">
            <v>0</v>
          </cell>
          <cell r="J6">
            <v>0</v>
          </cell>
          <cell r="K6">
            <v>0</v>
          </cell>
          <cell r="L6">
            <v>31</v>
          </cell>
          <cell r="M6">
            <v>0</v>
          </cell>
          <cell r="N6">
            <v>13</v>
          </cell>
          <cell r="O6">
            <v>36</v>
          </cell>
          <cell r="P6">
            <v>0</v>
          </cell>
          <cell r="Q6">
            <v>0</v>
          </cell>
          <cell r="R6">
            <v>0</v>
          </cell>
          <cell r="S6">
            <v>36</v>
          </cell>
          <cell r="T6">
            <v>29</v>
          </cell>
          <cell r="U6">
            <v>38</v>
          </cell>
          <cell r="V6">
            <v>32</v>
          </cell>
          <cell r="W6">
            <v>38</v>
          </cell>
          <cell r="X6">
            <v>25</v>
          </cell>
          <cell r="Y6">
            <v>15</v>
          </cell>
        </row>
        <row r="7">
          <cell r="A7" t="str">
            <v>A2646</v>
          </cell>
          <cell r="B7" t="str">
            <v>ANISA PUTRI ERAWATI</v>
          </cell>
          <cell r="C7">
            <v>52</v>
          </cell>
          <cell r="D7">
            <v>29</v>
          </cell>
          <cell r="E7">
            <v>55</v>
          </cell>
          <cell r="F7">
            <v>26</v>
          </cell>
          <cell r="G7">
            <v>53</v>
          </cell>
          <cell r="H7">
            <v>35</v>
          </cell>
          <cell r="I7">
            <v>50</v>
          </cell>
          <cell r="J7">
            <v>35</v>
          </cell>
          <cell r="K7">
            <v>30</v>
          </cell>
          <cell r="L7">
            <v>43</v>
          </cell>
          <cell r="M7">
            <v>32</v>
          </cell>
          <cell r="N7">
            <v>22</v>
          </cell>
          <cell r="O7">
            <v>52</v>
          </cell>
          <cell r="P7">
            <v>35</v>
          </cell>
          <cell r="Q7">
            <v>46</v>
          </cell>
          <cell r="R7">
            <v>48</v>
          </cell>
          <cell r="S7">
            <v>56</v>
          </cell>
          <cell r="T7">
            <v>40</v>
          </cell>
          <cell r="U7">
            <v>47</v>
          </cell>
          <cell r="V7">
            <v>52</v>
          </cell>
          <cell r="W7">
            <v>44</v>
          </cell>
          <cell r="X7">
            <v>43</v>
          </cell>
          <cell r="Y7">
            <v>22</v>
          </cell>
        </row>
        <row r="8">
          <cell r="A8" t="str">
            <v>A2065</v>
          </cell>
          <cell r="B8" t="str">
            <v>EVAN AHID OETOYO</v>
          </cell>
          <cell r="C8">
            <v>50</v>
          </cell>
          <cell r="D8">
            <v>17</v>
          </cell>
          <cell r="E8">
            <v>51</v>
          </cell>
          <cell r="F8">
            <v>27</v>
          </cell>
          <cell r="G8">
            <v>53</v>
          </cell>
          <cell r="H8">
            <v>24</v>
          </cell>
          <cell r="I8">
            <v>50</v>
          </cell>
          <cell r="J8">
            <v>26</v>
          </cell>
          <cell r="K8">
            <v>30</v>
          </cell>
          <cell r="L8">
            <v>0</v>
          </cell>
          <cell r="M8">
            <v>32</v>
          </cell>
          <cell r="N8">
            <v>0</v>
          </cell>
          <cell r="O8">
            <v>54</v>
          </cell>
          <cell r="P8">
            <v>31</v>
          </cell>
          <cell r="Q8">
            <v>52</v>
          </cell>
          <cell r="R8">
            <v>33</v>
          </cell>
          <cell r="S8">
            <v>43</v>
          </cell>
          <cell r="T8">
            <v>35</v>
          </cell>
          <cell r="U8">
            <v>45</v>
          </cell>
          <cell r="V8">
            <v>0</v>
          </cell>
          <cell r="W8">
            <v>38</v>
          </cell>
          <cell r="X8">
            <v>0</v>
          </cell>
          <cell r="Y8">
            <v>18</v>
          </cell>
        </row>
        <row r="9">
          <cell r="A9" t="str">
            <v>A3126</v>
          </cell>
          <cell r="B9" t="str">
            <v>CINDY FELICIA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49</v>
          </cell>
          <cell r="J9">
            <v>14</v>
          </cell>
          <cell r="K9">
            <v>33</v>
          </cell>
          <cell r="L9">
            <v>35</v>
          </cell>
          <cell r="M9">
            <v>34</v>
          </cell>
          <cell r="N9">
            <v>28</v>
          </cell>
          <cell r="O9">
            <v>48</v>
          </cell>
          <cell r="P9">
            <v>25</v>
          </cell>
          <cell r="Q9">
            <v>44</v>
          </cell>
          <cell r="R9">
            <v>50</v>
          </cell>
          <cell r="S9">
            <v>51</v>
          </cell>
          <cell r="T9">
            <v>34</v>
          </cell>
          <cell r="U9">
            <v>50</v>
          </cell>
          <cell r="V9">
            <v>40</v>
          </cell>
          <cell r="W9">
            <v>48</v>
          </cell>
          <cell r="X9">
            <v>35</v>
          </cell>
          <cell r="Y9">
            <v>16</v>
          </cell>
        </row>
        <row r="10">
          <cell r="A10" t="str">
            <v>A3145</v>
          </cell>
          <cell r="B10" t="str">
            <v>SRI GUSMIARTI</v>
          </cell>
          <cell r="C10">
            <v>57</v>
          </cell>
          <cell r="D10">
            <v>21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2</v>
          </cell>
        </row>
        <row r="11">
          <cell r="A11" t="str">
            <v>A3584</v>
          </cell>
          <cell r="B11" t="str">
            <v>Rindie Putri</v>
          </cell>
          <cell r="C11">
            <v>57</v>
          </cell>
          <cell r="D11">
            <v>28</v>
          </cell>
          <cell r="E11">
            <v>61</v>
          </cell>
          <cell r="F11">
            <v>37</v>
          </cell>
          <cell r="G11">
            <v>57</v>
          </cell>
          <cell r="H11">
            <v>42</v>
          </cell>
          <cell r="I11">
            <v>57</v>
          </cell>
          <cell r="J11">
            <v>32</v>
          </cell>
          <cell r="K11">
            <v>30</v>
          </cell>
          <cell r="L11">
            <v>46</v>
          </cell>
          <cell r="M11">
            <v>40</v>
          </cell>
          <cell r="N11">
            <v>21</v>
          </cell>
          <cell r="O11">
            <v>55</v>
          </cell>
          <cell r="P11">
            <v>32</v>
          </cell>
          <cell r="Q11">
            <v>55</v>
          </cell>
          <cell r="R11">
            <v>45</v>
          </cell>
          <cell r="S11">
            <v>58</v>
          </cell>
          <cell r="T11">
            <v>46</v>
          </cell>
          <cell r="U11">
            <v>55</v>
          </cell>
          <cell r="V11">
            <v>47</v>
          </cell>
          <cell r="W11">
            <v>54</v>
          </cell>
          <cell r="X11">
            <v>46</v>
          </cell>
          <cell r="Y11">
            <v>22</v>
          </cell>
        </row>
        <row r="12">
          <cell r="A12" t="str">
            <v>A4012</v>
          </cell>
          <cell r="B12" t="str">
            <v>FLORA ANISA</v>
          </cell>
          <cell r="C12">
            <v>0</v>
          </cell>
          <cell r="D12">
            <v>0</v>
          </cell>
          <cell r="E12">
            <v>46</v>
          </cell>
          <cell r="F12">
            <v>26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2</v>
          </cell>
        </row>
        <row r="13">
          <cell r="A13" t="str">
            <v>A4246</v>
          </cell>
          <cell r="B13" t="str">
            <v>NOR FAJRIYAH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43</v>
          </cell>
          <cell r="H13">
            <v>33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2</v>
          </cell>
        </row>
        <row r="14">
          <cell r="A14" t="str">
            <v>A4361</v>
          </cell>
          <cell r="B14" t="str">
            <v>YOFITA ANGGRAENI UTORO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31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26</v>
          </cell>
          <cell r="Q14">
            <v>40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29</v>
          </cell>
          <cell r="X14">
            <v>27</v>
          </cell>
          <cell r="Y14">
            <v>5</v>
          </cell>
        </row>
        <row r="17">
          <cell r="A17">
            <v>0</v>
          </cell>
          <cell r="B17" t="str">
            <v>Mengetahui,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>
            <v>0</v>
          </cell>
        </row>
        <row r="24">
          <cell r="A24">
            <v>0</v>
          </cell>
          <cell r="B24" t="str">
            <v xml:space="preserve">SRI RAHAYU GUNADI </v>
          </cell>
        </row>
        <row r="25">
          <cell r="A25">
            <v>0</v>
          </cell>
          <cell r="B25" t="str">
            <v>HC DOC HEAD</v>
          </cell>
        </row>
      </sheetData>
      <sheetData sheetId="2" refreshError="1">
        <row r="4">
          <cell r="A4" t="str">
            <v>NPK</v>
          </cell>
          <cell r="B4" t="str">
            <v>NAMA</v>
          </cell>
          <cell r="C4" t="str">
            <v>FIX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 t="str">
            <v>VARIABEL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 t="str">
            <v>TOTAL SLOT</v>
          </cell>
        </row>
        <row r="5">
          <cell r="A5">
            <v>0</v>
          </cell>
          <cell r="B5">
            <v>0</v>
          </cell>
          <cell r="C5">
            <v>2</v>
          </cell>
          <cell r="D5">
            <v>0</v>
          </cell>
          <cell r="E5">
            <v>0</v>
          </cell>
          <cell r="F5">
            <v>3</v>
          </cell>
          <cell r="G5">
            <v>0</v>
          </cell>
          <cell r="H5">
            <v>0</v>
          </cell>
          <cell r="I5">
            <v>4</v>
          </cell>
          <cell r="J5">
            <v>0</v>
          </cell>
          <cell r="K5">
            <v>0</v>
          </cell>
          <cell r="L5">
            <v>5</v>
          </cell>
          <cell r="M5">
            <v>0</v>
          </cell>
          <cell r="N5">
            <v>0</v>
          </cell>
          <cell r="O5">
            <v>6</v>
          </cell>
          <cell r="P5">
            <v>0</v>
          </cell>
          <cell r="Q5">
            <v>0</v>
          </cell>
          <cell r="R5">
            <v>7</v>
          </cell>
          <cell r="S5">
            <v>0</v>
          </cell>
          <cell r="T5">
            <v>9</v>
          </cell>
          <cell r="U5">
            <v>0</v>
          </cell>
          <cell r="V5">
            <v>0</v>
          </cell>
          <cell r="W5">
            <v>10</v>
          </cell>
          <cell r="X5">
            <v>0</v>
          </cell>
          <cell r="Y5">
            <v>0</v>
          </cell>
          <cell r="Z5">
            <v>11</v>
          </cell>
          <cell r="AA5">
            <v>0</v>
          </cell>
          <cell r="AB5">
            <v>0</v>
          </cell>
          <cell r="AC5">
            <v>12</v>
          </cell>
          <cell r="AD5">
            <v>0</v>
          </cell>
          <cell r="AE5">
            <v>0</v>
          </cell>
          <cell r="AF5">
            <v>13</v>
          </cell>
          <cell r="AG5">
            <v>0</v>
          </cell>
          <cell r="AH5">
            <v>0</v>
          </cell>
          <cell r="AI5">
            <v>14</v>
          </cell>
          <cell r="AJ5">
            <v>0</v>
          </cell>
          <cell r="AK5">
            <v>2</v>
          </cell>
          <cell r="AL5">
            <v>0</v>
          </cell>
          <cell r="AM5">
            <v>0</v>
          </cell>
          <cell r="AN5">
            <v>3</v>
          </cell>
          <cell r="AO5">
            <v>0</v>
          </cell>
          <cell r="AP5">
            <v>0</v>
          </cell>
          <cell r="AQ5">
            <v>4</v>
          </cell>
          <cell r="AR5">
            <v>0</v>
          </cell>
          <cell r="AS5">
            <v>0</v>
          </cell>
          <cell r="AT5">
            <v>5</v>
          </cell>
          <cell r="AU5">
            <v>0</v>
          </cell>
          <cell r="AV5">
            <v>0</v>
          </cell>
          <cell r="AW5">
            <v>6</v>
          </cell>
          <cell r="AX5">
            <v>0</v>
          </cell>
          <cell r="AY5">
            <v>0</v>
          </cell>
          <cell r="AZ5">
            <v>7</v>
          </cell>
          <cell r="BA5">
            <v>0</v>
          </cell>
          <cell r="BB5">
            <v>9</v>
          </cell>
          <cell r="BC5">
            <v>0</v>
          </cell>
          <cell r="BD5">
            <v>0</v>
          </cell>
          <cell r="BE5">
            <v>10</v>
          </cell>
          <cell r="BF5">
            <v>0</v>
          </cell>
          <cell r="BG5">
            <v>0</v>
          </cell>
          <cell r="BH5">
            <v>11</v>
          </cell>
          <cell r="BI5">
            <v>0</v>
          </cell>
          <cell r="BJ5">
            <v>0</v>
          </cell>
          <cell r="BK5">
            <v>12</v>
          </cell>
          <cell r="BL5">
            <v>0</v>
          </cell>
          <cell r="BM5">
            <v>0</v>
          </cell>
          <cell r="BN5">
            <v>13</v>
          </cell>
          <cell r="BO5">
            <v>0</v>
          </cell>
          <cell r="BP5">
            <v>0</v>
          </cell>
          <cell r="BQ5">
            <v>14</v>
          </cell>
          <cell r="BR5">
            <v>0</v>
          </cell>
          <cell r="BS5">
            <v>0</v>
          </cell>
        </row>
        <row r="6">
          <cell r="A6">
            <v>0</v>
          </cell>
          <cell r="B6">
            <v>0</v>
          </cell>
          <cell r="C6">
            <v>1</v>
          </cell>
          <cell r="D6">
            <v>2</v>
          </cell>
          <cell r="E6">
            <v>3</v>
          </cell>
          <cell r="F6">
            <v>1</v>
          </cell>
          <cell r="G6">
            <v>2</v>
          </cell>
          <cell r="H6">
            <v>3</v>
          </cell>
          <cell r="I6">
            <v>1</v>
          </cell>
          <cell r="J6">
            <v>2</v>
          </cell>
          <cell r="K6">
            <v>3</v>
          </cell>
          <cell r="L6">
            <v>1</v>
          </cell>
          <cell r="M6">
            <v>2</v>
          </cell>
          <cell r="N6">
            <v>3</v>
          </cell>
          <cell r="O6">
            <v>1</v>
          </cell>
          <cell r="P6">
            <v>2</v>
          </cell>
          <cell r="Q6">
            <v>3</v>
          </cell>
          <cell r="R6">
            <v>1</v>
          </cell>
          <cell r="S6">
            <v>2</v>
          </cell>
          <cell r="T6">
            <v>1</v>
          </cell>
          <cell r="U6">
            <v>2</v>
          </cell>
          <cell r="V6">
            <v>3</v>
          </cell>
          <cell r="W6">
            <v>1</v>
          </cell>
          <cell r="X6">
            <v>2</v>
          </cell>
          <cell r="Y6">
            <v>3</v>
          </cell>
          <cell r="Z6">
            <v>1</v>
          </cell>
          <cell r="AA6">
            <v>2</v>
          </cell>
          <cell r="AB6">
            <v>3</v>
          </cell>
          <cell r="AC6">
            <v>1</v>
          </cell>
          <cell r="AD6">
            <v>2</v>
          </cell>
          <cell r="AE6">
            <v>3</v>
          </cell>
          <cell r="AF6">
            <v>1</v>
          </cell>
          <cell r="AG6">
            <v>2</v>
          </cell>
          <cell r="AH6">
            <v>3</v>
          </cell>
          <cell r="AI6">
            <v>1</v>
          </cell>
          <cell r="AJ6">
            <v>2</v>
          </cell>
          <cell r="AK6">
            <v>1</v>
          </cell>
          <cell r="AL6">
            <v>2</v>
          </cell>
          <cell r="AM6">
            <v>3</v>
          </cell>
          <cell r="AN6">
            <v>1</v>
          </cell>
          <cell r="AO6">
            <v>2</v>
          </cell>
          <cell r="AP6">
            <v>3</v>
          </cell>
          <cell r="AQ6">
            <v>1</v>
          </cell>
          <cell r="AR6">
            <v>2</v>
          </cell>
          <cell r="AS6">
            <v>3</v>
          </cell>
          <cell r="AT6">
            <v>1</v>
          </cell>
          <cell r="AU6">
            <v>2</v>
          </cell>
          <cell r="AV6">
            <v>3</v>
          </cell>
          <cell r="AW6">
            <v>1</v>
          </cell>
          <cell r="AX6">
            <v>2</v>
          </cell>
          <cell r="AY6">
            <v>3</v>
          </cell>
          <cell r="AZ6">
            <v>1</v>
          </cell>
          <cell r="BA6">
            <v>2</v>
          </cell>
          <cell r="BB6">
            <v>1</v>
          </cell>
          <cell r="BC6">
            <v>2</v>
          </cell>
          <cell r="BD6">
            <v>3</v>
          </cell>
          <cell r="BE6">
            <v>1</v>
          </cell>
          <cell r="BF6">
            <v>2</v>
          </cell>
          <cell r="BG6">
            <v>3</v>
          </cell>
          <cell r="BH6">
            <v>1</v>
          </cell>
          <cell r="BI6">
            <v>2</v>
          </cell>
          <cell r="BJ6">
            <v>3</v>
          </cell>
          <cell r="BK6">
            <v>1</v>
          </cell>
          <cell r="BL6">
            <v>2</v>
          </cell>
          <cell r="BM6">
            <v>3</v>
          </cell>
          <cell r="BN6">
            <v>1</v>
          </cell>
          <cell r="BO6">
            <v>2</v>
          </cell>
          <cell r="BP6">
            <v>3</v>
          </cell>
          <cell r="BQ6">
            <v>1</v>
          </cell>
          <cell r="BR6">
            <v>2</v>
          </cell>
          <cell r="BS6">
            <v>0</v>
          </cell>
        </row>
        <row r="7">
          <cell r="A7">
            <v>90317</v>
          </cell>
          <cell r="B7" t="str">
            <v>FILBERT SANCHIA FERDIANSAH MODOK</v>
          </cell>
          <cell r="C7">
            <v>0</v>
          </cell>
          <cell r="D7">
            <v>22</v>
          </cell>
          <cell r="E7">
            <v>19</v>
          </cell>
          <cell r="F7">
            <v>17</v>
          </cell>
          <cell r="G7">
            <v>25</v>
          </cell>
          <cell r="H7">
            <v>24</v>
          </cell>
          <cell r="I7">
            <v>0</v>
          </cell>
          <cell r="J7">
            <v>18</v>
          </cell>
          <cell r="K7">
            <v>0</v>
          </cell>
          <cell r="L7">
            <v>25</v>
          </cell>
          <cell r="M7">
            <v>22</v>
          </cell>
          <cell r="N7">
            <v>19</v>
          </cell>
          <cell r="O7">
            <v>0</v>
          </cell>
          <cell r="P7">
            <v>29</v>
          </cell>
          <cell r="Q7">
            <v>25</v>
          </cell>
          <cell r="R7">
            <v>28</v>
          </cell>
          <cell r="S7">
            <v>20</v>
          </cell>
          <cell r="T7">
            <v>0</v>
          </cell>
          <cell r="U7">
            <v>23</v>
          </cell>
          <cell r="V7">
            <v>26</v>
          </cell>
          <cell r="W7">
            <v>26</v>
          </cell>
          <cell r="X7">
            <v>25</v>
          </cell>
          <cell r="Y7">
            <v>35</v>
          </cell>
          <cell r="Z7">
            <v>24</v>
          </cell>
          <cell r="AA7">
            <v>24</v>
          </cell>
          <cell r="AB7">
            <v>25</v>
          </cell>
          <cell r="AC7">
            <v>23</v>
          </cell>
          <cell r="AD7">
            <v>28</v>
          </cell>
          <cell r="AE7">
            <v>0</v>
          </cell>
          <cell r="AF7">
            <v>0</v>
          </cell>
          <cell r="AG7">
            <v>28</v>
          </cell>
          <cell r="AH7">
            <v>0</v>
          </cell>
          <cell r="AI7">
            <v>26</v>
          </cell>
          <cell r="AJ7">
            <v>24</v>
          </cell>
          <cell r="AK7">
            <v>0</v>
          </cell>
          <cell r="AL7">
            <v>22</v>
          </cell>
          <cell r="AM7">
            <v>19</v>
          </cell>
          <cell r="AN7">
            <v>17</v>
          </cell>
          <cell r="AO7">
            <v>25</v>
          </cell>
          <cell r="AP7">
            <v>24</v>
          </cell>
          <cell r="AQ7">
            <v>0</v>
          </cell>
          <cell r="AR7">
            <v>18</v>
          </cell>
          <cell r="AS7">
            <v>0</v>
          </cell>
          <cell r="AT7">
            <v>25</v>
          </cell>
          <cell r="AU7">
            <v>22</v>
          </cell>
          <cell r="AV7">
            <v>19</v>
          </cell>
          <cell r="AW7">
            <v>0</v>
          </cell>
          <cell r="AX7">
            <v>29</v>
          </cell>
          <cell r="AY7">
            <v>25</v>
          </cell>
          <cell r="AZ7">
            <v>28</v>
          </cell>
          <cell r="BA7">
            <v>20</v>
          </cell>
          <cell r="BB7">
            <v>0</v>
          </cell>
          <cell r="BC7">
            <v>23</v>
          </cell>
          <cell r="BD7">
            <v>26</v>
          </cell>
          <cell r="BE7">
            <v>26</v>
          </cell>
          <cell r="BF7">
            <v>25</v>
          </cell>
          <cell r="BG7">
            <v>35</v>
          </cell>
          <cell r="BH7">
            <v>24</v>
          </cell>
          <cell r="BI7">
            <v>24</v>
          </cell>
          <cell r="BJ7">
            <v>25</v>
          </cell>
          <cell r="BK7">
            <v>23</v>
          </cell>
          <cell r="BL7">
            <v>28</v>
          </cell>
          <cell r="BM7">
            <v>0</v>
          </cell>
          <cell r="BN7">
            <v>0</v>
          </cell>
          <cell r="BO7">
            <v>28</v>
          </cell>
          <cell r="BP7">
            <v>0</v>
          </cell>
          <cell r="BQ7">
            <v>26</v>
          </cell>
          <cell r="BR7">
            <v>24</v>
          </cell>
          <cell r="BS7">
            <v>26</v>
          </cell>
        </row>
        <row r="8">
          <cell r="A8">
            <v>90374</v>
          </cell>
          <cell r="B8" t="str">
            <v>AISYAH DINDA WAHYUNINGSIH</v>
          </cell>
          <cell r="C8">
            <v>25</v>
          </cell>
          <cell r="D8">
            <v>22</v>
          </cell>
          <cell r="E8">
            <v>0</v>
          </cell>
          <cell r="F8">
            <v>23</v>
          </cell>
          <cell r="G8">
            <v>25</v>
          </cell>
          <cell r="H8">
            <v>0</v>
          </cell>
          <cell r="I8">
            <v>23</v>
          </cell>
          <cell r="J8">
            <v>0</v>
          </cell>
          <cell r="K8">
            <v>0</v>
          </cell>
          <cell r="L8">
            <v>20</v>
          </cell>
          <cell r="M8">
            <v>20</v>
          </cell>
          <cell r="N8">
            <v>0</v>
          </cell>
          <cell r="O8">
            <v>0</v>
          </cell>
          <cell r="P8">
            <v>27</v>
          </cell>
          <cell r="Q8">
            <v>0</v>
          </cell>
          <cell r="R8">
            <v>0</v>
          </cell>
          <cell r="S8">
            <v>0</v>
          </cell>
          <cell r="T8">
            <v>24</v>
          </cell>
          <cell r="U8">
            <v>0</v>
          </cell>
          <cell r="V8">
            <v>0</v>
          </cell>
          <cell r="W8">
            <v>26</v>
          </cell>
          <cell r="X8">
            <v>22</v>
          </cell>
          <cell r="Y8">
            <v>0</v>
          </cell>
          <cell r="Z8">
            <v>24</v>
          </cell>
          <cell r="AA8">
            <v>22</v>
          </cell>
          <cell r="AB8">
            <v>0</v>
          </cell>
          <cell r="AC8">
            <v>25</v>
          </cell>
          <cell r="AD8">
            <v>24</v>
          </cell>
          <cell r="AE8">
            <v>0</v>
          </cell>
          <cell r="AF8">
            <v>26</v>
          </cell>
          <cell r="AG8">
            <v>22</v>
          </cell>
          <cell r="AH8">
            <v>0</v>
          </cell>
          <cell r="AI8">
            <v>24</v>
          </cell>
          <cell r="AJ8">
            <v>0</v>
          </cell>
          <cell r="AK8">
            <v>25</v>
          </cell>
          <cell r="AL8">
            <v>22</v>
          </cell>
          <cell r="AM8">
            <v>0</v>
          </cell>
          <cell r="AN8">
            <v>23</v>
          </cell>
          <cell r="AO8">
            <v>25</v>
          </cell>
          <cell r="AP8">
            <v>0</v>
          </cell>
          <cell r="AQ8">
            <v>23</v>
          </cell>
          <cell r="AR8">
            <v>0</v>
          </cell>
          <cell r="AS8">
            <v>0</v>
          </cell>
          <cell r="AT8">
            <v>20</v>
          </cell>
          <cell r="AU8">
            <v>20</v>
          </cell>
          <cell r="AV8">
            <v>0</v>
          </cell>
          <cell r="AW8">
            <v>0</v>
          </cell>
          <cell r="AX8">
            <v>27</v>
          </cell>
          <cell r="AY8">
            <v>0</v>
          </cell>
          <cell r="AZ8">
            <v>0</v>
          </cell>
          <cell r="BA8">
            <v>0</v>
          </cell>
          <cell r="BB8">
            <v>24</v>
          </cell>
          <cell r="BC8">
            <v>0</v>
          </cell>
          <cell r="BD8">
            <v>0</v>
          </cell>
          <cell r="BE8">
            <v>26</v>
          </cell>
          <cell r="BF8">
            <v>22</v>
          </cell>
          <cell r="BG8">
            <v>0</v>
          </cell>
          <cell r="BH8">
            <v>24</v>
          </cell>
          <cell r="BI8">
            <v>22</v>
          </cell>
          <cell r="BJ8">
            <v>0</v>
          </cell>
          <cell r="BK8">
            <v>25</v>
          </cell>
          <cell r="BL8">
            <v>24</v>
          </cell>
          <cell r="BM8">
            <v>0</v>
          </cell>
          <cell r="BN8">
            <v>26</v>
          </cell>
          <cell r="BO8">
            <v>22</v>
          </cell>
          <cell r="BP8">
            <v>0</v>
          </cell>
          <cell r="BQ8">
            <v>24</v>
          </cell>
          <cell r="BR8">
            <v>0</v>
          </cell>
          <cell r="BS8">
            <v>18</v>
          </cell>
        </row>
        <row r="9">
          <cell r="A9">
            <v>90453</v>
          </cell>
          <cell r="B9" t="str">
            <v>SHERLY HAPSARI</v>
          </cell>
          <cell r="C9">
            <v>24</v>
          </cell>
          <cell r="D9">
            <v>15</v>
          </cell>
          <cell r="E9">
            <v>11</v>
          </cell>
          <cell r="F9">
            <v>0</v>
          </cell>
          <cell r="G9">
            <v>16</v>
          </cell>
          <cell r="H9">
            <v>17</v>
          </cell>
          <cell r="I9">
            <v>20</v>
          </cell>
          <cell r="J9">
            <v>22</v>
          </cell>
          <cell r="K9">
            <v>17</v>
          </cell>
          <cell r="L9">
            <v>20</v>
          </cell>
          <cell r="M9">
            <v>15</v>
          </cell>
          <cell r="N9">
            <v>13</v>
          </cell>
          <cell r="O9">
            <v>18</v>
          </cell>
          <cell r="P9">
            <v>17</v>
          </cell>
          <cell r="Q9">
            <v>9</v>
          </cell>
          <cell r="R9">
            <v>25</v>
          </cell>
          <cell r="S9">
            <v>15</v>
          </cell>
          <cell r="T9">
            <v>22</v>
          </cell>
          <cell r="U9">
            <v>22</v>
          </cell>
          <cell r="V9">
            <v>20</v>
          </cell>
          <cell r="W9">
            <v>26</v>
          </cell>
          <cell r="X9">
            <v>17</v>
          </cell>
          <cell r="Y9">
            <v>21</v>
          </cell>
          <cell r="Z9">
            <v>25</v>
          </cell>
          <cell r="AA9">
            <v>0</v>
          </cell>
          <cell r="AB9">
            <v>15</v>
          </cell>
          <cell r="AC9">
            <v>18</v>
          </cell>
          <cell r="AD9">
            <v>19</v>
          </cell>
          <cell r="AE9">
            <v>19</v>
          </cell>
          <cell r="AF9">
            <v>16</v>
          </cell>
          <cell r="AG9">
            <v>20</v>
          </cell>
          <cell r="AH9">
            <v>18</v>
          </cell>
          <cell r="AI9">
            <v>21</v>
          </cell>
          <cell r="AJ9">
            <v>16</v>
          </cell>
          <cell r="AK9">
            <v>24</v>
          </cell>
          <cell r="AL9">
            <v>15</v>
          </cell>
          <cell r="AM9">
            <v>11</v>
          </cell>
          <cell r="AN9">
            <v>0</v>
          </cell>
          <cell r="AO9">
            <v>16</v>
          </cell>
          <cell r="AP9">
            <v>17</v>
          </cell>
          <cell r="AQ9">
            <v>20</v>
          </cell>
          <cell r="AR9">
            <v>22</v>
          </cell>
          <cell r="AS9">
            <v>17</v>
          </cell>
          <cell r="AT9">
            <v>20</v>
          </cell>
          <cell r="AU9">
            <v>15</v>
          </cell>
          <cell r="AV9">
            <v>13</v>
          </cell>
          <cell r="AW9">
            <v>18</v>
          </cell>
          <cell r="AX9">
            <v>17</v>
          </cell>
          <cell r="AY9">
            <v>0</v>
          </cell>
          <cell r="AZ9">
            <v>25</v>
          </cell>
          <cell r="BA9">
            <v>15</v>
          </cell>
          <cell r="BB9">
            <v>22</v>
          </cell>
          <cell r="BC9">
            <v>22</v>
          </cell>
          <cell r="BD9">
            <v>20</v>
          </cell>
          <cell r="BE9">
            <v>26</v>
          </cell>
          <cell r="BF9">
            <v>17</v>
          </cell>
          <cell r="BG9">
            <v>21</v>
          </cell>
          <cell r="BH9">
            <v>25</v>
          </cell>
          <cell r="BI9">
            <v>0</v>
          </cell>
          <cell r="BJ9">
            <v>15</v>
          </cell>
          <cell r="BK9">
            <v>18</v>
          </cell>
          <cell r="BL9">
            <v>19</v>
          </cell>
          <cell r="BM9">
            <v>19</v>
          </cell>
          <cell r="BN9">
            <v>16</v>
          </cell>
          <cell r="BO9">
            <v>20</v>
          </cell>
          <cell r="BP9">
            <v>18</v>
          </cell>
          <cell r="BQ9">
            <v>21</v>
          </cell>
          <cell r="BR9">
            <v>16</v>
          </cell>
          <cell r="BS9">
            <v>32</v>
          </cell>
        </row>
        <row r="10">
          <cell r="A10">
            <v>90613</v>
          </cell>
          <cell r="B10" t="str">
            <v>JOHAN AIMAN RAIS</v>
          </cell>
          <cell r="C10">
            <v>0</v>
          </cell>
          <cell r="D10">
            <v>25</v>
          </cell>
          <cell r="E10">
            <v>26</v>
          </cell>
          <cell r="F10">
            <v>21</v>
          </cell>
          <cell r="G10">
            <v>26</v>
          </cell>
          <cell r="H10">
            <v>26</v>
          </cell>
          <cell r="I10">
            <v>25</v>
          </cell>
          <cell r="J10">
            <v>25</v>
          </cell>
          <cell r="K10">
            <v>30</v>
          </cell>
          <cell r="L10">
            <v>24</v>
          </cell>
          <cell r="M10">
            <v>0</v>
          </cell>
          <cell r="N10">
            <v>23</v>
          </cell>
          <cell r="O10">
            <v>28</v>
          </cell>
          <cell r="P10">
            <v>0</v>
          </cell>
          <cell r="Q10">
            <v>19</v>
          </cell>
          <cell r="R10">
            <v>32</v>
          </cell>
          <cell r="S10">
            <v>23</v>
          </cell>
          <cell r="T10">
            <v>0</v>
          </cell>
          <cell r="U10">
            <v>30</v>
          </cell>
          <cell r="V10">
            <v>34</v>
          </cell>
          <cell r="W10">
            <v>28</v>
          </cell>
          <cell r="X10">
            <v>0</v>
          </cell>
          <cell r="Y10">
            <v>34</v>
          </cell>
          <cell r="Z10">
            <v>30</v>
          </cell>
          <cell r="AA10">
            <v>0</v>
          </cell>
          <cell r="AB10">
            <v>26</v>
          </cell>
          <cell r="AC10">
            <v>25</v>
          </cell>
          <cell r="AD10">
            <v>23</v>
          </cell>
          <cell r="AE10">
            <v>24</v>
          </cell>
          <cell r="AF10">
            <v>28</v>
          </cell>
          <cell r="AG10">
            <v>0</v>
          </cell>
          <cell r="AH10">
            <v>26</v>
          </cell>
          <cell r="AI10">
            <v>31</v>
          </cell>
          <cell r="AJ10">
            <v>24</v>
          </cell>
          <cell r="AK10">
            <v>0</v>
          </cell>
          <cell r="AL10">
            <v>25</v>
          </cell>
          <cell r="AM10">
            <v>26</v>
          </cell>
          <cell r="AN10">
            <v>21</v>
          </cell>
          <cell r="AO10">
            <v>26</v>
          </cell>
          <cell r="AP10">
            <v>26</v>
          </cell>
          <cell r="AQ10">
            <v>25</v>
          </cell>
          <cell r="AR10">
            <v>25</v>
          </cell>
          <cell r="AS10">
            <v>30</v>
          </cell>
          <cell r="AT10">
            <v>24</v>
          </cell>
          <cell r="AU10">
            <v>0</v>
          </cell>
          <cell r="AV10">
            <v>23</v>
          </cell>
          <cell r="AW10">
            <v>28</v>
          </cell>
          <cell r="AX10">
            <v>0</v>
          </cell>
          <cell r="AY10">
            <v>19</v>
          </cell>
          <cell r="AZ10">
            <v>32</v>
          </cell>
          <cell r="BA10">
            <v>23</v>
          </cell>
          <cell r="BB10">
            <v>0</v>
          </cell>
          <cell r="BC10">
            <v>30</v>
          </cell>
          <cell r="BD10">
            <v>34</v>
          </cell>
          <cell r="BE10">
            <v>28</v>
          </cell>
          <cell r="BF10">
            <v>0</v>
          </cell>
          <cell r="BG10">
            <v>34</v>
          </cell>
          <cell r="BH10">
            <v>30</v>
          </cell>
          <cell r="BI10">
            <v>0</v>
          </cell>
          <cell r="BJ10">
            <v>26</v>
          </cell>
          <cell r="BK10">
            <v>25</v>
          </cell>
          <cell r="BL10">
            <v>23</v>
          </cell>
          <cell r="BM10">
            <v>24</v>
          </cell>
          <cell r="BN10">
            <v>28</v>
          </cell>
          <cell r="BO10">
            <v>0</v>
          </cell>
          <cell r="BP10">
            <v>26</v>
          </cell>
          <cell r="BQ10">
            <v>31</v>
          </cell>
          <cell r="BR10">
            <v>24</v>
          </cell>
          <cell r="BS10">
            <v>27</v>
          </cell>
        </row>
        <row r="11">
          <cell r="A11">
            <v>92199</v>
          </cell>
          <cell r="B11" t="str">
            <v>ASTRI KURNIAWATI</v>
          </cell>
          <cell r="C11">
            <v>31</v>
          </cell>
          <cell r="D11">
            <v>31</v>
          </cell>
          <cell r="E11">
            <v>0</v>
          </cell>
          <cell r="F11">
            <v>26</v>
          </cell>
          <cell r="G11">
            <v>23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40</v>
          </cell>
          <cell r="N11">
            <v>37</v>
          </cell>
          <cell r="O11">
            <v>30</v>
          </cell>
          <cell r="P11">
            <v>33</v>
          </cell>
          <cell r="Q11">
            <v>0</v>
          </cell>
          <cell r="R11">
            <v>38</v>
          </cell>
          <cell r="S11">
            <v>32</v>
          </cell>
          <cell r="T11">
            <v>31</v>
          </cell>
          <cell r="U11">
            <v>41</v>
          </cell>
          <cell r="V11">
            <v>0</v>
          </cell>
          <cell r="W11">
            <v>34</v>
          </cell>
          <cell r="X11">
            <v>40</v>
          </cell>
          <cell r="Y11">
            <v>0</v>
          </cell>
          <cell r="Z11">
            <v>30</v>
          </cell>
          <cell r="AA11">
            <v>30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31</v>
          </cell>
          <cell r="AG11">
            <v>27</v>
          </cell>
          <cell r="AH11">
            <v>0</v>
          </cell>
          <cell r="AI11">
            <v>29</v>
          </cell>
          <cell r="AJ11">
            <v>0</v>
          </cell>
          <cell r="AK11">
            <v>31</v>
          </cell>
          <cell r="AL11">
            <v>31</v>
          </cell>
          <cell r="AM11">
            <v>0</v>
          </cell>
          <cell r="AN11">
            <v>26</v>
          </cell>
          <cell r="AO11">
            <v>23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40</v>
          </cell>
          <cell r="AV11">
            <v>37</v>
          </cell>
          <cell r="AW11">
            <v>30</v>
          </cell>
          <cell r="AX11">
            <v>33</v>
          </cell>
          <cell r="AY11">
            <v>0</v>
          </cell>
          <cell r="AZ11">
            <v>38</v>
          </cell>
          <cell r="BA11">
            <v>32</v>
          </cell>
          <cell r="BB11">
            <v>31</v>
          </cell>
          <cell r="BC11">
            <v>41</v>
          </cell>
          <cell r="BD11">
            <v>0</v>
          </cell>
          <cell r="BE11">
            <v>34</v>
          </cell>
          <cell r="BF11">
            <v>40</v>
          </cell>
          <cell r="BG11">
            <v>0</v>
          </cell>
          <cell r="BH11">
            <v>30</v>
          </cell>
          <cell r="BI11">
            <v>30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31</v>
          </cell>
          <cell r="BO11">
            <v>27</v>
          </cell>
          <cell r="BP11">
            <v>0</v>
          </cell>
          <cell r="BQ11">
            <v>29</v>
          </cell>
          <cell r="BR11">
            <v>0</v>
          </cell>
          <cell r="BS11">
            <v>19</v>
          </cell>
        </row>
        <row r="12">
          <cell r="A12">
            <v>92600</v>
          </cell>
          <cell r="B12" t="str">
            <v>EVELINA WIDODO</v>
          </cell>
          <cell r="C12">
            <v>37</v>
          </cell>
          <cell r="D12">
            <v>0</v>
          </cell>
          <cell r="E12">
            <v>0</v>
          </cell>
          <cell r="F12">
            <v>32</v>
          </cell>
          <cell r="G12">
            <v>31</v>
          </cell>
          <cell r="H12">
            <v>0</v>
          </cell>
          <cell r="I12">
            <v>34</v>
          </cell>
          <cell r="J12">
            <v>27</v>
          </cell>
          <cell r="K12">
            <v>0</v>
          </cell>
          <cell r="L12">
            <v>34</v>
          </cell>
          <cell r="M12">
            <v>27</v>
          </cell>
          <cell r="N12">
            <v>0</v>
          </cell>
          <cell r="O12">
            <v>32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35</v>
          </cell>
          <cell r="U12">
            <v>30</v>
          </cell>
          <cell r="V12">
            <v>0</v>
          </cell>
          <cell r="W12">
            <v>36</v>
          </cell>
          <cell r="X12">
            <v>30</v>
          </cell>
          <cell r="Y12">
            <v>0</v>
          </cell>
          <cell r="Z12">
            <v>35</v>
          </cell>
          <cell r="AA12">
            <v>30</v>
          </cell>
          <cell r="AB12">
            <v>0</v>
          </cell>
          <cell r="AC12">
            <v>30</v>
          </cell>
          <cell r="AD12">
            <v>0</v>
          </cell>
          <cell r="AE12">
            <v>0</v>
          </cell>
          <cell r="AF12">
            <v>36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37</v>
          </cell>
          <cell r="AL12">
            <v>0</v>
          </cell>
          <cell r="AM12">
            <v>0</v>
          </cell>
          <cell r="AN12">
            <v>32</v>
          </cell>
          <cell r="AO12">
            <v>31</v>
          </cell>
          <cell r="AP12">
            <v>0</v>
          </cell>
          <cell r="AQ12">
            <v>34</v>
          </cell>
          <cell r="AR12">
            <v>27</v>
          </cell>
          <cell r="AS12">
            <v>0</v>
          </cell>
          <cell r="AT12">
            <v>34</v>
          </cell>
          <cell r="AU12">
            <v>27</v>
          </cell>
          <cell r="AV12">
            <v>0</v>
          </cell>
          <cell r="AW12">
            <v>32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35</v>
          </cell>
          <cell r="BC12">
            <v>30</v>
          </cell>
          <cell r="BD12">
            <v>0</v>
          </cell>
          <cell r="BE12">
            <v>36</v>
          </cell>
          <cell r="BF12">
            <v>30</v>
          </cell>
          <cell r="BG12">
            <v>0</v>
          </cell>
          <cell r="BH12">
            <v>35</v>
          </cell>
          <cell r="BI12">
            <v>30</v>
          </cell>
          <cell r="BJ12">
            <v>0</v>
          </cell>
          <cell r="BK12">
            <v>30</v>
          </cell>
          <cell r="BL12">
            <v>0</v>
          </cell>
          <cell r="BM12">
            <v>0</v>
          </cell>
          <cell r="BN12">
            <v>36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16</v>
          </cell>
        </row>
        <row r="13">
          <cell r="A13">
            <v>92694</v>
          </cell>
          <cell r="B13" t="str">
            <v>WAHYU NUGROHO</v>
          </cell>
          <cell r="C13">
            <v>0</v>
          </cell>
          <cell r="D13">
            <v>31</v>
          </cell>
          <cell r="E13">
            <v>30</v>
          </cell>
          <cell r="F13">
            <v>0</v>
          </cell>
          <cell r="G13">
            <v>31</v>
          </cell>
          <cell r="H13">
            <v>32</v>
          </cell>
          <cell r="I13">
            <v>37</v>
          </cell>
          <cell r="J13">
            <v>30</v>
          </cell>
          <cell r="K13">
            <v>0</v>
          </cell>
          <cell r="L13">
            <v>34</v>
          </cell>
          <cell r="M13">
            <v>24</v>
          </cell>
          <cell r="N13">
            <v>28</v>
          </cell>
          <cell r="O13">
            <v>0</v>
          </cell>
          <cell r="P13">
            <v>33</v>
          </cell>
          <cell r="Q13">
            <v>24</v>
          </cell>
          <cell r="R13">
            <v>32</v>
          </cell>
          <cell r="S13">
            <v>23</v>
          </cell>
          <cell r="T13">
            <v>0</v>
          </cell>
          <cell r="U13">
            <v>38</v>
          </cell>
          <cell r="V13">
            <v>37</v>
          </cell>
          <cell r="W13">
            <v>39</v>
          </cell>
          <cell r="X13">
            <v>31</v>
          </cell>
          <cell r="Y13">
            <v>35</v>
          </cell>
          <cell r="Z13">
            <v>0</v>
          </cell>
          <cell r="AA13">
            <v>30</v>
          </cell>
          <cell r="AB13">
            <v>30</v>
          </cell>
          <cell r="AC13">
            <v>35</v>
          </cell>
          <cell r="AD13">
            <v>29</v>
          </cell>
          <cell r="AE13">
            <v>26</v>
          </cell>
          <cell r="AF13">
            <v>0</v>
          </cell>
          <cell r="AG13">
            <v>0</v>
          </cell>
          <cell r="AH13">
            <v>35</v>
          </cell>
          <cell r="AI13">
            <v>35</v>
          </cell>
          <cell r="AJ13">
            <v>28</v>
          </cell>
          <cell r="AK13">
            <v>0</v>
          </cell>
          <cell r="AL13">
            <v>31</v>
          </cell>
          <cell r="AM13">
            <v>30</v>
          </cell>
          <cell r="AN13">
            <v>0</v>
          </cell>
          <cell r="AO13">
            <v>31</v>
          </cell>
          <cell r="AP13">
            <v>32</v>
          </cell>
          <cell r="AQ13">
            <v>37</v>
          </cell>
          <cell r="AR13">
            <v>30</v>
          </cell>
          <cell r="AS13">
            <v>0</v>
          </cell>
          <cell r="AT13">
            <v>34</v>
          </cell>
          <cell r="AU13">
            <v>24</v>
          </cell>
          <cell r="AV13">
            <v>28</v>
          </cell>
          <cell r="AW13">
            <v>0</v>
          </cell>
          <cell r="AX13">
            <v>33</v>
          </cell>
          <cell r="AY13">
            <v>24</v>
          </cell>
          <cell r="AZ13">
            <v>32</v>
          </cell>
          <cell r="BA13">
            <v>23</v>
          </cell>
          <cell r="BB13">
            <v>0</v>
          </cell>
          <cell r="BC13">
            <v>38</v>
          </cell>
          <cell r="BD13">
            <v>37</v>
          </cell>
          <cell r="BE13">
            <v>39</v>
          </cell>
          <cell r="BF13">
            <v>31</v>
          </cell>
          <cell r="BG13">
            <v>35</v>
          </cell>
          <cell r="BH13">
            <v>0</v>
          </cell>
          <cell r="BI13">
            <v>30</v>
          </cell>
          <cell r="BJ13">
            <v>30</v>
          </cell>
          <cell r="BK13">
            <v>35</v>
          </cell>
          <cell r="BL13">
            <v>29</v>
          </cell>
          <cell r="BM13">
            <v>26</v>
          </cell>
          <cell r="BN13">
            <v>0</v>
          </cell>
          <cell r="BO13">
            <v>0</v>
          </cell>
          <cell r="BP13">
            <v>35</v>
          </cell>
          <cell r="BQ13">
            <v>35</v>
          </cell>
          <cell r="BR13">
            <v>28</v>
          </cell>
          <cell r="BS13">
            <v>26</v>
          </cell>
        </row>
        <row r="14">
          <cell r="A14">
            <v>92717</v>
          </cell>
          <cell r="B14" t="str">
            <v>GRESMILEN BILGIS</v>
          </cell>
          <cell r="C14">
            <v>0</v>
          </cell>
          <cell r="D14">
            <v>34</v>
          </cell>
          <cell r="E14">
            <v>33</v>
          </cell>
          <cell r="F14">
            <v>0</v>
          </cell>
          <cell r="G14">
            <v>37</v>
          </cell>
          <cell r="H14">
            <v>30</v>
          </cell>
          <cell r="I14">
            <v>0</v>
          </cell>
          <cell r="J14">
            <v>29</v>
          </cell>
          <cell r="K14">
            <v>31</v>
          </cell>
          <cell r="L14">
            <v>0</v>
          </cell>
          <cell r="M14">
            <v>26</v>
          </cell>
          <cell r="N14">
            <v>27</v>
          </cell>
          <cell r="O14">
            <v>0</v>
          </cell>
          <cell r="P14">
            <v>35</v>
          </cell>
          <cell r="Q14">
            <v>25</v>
          </cell>
          <cell r="R14">
            <v>39</v>
          </cell>
          <cell r="S14">
            <v>24</v>
          </cell>
          <cell r="T14">
            <v>0</v>
          </cell>
          <cell r="U14">
            <v>33</v>
          </cell>
          <cell r="V14">
            <v>33</v>
          </cell>
          <cell r="W14">
            <v>32</v>
          </cell>
          <cell r="X14">
            <v>31</v>
          </cell>
          <cell r="Y14">
            <v>39</v>
          </cell>
          <cell r="Z14">
            <v>0</v>
          </cell>
          <cell r="AA14">
            <v>33</v>
          </cell>
          <cell r="AB14">
            <v>33</v>
          </cell>
          <cell r="AC14">
            <v>35</v>
          </cell>
          <cell r="AD14">
            <v>30</v>
          </cell>
          <cell r="AE14">
            <v>31</v>
          </cell>
          <cell r="AF14">
            <v>0</v>
          </cell>
          <cell r="AG14">
            <v>36</v>
          </cell>
          <cell r="AH14">
            <v>30</v>
          </cell>
          <cell r="AI14">
            <v>34</v>
          </cell>
          <cell r="AJ14">
            <v>28</v>
          </cell>
          <cell r="AK14">
            <v>0</v>
          </cell>
          <cell r="AL14">
            <v>34</v>
          </cell>
          <cell r="AM14">
            <v>33</v>
          </cell>
          <cell r="AN14">
            <v>0</v>
          </cell>
          <cell r="AO14">
            <v>37</v>
          </cell>
          <cell r="AP14">
            <v>30</v>
          </cell>
          <cell r="AQ14">
            <v>0</v>
          </cell>
          <cell r="AR14">
            <v>29</v>
          </cell>
          <cell r="AS14">
            <v>31</v>
          </cell>
          <cell r="AT14">
            <v>0</v>
          </cell>
          <cell r="AU14">
            <v>26</v>
          </cell>
          <cell r="AV14">
            <v>27</v>
          </cell>
          <cell r="AW14">
            <v>0</v>
          </cell>
          <cell r="AX14">
            <v>35</v>
          </cell>
          <cell r="AY14">
            <v>25</v>
          </cell>
          <cell r="AZ14">
            <v>39</v>
          </cell>
          <cell r="BA14">
            <v>24</v>
          </cell>
          <cell r="BB14">
            <v>0</v>
          </cell>
          <cell r="BC14">
            <v>33</v>
          </cell>
          <cell r="BD14">
            <v>33</v>
          </cell>
          <cell r="BE14">
            <v>32</v>
          </cell>
          <cell r="BF14">
            <v>31</v>
          </cell>
          <cell r="BG14">
            <v>39</v>
          </cell>
          <cell r="BH14">
            <v>0</v>
          </cell>
          <cell r="BI14">
            <v>33</v>
          </cell>
          <cell r="BJ14">
            <v>33</v>
          </cell>
          <cell r="BK14">
            <v>35</v>
          </cell>
          <cell r="BL14">
            <v>30</v>
          </cell>
          <cell r="BM14">
            <v>31</v>
          </cell>
          <cell r="BN14">
            <v>0</v>
          </cell>
          <cell r="BO14">
            <v>36</v>
          </cell>
          <cell r="BP14">
            <v>30</v>
          </cell>
          <cell r="BQ14">
            <v>34</v>
          </cell>
          <cell r="BR14">
            <v>28</v>
          </cell>
          <cell r="BS14">
            <v>26</v>
          </cell>
        </row>
        <row r="15">
          <cell r="A15" t="str">
            <v>A2219</v>
          </cell>
          <cell r="B15" t="str">
            <v>AFRINDA THESALONIKA</v>
          </cell>
          <cell r="C15">
            <v>0</v>
          </cell>
          <cell r="D15">
            <v>22</v>
          </cell>
          <cell r="E15">
            <v>22</v>
          </cell>
          <cell r="F15">
            <v>0</v>
          </cell>
          <cell r="G15">
            <v>21</v>
          </cell>
          <cell r="H15">
            <v>21</v>
          </cell>
          <cell r="I15">
            <v>0</v>
          </cell>
          <cell r="J15">
            <v>21</v>
          </cell>
          <cell r="K15">
            <v>19</v>
          </cell>
          <cell r="L15">
            <v>0</v>
          </cell>
          <cell r="M15">
            <v>22</v>
          </cell>
          <cell r="N15">
            <v>21</v>
          </cell>
          <cell r="O15">
            <v>0</v>
          </cell>
          <cell r="P15">
            <v>22</v>
          </cell>
          <cell r="Q15">
            <v>17</v>
          </cell>
          <cell r="R15">
            <v>26</v>
          </cell>
          <cell r="S15">
            <v>20</v>
          </cell>
          <cell r="T15">
            <v>0</v>
          </cell>
          <cell r="U15">
            <v>23</v>
          </cell>
          <cell r="V15">
            <v>23</v>
          </cell>
          <cell r="W15">
            <v>0</v>
          </cell>
          <cell r="X15">
            <v>23</v>
          </cell>
          <cell r="Y15">
            <v>25</v>
          </cell>
          <cell r="Z15">
            <v>0</v>
          </cell>
          <cell r="AA15">
            <v>21</v>
          </cell>
          <cell r="AB15">
            <v>20</v>
          </cell>
          <cell r="AC15">
            <v>0</v>
          </cell>
          <cell r="AD15">
            <v>23</v>
          </cell>
          <cell r="AE15">
            <v>21</v>
          </cell>
          <cell r="AF15">
            <v>0</v>
          </cell>
          <cell r="AG15">
            <v>18</v>
          </cell>
          <cell r="AH15">
            <v>20</v>
          </cell>
          <cell r="AI15">
            <v>0</v>
          </cell>
          <cell r="AJ15">
            <v>0</v>
          </cell>
          <cell r="AK15">
            <v>0</v>
          </cell>
          <cell r="AL15">
            <v>22</v>
          </cell>
          <cell r="AM15">
            <v>22</v>
          </cell>
          <cell r="AN15">
            <v>0</v>
          </cell>
          <cell r="AO15">
            <v>21</v>
          </cell>
          <cell r="AP15">
            <v>21</v>
          </cell>
          <cell r="AQ15">
            <v>0</v>
          </cell>
          <cell r="AR15">
            <v>21</v>
          </cell>
          <cell r="AS15">
            <v>19</v>
          </cell>
          <cell r="AT15">
            <v>0</v>
          </cell>
          <cell r="AU15">
            <v>22</v>
          </cell>
          <cell r="AV15">
            <v>21</v>
          </cell>
          <cell r="AW15">
            <v>0</v>
          </cell>
          <cell r="AX15">
            <v>22</v>
          </cell>
          <cell r="AY15">
            <v>17</v>
          </cell>
          <cell r="AZ15">
            <v>26</v>
          </cell>
          <cell r="BA15">
            <v>20</v>
          </cell>
          <cell r="BB15">
            <v>0</v>
          </cell>
          <cell r="BC15">
            <v>23</v>
          </cell>
          <cell r="BD15">
            <v>23</v>
          </cell>
          <cell r="BE15">
            <v>0</v>
          </cell>
          <cell r="BF15">
            <v>23</v>
          </cell>
          <cell r="BG15">
            <v>25</v>
          </cell>
          <cell r="BH15">
            <v>0</v>
          </cell>
          <cell r="BI15">
            <v>21</v>
          </cell>
          <cell r="BJ15">
            <v>20</v>
          </cell>
          <cell r="BK15">
            <v>0</v>
          </cell>
          <cell r="BL15">
            <v>23</v>
          </cell>
          <cell r="BM15">
            <v>21</v>
          </cell>
          <cell r="BN15">
            <v>0</v>
          </cell>
          <cell r="BO15">
            <v>18</v>
          </cell>
          <cell r="BP15">
            <v>20</v>
          </cell>
          <cell r="BQ15">
            <v>0</v>
          </cell>
          <cell r="BR15">
            <v>0</v>
          </cell>
          <cell r="BS15">
            <v>22</v>
          </cell>
        </row>
        <row r="16">
          <cell r="A16" t="str">
            <v>A3437</v>
          </cell>
          <cell r="B16" t="str">
            <v>YOHANA CLAUDIA</v>
          </cell>
          <cell r="C16">
            <v>0</v>
          </cell>
          <cell r="D16">
            <v>30</v>
          </cell>
          <cell r="E16">
            <v>20</v>
          </cell>
          <cell r="F16">
            <v>22</v>
          </cell>
          <cell r="G16">
            <v>0</v>
          </cell>
          <cell r="H16">
            <v>0</v>
          </cell>
          <cell r="I16">
            <v>0</v>
          </cell>
          <cell r="J16">
            <v>26</v>
          </cell>
          <cell r="K16">
            <v>33</v>
          </cell>
          <cell r="L16">
            <v>0</v>
          </cell>
          <cell r="M16">
            <v>24</v>
          </cell>
          <cell r="N16">
            <v>24</v>
          </cell>
          <cell r="O16">
            <v>0</v>
          </cell>
          <cell r="P16">
            <v>25</v>
          </cell>
          <cell r="Q16">
            <v>16</v>
          </cell>
          <cell r="R16">
            <v>30</v>
          </cell>
          <cell r="S16">
            <v>24</v>
          </cell>
          <cell r="T16">
            <v>0</v>
          </cell>
          <cell r="U16">
            <v>31</v>
          </cell>
          <cell r="V16">
            <v>25</v>
          </cell>
          <cell r="W16">
            <v>20</v>
          </cell>
          <cell r="X16">
            <v>20</v>
          </cell>
          <cell r="Y16">
            <v>31</v>
          </cell>
          <cell r="Z16">
            <v>0</v>
          </cell>
          <cell r="AA16">
            <v>22</v>
          </cell>
          <cell r="AB16">
            <v>22</v>
          </cell>
          <cell r="AC16">
            <v>0</v>
          </cell>
          <cell r="AD16">
            <v>27</v>
          </cell>
          <cell r="AE16">
            <v>0</v>
          </cell>
          <cell r="AF16">
            <v>0</v>
          </cell>
          <cell r="AG16">
            <v>21</v>
          </cell>
          <cell r="AH16">
            <v>22</v>
          </cell>
          <cell r="AI16">
            <v>24</v>
          </cell>
          <cell r="AJ16">
            <v>16</v>
          </cell>
          <cell r="AK16">
            <v>0</v>
          </cell>
          <cell r="AL16">
            <v>30</v>
          </cell>
          <cell r="AM16">
            <v>20</v>
          </cell>
          <cell r="AN16">
            <v>22</v>
          </cell>
          <cell r="AO16">
            <v>0</v>
          </cell>
          <cell r="AP16">
            <v>0</v>
          </cell>
          <cell r="AQ16">
            <v>0</v>
          </cell>
          <cell r="AR16">
            <v>26</v>
          </cell>
          <cell r="AS16">
            <v>33</v>
          </cell>
          <cell r="AT16">
            <v>0</v>
          </cell>
          <cell r="AU16">
            <v>24</v>
          </cell>
          <cell r="AV16">
            <v>24</v>
          </cell>
          <cell r="AW16">
            <v>0</v>
          </cell>
          <cell r="AX16">
            <v>25</v>
          </cell>
          <cell r="AY16">
            <v>16</v>
          </cell>
          <cell r="AZ16">
            <v>30</v>
          </cell>
          <cell r="BA16">
            <v>24</v>
          </cell>
          <cell r="BB16">
            <v>0</v>
          </cell>
          <cell r="BC16">
            <v>31</v>
          </cell>
          <cell r="BD16">
            <v>25</v>
          </cell>
          <cell r="BE16">
            <v>20</v>
          </cell>
          <cell r="BF16">
            <v>20</v>
          </cell>
          <cell r="BG16">
            <v>31</v>
          </cell>
          <cell r="BH16">
            <v>0</v>
          </cell>
          <cell r="BI16">
            <v>22</v>
          </cell>
          <cell r="BJ16">
            <v>22</v>
          </cell>
          <cell r="BK16">
            <v>0</v>
          </cell>
          <cell r="BL16">
            <v>27</v>
          </cell>
          <cell r="BM16">
            <v>0</v>
          </cell>
          <cell r="BN16">
            <v>0</v>
          </cell>
          <cell r="BO16">
            <v>21</v>
          </cell>
          <cell r="BP16">
            <v>22</v>
          </cell>
          <cell r="BQ16">
            <v>24</v>
          </cell>
          <cell r="BR16">
            <v>16</v>
          </cell>
          <cell r="BS16">
            <v>23</v>
          </cell>
        </row>
        <row r="17">
          <cell r="A17">
            <v>92709</v>
          </cell>
          <cell r="B17" t="str">
            <v>DANY AHMAD FARRASTIO</v>
          </cell>
          <cell r="C17">
            <v>0</v>
          </cell>
          <cell r="D17">
            <v>30</v>
          </cell>
          <cell r="E17">
            <v>30</v>
          </cell>
          <cell r="F17">
            <v>25</v>
          </cell>
          <cell r="G17">
            <v>33</v>
          </cell>
          <cell r="H17">
            <v>33</v>
          </cell>
          <cell r="I17">
            <v>30</v>
          </cell>
          <cell r="J17">
            <v>30</v>
          </cell>
          <cell r="K17">
            <v>30</v>
          </cell>
          <cell r="L17">
            <v>0</v>
          </cell>
          <cell r="M17">
            <v>29</v>
          </cell>
          <cell r="N17">
            <v>28</v>
          </cell>
          <cell r="O17">
            <v>30</v>
          </cell>
          <cell r="P17">
            <v>0</v>
          </cell>
          <cell r="Q17">
            <v>27</v>
          </cell>
          <cell r="R17">
            <v>38</v>
          </cell>
          <cell r="S17">
            <v>0</v>
          </cell>
          <cell r="T17">
            <v>0</v>
          </cell>
          <cell r="U17">
            <v>33</v>
          </cell>
          <cell r="V17">
            <v>34</v>
          </cell>
          <cell r="W17">
            <v>0</v>
          </cell>
          <cell r="X17">
            <v>33</v>
          </cell>
          <cell r="Y17">
            <v>41</v>
          </cell>
          <cell r="Z17">
            <v>33</v>
          </cell>
          <cell r="AA17">
            <v>31</v>
          </cell>
          <cell r="AB17">
            <v>30</v>
          </cell>
          <cell r="AC17">
            <v>0</v>
          </cell>
          <cell r="AD17">
            <v>33</v>
          </cell>
          <cell r="AE17">
            <v>30</v>
          </cell>
          <cell r="AF17">
            <v>35</v>
          </cell>
          <cell r="AG17">
            <v>0</v>
          </cell>
          <cell r="AH17">
            <v>30</v>
          </cell>
          <cell r="AI17">
            <v>31</v>
          </cell>
          <cell r="AJ17">
            <v>28</v>
          </cell>
          <cell r="AK17">
            <v>0</v>
          </cell>
          <cell r="AL17">
            <v>30</v>
          </cell>
          <cell r="AM17">
            <v>30</v>
          </cell>
          <cell r="AN17">
            <v>25</v>
          </cell>
          <cell r="AO17">
            <v>33</v>
          </cell>
          <cell r="AP17">
            <v>33</v>
          </cell>
          <cell r="AQ17">
            <v>30</v>
          </cell>
          <cell r="AR17">
            <v>30</v>
          </cell>
          <cell r="AS17">
            <v>30</v>
          </cell>
          <cell r="AT17">
            <v>0</v>
          </cell>
          <cell r="AU17">
            <v>29</v>
          </cell>
          <cell r="AV17">
            <v>28</v>
          </cell>
          <cell r="AW17">
            <v>30</v>
          </cell>
          <cell r="AX17">
            <v>0</v>
          </cell>
          <cell r="AY17">
            <v>27</v>
          </cell>
          <cell r="AZ17">
            <v>38</v>
          </cell>
          <cell r="BA17">
            <v>0</v>
          </cell>
          <cell r="BB17">
            <v>0</v>
          </cell>
          <cell r="BC17">
            <v>33</v>
          </cell>
          <cell r="BD17">
            <v>34</v>
          </cell>
          <cell r="BE17">
            <v>0</v>
          </cell>
          <cell r="BF17">
            <v>33</v>
          </cell>
          <cell r="BG17">
            <v>41</v>
          </cell>
          <cell r="BH17">
            <v>33</v>
          </cell>
          <cell r="BI17">
            <v>31</v>
          </cell>
          <cell r="BJ17">
            <v>30</v>
          </cell>
          <cell r="BK17">
            <v>0</v>
          </cell>
          <cell r="BL17">
            <v>33</v>
          </cell>
          <cell r="BM17">
            <v>30</v>
          </cell>
          <cell r="BN17">
            <v>35</v>
          </cell>
          <cell r="BO17">
            <v>0</v>
          </cell>
          <cell r="BP17">
            <v>30</v>
          </cell>
          <cell r="BQ17">
            <v>31</v>
          </cell>
          <cell r="BR17">
            <v>28</v>
          </cell>
          <cell r="BS17">
            <v>26</v>
          </cell>
        </row>
        <row r="18">
          <cell r="A18" t="str">
            <v>A3442</v>
          </cell>
          <cell r="B18" t="str">
            <v>IRFAN FEBRIYANTORO</v>
          </cell>
          <cell r="C18">
            <v>0</v>
          </cell>
          <cell r="D18">
            <v>15</v>
          </cell>
          <cell r="E18">
            <v>16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16</v>
          </cell>
          <cell r="K18">
            <v>19</v>
          </cell>
          <cell r="L18">
            <v>0</v>
          </cell>
          <cell r="M18">
            <v>12</v>
          </cell>
          <cell r="N18">
            <v>16</v>
          </cell>
          <cell r="O18">
            <v>0</v>
          </cell>
          <cell r="P18">
            <v>16</v>
          </cell>
          <cell r="Q18">
            <v>17</v>
          </cell>
          <cell r="R18">
            <v>25</v>
          </cell>
          <cell r="S18">
            <v>19</v>
          </cell>
          <cell r="T18">
            <v>0</v>
          </cell>
          <cell r="U18">
            <v>20</v>
          </cell>
          <cell r="V18">
            <v>22</v>
          </cell>
          <cell r="W18">
            <v>0</v>
          </cell>
          <cell r="X18">
            <v>20</v>
          </cell>
          <cell r="Y18">
            <v>27</v>
          </cell>
          <cell r="Z18">
            <v>0</v>
          </cell>
          <cell r="AA18">
            <v>21</v>
          </cell>
          <cell r="AB18">
            <v>20</v>
          </cell>
          <cell r="AC18">
            <v>0</v>
          </cell>
          <cell r="AD18">
            <v>17</v>
          </cell>
          <cell r="AE18">
            <v>19</v>
          </cell>
          <cell r="AF18">
            <v>0</v>
          </cell>
          <cell r="AG18">
            <v>20</v>
          </cell>
          <cell r="AH18">
            <v>23</v>
          </cell>
          <cell r="AI18">
            <v>18</v>
          </cell>
          <cell r="AJ18">
            <v>19</v>
          </cell>
          <cell r="AK18">
            <v>0</v>
          </cell>
          <cell r="AL18">
            <v>15</v>
          </cell>
          <cell r="AM18">
            <v>16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16</v>
          </cell>
          <cell r="AS18">
            <v>19</v>
          </cell>
          <cell r="AT18">
            <v>0</v>
          </cell>
          <cell r="AU18">
            <v>12</v>
          </cell>
          <cell r="AV18">
            <v>16</v>
          </cell>
          <cell r="AW18">
            <v>0</v>
          </cell>
          <cell r="AX18">
            <v>16</v>
          </cell>
          <cell r="AY18">
            <v>17</v>
          </cell>
          <cell r="AZ18">
            <v>25</v>
          </cell>
          <cell r="BA18">
            <v>19</v>
          </cell>
          <cell r="BB18">
            <v>0</v>
          </cell>
          <cell r="BC18">
            <v>20</v>
          </cell>
          <cell r="BD18">
            <v>22</v>
          </cell>
          <cell r="BE18">
            <v>0</v>
          </cell>
          <cell r="BF18">
            <v>20</v>
          </cell>
          <cell r="BG18">
            <v>27</v>
          </cell>
          <cell r="BH18">
            <v>0</v>
          </cell>
          <cell r="BI18">
            <v>21</v>
          </cell>
          <cell r="BJ18">
            <v>20</v>
          </cell>
          <cell r="BK18">
            <v>0</v>
          </cell>
          <cell r="BL18">
            <v>17</v>
          </cell>
          <cell r="BM18">
            <v>19</v>
          </cell>
          <cell r="BN18">
            <v>0</v>
          </cell>
          <cell r="BO18">
            <v>20</v>
          </cell>
          <cell r="BP18">
            <v>23</v>
          </cell>
          <cell r="BQ18">
            <v>18</v>
          </cell>
          <cell r="BR18">
            <v>19</v>
          </cell>
          <cell r="BS18">
            <v>22</v>
          </cell>
        </row>
        <row r="19">
          <cell r="A19" t="str">
            <v>A1952</v>
          </cell>
          <cell r="B19" t="str">
            <v>LAURENSIUS AXEL RADITYA P</v>
          </cell>
          <cell r="C19">
            <v>24</v>
          </cell>
          <cell r="D19">
            <v>20</v>
          </cell>
          <cell r="E19">
            <v>17</v>
          </cell>
          <cell r="F19">
            <v>20</v>
          </cell>
          <cell r="G19">
            <v>20</v>
          </cell>
          <cell r="H19">
            <v>18</v>
          </cell>
          <cell r="I19">
            <v>23</v>
          </cell>
          <cell r="J19">
            <v>0</v>
          </cell>
          <cell r="K19">
            <v>21</v>
          </cell>
          <cell r="L19">
            <v>19</v>
          </cell>
          <cell r="M19">
            <v>0</v>
          </cell>
          <cell r="N19">
            <v>14</v>
          </cell>
          <cell r="O19">
            <v>0</v>
          </cell>
          <cell r="P19">
            <v>23</v>
          </cell>
          <cell r="Q19">
            <v>21</v>
          </cell>
          <cell r="R19">
            <v>23</v>
          </cell>
          <cell r="S19">
            <v>18</v>
          </cell>
          <cell r="T19">
            <v>25</v>
          </cell>
          <cell r="U19">
            <v>20</v>
          </cell>
          <cell r="V19">
            <v>22</v>
          </cell>
          <cell r="W19">
            <v>16</v>
          </cell>
          <cell r="X19">
            <v>23</v>
          </cell>
          <cell r="Y19">
            <v>20</v>
          </cell>
          <cell r="Z19">
            <v>17</v>
          </cell>
          <cell r="AA19">
            <v>24</v>
          </cell>
          <cell r="AB19">
            <v>20</v>
          </cell>
          <cell r="AC19">
            <v>23</v>
          </cell>
          <cell r="AD19">
            <v>0</v>
          </cell>
          <cell r="AE19">
            <v>0</v>
          </cell>
          <cell r="AF19">
            <v>19</v>
          </cell>
          <cell r="AG19">
            <v>23</v>
          </cell>
          <cell r="AH19">
            <v>21</v>
          </cell>
          <cell r="AI19">
            <v>20</v>
          </cell>
          <cell r="AJ19">
            <v>20</v>
          </cell>
          <cell r="AK19">
            <v>24</v>
          </cell>
          <cell r="AL19">
            <v>20</v>
          </cell>
          <cell r="AM19">
            <v>17</v>
          </cell>
          <cell r="AN19">
            <v>20</v>
          </cell>
          <cell r="AO19">
            <v>20</v>
          </cell>
          <cell r="AP19">
            <v>18</v>
          </cell>
          <cell r="AQ19">
            <v>23</v>
          </cell>
          <cell r="AR19">
            <v>0</v>
          </cell>
          <cell r="AS19">
            <v>21</v>
          </cell>
          <cell r="AT19">
            <v>19</v>
          </cell>
          <cell r="AU19">
            <v>0</v>
          </cell>
          <cell r="AV19">
            <v>14</v>
          </cell>
          <cell r="AW19">
            <v>0</v>
          </cell>
          <cell r="AX19">
            <v>23</v>
          </cell>
          <cell r="AY19">
            <v>21</v>
          </cell>
          <cell r="AZ19">
            <v>23</v>
          </cell>
          <cell r="BA19">
            <v>18</v>
          </cell>
          <cell r="BB19">
            <v>25</v>
          </cell>
          <cell r="BC19">
            <v>20</v>
          </cell>
          <cell r="BD19">
            <v>22</v>
          </cell>
          <cell r="BE19">
            <v>16</v>
          </cell>
          <cell r="BF19">
            <v>23</v>
          </cell>
          <cell r="BG19">
            <v>20</v>
          </cell>
          <cell r="BH19">
            <v>17</v>
          </cell>
          <cell r="BI19">
            <v>24</v>
          </cell>
          <cell r="BJ19">
            <v>20</v>
          </cell>
          <cell r="BK19">
            <v>23</v>
          </cell>
          <cell r="BL19">
            <v>0</v>
          </cell>
          <cell r="BM19">
            <v>0</v>
          </cell>
          <cell r="BN19">
            <v>19</v>
          </cell>
          <cell r="BO19">
            <v>23</v>
          </cell>
          <cell r="BP19">
            <v>21</v>
          </cell>
          <cell r="BQ19">
            <v>20</v>
          </cell>
          <cell r="BR19">
            <v>20</v>
          </cell>
          <cell r="BS19">
            <v>29</v>
          </cell>
        </row>
        <row r="20">
          <cell r="A20">
            <v>92403</v>
          </cell>
          <cell r="B20" t="str">
            <v>AULIA ASHFAHANI</v>
          </cell>
          <cell r="C20">
            <v>24</v>
          </cell>
          <cell r="D20">
            <v>20</v>
          </cell>
          <cell r="E20">
            <v>0</v>
          </cell>
          <cell r="F20">
            <v>21</v>
          </cell>
          <cell r="G20">
            <v>21</v>
          </cell>
          <cell r="H20">
            <v>0</v>
          </cell>
          <cell r="I20">
            <v>21</v>
          </cell>
          <cell r="J20">
            <v>21</v>
          </cell>
          <cell r="K20">
            <v>0</v>
          </cell>
          <cell r="L20">
            <v>22</v>
          </cell>
          <cell r="M20">
            <v>20</v>
          </cell>
          <cell r="N20">
            <v>0</v>
          </cell>
          <cell r="O20">
            <v>23</v>
          </cell>
          <cell r="P20">
            <v>21</v>
          </cell>
          <cell r="Q20">
            <v>0</v>
          </cell>
          <cell r="R20">
            <v>0</v>
          </cell>
          <cell r="S20">
            <v>0</v>
          </cell>
          <cell r="T20">
            <v>23</v>
          </cell>
          <cell r="U20">
            <v>21</v>
          </cell>
          <cell r="V20">
            <v>0</v>
          </cell>
          <cell r="W20">
            <v>25</v>
          </cell>
          <cell r="X20">
            <v>21</v>
          </cell>
          <cell r="Y20">
            <v>0</v>
          </cell>
          <cell r="Z20">
            <v>27</v>
          </cell>
          <cell r="AA20">
            <v>20</v>
          </cell>
          <cell r="AB20">
            <v>0</v>
          </cell>
          <cell r="AC20">
            <v>22</v>
          </cell>
          <cell r="AD20">
            <v>23</v>
          </cell>
          <cell r="AE20">
            <v>0</v>
          </cell>
          <cell r="AF20">
            <v>20</v>
          </cell>
          <cell r="AG20">
            <v>22</v>
          </cell>
          <cell r="AH20">
            <v>0</v>
          </cell>
          <cell r="AI20">
            <v>0</v>
          </cell>
          <cell r="AJ20">
            <v>0</v>
          </cell>
          <cell r="AK20">
            <v>24</v>
          </cell>
          <cell r="AL20">
            <v>20</v>
          </cell>
          <cell r="AM20">
            <v>0</v>
          </cell>
          <cell r="AN20">
            <v>21</v>
          </cell>
          <cell r="AO20">
            <v>21</v>
          </cell>
          <cell r="AP20">
            <v>0</v>
          </cell>
          <cell r="AQ20">
            <v>21</v>
          </cell>
          <cell r="AR20">
            <v>21</v>
          </cell>
          <cell r="AS20">
            <v>0</v>
          </cell>
          <cell r="AT20">
            <v>22</v>
          </cell>
          <cell r="AU20">
            <v>20</v>
          </cell>
          <cell r="AV20">
            <v>0</v>
          </cell>
          <cell r="AW20">
            <v>23</v>
          </cell>
          <cell r="AX20">
            <v>21</v>
          </cell>
          <cell r="AY20">
            <v>0</v>
          </cell>
          <cell r="AZ20">
            <v>0</v>
          </cell>
          <cell r="BA20">
            <v>0</v>
          </cell>
          <cell r="BB20">
            <v>23</v>
          </cell>
          <cell r="BC20">
            <v>21</v>
          </cell>
          <cell r="BD20">
            <v>0</v>
          </cell>
          <cell r="BE20">
            <v>25</v>
          </cell>
          <cell r="BF20">
            <v>21</v>
          </cell>
          <cell r="BG20">
            <v>0</v>
          </cell>
          <cell r="BH20">
            <v>27</v>
          </cell>
          <cell r="BI20">
            <v>20</v>
          </cell>
          <cell r="BJ20">
            <v>0</v>
          </cell>
          <cell r="BK20">
            <v>22</v>
          </cell>
          <cell r="BL20">
            <v>23</v>
          </cell>
          <cell r="BM20">
            <v>0</v>
          </cell>
          <cell r="BN20">
            <v>20</v>
          </cell>
          <cell r="BO20">
            <v>22</v>
          </cell>
          <cell r="BP20">
            <v>0</v>
          </cell>
          <cell r="BQ20">
            <v>0</v>
          </cell>
          <cell r="BR20">
            <v>0</v>
          </cell>
          <cell r="BS20">
            <v>20</v>
          </cell>
        </row>
        <row r="21">
          <cell r="A21">
            <v>90363</v>
          </cell>
          <cell r="B21" t="str">
            <v>NURMA HAYU</v>
          </cell>
          <cell r="C21">
            <v>0</v>
          </cell>
          <cell r="D21">
            <v>35</v>
          </cell>
          <cell r="E21">
            <v>41</v>
          </cell>
          <cell r="F21">
            <v>0</v>
          </cell>
          <cell r="G21">
            <v>38</v>
          </cell>
          <cell r="H21">
            <v>34</v>
          </cell>
          <cell r="I21">
            <v>0</v>
          </cell>
          <cell r="J21">
            <v>37</v>
          </cell>
          <cell r="K21">
            <v>32</v>
          </cell>
          <cell r="L21">
            <v>0</v>
          </cell>
          <cell r="M21">
            <v>33</v>
          </cell>
          <cell r="N21">
            <v>30</v>
          </cell>
          <cell r="O21">
            <v>0</v>
          </cell>
          <cell r="P21">
            <v>37</v>
          </cell>
          <cell r="Q21">
            <v>33</v>
          </cell>
          <cell r="R21">
            <v>39</v>
          </cell>
          <cell r="S21">
            <v>30</v>
          </cell>
          <cell r="T21">
            <v>0</v>
          </cell>
          <cell r="U21">
            <v>41</v>
          </cell>
          <cell r="V21">
            <v>37</v>
          </cell>
          <cell r="W21">
            <v>35</v>
          </cell>
          <cell r="X21">
            <v>33</v>
          </cell>
          <cell r="Y21">
            <v>41</v>
          </cell>
          <cell r="Z21">
            <v>0</v>
          </cell>
          <cell r="AA21">
            <v>34</v>
          </cell>
          <cell r="AB21">
            <v>33</v>
          </cell>
          <cell r="AC21">
            <v>38</v>
          </cell>
          <cell r="AD21">
            <v>33</v>
          </cell>
          <cell r="AE21">
            <v>34</v>
          </cell>
          <cell r="AF21">
            <v>0</v>
          </cell>
          <cell r="AG21">
            <v>36</v>
          </cell>
          <cell r="AH21">
            <v>37</v>
          </cell>
          <cell r="AI21">
            <v>37</v>
          </cell>
          <cell r="AJ21">
            <v>32</v>
          </cell>
          <cell r="AK21">
            <v>0</v>
          </cell>
          <cell r="AL21">
            <v>35</v>
          </cell>
          <cell r="AM21">
            <v>41</v>
          </cell>
          <cell r="AN21">
            <v>0</v>
          </cell>
          <cell r="AO21">
            <v>38</v>
          </cell>
          <cell r="AP21">
            <v>34</v>
          </cell>
          <cell r="AQ21">
            <v>0</v>
          </cell>
          <cell r="AR21">
            <v>37</v>
          </cell>
          <cell r="AS21">
            <v>32</v>
          </cell>
          <cell r="AT21">
            <v>0</v>
          </cell>
          <cell r="AU21">
            <v>33</v>
          </cell>
          <cell r="AV21">
            <v>30</v>
          </cell>
          <cell r="AW21">
            <v>0</v>
          </cell>
          <cell r="AX21">
            <v>37</v>
          </cell>
          <cell r="AY21">
            <v>33</v>
          </cell>
          <cell r="AZ21">
            <v>39</v>
          </cell>
          <cell r="BA21">
            <v>30</v>
          </cell>
          <cell r="BB21">
            <v>0</v>
          </cell>
          <cell r="BC21">
            <v>41</v>
          </cell>
          <cell r="BD21">
            <v>37</v>
          </cell>
          <cell r="BE21">
            <v>35</v>
          </cell>
          <cell r="BF21">
            <v>33</v>
          </cell>
          <cell r="BG21">
            <v>41</v>
          </cell>
          <cell r="BH21">
            <v>0</v>
          </cell>
          <cell r="BI21">
            <v>34</v>
          </cell>
          <cell r="BJ21">
            <v>33</v>
          </cell>
          <cell r="BK21">
            <v>38</v>
          </cell>
          <cell r="BL21">
            <v>33</v>
          </cell>
          <cell r="BM21">
            <v>34</v>
          </cell>
          <cell r="BN21">
            <v>0</v>
          </cell>
          <cell r="BO21">
            <v>36</v>
          </cell>
          <cell r="BP21">
            <v>37</v>
          </cell>
          <cell r="BQ21">
            <v>37</v>
          </cell>
          <cell r="BR21">
            <v>32</v>
          </cell>
          <cell r="BS21">
            <v>26</v>
          </cell>
        </row>
        <row r="22">
          <cell r="A22" t="str">
            <v>A0088</v>
          </cell>
          <cell r="B22" t="str">
            <v>OGI SHOFIA EKA ANISIA</v>
          </cell>
          <cell r="C22">
            <v>0</v>
          </cell>
          <cell r="D22">
            <v>22</v>
          </cell>
          <cell r="E22">
            <v>23</v>
          </cell>
          <cell r="F22">
            <v>0</v>
          </cell>
          <cell r="G22">
            <v>22</v>
          </cell>
          <cell r="H22">
            <v>20</v>
          </cell>
          <cell r="I22">
            <v>0</v>
          </cell>
          <cell r="J22">
            <v>27</v>
          </cell>
          <cell r="K22">
            <v>25</v>
          </cell>
          <cell r="L22">
            <v>0</v>
          </cell>
          <cell r="M22">
            <v>21</v>
          </cell>
          <cell r="N22">
            <v>19</v>
          </cell>
          <cell r="O22">
            <v>0</v>
          </cell>
          <cell r="P22">
            <v>27</v>
          </cell>
          <cell r="Q22">
            <v>30</v>
          </cell>
          <cell r="R22">
            <v>23</v>
          </cell>
          <cell r="S22">
            <v>17</v>
          </cell>
          <cell r="T22">
            <v>0</v>
          </cell>
          <cell r="U22">
            <v>30</v>
          </cell>
          <cell r="V22">
            <v>28</v>
          </cell>
          <cell r="W22">
            <v>0</v>
          </cell>
          <cell r="X22">
            <v>28</v>
          </cell>
          <cell r="Y22">
            <v>35</v>
          </cell>
          <cell r="Z22">
            <v>0</v>
          </cell>
          <cell r="AA22">
            <v>28</v>
          </cell>
          <cell r="AB22">
            <v>30</v>
          </cell>
          <cell r="AC22">
            <v>0</v>
          </cell>
          <cell r="AD22">
            <v>25</v>
          </cell>
          <cell r="AE22">
            <v>23</v>
          </cell>
          <cell r="AF22">
            <v>0</v>
          </cell>
          <cell r="AG22">
            <v>27</v>
          </cell>
          <cell r="AH22">
            <v>24</v>
          </cell>
          <cell r="AI22">
            <v>0</v>
          </cell>
          <cell r="AJ22">
            <v>0</v>
          </cell>
          <cell r="AK22">
            <v>0</v>
          </cell>
          <cell r="AL22">
            <v>22</v>
          </cell>
          <cell r="AM22">
            <v>23</v>
          </cell>
          <cell r="AN22">
            <v>0</v>
          </cell>
          <cell r="AO22">
            <v>22</v>
          </cell>
          <cell r="AP22">
            <v>20</v>
          </cell>
          <cell r="AQ22">
            <v>0</v>
          </cell>
          <cell r="AR22">
            <v>27</v>
          </cell>
          <cell r="AS22">
            <v>25</v>
          </cell>
          <cell r="AT22">
            <v>0</v>
          </cell>
          <cell r="AU22">
            <v>21</v>
          </cell>
          <cell r="AV22">
            <v>19</v>
          </cell>
          <cell r="AW22">
            <v>0</v>
          </cell>
          <cell r="AX22">
            <v>27</v>
          </cell>
          <cell r="AY22">
            <v>30</v>
          </cell>
          <cell r="AZ22">
            <v>23</v>
          </cell>
          <cell r="BA22">
            <v>17</v>
          </cell>
          <cell r="BB22">
            <v>0</v>
          </cell>
          <cell r="BC22">
            <v>30</v>
          </cell>
          <cell r="BD22">
            <v>28</v>
          </cell>
          <cell r="BE22">
            <v>0</v>
          </cell>
          <cell r="BF22">
            <v>28</v>
          </cell>
          <cell r="BG22">
            <v>35</v>
          </cell>
          <cell r="BH22">
            <v>0</v>
          </cell>
          <cell r="BI22">
            <v>28</v>
          </cell>
          <cell r="BJ22">
            <v>30</v>
          </cell>
          <cell r="BK22">
            <v>0</v>
          </cell>
          <cell r="BL22">
            <v>25</v>
          </cell>
          <cell r="BM22">
            <v>23</v>
          </cell>
          <cell r="BN22">
            <v>0</v>
          </cell>
          <cell r="BO22">
            <v>27</v>
          </cell>
          <cell r="BP22">
            <v>24</v>
          </cell>
          <cell r="BQ22">
            <v>0</v>
          </cell>
          <cell r="BR22">
            <v>0</v>
          </cell>
          <cell r="BS22">
            <v>22</v>
          </cell>
        </row>
        <row r="23">
          <cell r="A23">
            <v>90933</v>
          </cell>
          <cell r="B23" t="str">
            <v>REZA DESTI VAUZIA</v>
          </cell>
          <cell r="C23">
            <v>0</v>
          </cell>
          <cell r="D23">
            <v>37</v>
          </cell>
          <cell r="E23">
            <v>37</v>
          </cell>
          <cell r="F23">
            <v>0</v>
          </cell>
          <cell r="G23">
            <v>34</v>
          </cell>
          <cell r="H23">
            <v>36</v>
          </cell>
          <cell r="I23">
            <v>0</v>
          </cell>
          <cell r="J23">
            <v>33</v>
          </cell>
          <cell r="K23">
            <v>41</v>
          </cell>
          <cell r="L23">
            <v>0</v>
          </cell>
          <cell r="M23">
            <v>31</v>
          </cell>
          <cell r="N23">
            <v>31</v>
          </cell>
          <cell r="O23">
            <v>0</v>
          </cell>
          <cell r="P23">
            <v>32</v>
          </cell>
          <cell r="Q23">
            <v>30</v>
          </cell>
          <cell r="R23">
            <v>34</v>
          </cell>
          <cell r="S23">
            <v>26</v>
          </cell>
          <cell r="T23">
            <v>0</v>
          </cell>
          <cell r="U23">
            <v>37</v>
          </cell>
          <cell r="V23">
            <v>34</v>
          </cell>
          <cell r="W23">
            <v>0</v>
          </cell>
          <cell r="X23">
            <v>34</v>
          </cell>
          <cell r="Y23">
            <v>45</v>
          </cell>
          <cell r="Z23">
            <v>34</v>
          </cell>
          <cell r="AA23">
            <v>32</v>
          </cell>
          <cell r="AB23">
            <v>30</v>
          </cell>
          <cell r="AC23">
            <v>0</v>
          </cell>
          <cell r="AD23">
            <v>30</v>
          </cell>
          <cell r="AE23">
            <v>30</v>
          </cell>
          <cell r="AF23">
            <v>0</v>
          </cell>
          <cell r="AG23">
            <v>30</v>
          </cell>
          <cell r="AH23">
            <v>30</v>
          </cell>
          <cell r="AI23">
            <v>30</v>
          </cell>
          <cell r="AJ23">
            <v>30</v>
          </cell>
          <cell r="AK23">
            <v>0</v>
          </cell>
          <cell r="AL23">
            <v>37</v>
          </cell>
          <cell r="AM23">
            <v>37</v>
          </cell>
          <cell r="AN23">
            <v>0</v>
          </cell>
          <cell r="AO23">
            <v>34</v>
          </cell>
          <cell r="AP23">
            <v>36</v>
          </cell>
          <cell r="AQ23">
            <v>0</v>
          </cell>
          <cell r="AR23">
            <v>33</v>
          </cell>
          <cell r="AS23">
            <v>41</v>
          </cell>
          <cell r="AT23">
            <v>0</v>
          </cell>
          <cell r="AU23">
            <v>31</v>
          </cell>
          <cell r="AV23">
            <v>31</v>
          </cell>
          <cell r="AW23">
            <v>0</v>
          </cell>
          <cell r="AX23">
            <v>32</v>
          </cell>
          <cell r="AY23">
            <v>30</v>
          </cell>
          <cell r="AZ23">
            <v>34</v>
          </cell>
          <cell r="BA23">
            <v>26</v>
          </cell>
          <cell r="BB23">
            <v>0</v>
          </cell>
          <cell r="BC23">
            <v>37</v>
          </cell>
          <cell r="BD23">
            <v>34</v>
          </cell>
          <cell r="BE23">
            <v>0</v>
          </cell>
          <cell r="BF23">
            <v>34</v>
          </cell>
          <cell r="BG23">
            <v>45</v>
          </cell>
          <cell r="BH23">
            <v>34</v>
          </cell>
          <cell r="BI23">
            <v>32</v>
          </cell>
          <cell r="BJ23">
            <v>30</v>
          </cell>
          <cell r="BK23">
            <v>0</v>
          </cell>
          <cell r="BL23">
            <v>30</v>
          </cell>
          <cell r="BM23">
            <v>30</v>
          </cell>
          <cell r="BN23">
            <v>0</v>
          </cell>
          <cell r="BO23">
            <v>30</v>
          </cell>
          <cell r="BP23">
            <v>30</v>
          </cell>
          <cell r="BQ23">
            <v>30</v>
          </cell>
          <cell r="BR23">
            <v>30</v>
          </cell>
          <cell r="BS23">
            <v>25</v>
          </cell>
        </row>
        <row r="24">
          <cell r="A24" t="str">
            <v>A4333</v>
          </cell>
          <cell r="B24" t="str">
            <v>GALUH SAFITRI</v>
          </cell>
          <cell r="C24">
            <v>0</v>
          </cell>
          <cell r="D24">
            <v>17</v>
          </cell>
          <cell r="E24">
            <v>0</v>
          </cell>
          <cell r="F24">
            <v>14</v>
          </cell>
          <cell r="G24">
            <v>17</v>
          </cell>
          <cell r="H24">
            <v>0</v>
          </cell>
          <cell r="I24">
            <v>17</v>
          </cell>
          <cell r="J24">
            <v>16</v>
          </cell>
          <cell r="K24">
            <v>0</v>
          </cell>
          <cell r="L24">
            <v>18</v>
          </cell>
          <cell r="M24">
            <v>14</v>
          </cell>
          <cell r="N24">
            <v>0</v>
          </cell>
          <cell r="O24">
            <v>0</v>
          </cell>
          <cell r="P24">
            <v>17</v>
          </cell>
          <cell r="Q24">
            <v>0</v>
          </cell>
          <cell r="R24">
            <v>0</v>
          </cell>
          <cell r="S24">
            <v>13</v>
          </cell>
          <cell r="T24">
            <v>20</v>
          </cell>
          <cell r="U24">
            <v>0</v>
          </cell>
          <cell r="V24">
            <v>0</v>
          </cell>
          <cell r="W24">
            <v>21</v>
          </cell>
          <cell r="X24">
            <v>25</v>
          </cell>
          <cell r="Y24">
            <v>0</v>
          </cell>
          <cell r="Z24">
            <v>20</v>
          </cell>
          <cell r="AA24">
            <v>0</v>
          </cell>
          <cell r="AB24">
            <v>0</v>
          </cell>
          <cell r="AC24">
            <v>19</v>
          </cell>
          <cell r="AD24">
            <v>0</v>
          </cell>
          <cell r="AE24">
            <v>0</v>
          </cell>
          <cell r="AF24">
            <v>19</v>
          </cell>
          <cell r="AG24">
            <v>20</v>
          </cell>
          <cell r="AH24">
            <v>0</v>
          </cell>
          <cell r="AI24">
            <v>18</v>
          </cell>
          <cell r="AJ24">
            <v>18</v>
          </cell>
          <cell r="AK24">
            <v>0</v>
          </cell>
          <cell r="AL24">
            <v>17</v>
          </cell>
          <cell r="AM24">
            <v>0</v>
          </cell>
          <cell r="AN24">
            <v>14</v>
          </cell>
          <cell r="AO24">
            <v>17</v>
          </cell>
          <cell r="AP24">
            <v>0</v>
          </cell>
          <cell r="AQ24">
            <v>17</v>
          </cell>
          <cell r="AR24">
            <v>16</v>
          </cell>
          <cell r="AS24">
            <v>0</v>
          </cell>
          <cell r="AT24">
            <v>18</v>
          </cell>
          <cell r="AU24">
            <v>14</v>
          </cell>
          <cell r="AV24">
            <v>0</v>
          </cell>
          <cell r="AW24">
            <v>0</v>
          </cell>
          <cell r="AX24">
            <v>17</v>
          </cell>
          <cell r="AY24">
            <v>0</v>
          </cell>
          <cell r="AZ24">
            <v>0</v>
          </cell>
          <cell r="BA24">
            <v>13</v>
          </cell>
          <cell r="BB24">
            <v>20</v>
          </cell>
          <cell r="BC24">
            <v>0</v>
          </cell>
          <cell r="BD24">
            <v>0</v>
          </cell>
          <cell r="BE24">
            <v>21</v>
          </cell>
          <cell r="BF24">
            <v>25</v>
          </cell>
          <cell r="BG24">
            <v>0</v>
          </cell>
          <cell r="BH24">
            <v>20</v>
          </cell>
          <cell r="BI24">
            <v>0</v>
          </cell>
          <cell r="BJ24">
            <v>0</v>
          </cell>
          <cell r="BK24">
            <v>19</v>
          </cell>
          <cell r="BL24">
            <v>0</v>
          </cell>
          <cell r="BM24">
            <v>0</v>
          </cell>
          <cell r="BN24">
            <v>19</v>
          </cell>
          <cell r="BO24">
            <v>20</v>
          </cell>
          <cell r="BP24">
            <v>0</v>
          </cell>
          <cell r="BQ24">
            <v>18</v>
          </cell>
          <cell r="BR24">
            <v>18</v>
          </cell>
          <cell r="BS24">
            <v>18</v>
          </cell>
        </row>
        <row r="25">
          <cell r="A25" t="str">
            <v>A4334</v>
          </cell>
          <cell r="B25" t="str">
            <v>MUHAMMAD WAHYU</v>
          </cell>
          <cell r="C25">
            <v>19</v>
          </cell>
          <cell r="D25">
            <v>0</v>
          </cell>
          <cell r="E25">
            <v>20</v>
          </cell>
          <cell r="F25">
            <v>0</v>
          </cell>
          <cell r="G25">
            <v>18</v>
          </cell>
          <cell r="H25">
            <v>16</v>
          </cell>
          <cell r="I25">
            <v>0</v>
          </cell>
          <cell r="J25">
            <v>0</v>
          </cell>
          <cell r="K25">
            <v>19</v>
          </cell>
          <cell r="L25">
            <v>0</v>
          </cell>
          <cell r="M25">
            <v>0</v>
          </cell>
          <cell r="N25">
            <v>18</v>
          </cell>
          <cell r="O25">
            <v>18</v>
          </cell>
          <cell r="P25">
            <v>18</v>
          </cell>
          <cell r="Q25">
            <v>0</v>
          </cell>
          <cell r="R25">
            <v>21</v>
          </cell>
          <cell r="S25">
            <v>18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25</v>
          </cell>
          <cell r="Z25">
            <v>0</v>
          </cell>
          <cell r="AA25">
            <v>0</v>
          </cell>
          <cell r="AB25">
            <v>20</v>
          </cell>
          <cell r="AC25">
            <v>22</v>
          </cell>
          <cell r="AD25">
            <v>0</v>
          </cell>
          <cell r="AE25">
            <v>0</v>
          </cell>
          <cell r="AF25">
            <v>0</v>
          </cell>
          <cell r="AG25">
            <v>16</v>
          </cell>
          <cell r="AH25">
            <v>22</v>
          </cell>
          <cell r="AI25">
            <v>20</v>
          </cell>
          <cell r="AJ25">
            <v>20</v>
          </cell>
          <cell r="AK25">
            <v>19</v>
          </cell>
          <cell r="AL25">
            <v>0</v>
          </cell>
          <cell r="AM25">
            <v>20</v>
          </cell>
          <cell r="AN25">
            <v>0</v>
          </cell>
          <cell r="AO25">
            <v>18</v>
          </cell>
          <cell r="AP25">
            <v>16</v>
          </cell>
          <cell r="AQ25">
            <v>0</v>
          </cell>
          <cell r="AR25">
            <v>0</v>
          </cell>
          <cell r="AS25">
            <v>19</v>
          </cell>
          <cell r="AT25">
            <v>0</v>
          </cell>
          <cell r="AU25">
            <v>0</v>
          </cell>
          <cell r="AV25">
            <v>18</v>
          </cell>
          <cell r="AW25">
            <v>18</v>
          </cell>
          <cell r="AX25">
            <v>18</v>
          </cell>
          <cell r="AY25">
            <v>0</v>
          </cell>
          <cell r="AZ25">
            <v>21</v>
          </cell>
          <cell r="BA25">
            <v>18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25</v>
          </cell>
          <cell r="BH25">
            <v>0</v>
          </cell>
          <cell r="BI25">
            <v>0</v>
          </cell>
          <cell r="BJ25">
            <v>20</v>
          </cell>
          <cell r="BK25">
            <v>22</v>
          </cell>
          <cell r="BL25">
            <v>0</v>
          </cell>
          <cell r="BM25">
            <v>0</v>
          </cell>
          <cell r="BN25">
            <v>0</v>
          </cell>
          <cell r="BO25">
            <v>16</v>
          </cell>
          <cell r="BP25">
            <v>22</v>
          </cell>
          <cell r="BQ25">
            <v>20</v>
          </cell>
          <cell r="BR25">
            <v>20</v>
          </cell>
          <cell r="BS25">
            <v>17</v>
          </cell>
        </row>
        <row r="26">
          <cell r="A26" t="str">
            <v>A4370</v>
          </cell>
          <cell r="B26" t="str">
            <v>ERLANGGA ADIALAM</v>
          </cell>
          <cell r="C26">
            <v>0</v>
          </cell>
          <cell r="D26">
            <v>15</v>
          </cell>
          <cell r="E26">
            <v>15</v>
          </cell>
          <cell r="F26">
            <v>0</v>
          </cell>
          <cell r="G26">
            <v>0</v>
          </cell>
          <cell r="H26">
            <v>15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15</v>
          </cell>
          <cell r="R26">
            <v>0</v>
          </cell>
          <cell r="S26">
            <v>13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19</v>
          </cell>
          <cell r="AG26">
            <v>14</v>
          </cell>
          <cell r="AH26">
            <v>0</v>
          </cell>
          <cell r="AI26">
            <v>24</v>
          </cell>
          <cell r="AJ26">
            <v>18</v>
          </cell>
          <cell r="AK26">
            <v>0</v>
          </cell>
          <cell r="AL26">
            <v>15</v>
          </cell>
          <cell r="AM26">
            <v>15</v>
          </cell>
          <cell r="AN26">
            <v>0</v>
          </cell>
          <cell r="AO26">
            <v>0</v>
          </cell>
          <cell r="AP26">
            <v>15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15</v>
          </cell>
          <cell r="AZ26">
            <v>0</v>
          </cell>
          <cell r="BA26">
            <v>13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19</v>
          </cell>
          <cell r="BO26">
            <v>14</v>
          </cell>
          <cell r="BP26">
            <v>0</v>
          </cell>
          <cell r="BQ26">
            <v>24</v>
          </cell>
          <cell r="BR26">
            <v>18</v>
          </cell>
          <cell r="BS26">
            <v>9</v>
          </cell>
        </row>
        <row r="27">
          <cell r="A27" t="str">
            <v>A4371</v>
          </cell>
          <cell r="B27" t="str">
            <v>DEANDRA AUREL AZELI</v>
          </cell>
          <cell r="C27">
            <v>0</v>
          </cell>
          <cell r="D27">
            <v>0</v>
          </cell>
          <cell r="E27">
            <v>16</v>
          </cell>
          <cell r="F27">
            <v>0</v>
          </cell>
          <cell r="G27">
            <v>0</v>
          </cell>
          <cell r="H27">
            <v>12</v>
          </cell>
          <cell r="I27">
            <v>16</v>
          </cell>
          <cell r="J27">
            <v>12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15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19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16</v>
          </cell>
          <cell r="AN27">
            <v>0</v>
          </cell>
          <cell r="AO27">
            <v>0</v>
          </cell>
          <cell r="AP27">
            <v>12</v>
          </cell>
          <cell r="AQ27">
            <v>16</v>
          </cell>
          <cell r="AR27">
            <v>12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15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19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6</v>
          </cell>
        </row>
        <row r="28">
          <cell r="A28" t="str">
            <v>A0072</v>
          </cell>
          <cell r="B28" t="str">
            <v>RAHMAD DWI ADRIAN</v>
          </cell>
          <cell r="C28">
            <v>0</v>
          </cell>
          <cell r="D28">
            <v>37</v>
          </cell>
          <cell r="E28">
            <v>30</v>
          </cell>
          <cell r="F28">
            <v>0</v>
          </cell>
          <cell r="G28">
            <v>31</v>
          </cell>
          <cell r="H28">
            <v>30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34</v>
          </cell>
          <cell r="N28">
            <v>31</v>
          </cell>
          <cell r="O28">
            <v>0</v>
          </cell>
          <cell r="P28">
            <v>42</v>
          </cell>
          <cell r="Q28">
            <v>32</v>
          </cell>
          <cell r="R28">
            <v>40</v>
          </cell>
          <cell r="S28">
            <v>32</v>
          </cell>
          <cell r="T28">
            <v>0</v>
          </cell>
          <cell r="U28">
            <v>40</v>
          </cell>
          <cell r="V28">
            <v>41</v>
          </cell>
          <cell r="W28">
            <v>0</v>
          </cell>
          <cell r="X28">
            <v>42</v>
          </cell>
          <cell r="Y28">
            <v>45</v>
          </cell>
          <cell r="Z28">
            <v>0</v>
          </cell>
          <cell r="AA28">
            <v>38</v>
          </cell>
          <cell r="AB28">
            <v>39</v>
          </cell>
          <cell r="AC28">
            <v>0</v>
          </cell>
          <cell r="AD28">
            <v>38</v>
          </cell>
          <cell r="AE28">
            <v>36</v>
          </cell>
          <cell r="AF28">
            <v>0</v>
          </cell>
          <cell r="AG28">
            <v>35</v>
          </cell>
          <cell r="AH28">
            <v>40</v>
          </cell>
          <cell r="AI28">
            <v>52</v>
          </cell>
          <cell r="AJ28">
            <v>0</v>
          </cell>
          <cell r="AK28">
            <v>0</v>
          </cell>
          <cell r="AL28">
            <v>37</v>
          </cell>
          <cell r="AM28">
            <v>30</v>
          </cell>
          <cell r="AN28">
            <v>0</v>
          </cell>
          <cell r="AO28">
            <v>31</v>
          </cell>
          <cell r="AP28">
            <v>30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34</v>
          </cell>
          <cell r="AV28">
            <v>31</v>
          </cell>
          <cell r="AW28">
            <v>0</v>
          </cell>
          <cell r="AX28">
            <v>42</v>
          </cell>
          <cell r="AY28">
            <v>32</v>
          </cell>
          <cell r="AZ28">
            <v>40</v>
          </cell>
          <cell r="BA28">
            <v>32</v>
          </cell>
          <cell r="BB28">
            <v>0</v>
          </cell>
          <cell r="BC28">
            <v>40</v>
          </cell>
          <cell r="BD28">
            <v>41</v>
          </cell>
          <cell r="BE28">
            <v>0</v>
          </cell>
          <cell r="BF28">
            <v>42</v>
          </cell>
          <cell r="BG28">
            <v>45</v>
          </cell>
          <cell r="BH28">
            <v>0</v>
          </cell>
          <cell r="BI28">
            <v>38</v>
          </cell>
          <cell r="BJ28">
            <v>39</v>
          </cell>
          <cell r="BK28">
            <v>0</v>
          </cell>
          <cell r="BL28">
            <v>38</v>
          </cell>
          <cell r="BM28">
            <v>36</v>
          </cell>
          <cell r="BN28">
            <v>0</v>
          </cell>
          <cell r="BO28">
            <v>35</v>
          </cell>
          <cell r="BP28">
            <v>40</v>
          </cell>
          <cell r="BQ28">
            <v>52</v>
          </cell>
          <cell r="BR28">
            <v>0</v>
          </cell>
          <cell r="BS28">
            <v>21</v>
          </cell>
        </row>
        <row r="29">
          <cell r="A29" t="str">
            <v>A2217</v>
          </cell>
          <cell r="B29" t="str">
            <v>SINATRIYANDIKA HARUMAWAN</v>
          </cell>
          <cell r="C29">
            <v>0</v>
          </cell>
          <cell r="D29">
            <v>40</v>
          </cell>
          <cell r="E29">
            <v>36</v>
          </cell>
          <cell r="F29">
            <v>0</v>
          </cell>
          <cell r="G29">
            <v>40</v>
          </cell>
          <cell r="H29">
            <v>37</v>
          </cell>
          <cell r="I29">
            <v>0</v>
          </cell>
          <cell r="J29">
            <v>39</v>
          </cell>
          <cell r="K29">
            <v>40</v>
          </cell>
          <cell r="L29">
            <v>0</v>
          </cell>
          <cell r="M29">
            <v>34</v>
          </cell>
          <cell r="N29">
            <v>28</v>
          </cell>
          <cell r="O29">
            <v>0</v>
          </cell>
          <cell r="P29">
            <v>37</v>
          </cell>
          <cell r="Q29">
            <v>30</v>
          </cell>
          <cell r="R29">
            <v>40</v>
          </cell>
          <cell r="S29">
            <v>28</v>
          </cell>
          <cell r="T29">
            <v>0</v>
          </cell>
          <cell r="U29">
            <v>50</v>
          </cell>
          <cell r="V29">
            <v>41</v>
          </cell>
          <cell r="W29">
            <v>0</v>
          </cell>
          <cell r="X29">
            <v>42</v>
          </cell>
          <cell r="Y29">
            <v>50</v>
          </cell>
          <cell r="Z29">
            <v>0</v>
          </cell>
          <cell r="AA29">
            <v>40</v>
          </cell>
          <cell r="AB29">
            <v>30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36</v>
          </cell>
          <cell r="AH29">
            <v>36</v>
          </cell>
          <cell r="AI29">
            <v>40</v>
          </cell>
          <cell r="AJ29">
            <v>37</v>
          </cell>
          <cell r="AK29">
            <v>0</v>
          </cell>
          <cell r="AL29">
            <v>40</v>
          </cell>
          <cell r="AM29">
            <v>36</v>
          </cell>
          <cell r="AN29">
            <v>0</v>
          </cell>
          <cell r="AO29">
            <v>40</v>
          </cell>
          <cell r="AP29">
            <v>37</v>
          </cell>
          <cell r="AQ29">
            <v>0</v>
          </cell>
          <cell r="AR29">
            <v>39</v>
          </cell>
          <cell r="AS29">
            <v>40</v>
          </cell>
          <cell r="AT29">
            <v>0</v>
          </cell>
          <cell r="AU29">
            <v>34</v>
          </cell>
          <cell r="AV29">
            <v>28</v>
          </cell>
          <cell r="AW29">
            <v>0</v>
          </cell>
          <cell r="AX29">
            <v>37</v>
          </cell>
          <cell r="AY29">
            <v>30</v>
          </cell>
          <cell r="AZ29">
            <v>40</v>
          </cell>
          <cell r="BA29">
            <v>28</v>
          </cell>
          <cell r="BB29">
            <v>0</v>
          </cell>
          <cell r="BC29">
            <v>50</v>
          </cell>
          <cell r="BD29">
            <v>41</v>
          </cell>
          <cell r="BE29">
            <v>0</v>
          </cell>
          <cell r="BF29">
            <v>42</v>
          </cell>
          <cell r="BG29">
            <v>50</v>
          </cell>
          <cell r="BH29">
            <v>0</v>
          </cell>
          <cell r="BI29">
            <v>40</v>
          </cell>
          <cell r="BJ29">
            <v>30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36</v>
          </cell>
          <cell r="BP29">
            <v>36</v>
          </cell>
          <cell r="BQ29">
            <v>40</v>
          </cell>
          <cell r="BR29">
            <v>37</v>
          </cell>
          <cell r="BS29">
            <v>22</v>
          </cell>
        </row>
        <row r="30">
          <cell r="A30" t="str">
            <v>A0047</v>
          </cell>
          <cell r="B30" t="str">
            <v>DAVID IZZA PANGESTU</v>
          </cell>
          <cell r="C30">
            <v>0</v>
          </cell>
          <cell r="D30">
            <v>0</v>
          </cell>
          <cell r="E30">
            <v>11</v>
          </cell>
          <cell r="F30">
            <v>0</v>
          </cell>
          <cell r="G30">
            <v>0</v>
          </cell>
          <cell r="H30">
            <v>15</v>
          </cell>
          <cell r="I30">
            <v>0</v>
          </cell>
          <cell r="J30">
            <v>0</v>
          </cell>
          <cell r="K30">
            <v>18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11</v>
          </cell>
          <cell r="AN30">
            <v>0</v>
          </cell>
          <cell r="AO30">
            <v>0</v>
          </cell>
          <cell r="AP30">
            <v>15</v>
          </cell>
          <cell r="AQ30">
            <v>0</v>
          </cell>
          <cell r="AR30">
            <v>0</v>
          </cell>
          <cell r="AS30">
            <v>18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3</v>
          </cell>
        </row>
        <row r="31">
          <cell r="A31">
            <v>92737</v>
          </cell>
          <cell r="B31" t="str">
            <v>TIARA SONYA PITALOKA</v>
          </cell>
          <cell r="C31">
            <v>37</v>
          </cell>
          <cell r="D31">
            <v>0</v>
          </cell>
          <cell r="E31">
            <v>0</v>
          </cell>
          <cell r="F31">
            <v>31</v>
          </cell>
          <cell r="G31">
            <v>0</v>
          </cell>
          <cell r="H31">
            <v>0</v>
          </cell>
          <cell r="I31">
            <v>34</v>
          </cell>
          <cell r="J31">
            <v>28</v>
          </cell>
          <cell r="K31">
            <v>0</v>
          </cell>
          <cell r="L31">
            <v>32</v>
          </cell>
          <cell r="M31">
            <v>0</v>
          </cell>
          <cell r="N31">
            <v>0</v>
          </cell>
          <cell r="O31">
            <v>33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30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37</v>
          </cell>
          <cell r="AL31">
            <v>0</v>
          </cell>
          <cell r="AM31">
            <v>0</v>
          </cell>
          <cell r="AN31">
            <v>31</v>
          </cell>
          <cell r="AO31">
            <v>0</v>
          </cell>
          <cell r="AP31">
            <v>0</v>
          </cell>
          <cell r="AQ31">
            <v>34</v>
          </cell>
          <cell r="AR31">
            <v>28</v>
          </cell>
          <cell r="AS31">
            <v>0</v>
          </cell>
          <cell r="AT31">
            <v>32</v>
          </cell>
          <cell r="AU31">
            <v>0</v>
          </cell>
          <cell r="AV31">
            <v>0</v>
          </cell>
          <cell r="AW31">
            <v>33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30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7</v>
          </cell>
        </row>
        <row r="32">
          <cell r="A32">
            <v>92000</v>
          </cell>
          <cell r="B32" t="str">
            <v>ACHMAD KURNIAWAN</v>
          </cell>
          <cell r="C32">
            <v>33</v>
          </cell>
          <cell r="D32">
            <v>30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28</v>
          </cell>
          <cell r="K32">
            <v>30</v>
          </cell>
          <cell r="L32">
            <v>0</v>
          </cell>
          <cell r="M32">
            <v>27</v>
          </cell>
          <cell r="N32">
            <v>22</v>
          </cell>
          <cell r="O32">
            <v>28</v>
          </cell>
          <cell r="P32">
            <v>0</v>
          </cell>
          <cell r="Q32">
            <v>0</v>
          </cell>
          <cell r="R32">
            <v>25</v>
          </cell>
          <cell r="S32">
            <v>0</v>
          </cell>
          <cell r="T32">
            <v>0</v>
          </cell>
          <cell r="U32">
            <v>34</v>
          </cell>
          <cell r="V32">
            <v>28</v>
          </cell>
          <cell r="W32">
            <v>0</v>
          </cell>
          <cell r="X32">
            <v>30</v>
          </cell>
          <cell r="Y32">
            <v>35</v>
          </cell>
          <cell r="Z32">
            <v>0</v>
          </cell>
          <cell r="AA32">
            <v>31</v>
          </cell>
          <cell r="AB32">
            <v>29</v>
          </cell>
          <cell r="AC32">
            <v>0</v>
          </cell>
          <cell r="AD32">
            <v>26</v>
          </cell>
          <cell r="AE32">
            <v>30</v>
          </cell>
          <cell r="AF32">
            <v>25</v>
          </cell>
          <cell r="AG32">
            <v>20</v>
          </cell>
          <cell r="AH32">
            <v>0</v>
          </cell>
          <cell r="AI32">
            <v>32</v>
          </cell>
          <cell r="AJ32">
            <v>0</v>
          </cell>
          <cell r="AK32">
            <v>33</v>
          </cell>
          <cell r="AL32">
            <v>30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28</v>
          </cell>
          <cell r="AS32">
            <v>30</v>
          </cell>
          <cell r="AT32">
            <v>0</v>
          </cell>
          <cell r="AU32">
            <v>27</v>
          </cell>
          <cell r="AV32">
            <v>22</v>
          </cell>
          <cell r="AW32">
            <v>28</v>
          </cell>
          <cell r="AX32">
            <v>0</v>
          </cell>
          <cell r="AY32">
            <v>0</v>
          </cell>
          <cell r="AZ32">
            <v>25</v>
          </cell>
          <cell r="BA32">
            <v>0</v>
          </cell>
          <cell r="BB32">
            <v>0</v>
          </cell>
          <cell r="BC32">
            <v>34</v>
          </cell>
          <cell r="BD32">
            <v>28</v>
          </cell>
          <cell r="BE32">
            <v>0</v>
          </cell>
          <cell r="BF32">
            <v>30</v>
          </cell>
          <cell r="BG32">
            <v>35</v>
          </cell>
          <cell r="BH32">
            <v>0</v>
          </cell>
          <cell r="BI32">
            <v>31</v>
          </cell>
          <cell r="BJ32">
            <v>29</v>
          </cell>
          <cell r="BK32">
            <v>0</v>
          </cell>
          <cell r="BL32">
            <v>26</v>
          </cell>
          <cell r="BM32">
            <v>30</v>
          </cell>
          <cell r="BN32">
            <v>25</v>
          </cell>
          <cell r="BO32">
            <v>20</v>
          </cell>
          <cell r="BP32">
            <v>0</v>
          </cell>
          <cell r="BQ32">
            <v>32</v>
          </cell>
          <cell r="BR32">
            <v>0</v>
          </cell>
          <cell r="BS32">
            <v>19</v>
          </cell>
        </row>
        <row r="33">
          <cell r="A33" t="str">
            <v>A0046</v>
          </cell>
          <cell r="B33" t="str">
            <v>ALI WAFA</v>
          </cell>
          <cell r="C33">
            <v>29</v>
          </cell>
          <cell r="D33">
            <v>0</v>
          </cell>
          <cell r="E33">
            <v>0</v>
          </cell>
          <cell r="F33">
            <v>28</v>
          </cell>
          <cell r="G33">
            <v>31</v>
          </cell>
          <cell r="H33">
            <v>0</v>
          </cell>
          <cell r="I33">
            <v>30</v>
          </cell>
          <cell r="J33">
            <v>24</v>
          </cell>
          <cell r="K33">
            <v>0</v>
          </cell>
          <cell r="L33">
            <v>28</v>
          </cell>
          <cell r="M33">
            <v>25</v>
          </cell>
          <cell r="N33">
            <v>0</v>
          </cell>
          <cell r="O33">
            <v>29</v>
          </cell>
          <cell r="P33">
            <v>0</v>
          </cell>
          <cell r="Q33">
            <v>0</v>
          </cell>
          <cell r="R33">
            <v>30</v>
          </cell>
          <cell r="S33">
            <v>0</v>
          </cell>
          <cell r="T33">
            <v>28</v>
          </cell>
          <cell r="U33">
            <v>0</v>
          </cell>
          <cell r="V33">
            <v>0</v>
          </cell>
          <cell r="W33">
            <v>31</v>
          </cell>
          <cell r="X33">
            <v>26</v>
          </cell>
          <cell r="Y33">
            <v>0</v>
          </cell>
          <cell r="Z33">
            <v>31</v>
          </cell>
          <cell r="AA33">
            <v>30</v>
          </cell>
          <cell r="AB33">
            <v>0</v>
          </cell>
          <cell r="AC33">
            <v>30</v>
          </cell>
          <cell r="AD33">
            <v>30</v>
          </cell>
          <cell r="AE33">
            <v>0</v>
          </cell>
          <cell r="AF33">
            <v>30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29</v>
          </cell>
          <cell r="AL33">
            <v>0</v>
          </cell>
          <cell r="AM33">
            <v>0</v>
          </cell>
          <cell r="AN33">
            <v>28</v>
          </cell>
          <cell r="AO33">
            <v>31</v>
          </cell>
          <cell r="AP33">
            <v>0</v>
          </cell>
          <cell r="AQ33">
            <v>30</v>
          </cell>
          <cell r="AR33">
            <v>24</v>
          </cell>
          <cell r="AS33">
            <v>0</v>
          </cell>
          <cell r="AT33">
            <v>28</v>
          </cell>
          <cell r="AU33">
            <v>25</v>
          </cell>
          <cell r="AV33">
            <v>0</v>
          </cell>
          <cell r="AW33">
            <v>29</v>
          </cell>
          <cell r="AX33">
            <v>0</v>
          </cell>
          <cell r="AY33">
            <v>0</v>
          </cell>
          <cell r="AZ33">
            <v>30</v>
          </cell>
          <cell r="BA33">
            <v>0</v>
          </cell>
          <cell r="BB33">
            <v>28</v>
          </cell>
          <cell r="BC33">
            <v>0</v>
          </cell>
          <cell r="BD33">
            <v>0</v>
          </cell>
          <cell r="BE33">
            <v>31</v>
          </cell>
          <cell r="BF33">
            <v>26</v>
          </cell>
          <cell r="BG33">
            <v>0</v>
          </cell>
          <cell r="BH33">
            <v>31</v>
          </cell>
          <cell r="BI33">
            <v>30</v>
          </cell>
          <cell r="BJ33">
            <v>0</v>
          </cell>
          <cell r="BK33">
            <v>30</v>
          </cell>
          <cell r="BL33">
            <v>30</v>
          </cell>
          <cell r="BM33">
            <v>0</v>
          </cell>
          <cell r="BN33">
            <v>30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17</v>
          </cell>
        </row>
        <row r="34">
          <cell r="A34">
            <v>92511</v>
          </cell>
          <cell r="B34" t="str">
            <v>JENI BRIAN PRATIWI</v>
          </cell>
          <cell r="C34">
            <v>30</v>
          </cell>
          <cell r="D34">
            <v>0</v>
          </cell>
          <cell r="E34">
            <v>0</v>
          </cell>
          <cell r="F34">
            <v>28</v>
          </cell>
          <cell r="G34">
            <v>0</v>
          </cell>
          <cell r="H34">
            <v>0</v>
          </cell>
          <cell r="I34">
            <v>30</v>
          </cell>
          <cell r="J34">
            <v>0</v>
          </cell>
          <cell r="K34">
            <v>0</v>
          </cell>
          <cell r="L34">
            <v>31</v>
          </cell>
          <cell r="M34">
            <v>0</v>
          </cell>
          <cell r="N34">
            <v>0</v>
          </cell>
          <cell r="O34">
            <v>26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31</v>
          </cell>
          <cell r="U34">
            <v>31</v>
          </cell>
          <cell r="V34">
            <v>0</v>
          </cell>
          <cell r="W34">
            <v>33</v>
          </cell>
          <cell r="X34">
            <v>29</v>
          </cell>
          <cell r="Y34">
            <v>0</v>
          </cell>
          <cell r="Z34">
            <v>31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30</v>
          </cell>
          <cell r="AL34">
            <v>0</v>
          </cell>
          <cell r="AM34">
            <v>0</v>
          </cell>
          <cell r="AN34">
            <v>28</v>
          </cell>
          <cell r="AO34">
            <v>0</v>
          </cell>
          <cell r="AP34">
            <v>0</v>
          </cell>
          <cell r="AQ34">
            <v>30</v>
          </cell>
          <cell r="AR34">
            <v>0</v>
          </cell>
          <cell r="AS34">
            <v>0</v>
          </cell>
          <cell r="AT34">
            <v>31</v>
          </cell>
          <cell r="AU34">
            <v>0</v>
          </cell>
          <cell r="AV34">
            <v>0</v>
          </cell>
          <cell r="AW34">
            <v>26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31</v>
          </cell>
          <cell r="BC34">
            <v>31</v>
          </cell>
          <cell r="BD34">
            <v>0</v>
          </cell>
          <cell r="BE34">
            <v>33</v>
          </cell>
          <cell r="BF34">
            <v>29</v>
          </cell>
          <cell r="BG34">
            <v>0</v>
          </cell>
          <cell r="BH34">
            <v>31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10</v>
          </cell>
        </row>
        <row r="35">
          <cell r="A35" t="str">
            <v>A2121</v>
          </cell>
          <cell r="B35" t="str">
            <v>VEGA PRIMAVISTA</v>
          </cell>
          <cell r="C35">
            <v>28</v>
          </cell>
          <cell r="D35">
            <v>25</v>
          </cell>
          <cell r="E35">
            <v>0</v>
          </cell>
          <cell r="F35">
            <v>26</v>
          </cell>
          <cell r="G35">
            <v>24</v>
          </cell>
          <cell r="H35">
            <v>0</v>
          </cell>
          <cell r="I35">
            <v>26</v>
          </cell>
          <cell r="J35">
            <v>26</v>
          </cell>
          <cell r="K35">
            <v>0</v>
          </cell>
          <cell r="L35">
            <v>23</v>
          </cell>
          <cell r="M35">
            <v>0</v>
          </cell>
          <cell r="N35">
            <v>0</v>
          </cell>
          <cell r="O35">
            <v>24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28</v>
          </cell>
          <cell r="U35">
            <v>30</v>
          </cell>
          <cell r="V35">
            <v>0</v>
          </cell>
          <cell r="W35">
            <v>26</v>
          </cell>
          <cell r="X35">
            <v>30</v>
          </cell>
          <cell r="Y35">
            <v>0</v>
          </cell>
          <cell r="Z35">
            <v>26</v>
          </cell>
          <cell r="AA35">
            <v>25</v>
          </cell>
          <cell r="AB35">
            <v>0</v>
          </cell>
          <cell r="AC35">
            <v>26</v>
          </cell>
          <cell r="AD35">
            <v>20</v>
          </cell>
          <cell r="AE35">
            <v>0</v>
          </cell>
          <cell r="AF35">
            <v>21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28</v>
          </cell>
          <cell r="AL35">
            <v>25</v>
          </cell>
          <cell r="AM35">
            <v>0</v>
          </cell>
          <cell r="AN35">
            <v>26</v>
          </cell>
          <cell r="AO35">
            <v>24</v>
          </cell>
          <cell r="AP35">
            <v>0</v>
          </cell>
          <cell r="AQ35">
            <v>26</v>
          </cell>
          <cell r="AR35">
            <v>26</v>
          </cell>
          <cell r="AS35">
            <v>0</v>
          </cell>
          <cell r="AT35">
            <v>23</v>
          </cell>
          <cell r="AU35">
            <v>0</v>
          </cell>
          <cell r="AV35">
            <v>0</v>
          </cell>
          <cell r="AW35">
            <v>24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28</v>
          </cell>
          <cell r="BC35">
            <v>30</v>
          </cell>
          <cell r="BD35">
            <v>0</v>
          </cell>
          <cell r="BE35">
            <v>26</v>
          </cell>
          <cell r="BF35">
            <v>30</v>
          </cell>
          <cell r="BG35">
            <v>0</v>
          </cell>
          <cell r="BH35">
            <v>26</v>
          </cell>
          <cell r="BI35">
            <v>25</v>
          </cell>
          <cell r="BJ35">
            <v>0</v>
          </cell>
          <cell r="BK35">
            <v>26</v>
          </cell>
          <cell r="BL35">
            <v>20</v>
          </cell>
          <cell r="BM35">
            <v>0</v>
          </cell>
          <cell r="BN35">
            <v>21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17</v>
          </cell>
        </row>
        <row r="36">
          <cell r="A36" t="str">
            <v>A0045</v>
          </cell>
          <cell r="B36" t="str">
            <v>MUHAMMAD AFIF NAUFAL FADHILAH</v>
          </cell>
          <cell r="C36">
            <v>0</v>
          </cell>
          <cell r="D36">
            <v>0</v>
          </cell>
          <cell r="E36">
            <v>32</v>
          </cell>
          <cell r="F36">
            <v>0</v>
          </cell>
          <cell r="G36">
            <v>29</v>
          </cell>
          <cell r="H36">
            <v>28</v>
          </cell>
          <cell r="I36">
            <v>0</v>
          </cell>
          <cell r="J36">
            <v>0</v>
          </cell>
          <cell r="K36">
            <v>31</v>
          </cell>
          <cell r="L36">
            <v>0</v>
          </cell>
          <cell r="M36">
            <v>29</v>
          </cell>
          <cell r="N36">
            <v>30</v>
          </cell>
          <cell r="O36">
            <v>0</v>
          </cell>
          <cell r="P36">
            <v>30</v>
          </cell>
          <cell r="Q36">
            <v>24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40</v>
          </cell>
          <cell r="W36">
            <v>0</v>
          </cell>
          <cell r="X36">
            <v>30</v>
          </cell>
          <cell r="Y36">
            <v>39</v>
          </cell>
          <cell r="Z36">
            <v>0</v>
          </cell>
          <cell r="AA36">
            <v>32</v>
          </cell>
          <cell r="AB36">
            <v>31</v>
          </cell>
          <cell r="AC36">
            <v>0</v>
          </cell>
          <cell r="AD36">
            <v>30</v>
          </cell>
          <cell r="AE36">
            <v>32</v>
          </cell>
          <cell r="AF36">
            <v>0</v>
          </cell>
          <cell r="AG36">
            <v>27</v>
          </cell>
          <cell r="AH36">
            <v>33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32</v>
          </cell>
          <cell r="AN36">
            <v>0</v>
          </cell>
          <cell r="AO36">
            <v>29</v>
          </cell>
          <cell r="AP36">
            <v>28</v>
          </cell>
          <cell r="AQ36">
            <v>0</v>
          </cell>
          <cell r="AR36">
            <v>0</v>
          </cell>
          <cell r="AS36">
            <v>31</v>
          </cell>
          <cell r="AT36">
            <v>0</v>
          </cell>
          <cell r="AU36">
            <v>29</v>
          </cell>
          <cell r="AV36">
            <v>30</v>
          </cell>
          <cell r="AW36">
            <v>0</v>
          </cell>
          <cell r="AX36">
            <v>30</v>
          </cell>
          <cell r="AY36">
            <v>24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40</v>
          </cell>
          <cell r="BE36">
            <v>0</v>
          </cell>
          <cell r="BF36">
            <v>30</v>
          </cell>
          <cell r="BG36">
            <v>39</v>
          </cell>
          <cell r="BH36">
            <v>0</v>
          </cell>
          <cell r="BI36">
            <v>32</v>
          </cell>
          <cell r="BJ36">
            <v>31</v>
          </cell>
          <cell r="BK36">
            <v>0</v>
          </cell>
          <cell r="BL36">
            <v>30</v>
          </cell>
          <cell r="BM36">
            <v>32</v>
          </cell>
          <cell r="BN36">
            <v>0</v>
          </cell>
          <cell r="BO36">
            <v>27</v>
          </cell>
          <cell r="BP36">
            <v>33</v>
          </cell>
          <cell r="BQ36">
            <v>0</v>
          </cell>
          <cell r="BR36">
            <v>0</v>
          </cell>
          <cell r="BS36">
            <v>17</v>
          </cell>
        </row>
        <row r="37">
          <cell r="A37" t="str">
            <v>A2467</v>
          </cell>
          <cell r="B37" t="str">
            <v>MELINDA RATNA PERMATA SARI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</row>
        <row r="38">
          <cell r="A38" t="str">
            <v>A4372</v>
          </cell>
          <cell r="B38" t="str">
            <v>TRI WIDIASTUTI</v>
          </cell>
          <cell r="C38">
            <v>10</v>
          </cell>
          <cell r="D38">
            <v>0</v>
          </cell>
          <cell r="E38">
            <v>0</v>
          </cell>
          <cell r="F38">
            <v>10</v>
          </cell>
          <cell r="G38">
            <v>11</v>
          </cell>
          <cell r="H38">
            <v>0</v>
          </cell>
          <cell r="I38">
            <v>10</v>
          </cell>
          <cell r="J38">
            <v>9</v>
          </cell>
          <cell r="K38">
            <v>0</v>
          </cell>
          <cell r="L38">
            <v>11</v>
          </cell>
          <cell r="M38">
            <v>0</v>
          </cell>
          <cell r="N38">
            <v>0</v>
          </cell>
          <cell r="O38">
            <v>10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11</v>
          </cell>
          <cell r="X38">
            <v>9</v>
          </cell>
          <cell r="Y38">
            <v>0</v>
          </cell>
          <cell r="Z38">
            <v>12</v>
          </cell>
          <cell r="AA38">
            <v>11</v>
          </cell>
          <cell r="AB38">
            <v>0</v>
          </cell>
          <cell r="AC38">
            <v>10</v>
          </cell>
          <cell r="AD38">
            <v>0</v>
          </cell>
          <cell r="AE38">
            <v>0</v>
          </cell>
          <cell r="AF38">
            <v>10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10</v>
          </cell>
          <cell r="AL38">
            <v>0</v>
          </cell>
          <cell r="AM38">
            <v>0</v>
          </cell>
          <cell r="AN38">
            <v>10</v>
          </cell>
          <cell r="AO38">
            <v>11</v>
          </cell>
          <cell r="AP38">
            <v>0</v>
          </cell>
          <cell r="AQ38">
            <v>10</v>
          </cell>
          <cell r="AR38">
            <v>0</v>
          </cell>
          <cell r="AS38">
            <v>0</v>
          </cell>
          <cell r="AT38">
            <v>11</v>
          </cell>
          <cell r="AU38">
            <v>0</v>
          </cell>
          <cell r="AV38">
            <v>0</v>
          </cell>
          <cell r="AW38">
            <v>10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11</v>
          </cell>
          <cell r="BF38">
            <v>0</v>
          </cell>
          <cell r="BG38">
            <v>0</v>
          </cell>
          <cell r="BH38">
            <v>12</v>
          </cell>
          <cell r="BI38">
            <v>11</v>
          </cell>
          <cell r="BJ38">
            <v>0</v>
          </cell>
          <cell r="BK38">
            <v>10</v>
          </cell>
          <cell r="BL38">
            <v>0</v>
          </cell>
          <cell r="BM38">
            <v>0</v>
          </cell>
          <cell r="BN38">
            <v>10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13</v>
          </cell>
        </row>
        <row r="39">
          <cell r="A39">
            <v>92494</v>
          </cell>
          <cell r="B39" t="str">
            <v>NURMANSYAH AMIRUDIN</v>
          </cell>
          <cell r="C39">
            <v>0</v>
          </cell>
          <cell r="D39">
            <v>47</v>
          </cell>
          <cell r="E39">
            <v>50</v>
          </cell>
          <cell r="F39">
            <v>0</v>
          </cell>
          <cell r="G39">
            <v>46</v>
          </cell>
          <cell r="H39">
            <v>42</v>
          </cell>
          <cell r="I39">
            <v>0</v>
          </cell>
          <cell r="J39">
            <v>40</v>
          </cell>
          <cell r="K39">
            <v>43</v>
          </cell>
          <cell r="L39">
            <v>0</v>
          </cell>
          <cell r="M39">
            <v>35</v>
          </cell>
          <cell r="N39">
            <v>34</v>
          </cell>
          <cell r="O39">
            <v>0</v>
          </cell>
          <cell r="P39">
            <v>0</v>
          </cell>
          <cell r="Q39">
            <v>36</v>
          </cell>
          <cell r="R39">
            <v>0</v>
          </cell>
          <cell r="S39">
            <v>0</v>
          </cell>
          <cell r="T39">
            <v>0</v>
          </cell>
          <cell r="U39">
            <v>51</v>
          </cell>
          <cell r="V39">
            <v>46</v>
          </cell>
          <cell r="W39">
            <v>0</v>
          </cell>
          <cell r="X39">
            <v>50</v>
          </cell>
          <cell r="Y39">
            <v>66</v>
          </cell>
          <cell r="Z39">
            <v>0</v>
          </cell>
          <cell r="AA39">
            <v>49</v>
          </cell>
          <cell r="AB39">
            <v>45</v>
          </cell>
          <cell r="AC39">
            <v>0</v>
          </cell>
          <cell r="AD39">
            <v>49</v>
          </cell>
          <cell r="AE39">
            <v>49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47</v>
          </cell>
          <cell r="AM39">
            <v>50</v>
          </cell>
          <cell r="AN39">
            <v>0</v>
          </cell>
          <cell r="AO39">
            <v>46</v>
          </cell>
          <cell r="AP39">
            <v>42</v>
          </cell>
          <cell r="AQ39">
            <v>0</v>
          </cell>
          <cell r="AR39">
            <v>40</v>
          </cell>
          <cell r="AS39">
            <v>43</v>
          </cell>
          <cell r="AT39">
            <v>0</v>
          </cell>
          <cell r="AU39">
            <v>35</v>
          </cell>
          <cell r="AV39">
            <v>34</v>
          </cell>
          <cell r="AW39">
            <v>0</v>
          </cell>
          <cell r="AX39">
            <v>0</v>
          </cell>
          <cell r="AY39">
            <v>36</v>
          </cell>
          <cell r="AZ39">
            <v>0</v>
          </cell>
          <cell r="BA39">
            <v>0</v>
          </cell>
          <cell r="BB39">
            <v>0</v>
          </cell>
          <cell r="BC39">
            <v>51</v>
          </cell>
          <cell r="BD39">
            <v>46</v>
          </cell>
          <cell r="BE39">
            <v>0</v>
          </cell>
          <cell r="BF39">
            <v>50</v>
          </cell>
          <cell r="BG39">
            <v>66</v>
          </cell>
          <cell r="BH39">
            <v>0</v>
          </cell>
          <cell r="BI39">
            <v>49</v>
          </cell>
          <cell r="BJ39">
            <v>45</v>
          </cell>
          <cell r="BK39">
            <v>0</v>
          </cell>
          <cell r="BL39">
            <v>49</v>
          </cell>
          <cell r="BM39">
            <v>49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17</v>
          </cell>
        </row>
        <row r="40">
          <cell r="A40">
            <v>92699</v>
          </cell>
          <cell r="B40" t="str">
            <v>AHMAD IRFAI</v>
          </cell>
          <cell r="C40">
            <v>36</v>
          </cell>
          <cell r="D40">
            <v>0</v>
          </cell>
          <cell r="E40">
            <v>0</v>
          </cell>
          <cell r="F40">
            <v>32</v>
          </cell>
          <cell r="G40">
            <v>0</v>
          </cell>
          <cell r="H40">
            <v>31</v>
          </cell>
          <cell r="I40">
            <v>38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30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42</v>
          </cell>
          <cell r="U40">
            <v>0</v>
          </cell>
          <cell r="V40">
            <v>0</v>
          </cell>
          <cell r="W40">
            <v>32</v>
          </cell>
          <cell r="X40">
            <v>0</v>
          </cell>
          <cell r="Y40">
            <v>0</v>
          </cell>
          <cell r="Z40">
            <v>41</v>
          </cell>
          <cell r="AA40">
            <v>0</v>
          </cell>
          <cell r="AB40">
            <v>38</v>
          </cell>
          <cell r="AC40">
            <v>38</v>
          </cell>
          <cell r="AD40">
            <v>0</v>
          </cell>
          <cell r="AE40">
            <v>0</v>
          </cell>
          <cell r="AF40">
            <v>38</v>
          </cell>
          <cell r="AG40">
            <v>0</v>
          </cell>
          <cell r="AH40">
            <v>0</v>
          </cell>
          <cell r="AI40">
            <v>35</v>
          </cell>
          <cell r="AJ40">
            <v>0</v>
          </cell>
          <cell r="AK40">
            <v>36</v>
          </cell>
          <cell r="AL40">
            <v>0</v>
          </cell>
          <cell r="AM40">
            <v>0</v>
          </cell>
          <cell r="AN40">
            <v>32</v>
          </cell>
          <cell r="AO40">
            <v>0</v>
          </cell>
          <cell r="AP40">
            <v>31</v>
          </cell>
          <cell r="AQ40">
            <v>38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30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42</v>
          </cell>
          <cell r="BC40">
            <v>0</v>
          </cell>
          <cell r="BD40">
            <v>0</v>
          </cell>
          <cell r="BE40">
            <v>32</v>
          </cell>
          <cell r="BF40">
            <v>0</v>
          </cell>
          <cell r="BG40">
            <v>0</v>
          </cell>
          <cell r="BH40">
            <v>41</v>
          </cell>
          <cell r="BI40">
            <v>0</v>
          </cell>
          <cell r="BJ40">
            <v>38</v>
          </cell>
          <cell r="BK40">
            <v>38</v>
          </cell>
          <cell r="BL40">
            <v>0</v>
          </cell>
          <cell r="BM40">
            <v>0</v>
          </cell>
          <cell r="BN40">
            <v>38</v>
          </cell>
          <cell r="BO40">
            <v>0</v>
          </cell>
          <cell r="BP40">
            <v>0</v>
          </cell>
          <cell r="BQ40">
            <v>35</v>
          </cell>
          <cell r="BR40">
            <v>0</v>
          </cell>
          <cell r="BS40">
            <v>12</v>
          </cell>
        </row>
        <row r="41">
          <cell r="A41">
            <v>92740</v>
          </cell>
          <cell r="B41" t="str">
            <v>FANI RAHMAWATI</v>
          </cell>
          <cell r="C41">
            <v>0</v>
          </cell>
          <cell r="D41">
            <v>30</v>
          </cell>
          <cell r="E41">
            <v>20</v>
          </cell>
          <cell r="F41">
            <v>0</v>
          </cell>
          <cell r="G41">
            <v>30</v>
          </cell>
          <cell r="H41">
            <v>30</v>
          </cell>
          <cell r="I41">
            <v>0</v>
          </cell>
          <cell r="J41">
            <v>26</v>
          </cell>
          <cell r="K41">
            <v>30</v>
          </cell>
          <cell r="L41">
            <v>0</v>
          </cell>
          <cell r="M41">
            <v>27</v>
          </cell>
          <cell r="N41">
            <v>28</v>
          </cell>
          <cell r="O41">
            <v>0</v>
          </cell>
          <cell r="P41">
            <v>31</v>
          </cell>
          <cell r="Q41">
            <v>24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32</v>
          </cell>
          <cell r="W41">
            <v>0</v>
          </cell>
          <cell r="X41">
            <v>33</v>
          </cell>
          <cell r="Y41">
            <v>37</v>
          </cell>
          <cell r="Z41">
            <v>0</v>
          </cell>
          <cell r="AA41">
            <v>30</v>
          </cell>
          <cell r="AB41">
            <v>33</v>
          </cell>
          <cell r="AC41">
            <v>0</v>
          </cell>
          <cell r="AD41">
            <v>34</v>
          </cell>
          <cell r="AE41">
            <v>34</v>
          </cell>
          <cell r="AF41">
            <v>0</v>
          </cell>
          <cell r="AG41">
            <v>33</v>
          </cell>
          <cell r="AH41">
            <v>30</v>
          </cell>
          <cell r="AI41">
            <v>0</v>
          </cell>
          <cell r="AJ41">
            <v>0</v>
          </cell>
          <cell r="AK41">
            <v>0</v>
          </cell>
          <cell r="AL41">
            <v>30</v>
          </cell>
          <cell r="AM41">
            <v>20</v>
          </cell>
          <cell r="AN41">
            <v>0</v>
          </cell>
          <cell r="AO41">
            <v>30</v>
          </cell>
          <cell r="AP41">
            <v>30</v>
          </cell>
          <cell r="AQ41">
            <v>0</v>
          </cell>
          <cell r="AR41">
            <v>26</v>
          </cell>
          <cell r="AS41">
            <v>30</v>
          </cell>
          <cell r="AT41">
            <v>0</v>
          </cell>
          <cell r="AU41">
            <v>27</v>
          </cell>
          <cell r="AV41">
            <v>28</v>
          </cell>
          <cell r="AW41">
            <v>0</v>
          </cell>
          <cell r="AX41">
            <v>31</v>
          </cell>
          <cell r="AY41">
            <v>24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32</v>
          </cell>
          <cell r="BE41">
            <v>0</v>
          </cell>
          <cell r="BF41">
            <v>33</v>
          </cell>
          <cell r="BG41">
            <v>37</v>
          </cell>
          <cell r="BH41">
            <v>0</v>
          </cell>
          <cell r="BI41">
            <v>30</v>
          </cell>
          <cell r="BJ41">
            <v>33</v>
          </cell>
          <cell r="BK41">
            <v>0</v>
          </cell>
          <cell r="BL41">
            <v>34</v>
          </cell>
          <cell r="BM41">
            <v>34</v>
          </cell>
          <cell r="BN41">
            <v>0</v>
          </cell>
          <cell r="BO41">
            <v>33</v>
          </cell>
          <cell r="BP41">
            <v>30</v>
          </cell>
          <cell r="BQ41">
            <v>0</v>
          </cell>
          <cell r="BR41">
            <v>0</v>
          </cell>
          <cell r="BS41">
            <v>19</v>
          </cell>
        </row>
        <row r="42">
          <cell r="A42" t="str">
            <v>A4496</v>
          </cell>
          <cell r="B42" t="str">
            <v>PUSPITA LARASATI</v>
          </cell>
          <cell r="C42">
            <v>0</v>
          </cell>
          <cell r="D42">
            <v>10</v>
          </cell>
          <cell r="E42">
            <v>11</v>
          </cell>
          <cell r="F42">
            <v>11</v>
          </cell>
          <cell r="G42">
            <v>0</v>
          </cell>
          <cell r="H42">
            <v>0</v>
          </cell>
          <cell r="I42">
            <v>13</v>
          </cell>
          <cell r="J42">
            <v>0</v>
          </cell>
          <cell r="K42">
            <v>0</v>
          </cell>
          <cell r="L42">
            <v>14</v>
          </cell>
          <cell r="M42">
            <v>0</v>
          </cell>
          <cell r="N42">
            <v>0</v>
          </cell>
          <cell r="O42">
            <v>11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18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13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10</v>
          </cell>
          <cell r="AM42">
            <v>11</v>
          </cell>
          <cell r="AN42">
            <v>11</v>
          </cell>
          <cell r="AO42">
            <v>0</v>
          </cell>
          <cell r="AP42">
            <v>0</v>
          </cell>
          <cell r="AQ42">
            <v>13</v>
          </cell>
          <cell r="AR42">
            <v>0</v>
          </cell>
          <cell r="AS42">
            <v>0</v>
          </cell>
          <cell r="AT42">
            <v>14</v>
          </cell>
          <cell r="AU42">
            <v>0</v>
          </cell>
          <cell r="AV42">
            <v>0</v>
          </cell>
          <cell r="AW42">
            <v>11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18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13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8</v>
          </cell>
        </row>
        <row r="43">
          <cell r="A43" t="str">
            <v>A4491</v>
          </cell>
          <cell r="B43" t="str">
            <v>RATIH DEWANTI NUGRAHENI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10</v>
          </cell>
          <cell r="N43">
            <v>6</v>
          </cell>
          <cell r="O43">
            <v>0</v>
          </cell>
          <cell r="P43">
            <v>11</v>
          </cell>
          <cell r="Q43">
            <v>8</v>
          </cell>
          <cell r="R43">
            <v>11</v>
          </cell>
          <cell r="S43">
            <v>7</v>
          </cell>
          <cell r="T43">
            <v>0</v>
          </cell>
          <cell r="U43">
            <v>10</v>
          </cell>
          <cell r="V43">
            <v>14</v>
          </cell>
          <cell r="W43">
            <v>0</v>
          </cell>
          <cell r="X43">
            <v>11</v>
          </cell>
          <cell r="Y43">
            <v>15</v>
          </cell>
          <cell r="Z43">
            <v>0</v>
          </cell>
          <cell r="AA43">
            <v>12</v>
          </cell>
          <cell r="AB43">
            <v>12</v>
          </cell>
          <cell r="AC43">
            <v>0</v>
          </cell>
          <cell r="AD43">
            <v>10</v>
          </cell>
          <cell r="AE43">
            <v>12</v>
          </cell>
          <cell r="AF43">
            <v>0</v>
          </cell>
          <cell r="AG43">
            <v>10</v>
          </cell>
          <cell r="AH43">
            <v>15</v>
          </cell>
          <cell r="AI43">
            <v>13</v>
          </cell>
          <cell r="AJ43">
            <v>11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10</v>
          </cell>
          <cell r="AV43">
            <v>0</v>
          </cell>
          <cell r="AW43">
            <v>0</v>
          </cell>
          <cell r="AX43">
            <v>11</v>
          </cell>
          <cell r="AY43">
            <v>0</v>
          </cell>
          <cell r="AZ43">
            <v>11</v>
          </cell>
          <cell r="BA43">
            <v>0</v>
          </cell>
          <cell r="BB43">
            <v>0</v>
          </cell>
          <cell r="BC43">
            <v>10</v>
          </cell>
          <cell r="BD43">
            <v>14</v>
          </cell>
          <cell r="BE43">
            <v>0</v>
          </cell>
          <cell r="BF43">
            <v>11</v>
          </cell>
          <cell r="BG43">
            <v>15</v>
          </cell>
          <cell r="BH43">
            <v>0</v>
          </cell>
          <cell r="BI43">
            <v>12</v>
          </cell>
          <cell r="BJ43">
            <v>12</v>
          </cell>
          <cell r="BK43">
            <v>0</v>
          </cell>
          <cell r="BL43">
            <v>10</v>
          </cell>
          <cell r="BM43">
            <v>12</v>
          </cell>
          <cell r="BN43">
            <v>0</v>
          </cell>
          <cell r="BO43">
            <v>10</v>
          </cell>
          <cell r="BP43">
            <v>15</v>
          </cell>
          <cell r="BQ43">
            <v>13</v>
          </cell>
          <cell r="BR43">
            <v>11</v>
          </cell>
          <cell r="BS43">
            <v>18</v>
          </cell>
        </row>
        <row r="44">
          <cell r="A44" t="str">
            <v>A4498</v>
          </cell>
          <cell r="B44" t="str">
            <v>RESTI AYU OKTARINI</v>
          </cell>
          <cell r="C44">
            <v>0</v>
          </cell>
          <cell r="D44">
            <v>0</v>
          </cell>
          <cell r="E44">
            <v>0</v>
          </cell>
          <cell r="F44">
            <v>9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7</v>
          </cell>
          <cell r="N44">
            <v>10</v>
          </cell>
          <cell r="O44">
            <v>0</v>
          </cell>
          <cell r="P44">
            <v>10</v>
          </cell>
          <cell r="Q44">
            <v>7</v>
          </cell>
          <cell r="R44">
            <v>10</v>
          </cell>
          <cell r="S44">
            <v>7</v>
          </cell>
          <cell r="T44">
            <v>0</v>
          </cell>
          <cell r="U44">
            <v>12</v>
          </cell>
          <cell r="V44">
            <v>14</v>
          </cell>
          <cell r="W44">
            <v>0</v>
          </cell>
          <cell r="X44">
            <v>12</v>
          </cell>
          <cell r="Y44">
            <v>15</v>
          </cell>
          <cell r="Z44">
            <v>0</v>
          </cell>
          <cell r="AA44">
            <v>16</v>
          </cell>
          <cell r="AB44">
            <v>13</v>
          </cell>
          <cell r="AC44">
            <v>0</v>
          </cell>
          <cell r="AD44">
            <v>12</v>
          </cell>
          <cell r="AE44">
            <v>13</v>
          </cell>
          <cell r="AF44">
            <v>0</v>
          </cell>
          <cell r="AG44">
            <v>10</v>
          </cell>
          <cell r="AH44">
            <v>12</v>
          </cell>
          <cell r="AI44">
            <v>13</v>
          </cell>
          <cell r="AJ44">
            <v>10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10</v>
          </cell>
          <cell r="AW44">
            <v>0</v>
          </cell>
          <cell r="AX44">
            <v>10</v>
          </cell>
          <cell r="AY44">
            <v>0</v>
          </cell>
          <cell r="AZ44">
            <v>10</v>
          </cell>
          <cell r="BA44">
            <v>0</v>
          </cell>
          <cell r="BB44">
            <v>0</v>
          </cell>
          <cell r="BC44">
            <v>12</v>
          </cell>
          <cell r="BD44">
            <v>14</v>
          </cell>
          <cell r="BE44">
            <v>0</v>
          </cell>
          <cell r="BF44">
            <v>12</v>
          </cell>
          <cell r="BG44">
            <v>15</v>
          </cell>
          <cell r="BH44">
            <v>0</v>
          </cell>
          <cell r="BI44">
            <v>16</v>
          </cell>
          <cell r="BJ44">
            <v>13</v>
          </cell>
          <cell r="BK44">
            <v>0</v>
          </cell>
          <cell r="BL44">
            <v>12</v>
          </cell>
          <cell r="BM44">
            <v>13</v>
          </cell>
          <cell r="BN44">
            <v>0</v>
          </cell>
          <cell r="BO44">
            <v>10</v>
          </cell>
          <cell r="BP44">
            <v>12</v>
          </cell>
          <cell r="BQ44">
            <v>13</v>
          </cell>
          <cell r="BR44">
            <v>10</v>
          </cell>
          <cell r="BS44">
            <v>19</v>
          </cell>
        </row>
        <row r="45">
          <cell r="A45" t="str">
            <v>A4495</v>
          </cell>
          <cell r="B45" t="str">
            <v>YASMINAH FITRIAH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11</v>
          </cell>
          <cell r="X45">
            <v>0</v>
          </cell>
          <cell r="Y45">
            <v>0</v>
          </cell>
          <cell r="Z45">
            <v>10</v>
          </cell>
          <cell r="AA45">
            <v>0</v>
          </cell>
          <cell r="AB45">
            <v>0</v>
          </cell>
          <cell r="AC45">
            <v>10</v>
          </cell>
          <cell r="AD45">
            <v>0</v>
          </cell>
          <cell r="AE45">
            <v>0</v>
          </cell>
          <cell r="AF45">
            <v>10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11</v>
          </cell>
          <cell r="BF45">
            <v>0</v>
          </cell>
          <cell r="BG45">
            <v>0</v>
          </cell>
          <cell r="BH45">
            <v>10</v>
          </cell>
          <cell r="BI45">
            <v>0</v>
          </cell>
          <cell r="BJ45">
            <v>0</v>
          </cell>
          <cell r="BK45">
            <v>10</v>
          </cell>
          <cell r="BL45">
            <v>0</v>
          </cell>
          <cell r="BM45">
            <v>0</v>
          </cell>
          <cell r="BN45">
            <v>10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4</v>
          </cell>
        </row>
        <row r="46">
          <cell r="A46" t="str">
            <v>A4506</v>
          </cell>
          <cell r="B46" t="str">
            <v>SULTON AZIZ NURFIRDAUS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1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1</v>
          </cell>
        </row>
        <row r="47">
          <cell r="A47" t="str">
            <v>A4500</v>
          </cell>
          <cell r="B47" t="str">
            <v>ARI ANGGITO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6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10</v>
          </cell>
          <cell r="V47">
            <v>0</v>
          </cell>
          <cell r="W47">
            <v>0</v>
          </cell>
          <cell r="X47">
            <v>10</v>
          </cell>
          <cell r="Y47">
            <v>13</v>
          </cell>
          <cell r="Z47">
            <v>0</v>
          </cell>
          <cell r="AA47">
            <v>12</v>
          </cell>
          <cell r="AB47">
            <v>10</v>
          </cell>
          <cell r="AC47">
            <v>0</v>
          </cell>
          <cell r="AD47">
            <v>12</v>
          </cell>
          <cell r="AE47">
            <v>11</v>
          </cell>
          <cell r="AF47">
            <v>0</v>
          </cell>
          <cell r="AG47">
            <v>0</v>
          </cell>
          <cell r="AH47">
            <v>11</v>
          </cell>
          <cell r="AI47">
            <v>12</v>
          </cell>
          <cell r="AJ47">
            <v>10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10</v>
          </cell>
          <cell r="BD47">
            <v>0</v>
          </cell>
          <cell r="BE47">
            <v>0</v>
          </cell>
          <cell r="BF47">
            <v>10</v>
          </cell>
          <cell r="BG47">
            <v>13</v>
          </cell>
          <cell r="BH47">
            <v>0</v>
          </cell>
          <cell r="BI47">
            <v>12</v>
          </cell>
          <cell r="BJ47">
            <v>10</v>
          </cell>
          <cell r="BK47">
            <v>0</v>
          </cell>
          <cell r="BL47">
            <v>12</v>
          </cell>
          <cell r="BM47">
            <v>11</v>
          </cell>
          <cell r="BN47">
            <v>0</v>
          </cell>
          <cell r="BO47">
            <v>0</v>
          </cell>
          <cell r="BP47">
            <v>11</v>
          </cell>
          <cell r="BQ47">
            <v>12</v>
          </cell>
          <cell r="BR47">
            <v>10</v>
          </cell>
          <cell r="BS47">
            <v>11</v>
          </cell>
        </row>
        <row r="48">
          <cell r="A48" t="str">
            <v>A0799</v>
          </cell>
          <cell r="B48" t="str">
            <v>VIVI RIZQI HAPSARI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2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12</v>
          </cell>
          <cell r="Y48">
            <v>13</v>
          </cell>
          <cell r="Z48">
            <v>0</v>
          </cell>
          <cell r="AA48">
            <v>11</v>
          </cell>
          <cell r="AB48">
            <v>12</v>
          </cell>
          <cell r="AC48">
            <v>11</v>
          </cell>
          <cell r="AD48">
            <v>13</v>
          </cell>
          <cell r="AE48">
            <v>11</v>
          </cell>
          <cell r="AF48">
            <v>0</v>
          </cell>
          <cell r="AG48">
            <v>12</v>
          </cell>
          <cell r="AH48">
            <v>13</v>
          </cell>
          <cell r="AI48">
            <v>13</v>
          </cell>
          <cell r="AJ48">
            <v>12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12</v>
          </cell>
          <cell r="BG48">
            <v>13</v>
          </cell>
          <cell r="BH48">
            <v>0</v>
          </cell>
          <cell r="BI48">
            <v>11</v>
          </cell>
          <cell r="BJ48">
            <v>12</v>
          </cell>
          <cell r="BK48">
            <v>11</v>
          </cell>
          <cell r="BL48">
            <v>13</v>
          </cell>
          <cell r="BM48">
            <v>11</v>
          </cell>
          <cell r="BN48">
            <v>0</v>
          </cell>
          <cell r="BO48">
            <v>12</v>
          </cell>
          <cell r="BP48">
            <v>13</v>
          </cell>
          <cell r="BQ48">
            <v>13</v>
          </cell>
          <cell r="BR48">
            <v>12</v>
          </cell>
          <cell r="BS48">
            <v>12</v>
          </cell>
        </row>
        <row r="49">
          <cell r="A49" t="str">
            <v>A4501</v>
          </cell>
          <cell r="B49" t="str">
            <v>RAMADHANTI PUSPITA SARI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4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10</v>
          </cell>
          <cell r="AB49">
            <v>0</v>
          </cell>
          <cell r="AC49">
            <v>0</v>
          </cell>
          <cell r="AD49">
            <v>7</v>
          </cell>
          <cell r="AE49">
            <v>9</v>
          </cell>
          <cell r="AF49">
            <v>0</v>
          </cell>
          <cell r="AG49">
            <v>9</v>
          </cell>
          <cell r="AH49">
            <v>10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10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10</v>
          </cell>
          <cell r="BQ49">
            <v>0</v>
          </cell>
          <cell r="BR49">
            <v>0</v>
          </cell>
          <cell r="BS49">
            <v>6</v>
          </cell>
        </row>
        <row r="50">
          <cell r="A50" t="str">
            <v>A4499</v>
          </cell>
          <cell r="B50" t="str">
            <v>JUSTITIA RACHMAYANI PUTRI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6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8</v>
          </cell>
          <cell r="AB50">
            <v>9</v>
          </cell>
          <cell r="AC50">
            <v>0</v>
          </cell>
          <cell r="AD50">
            <v>7</v>
          </cell>
          <cell r="AE50">
            <v>9</v>
          </cell>
          <cell r="AF50">
            <v>0</v>
          </cell>
          <cell r="AG50">
            <v>10</v>
          </cell>
          <cell r="AH50">
            <v>10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10</v>
          </cell>
          <cell r="BP50">
            <v>10</v>
          </cell>
          <cell r="BQ50">
            <v>0</v>
          </cell>
          <cell r="BR50">
            <v>0</v>
          </cell>
          <cell r="BS50">
            <v>7</v>
          </cell>
        </row>
        <row r="51">
          <cell r="A51" t="str">
            <v>A3776</v>
          </cell>
          <cell r="B51" t="str">
            <v>OWENA ZANETA YOGASWARI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8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1</v>
          </cell>
        </row>
        <row r="52">
          <cell r="A52" t="str">
            <v>A4503</v>
          </cell>
          <cell r="B52" t="str">
            <v>ANDIENE IZAZ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2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>
            <v>9</v>
          </cell>
          <cell r="AB52">
            <v>0</v>
          </cell>
          <cell r="AC52">
            <v>9</v>
          </cell>
          <cell r="AD52">
            <v>12</v>
          </cell>
          <cell r="AE52">
            <v>0</v>
          </cell>
          <cell r="AF52">
            <v>12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10</v>
          </cell>
          <cell r="BI52">
            <v>0</v>
          </cell>
          <cell r="BJ52">
            <v>0</v>
          </cell>
          <cell r="BK52">
            <v>0</v>
          </cell>
          <cell r="BL52">
            <v>12</v>
          </cell>
          <cell r="BM52">
            <v>0</v>
          </cell>
          <cell r="BN52">
            <v>12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6</v>
          </cell>
        </row>
        <row r="53">
          <cell r="A53" t="str">
            <v>A4502</v>
          </cell>
          <cell r="B53" t="str">
            <v>YOGA KENCANA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11</v>
          </cell>
          <cell r="AB53">
            <v>0</v>
          </cell>
          <cell r="AC53">
            <v>10</v>
          </cell>
          <cell r="AD53">
            <v>10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11</v>
          </cell>
          <cell r="BJ53">
            <v>0</v>
          </cell>
          <cell r="BK53">
            <v>10</v>
          </cell>
          <cell r="BL53">
            <v>10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3</v>
          </cell>
        </row>
        <row r="54">
          <cell r="A54" t="str">
            <v>A3923</v>
          </cell>
          <cell r="B54" t="str">
            <v>MUHAMAD FAJAR MEISHFAR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15</v>
          </cell>
          <cell r="H54">
            <v>17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15</v>
          </cell>
          <cell r="AP54">
            <v>17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2</v>
          </cell>
        </row>
        <row r="55">
          <cell r="A55" t="str">
            <v>A3180</v>
          </cell>
          <cell r="B55" t="str">
            <v>CLARA OSA DIPRASTIWI</v>
          </cell>
          <cell r="C55">
            <v>0</v>
          </cell>
          <cell r="D55">
            <v>0</v>
          </cell>
          <cell r="E55">
            <v>0</v>
          </cell>
          <cell r="F55">
            <v>21</v>
          </cell>
          <cell r="G55">
            <v>26</v>
          </cell>
          <cell r="H55">
            <v>25</v>
          </cell>
          <cell r="I55">
            <v>24</v>
          </cell>
          <cell r="J55">
            <v>0</v>
          </cell>
          <cell r="K55">
            <v>0</v>
          </cell>
          <cell r="L55">
            <v>0</v>
          </cell>
          <cell r="M55">
            <v>22</v>
          </cell>
          <cell r="N55">
            <v>27</v>
          </cell>
          <cell r="O55">
            <v>0</v>
          </cell>
          <cell r="P55">
            <v>28</v>
          </cell>
          <cell r="Q55">
            <v>25</v>
          </cell>
          <cell r="R55">
            <v>30</v>
          </cell>
          <cell r="S55">
            <v>0</v>
          </cell>
          <cell r="T55">
            <v>0</v>
          </cell>
          <cell r="U55">
            <v>0</v>
          </cell>
          <cell r="V55">
            <v>26</v>
          </cell>
          <cell r="W55">
            <v>0</v>
          </cell>
          <cell r="X55">
            <v>20</v>
          </cell>
          <cell r="Y55">
            <v>24</v>
          </cell>
          <cell r="Z55">
            <v>0</v>
          </cell>
          <cell r="AA55">
            <v>0</v>
          </cell>
          <cell r="AB55">
            <v>0</v>
          </cell>
          <cell r="AC55">
            <v>26</v>
          </cell>
          <cell r="AD55">
            <v>27</v>
          </cell>
          <cell r="AE55">
            <v>0</v>
          </cell>
          <cell r="AF55">
            <v>0</v>
          </cell>
          <cell r="AG55">
            <v>23</v>
          </cell>
          <cell r="AH55">
            <v>25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21</v>
          </cell>
          <cell r="AO55">
            <v>26</v>
          </cell>
          <cell r="AP55">
            <v>25</v>
          </cell>
          <cell r="AQ55">
            <v>24</v>
          </cell>
          <cell r="AR55">
            <v>0</v>
          </cell>
          <cell r="AS55">
            <v>0</v>
          </cell>
          <cell r="AT55">
            <v>0</v>
          </cell>
          <cell r="AU55">
            <v>22</v>
          </cell>
          <cell r="AV55">
            <v>27</v>
          </cell>
          <cell r="AW55">
            <v>0</v>
          </cell>
          <cell r="AX55">
            <v>28</v>
          </cell>
          <cell r="AY55">
            <v>25</v>
          </cell>
          <cell r="AZ55">
            <v>30</v>
          </cell>
          <cell r="BA55">
            <v>0</v>
          </cell>
          <cell r="BB55">
            <v>0</v>
          </cell>
          <cell r="BC55">
            <v>0</v>
          </cell>
          <cell r="BD55">
            <v>26</v>
          </cell>
          <cell r="BE55">
            <v>0</v>
          </cell>
          <cell r="BF55">
            <v>20</v>
          </cell>
          <cell r="BG55">
            <v>24</v>
          </cell>
          <cell r="BH55">
            <v>0</v>
          </cell>
          <cell r="BI55">
            <v>0</v>
          </cell>
          <cell r="BJ55">
            <v>0</v>
          </cell>
          <cell r="BK55">
            <v>26</v>
          </cell>
          <cell r="BL55">
            <v>27</v>
          </cell>
          <cell r="BM55">
            <v>0</v>
          </cell>
          <cell r="BN55">
            <v>0</v>
          </cell>
          <cell r="BO55">
            <v>23</v>
          </cell>
          <cell r="BP55">
            <v>25</v>
          </cell>
          <cell r="BQ55">
            <v>0</v>
          </cell>
          <cell r="BR55">
            <v>0</v>
          </cell>
          <cell r="BS55">
            <v>16</v>
          </cell>
        </row>
        <row r="56">
          <cell r="A56" t="str">
            <v>A0061</v>
          </cell>
          <cell r="B56" t="str">
            <v>RIZKI HERMANSYAH</v>
          </cell>
          <cell r="C56">
            <v>0</v>
          </cell>
          <cell r="D56">
            <v>0</v>
          </cell>
          <cell r="E56">
            <v>0</v>
          </cell>
          <cell r="F56">
            <v>24</v>
          </cell>
          <cell r="G56">
            <v>24</v>
          </cell>
          <cell r="H56">
            <v>0</v>
          </cell>
          <cell r="I56">
            <v>24</v>
          </cell>
          <cell r="J56">
            <v>0</v>
          </cell>
          <cell r="K56">
            <v>0</v>
          </cell>
          <cell r="L56">
            <v>21</v>
          </cell>
          <cell r="M56">
            <v>19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31</v>
          </cell>
          <cell r="S56">
            <v>24</v>
          </cell>
          <cell r="T56">
            <v>0</v>
          </cell>
          <cell r="U56">
            <v>0</v>
          </cell>
          <cell r="V56">
            <v>0</v>
          </cell>
          <cell r="W56">
            <v>29</v>
          </cell>
          <cell r="X56">
            <v>0</v>
          </cell>
          <cell r="Y56">
            <v>0</v>
          </cell>
          <cell r="Z56">
            <v>28</v>
          </cell>
          <cell r="AA56">
            <v>27</v>
          </cell>
          <cell r="AB56">
            <v>0</v>
          </cell>
          <cell r="AC56">
            <v>28</v>
          </cell>
          <cell r="AD56">
            <v>27</v>
          </cell>
          <cell r="AE56">
            <v>0</v>
          </cell>
          <cell r="AF56">
            <v>26</v>
          </cell>
          <cell r="AG56">
            <v>0</v>
          </cell>
          <cell r="AH56">
            <v>0</v>
          </cell>
          <cell r="AI56">
            <v>27</v>
          </cell>
          <cell r="AJ56">
            <v>27</v>
          </cell>
          <cell r="AK56">
            <v>0</v>
          </cell>
          <cell r="AL56">
            <v>0</v>
          </cell>
          <cell r="AM56">
            <v>0</v>
          </cell>
          <cell r="AN56">
            <v>24</v>
          </cell>
          <cell r="AO56">
            <v>24</v>
          </cell>
          <cell r="AP56">
            <v>0</v>
          </cell>
          <cell r="AQ56">
            <v>24</v>
          </cell>
          <cell r="AR56">
            <v>0</v>
          </cell>
          <cell r="AS56">
            <v>0</v>
          </cell>
          <cell r="AT56">
            <v>21</v>
          </cell>
          <cell r="AU56">
            <v>19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31</v>
          </cell>
          <cell r="BA56">
            <v>24</v>
          </cell>
          <cell r="BB56">
            <v>0</v>
          </cell>
          <cell r="BC56">
            <v>0</v>
          </cell>
          <cell r="BD56">
            <v>0</v>
          </cell>
          <cell r="BE56">
            <v>29</v>
          </cell>
          <cell r="BF56">
            <v>0</v>
          </cell>
          <cell r="BG56">
            <v>0</v>
          </cell>
          <cell r="BH56">
            <v>28</v>
          </cell>
          <cell r="BI56">
            <v>27</v>
          </cell>
          <cell r="BJ56">
            <v>0</v>
          </cell>
          <cell r="BK56">
            <v>28</v>
          </cell>
          <cell r="BL56">
            <v>27</v>
          </cell>
          <cell r="BM56">
            <v>0</v>
          </cell>
          <cell r="BN56">
            <v>26</v>
          </cell>
          <cell r="BO56">
            <v>0</v>
          </cell>
          <cell r="BP56">
            <v>0</v>
          </cell>
          <cell r="BQ56">
            <v>27</v>
          </cell>
          <cell r="BR56">
            <v>27</v>
          </cell>
          <cell r="BS56">
            <v>15</v>
          </cell>
        </row>
        <row r="57">
          <cell r="A57">
            <v>92006</v>
          </cell>
          <cell r="B57" t="str">
            <v>TARA ADINING WIDIYAWATI</v>
          </cell>
          <cell r="C57">
            <v>0</v>
          </cell>
          <cell r="D57">
            <v>0</v>
          </cell>
          <cell r="E57">
            <v>0</v>
          </cell>
          <cell r="F57">
            <v>32</v>
          </cell>
          <cell r="G57">
            <v>0</v>
          </cell>
          <cell r="H57">
            <v>0</v>
          </cell>
          <cell r="I57">
            <v>33</v>
          </cell>
          <cell r="J57">
            <v>26</v>
          </cell>
          <cell r="K57">
            <v>0</v>
          </cell>
          <cell r="L57">
            <v>30</v>
          </cell>
          <cell r="M57">
            <v>23</v>
          </cell>
          <cell r="N57">
            <v>0</v>
          </cell>
          <cell r="O57">
            <v>23</v>
          </cell>
          <cell r="P57">
            <v>30</v>
          </cell>
          <cell r="Q57">
            <v>0</v>
          </cell>
          <cell r="R57">
            <v>0</v>
          </cell>
          <cell r="S57">
            <v>0</v>
          </cell>
          <cell r="T57">
            <v>35</v>
          </cell>
          <cell r="U57">
            <v>34</v>
          </cell>
          <cell r="V57">
            <v>34</v>
          </cell>
          <cell r="W57">
            <v>26</v>
          </cell>
          <cell r="X57">
            <v>32</v>
          </cell>
          <cell r="Y57">
            <v>0</v>
          </cell>
          <cell r="Z57">
            <v>36</v>
          </cell>
          <cell r="AA57">
            <v>29</v>
          </cell>
          <cell r="AB57">
            <v>0</v>
          </cell>
          <cell r="AC57">
            <v>31</v>
          </cell>
          <cell r="AD57">
            <v>27</v>
          </cell>
          <cell r="AE57">
            <v>26</v>
          </cell>
          <cell r="AF57">
            <v>35</v>
          </cell>
          <cell r="AG57">
            <v>32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32</v>
          </cell>
          <cell r="AO57">
            <v>0</v>
          </cell>
          <cell r="AP57">
            <v>0</v>
          </cell>
          <cell r="AQ57">
            <v>33</v>
          </cell>
          <cell r="AR57">
            <v>26</v>
          </cell>
          <cell r="AS57">
            <v>0</v>
          </cell>
          <cell r="AT57">
            <v>30</v>
          </cell>
          <cell r="AU57">
            <v>23</v>
          </cell>
          <cell r="AV57">
            <v>0</v>
          </cell>
          <cell r="AW57">
            <v>23</v>
          </cell>
          <cell r="AX57">
            <v>30</v>
          </cell>
          <cell r="AY57">
            <v>0</v>
          </cell>
          <cell r="AZ57">
            <v>0</v>
          </cell>
          <cell r="BA57">
            <v>0</v>
          </cell>
          <cell r="BB57">
            <v>35</v>
          </cell>
          <cell r="BC57">
            <v>34</v>
          </cell>
          <cell r="BD57">
            <v>34</v>
          </cell>
          <cell r="BE57">
            <v>26</v>
          </cell>
          <cell r="BF57">
            <v>32</v>
          </cell>
          <cell r="BG57">
            <v>0</v>
          </cell>
          <cell r="BH57">
            <v>36</v>
          </cell>
          <cell r="BI57">
            <v>29</v>
          </cell>
          <cell r="BJ57">
            <v>0</v>
          </cell>
          <cell r="BK57">
            <v>31</v>
          </cell>
          <cell r="BL57">
            <v>27</v>
          </cell>
          <cell r="BM57">
            <v>26</v>
          </cell>
          <cell r="BN57">
            <v>35</v>
          </cell>
          <cell r="BO57">
            <v>32</v>
          </cell>
          <cell r="BP57">
            <v>0</v>
          </cell>
          <cell r="BQ57">
            <v>0</v>
          </cell>
          <cell r="BR57">
            <v>0</v>
          </cell>
          <cell r="BS57">
            <v>19</v>
          </cell>
        </row>
        <row r="58">
          <cell r="A58">
            <v>92603</v>
          </cell>
          <cell r="B58" t="str">
            <v>ARDI SUPRIADI</v>
          </cell>
          <cell r="C58">
            <v>0</v>
          </cell>
          <cell r="D58">
            <v>0</v>
          </cell>
          <cell r="E58">
            <v>0</v>
          </cell>
          <cell r="F58">
            <v>29</v>
          </cell>
          <cell r="G58">
            <v>31</v>
          </cell>
          <cell r="H58">
            <v>0</v>
          </cell>
          <cell r="I58">
            <v>0</v>
          </cell>
          <cell r="J58">
            <v>33</v>
          </cell>
          <cell r="K58">
            <v>38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35</v>
          </cell>
          <cell r="Q58">
            <v>33</v>
          </cell>
          <cell r="R58">
            <v>0</v>
          </cell>
          <cell r="S58">
            <v>0</v>
          </cell>
          <cell r="T58">
            <v>35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45</v>
          </cell>
          <cell r="Z58">
            <v>30</v>
          </cell>
          <cell r="AA58">
            <v>0</v>
          </cell>
          <cell r="AB58">
            <v>29</v>
          </cell>
          <cell r="AC58">
            <v>36</v>
          </cell>
          <cell r="AD58">
            <v>37</v>
          </cell>
          <cell r="AE58">
            <v>36</v>
          </cell>
          <cell r="AF58">
            <v>35</v>
          </cell>
          <cell r="AG58">
            <v>30</v>
          </cell>
          <cell r="AH58">
            <v>39</v>
          </cell>
          <cell r="AI58">
            <v>33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29</v>
          </cell>
          <cell r="AO58">
            <v>31</v>
          </cell>
          <cell r="AP58">
            <v>0</v>
          </cell>
          <cell r="AQ58">
            <v>0</v>
          </cell>
          <cell r="AR58">
            <v>33</v>
          </cell>
          <cell r="AS58">
            <v>38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35</v>
          </cell>
          <cell r="AY58">
            <v>33</v>
          </cell>
          <cell r="AZ58">
            <v>0</v>
          </cell>
          <cell r="BA58">
            <v>0</v>
          </cell>
          <cell r="BB58">
            <v>35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45</v>
          </cell>
          <cell r="BH58">
            <v>30</v>
          </cell>
          <cell r="BI58">
            <v>0</v>
          </cell>
          <cell r="BJ58">
            <v>29</v>
          </cell>
          <cell r="BK58">
            <v>36</v>
          </cell>
          <cell r="BL58">
            <v>37</v>
          </cell>
          <cell r="BM58">
            <v>36</v>
          </cell>
          <cell r="BN58">
            <v>35</v>
          </cell>
          <cell r="BO58">
            <v>30</v>
          </cell>
          <cell r="BP58">
            <v>39</v>
          </cell>
          <cell r="BQ58">
            <v>33</v>
          </cell>
          <cell r="BR58">
            <v>0</v>
          </cell>
          <cell r="BS58">
            <v>17</v>
          </cell>
        </row>
        <row r="59">
          <cell r="A59" t="str">
            <v>A3436</v>
          </cell>
          <cell r="B59" t="str">
            <v>ANITA KRISTIANA LAIA</v>
          </cell>
          <cell r="C59">
            <v>0</v>
          </cell>
          <cell r="D59">
            <v>0</v>
          </cell>
          <cell r="E59">
            <v>0</v>
          </cell>
          <cell r="F59">
            <v>22</v>
          </cell>
          <cell r="G59">
            <v>26</v>
          </cell>
          <cell r="H59">
            <v>0</v>
          </cell>
          <cell r="I59">
            <v>28</v>
          </cell>
          <cell r="J59">
            <v>0</v>
          </cell>
          <cell r="K59">
            <v>0</v>
          </cell>
          <cell r="L59">
            <v>24</v>
          </cell>
          <cell r="M59">
            <v>0</v>
          </cell>
          <cell r="N59">
            <v>24</v>
          </cell>
          <cell r="O59">
            <v>0</v>
          </cell>
          <cell r="P59">
            <v>30</v>
          </cell>
          <cell r="Q59">
            <v>22</v>
          </cell>
          <cell r="R59">
            <v>0</v>
          </cell>
          <cell r="S59">
            <v>0</v>
          </cell>
          <cell r="T59">
            <v>30</v>
          </cell>
          <cell r="U59">
            <v>0</v>
          </cell>
          <cell r="V59">
            <v>0</v>
          </cell>
          <cell r="W59">
            <v>26</v>
          </cell>
          <cell r="X59">
            <v>20</v>
          </cell>
          <cell r="Y59">
            <v>35</v>
          </cell>
          <cell r="Z59">
            <v>0</v>
          </cell>
          <cell r="AA59">
            <v>0</v>
          </cell>
          <cell r="AB59">
            <v>0</v>
          </cell>
          <cell r="AC59">
            <v>27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22</v>
          </cell>
          <cell r="AO59">
            <v>26</v>
          </cell>
          <cell r="AP59">
            <v>0</v>
          </cell>
          <cell r="AQ59">
            <v>28</v>
          </cell>
          <cell r="AR59">
            <v>0</v>
          </cell>
          <cell r="AS59">
            <v>0</v>
          </cell>
          <cell r="AT59">
            <v>24</v>
          </cell>
          <cell r="AU59">
            <v>0</v>
          </cell>
          <cell r="AV59">
            <v>24</v>
          </cell>
          <cell r="AW59">
            <v>0</v>
          </cell>
          <cell r="AX59">
            <v>30</v>
          </cell>
          <cell r="AY59">
            <v>22</v>
          </cell>
          <cell r="AZ59">
            <v>0</v>
          </cell>
          <cell r="BA59">
            <v>0</v>
          </cell>
          <cell r="BB59">
            <v>30</v>
          </cell>
          <cell r="BC59">
            <v>0</v>
          </cell>
          <cell r="BD59">
            <v>0</v>
          </cell>
          <cell r="BE59">
            <v>26</v>
          </cell>
          <cell r="BF59">
            <v>20</v>
          </cell>
          <cell r="BG59">
            <v>35</v>
          </cell>
          <cell r="BH59">
            <v>0</v>
          </cell>
          <cell r="BI59">
            <v>0</v>
          </cell>
          <cell r="BJ59">
            <v>0</v>
          </cell>
          <cell r="BK59">
            <v>27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12</v>
          </cell>
        </row>
        <row r="60">
          <cell r="A60" t="str">
            <v>A0149</v>
          </cell>
          <cell r="B60" t="str">
            <v>EUFRASIA ALMELA VICKY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30</v>
          </cell>
          <cell r="I60">
            <v>28</v>
          </cell>
          <cell r="J60">
            <v>0</v>
          </cell>
          <cell r="K60">
            <v>0</v>
          </cell>
          <cell r="L60">
            <v>26</v>
          </cell>
          <cell r="M60">
            <v>22</v>
          </cell>
          <cell r="N60">
            <v>0</v>
          </cell>
          <cell r="O60">
            <v>28</v>
          </cell>
          <cell r="P60">
            <v>25</v>
          </cell>
          <cell r="Q60">
            <v>0</v>
          </cell>
          <cell r="R60">
            <v>0</v>
          </cell>
          <cell r="S60">
            <v>0</v>
          </cell>
          <cell r="T60">
            <v>28</v>
          </cell>
          <cell r="U60">
            <v>27</v>
          </cell>
          <cell r="V60">
            <v>18</v>
          </cell>
          <cell r="W60">
            <v>26</v>
          </cell>
          <cell r="X60">
            <v>22</v>
          </cell>
          <cell r="Y60">
            <v>0</v>
          </cell>
          <cell r="Z60">
            <v>24</v>
          </cell>
          <cell r="AA60">
            <v>24</v>
          </cell>
          <cell r="AB60">
            <v>0</v>
          </cell>
          <cell r="AC60">
            <v>0</v>
          </cell>
          <cell r="AD60">
            <v>25</v>
          </cell>
          <cell r="AE60">
            <v>22</v>
          </cell>
          <cell r="AF60">
            <v>21</v>
          </cell>
          <cell r="AG60">
            <v>24</v>
          </cell>
          <cell r="AH60">
            <v>20</v>
          </cell>
          <cell r="AI60">
            <v>23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30</v>
          </cell>
          <cell r="AQ60">
            <v>28</v>
          </cell>
          <cell r="AR60">
            <v>0</v>
          </cell>
          <cell r="AS60">
            <v>0</v>
          </cell>
          <cell r="AT60">
            <v>26</v>
          </cell>
          <cell r="AU60">
            <v>22</v>
          </cell>
          <cell r="AV60">
            <v>0</v>
          </cell>
          <cell r="AW60">
            <v>28</v>
          </cell>
          <cell r="AX60">
            <v>25</v>
          </cell>
          <cell r="AY60">
            <v>0</v>
          </cell>
          <cell r="AZ60">
            <v>0</v>
          </cell>
          <cell r="BA60">
            <v>0</v>
          </cell>
          <cell r="BB60">
            <v>28</v>
          </cell>
          <cell r="BC60">
            <v>27</v>
          </cell>
          <cell r="BD60">
            <v>18</v>
          </cell>
          <cell r="BE60">
            <v>26</v>
          </cell>
          <cell r="BF60">
            <v>22</v>
          </cell>
          <cell r="BG60">
            <v>0</v>
          </cell>
          <cell r="BH60">
            <v>24</v>
          </cell>
          <cell r="BI60">
            <v>24</v>
          </cell>
          <cell r="BJ60">
            <v>0</v>
          </cell>
          <cell r="BK60">
            <v>0</v>
          </cell>
          <cell r="BL60">
            <v>25</v>
          </cell>
          <cell r="BM60">
            <v>22</v>
          </cell>
          <cell r="BN60">
            <v>21</v>
          </cell>
          <cell r="BO60">
            <v>24</v>
          </cell>
          <cell r="BP60">
            <v>20</v>
          </cell>
          <cell r="BQ60">
            <v>23</v>
          </cell>
          <cell r="BR60">
            <v>0</v>
          </cell>
          <cell r="BS60">
            <v>19</v>
          </cell>
        </row>
        <row r="61">
          <cell r="A61">
            <v>92356</v>
          </cell>
          <cell r="B61" t="str">
            <v>LIA FIRLIANA</v>
          </cell>
          <cell r="C61">
            <v>0</v>
          </cell>
          <cell r="D61">
            <v>0</v>
          </cell>
          <cell r="E61">
            <v>0</v>
          </cell>
          <cell r="F61">
            <v>28</v>
          </cell>
          <cell r="G61">
            <v>0</v>
          </cell>
          <cell r="H61">
            <v>0</v>
          </cell>
          <cell r="I61">
            <v>30</v>
          </cell>
          <cell r="J61">
            <v>25</v>
          </cell>
          <cell r="K61">
            <v>0</v>
          </cell>
          <cell r="L61">
            <v>28</v>
          </cell>
          <cell r="M61">
            <v>0</v>
          </cell>
          <cell r="N61">
            <v>0</v>
          </cell>
          <cell r="O61">
            <v>24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24</v>
          </cell>
          <cell r="U61">
            <v>0</v>
          </cell>
          <cell r="V61">
            <v>0</v>
          </cell>
          <cell r="W61">
            <v>29</v>
          </cell>
          <cell r="X61">
            <v>21</v>
          </cell>
          <cell r="Y61">
            <v>0</v>
          </cell>
          <cell r="Z61">
            <v>32</v>
          </cell>
          <cell r="AA61">
            <v>27</v>
          </cell>
          <cell r="AB61">
            <v>0</v>
          </cell>
          <cell r="AC61">
            <v>30</v>
          </cell>
          <cell r="AD61">
            <v>0</v>
          </cell>
          <cell r="AE61">
            <v>0</v>
          </cell>
          <cell r="AF61">
            <v>31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28</v>
          </cell>
          <cell r="AO61">
            <v>0</v>
          </cell>
          <cell r="AP61">
            <v>0</v>
          </cell>
          <cell r="AQ61">
            <v>30</v>
          </cell>
          <cell r="AR61">
            <v>25</v>
          </cell>
          <cell r="AS61">
            <v>0</v>
          </cell>
          <cell r="AT61">
            <v>28</v>
          </cell>
          <cell r="AU61">
            <v>0</v>
          </cell>
          <cell r="AV61">
            <v>0</v>
          </cell>
          <cell r="AW61">
            <v>24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24</v>
          </cell>
          <cell r="BC61">
            <v>0</v>
          </cell>
          <cell r="BD61">
            <v>0</v>
          </cell>
          <cell r="BE61">
            <v>29</v>
          </cell>
          <cell r="BF61">
            <v>21</v>
          </cell>
          <cell r="BG61">
            <v>0</v>
          </cell>
          <cell r="BH61">
            <v>32</v>
          </cell>
          <cell r="BI61">
            <v>27</v>
          </cell>
          <cell r="BJ61">
            <v>0</v>
          </cell>
          <cell r="BK61">
            <v>30</v>
          </cell>
          <cell r="BL61">
            <v>0</v>
          </cell>
          <cell r="BM61">
            <v>0</v>
          </cell>
          <cell r="BN61">
            <v>31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12</v>
          </cell>
        </row>
        <row r="62">
          <cell r="A62">
            <v>92440</v>
          </cell>
          <cell r="B62" t="str">
            <v>NOVA SERLINA</v>
          </cell>
          <cell r="C62">
            <v>0</v>
          </cell>
          <cell r="D62">
            <v>0</v>
          </cell>
          <cell r="E62">
            <v>0</v>
          </cell>
          <cell r="F62">
            <v>26</v>
          </cell>
          <cell r="G62">
            <v>25</v>
          </cell>
          <cell r="H62">
            <v>0</v>
          </cell>
          <cell r="I62">
            <v>25</v>
          </cell>
          <cell r="J62">
            <v>25</v>
          </cell>
          <cell r="K62">
            <v>20</v>
          </cell>
          <cell r="L62">
            <v>30</v>
          </cell>
          <cell r="M62">
            <v>22</v>
          </cell>
          <cell r="N62">
            <v>0</v>
          </cell>
          <cell r="O62">
            <v>0</v>
          </cell>
          <cell r="P62">
            <v>28</v>
          </cell>
          <cell r="Q62">
            <v>22</v>
          </cell>
          <cell r="R62">
            <v>0</v>
          </cell>
          <cell r="S62">
            <v>0</v>
          </cell>
          <cell r="T62">
            <v>26</v>
          </cell>
          <cell r="U62">
            <v>0</v>
          </cell>
          <cell r="V62">
            <v>0</v>
          </cell>
          <cell r="W62">
            <v>35</v>
          </cell>
          <cell r="X62">
            <v>0</v>
          </cell>
          <cell r="Y62">
            <v>0</v>
          </cell>
          <cell r="Z62">
            <v>30</v>
          </cell>
          <cell r="AA62">
            <v>0</v>
          </cell>
          <cell r="AB62">
            <v>0</v>
          </cell>
          <cell r="AC62">
            <v>20</v>
          </cell>
          <cell r="AD62">
            <v>22</v>
          </cell>
          <cell r="AE62">
            <v>0</v>
          </cell>
          <cell r="AF62">
            <v>0</v>
          </cell>
          <cell r="AG62">
            <v>25</v>
          </cell>
          <cell r="AH62">
            <v>27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26</v>
          </cell>
          <cell r="AO62">
            <v>25</v>
          </cell>
          <cell r="AP62">
            <v>0</v>
          </cell>
          <cell r="AQ62">
            <v>25</v>
          </cell>
          <cell r="AR62">
            <v>25</v>
          </cell>
          <cell r="AS62">
            <v>20</v>
          </cell>
          <cell r="AT62">
            <v>30</v>
          </cell>
          <cell r="AU62">
            <v>22</v>
          </cell>
          <cell r="AV62">
            <v>0</v>
          </cell>
          <cell r="AW62">
            <v>0</v>
          </cell>
          <cell r="AX62">
            <v>28</v>
          </cell>
          <cell r="AY62">
            <v>22</v>
          </cell>
          <cell r="AZ62">
            <v>0</v>
          </cell>
          <cell r="BA62">
            <v>0</v>
          </cell>
          <cell r="BB62">
            <v>26</v>
          </cell>
          <cell r="BC62">
            <v>0</v>
          </cell>
          <cell r="BD62">
            <v>0</v>
          </cell>
          <cell r="BE62">
            <v>35</v>
          </cell>
          <cell r="BF62">
            <v>0</v>
          </cell>
          <cell r="BG62">
            <v>0</v>
          </cell>
          <cell r="BH62">
            <v>30</v>
          </cell>
          <cell r="BI62">
            <v>0</v>
          </cell>
          <cell r="BJ62">
            <v>0</v>
          </cell>
          <cell r="BK62">
            <v>20</v>
          </cell>
          <cell r="BL62">
            <v>22</v>
          </cell>
          <cell r="BM62">
            <v>0</v>
          </cell>
          <cell r="BN62">
            <v>0</v>
          </cell>
          <cell r="BO62">
            <v>25</v>
          </cell>
          <cell r="BP62">
            <v>27</v>
          </cell>
          <cell r="BQ62">
            <v>0</v>
          </cell>
          <cell r="BR62">
            <v>0</v>
          </cell>
          <cell r="BS62">
            <v>16</v>
          </cell>
        </row>
        <row r="63">
          <cell r="A63">
            <v>92548</v>
          </cell>
          <cell r="B63" t="str">
            <v>SETO BAWONO</v>
          </cell>
          <cell r="C63">
            <v>0</v>
          </cell>
          <cell r="D63">
            <v>0</v>
          </cell>
          <cell r="E63">
            <v>0</v>
          </cell>
          <cell r="F63">
            <v>11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12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14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11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12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14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3</v>
          </cell>
        </row>
        <row r="64">
          <cell r="A64" t="str">
            <v>A0137</v>
          </cell>
          <cell r="B64" t="str">
            <v>DHIAN KARUNIA</v>
          </cell>
          <cell r="C64">
            <v>0</v>
          </cell>
          <cell r="D64">
            <v>0</v>
          </cell>
          <cell r="E64">
            <v>0</v>
          </cell>
          <cell r="F64">
            <v>28</v>
          </cell>
          <cell r="G64">
            <v>23</v>
          </cell>
          <cell r="H64">
            <v>0</v>
          </cell>
          <cell r="I64">
            <v>28</v>
          </cell>
          <cell r="J64">
            <v>25</v>
          </cell>
          <cell r="K64">
            <v>0</v>
          </cell>
          <cell r="L64">
            <v>28</v>
          </cell>
          <cell r="M64">
            <v>24</v>
          </cell>
          <cell r="N64">
            <v>0</v>
          </cell>
          <cell r="O64">
            <v>26</v>
          </cell>
          <cell r="P64">
            <v>30</v>
          </cell>
          <cell r="Q64">
            <v>0</v>
          </cell>
          <cell r="R64">
            <v>0</v>
          </cell>
          <cell r="S64">
            <v>0</v>
          </cell>
          <cell r="T64">
            <v>33</v>
          </cell>
          <cell r="U64">
            <v>0</v>
          </cell>
          <cell r="V64">
            <v>0</v>
          </cell>
          <cell r="W64">
            <v>31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28</v>
          </cell>
          <cell r="AO64">
            <v>23</v>
          </cell>
          <cell r="AP64">
            <v>0</v>
          </cell>
          <cell r="AQ64">
            <v>28</v>
          </cell>
          <cell r="AR64">
            <v>25</v>
          </cell>
          <cell r="AS64">
            <v>0</v>
          </cell>
          <cell r="AT64">
            <v>28</v>
          </cell>
          <cell r="AU64">
            <v>24</v>
          </cell>
          <cell r="AV64">
            <v>0</v>
          </cell>
          <cell r="AW64">
            <v>26</v>
          </cell>
          <cell r="AX64">
            <v>30</v>
          </cell>
          <cell r="AY64">
            <v>0</v>
          </cell>
          <cell r="AZ64">
            <v>0</v>
          </cell>
          <cell r="BA64">
            <v>0</v>
          </cell>
          <cell r="BB64">
            <v>33</v>
          </cell>
          <cell r="BC64">
            <v>0</v>
          </cell>
          <cell r="BD64">
            <v>0</v>
          </cell>
          <cell r="BE64">
            <v>31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10</v>
          </cell>
        </row>
        <row r="65">
          <cell r="A65" t="str">
            <v>A2447</v>
          </cell>
          <cell r="B65" t="str">
            <v>SUFYAN HANIF ABYAN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32</v>
          </cell>
          <cell r="H65">
            <v>29</v>
          </cell>
          <cell r="I65">
            <v>0</v>
          </cell>
          <cell r="J65">
            <v>29</v>
          </cell>
          <cell r="K65">
            <v>28</v>
          </cell>
          <cell r="L65">
            <v>0</v>
          </cell>
          <cell r="M65">
            <v>24</v>
          </cell>
          <cell r="N65">
            <v>24</v>
          </cell>
          <cell r="O65">
            <v>0</v>
          </cell>
          <cell r="P65">
            <v>30</v>
          </cell>
          <cell r="Q65">
            <v>26</v>
          </cell>
          <cell r="R65">
            <v>0</v>
          </cell>
          <cell r="S65">
            <v>0</v>
          </cell>
          <cell r="T65">
            <v>0</v>
          </cell>
          <cell r="U65">
            <v>36</v>
          </cell>
          <cell r="V65">
            <v>30</v>
          </cell>
          <cell r="W65">
            <v>0</v>
          </cell>
          <cell r="X65">
            <v>29</v>
          </cell>
          <cell r="Y65">
            <v>37</v>
          </cell>
          <cell r="Z65">
            <v>0</v>
          </cell>
          <cell r="AA65">
            <v>32</v>
          </cell>
          <cell r="AB65">
            <v>31</v>
          </cell>
          <cell r="AC65">
            <v>0</v>
          </cell>
          <cell r="AD65">
            <v>34</v>
          </cell>
          <cell r="AE65">
            <v>31</v>
          </cell>
          <cell r="AF65">
            <v>0</v>
          </cell>
          <cell r="AG65">
            <v>30</v>
          </cell>
          <cell r="AH65">
            <v>30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32</v>
          </cell>
          <cell r="AP65">
            <v>29</v>
          </cell>
          <cell r="AQ65">
            <v>0</v>
          </cell>
          <cell r="AR65">
            <v>29</v>
          </cell>
          <cell r="AS65">
            <v>28</v>
          </cell>
          <cell r="AT65">
            <v>0</v>
          </cell>
          <cell r="AU65">
            <v>24</v>
          </cell>
          <cell r="AV65">
            <v>24</v>
          </cell>
          <cell r="AW65">
            <v>0</v>
          </cell>
          <cell r="AX65">
            <v>30</v>
          </cell>
          <cell r="AY65">
            <v>26</v>
          </cell>
          <cell r="AZ65">
            <v>0</v>
          </cell>
          <cell r="BA65">
            <v>0</v>
          </cell>
          <cell r="BB65">
            <v>0</v>
          </cell>
          <cell r="BC65">
            <v>36</v>
          </cell>
          <cell r="BD65">
            <v>30</v>
          </cell>
          <cell r="BE65">
            <v>0</v>
          </cell>
          <cell r="BF65">
            <v>29</v>
          </cell>
          <cell r="BG65">
            <v>37</v>
          </cell>
          <cell r="BH65">
            <v>0</v>
          </cell>
          <cell r="BI65">
            <v>32</v>
          </cell>
          <cell r="BJ65">
            <v>31</v>
          </cell>
          <cell r="BK65">
            <v>0</v>
          </cell>
          <cell r="BL65">
            <v>34</v>
          </cell>
          <cell r="BM65">
            <v>31</v>
          </cell>
          <cell r="BN65">
            <v>0</v>
          </cell>
          <cell r="BO65">
            <v>30</v>
          </cell>
          <cell r="BP65">
            <v>30</v>
          </cell>
          <cell r="BQ65">
            <v>0</v>
          </cell>
          <cell r="BR65">
            <v>0</v>
          </cell>
          <cell r="BS65">
            <v>18</v>
          </cell>
        </row>
        <row r="66">
          <cell r="A66" t="str">
            <v>A2356</v>
          </cell>
          <cell r="B66" t="str">
            <v>ANTONIA ANDRIANI</v>
          </cell>
          <cell r="C66">
            <v>0</v>
          </cell>
          <cell r="D66">
            <v>0</v>
          </cell>
          <cell r="E66">
            <v>0</v>
          </cell>
          <cell r="F66">
            <v>28</v>
          </cell>
          <cell r="G66">
            <v>0</v>
          </cell>
          <cell r="H66">
            <v>0</v>
          </cell>
          <cell r="I66">
            <v>28</v>
          </cell>
          <cell r="J66">
            <v>23</v>
          </cell>
          <cell r="K66">
            <v>0</v>
          </cell>
          <cell r="L66">
            <v>27</v>
          </cell>
          <cell r="M66">
            <v>18</v>
          </cell>
          <cell r="N66">
            <v>0</v>
          </cell>
          <cell r="O66">
            <v>0</v>
          </cell>
          <cell r="P66">
            <v>29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30</v>
          </cell>
          <cell r="V66">
            <v>26</v>
          </cell>
          <cell r="W66">
            <v>30</v>
          </cell>
          <cell r="X66">
            <v>24</v>
          </cell>
          <cell r="Y66">
            <v>0</v>
          </cell>
          <cell r="Z66">
            <v>0</v>
          </cell>
          <cell r="AA66">
            <v>24</v>
          </cell>
          <cell r="AB66">
            <v>24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28</v>
          </cell>
          <cell r="AO66">
            <v>0</v>
          </cell>
          <cell r="AP66">
            <v>0</v>
          </cell>
          <cell r="AQ66">
            <v>28</v>
          </cell>
          <cell r="AR66">
            <v>23</v>
          </cell>
          <cell r="AS66">
            <v>0</v>
          </cell>
          <cell r="AT66">
            <v>27</v>
          </cell>
          <cell r="AU66">
            <v>18</v>
          </cell>
          <cell r="AV66">
            <v>0</v>
          </cell>
          <cell r="AW66">
            <v>0</v>
          </cell>
          <cell r="AX66">
            <v>29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30</v>
          </cell>
          <cell r="BD66">
            <v>26</v>
          </cell>
          <cell r="BE66">
            <v>30</v>
          </cell>
          <cell r="BF66">
            <v>24</v>
          </cell>
          <cell r="BG66">
            <v>0</v>
          </cell>
          <cell r="BH66">
            <v>0</v>
          </cell>
          <cell r="BI66">
            <v>24</v>
          </cell>
          <cell r="BJ66">
            <v>24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12</v>
          </cell>
        </row>
        <row r="67">
          <cell r="A67">
            <v>92112</v>
          </cell>
          <cell r="B67" t="str">
            <v>YUDHA DWI YULIANTO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28</v>
          </cell>
          <cell r="H67">
            <v>32</v>
          </cell>
          <cell r="I67">
            <v>0</v>
          </cell>
          <cell r="J67">
            <v>30</v>
          </cell>
          <cell r="K67">
            <v>35</v>
          </cell>
          <cell r="L67">
            <v>0</v>
          </cell>
          <cell r="M67">
            <v>0</v>
          </cell>
          <cell r="N67">
            <v>30</v>
          </cell>
          <cell r="O67">
            <v>0</v>
          </cell>
          <cell r="P67">
            <v>25</v>
          </cell>
          <cell r="Q67">
            <v>31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50</v>
          </cell>
          <cell r="Z67">
            <v>0</v>
          </cell>
          <cell r="AA67">
            <v>35</v>
          </cell>
          <cell r="AB67">
            <v>35</v>
          </cell>
          <cell r="AC67">
            <v>0</v>
          </cell>
          <cell r="AD67">
            <v>34</v>
          </cell>
          <cell r="AE67">
            <v>37</v>
          </cell>
          <cell r="AF67">
            <v>0</v>
          </cell>
          <cell r="AG67">
            <v>30</v>
          </cell>
          <cell r="AH67">
            <v>40</v>
          </cell>
          <cell r="AI67">
            <v>50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28</v>
          </cell>
          <cell r="AP67">
            <v>32</v>
          </cell>
          <cell r="AQ67">
            <v>0</v>
          </cell>
          <cell r="AR67">
            <v>30</v>
          </cell>
          <cell r="AS67">
            <v>35</v>
          </cell>
          <cell r="AT67">
            <v>0</v>
          </cell>
          <cell r="AU67">
            <v>0</v>
          </cell>
          <cell r="AV67">
            <v>30</v>
          </cell>
          <cell r="AW67">
            <v>0</v>
          </cell>
          <cell r="AX67">
            <v>25</v>
          </cell>
          <cell r="AY67">
            <v>31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50</v>
          </cell>
          <cell r="BH67">
            <v>0</v>
          </cell>
          <cell r="BI67">
            <v>35</v>
          </cell>
          <cell r="BJ67">
            <v>35</v>
          </cell>
          <cell r="BK67">
            <v>0</v>
          </cell>
          <cell r="BL67">
            <v>34</v>
          </cell>
          <cell r="BM67">
            <v>37</v>
          </cell>
          <cell r="BN67">
            <v>0</v>
          </cell>
          <cell r="BO67">
            <v>30</v>
          </cell>
          <cell r="BP67">
            <v>40</v>
          </cell>
          <cell r="BQ67">
            <v>50</v>
          </cell>
          <cell r="BR67">
            <v>0</v>
          </cell>
          <cell r="BS67">
            <v>15</v>
          </cell>
        </row>
        <row r="68">
          <cell r="A68" t="str">
            <v>A2749</v>
          </cell>
          <cell r="B68" t="str">
            <v>LATIFAH DYAH AYU PRAWISTI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11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13</v>
          </cell>
          <cell r="AB68">
            <v>11</v>
          </cell>
          <cell r="AC68">
            <v>12</v>
          </cell>
          <cell r="AD68">
            <v>0</v>
          </cell>
          <cell r="AE68">
            <v>0</v>
          </cell>
          <cell r="AF68">
            <v>0</v>
          </cell>
          <cell r="AG68">
            <v>10</v>
          </cell>
          <cell r="AH68">
            <v>12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11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13</v>
          </cell>
          <cell r="BJ68">
            <v>11</v>
          </cell>
          <cell r="BK68">
            <v>12</v>
          </cell>
          <cell r="BL68">
            <v>0</v>
          </cell>
          <cell r="BM68">
            <v>0</v>
          </cell>
          <cell r="BN68">
            <v>0</v>
          </cell>
          <cell r="BO68">
            <v>10</v>
          </cell>
          <cell r="BP68">
            <v>12</v>
          </cell>
          <cell r="BQ68">
            <v>0</v>
          </cell>
          <cell r="BR68">
            <v>0</v>
          </cell>
          <cell r="BS68">
            <v>6</v>
          </cell>
        </row>
        <row r="69">
          <cell r="A69" t="str">
            <v>A4497</v>
          </cell>
          <cell r="B69" t="str">
            <v>FAHMI NAJIB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9</v>
          </cell>
          <cell r="AB69">
            <v>0</v>
          </cell>
          <cell r="AC69">
            <v>11</v>
          </cell>
          <cell r="AD69">
            <v>0</v>
          </cell>
          <cell r="AE69">
            <v>0</v>
          </cell>
          <cell r="AF69">
            <v>10</v>
          </cell>
          <cell r="AG69">
            <v>0</v>
          </cell>
          <cell r="AH69">
            <v>0</v>
          </cell>
          <cell r="AI69">
            <v>13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11</v>
          </cell>
          <cell r="BL69">
            <v>0</v>
          </cell>
          <cell r="BM69">
            <v>0</v>
          </cell>
          <cell r="BN69">
            <v>10</v>
          </cell>
          <cell r="BO69">
            <v>0</v>
          </cell>
          <cell r="BP69">
            <v>0</v>
          </cell>
          <cell r="BQ69">
            <v>13</v>
          </cell>
          <cell r="BR69">
            <v>0</v>
          </cell>
          <cell r="BS69">
            <v>4</v>
          </cell>
        </row>
        <row r="70">
          <cell r="A70" t="str">
            <v>A4488</v>
          </cell>
          <cell r="B70" t="str">
            <v>FARRAS DAFFA YASSARRAMADHAN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10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11</v>
          </cell>
          <cell r="AD70">
            <v>9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10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11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3</v>
          </cell>
        </row>
        <row r="71">
          <cell r="A71" t="str">
            <v>A4505</v>
          </cell>
          <cell r="B71" t="str">
            <v>MUHAMMAD GHIFFARY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</row>
        <row r="72">
          <cell r="A72" t="str">
            <v>A4504</v>
          </cell>
          <cell r="B72" t="str">
            <v>ORENDA ATIRA MARIA LADAPASE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</row>
        <row r="73">
          <cell r="A73">
            <v>92677</v>
          </cell>
          <cell r="B73" t="str">
            <v>DHIKI SATRIA SEPTIANO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26</v>
          </cell>
          <cell r="K73">
            <v>30</v>
          </cell>
          <cell r="L73">
            <v>30</v>
          </cell>
          <cell r="M73">
            <v>20</v>
          </cell>
          <cell r="N73">
            <v>0</v>
          </cell>
          <cell r="O73">
            <v>0</v>
          </cell>
          <cell r="P73">
            <v>34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24</v>
          </cell>
          <cell r="AD73">
            <v>24</v>
          </cell>
          <cell r="AE73">
            <v>0</v>
          </cell>
          <cell r="AF73">
            <v>0</v>
          </cell>
          <cell r="AG73">
            <v>28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26</v>
          </cell>
          <cell r="AS73">
            <v>30</v>
          </cell>
          <cell r="AT73">
            <v>30</v>
          </cell>
          <cell r="AU73">
            <v>20</v>
          </cell>
          <cell r="AV73">
            <v>0</v>
          </cell>
          <cell r="AW73">
            <v>0</v>
          </cell>
          <cell r="AX73">
            <v>34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24</v>
          </cell>
          <cell r="BL73">
            <v>24</v>
          </cell>
          <cell r="BM73">
            <v>0</v>
          </cell>
          <cell r="BN73">
            <v>0</v>
          </cell>
          <cell r="BO73">
            <v>28</v>
          </cell>
          <cell r="BP73">
            <v>0</v>
          </cell>
          <cell r="BQ73">
            <v>0</v>
          </cell>
          <cell r="BR73">
            <v>0</v>
          </cell>
          <cell r="BS73">
            <v>8</v>
          </cell>
        </row>
        <row r="74">
          <cell r="A74" t="str">
            <v>A4336</v>
          </cell>
          <cell r="B74" t="str">
            <v>M DIMAS SETYA MAHENDRA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19</v>
          </cell>
          <cell r="L74">
            <v>0</v>
          </cell>
          <cell r="M74">
            <v>0</v>
          </cell>
          <cell r="N74">
            <v>0</v>
          </cell>
          <cell r="O74">
            <v>16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19</v>
          </cell>
          <cell r="AC74">
            <v>0</v>
          </cell>
          <cell r="AD74">
            <v>0</v>
          </cell>
          <cell r="AE74">
            <v>18</v>
          </cell>
          <cell r="AF74">
            <v>21</v>
          </cell>
          <cell r="AG74">
            <v>0</v>
          </cell>
          <cell r="AH74">
            <v>0</v>
          </cell>
          <cell r="AI74">
            <v>22</v>
          </cell>
          <cell r="AJ74">
            <v>20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19</v>
          </cell>
          <cell r="AT74">
            <v>0</v>
          </cell>
          <cell r="AU74">
            <v>0</v>
          </cell>
          <cell r="AV74">
            <v>0</v>
          </cell>
          <cell r="AW74">
            <v>16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19</v>
          </cell>
          <cell r="BK74">
            <v>0</v>
          </cell>
          <cell r="BL74">
            <v>0</v>
          </cell>
          <cell r="BM74">
            <v>18</v>
          </cell>
          <cell r="BN74">
            <v>21</v>
          </cell>
          <cell r="BO74">
            <v>0</v>
          </cell>
          <cell r="BP74">
            <v>0</v>
          </cell>
          <cell r="BQ74">
            <v>22</v>
          </cell>
          <cell r="BR74">
            <v>20</v>
          </cell>
          <cell r="BS74">
            <v>7</v>
          </cell>
        </row>
        <row r="75">
          <cell r="A75" t="str">
            <v>A0092</v>
          </cell>
          <cell r="B75" t="str">
            <v>REGINA ESTHER JAYA HANIKO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26</v>
          </cell>
          <cell r="J75">
            <v>25</v>
          </cell>
          <cell r="K75">
            <v>0</v>
          </cell>
          <cell r="L75">
            <v>25</v>
          </cell>
          <cell r="M75">
            <v>18</v>
          </cell>
          <cell r="N75">
            <v>0</v>
          </cell>
          <cell r="O75">
            <v>28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30</v>
          </cell>
          <cell r="U75">
            <v>0</v>
          </cell>
          <cell r="V75">
            <v>0</v>
          </cell>
          <cell r="W75">
            <v>31</v>
          </cell>
          <cell r="X75">
            <v>26</v>
          </cell>
          <cell r="Y75">
            <v>0</v>
          </cell>
          <cell r="Z75">
            <v>31</v>
          </cell>
          <cell r="AA75">
            <v>26</v>
          </cell>
          <cell r="AB75">
            <v>0</v>
          </cell>
          <cell r="AC75">
            <v>27</v>
          </cell>
          <cell r="AD75">
            <v>0</v>
          </cell>
          <cell r="AE75">
            <v>0</v>
          </cell>
          <cell r="AF75">
            <v>29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26</v>
          </cell>
          <cell r="AR75">
            <v>25</v>
          </cell>
          <cell r="AS75">
            <v>0</v>
          </cell>
          <cell r="AT75">
            <v>25</v>
          </cell>
          <cell r="AU75">
            <v>18</v>
          </cell>
          <cell r="AV75">
            <v>0</v>
          </cell>
          <cell r="AW75">
            <v>28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30</v>
          </cell>
          <cell r="BC75">
            <v>0</v>
          </cell>
          <cell r="BD75">
            <v>0</v>
          </cell>
          <cell r="BE75">
            <v>31</v>
          </cell>
          <cell r="BF75">
            <v>26</v>
          </cell>
          <cell r="BG75">
            <v>0</v>
          </cell>
          <cell r="BH75">
            <v>31</v>
          </cell>
          <cell r="BI75">
            <v>26</v>
          </cell>
          <cell r="BJ75">
            <v>0</v>
          </cell>
          <cell r="BK75">
            <v>27</v>
          </cell>
          <cell r="BL75">
            <v>0</v>
          </cell>
          <cell r="BM75">
            <v>0</v>
          </cell>
          <cell r="BN75">
            <v>29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12</v>
          </cell>
        </row>
        <row r="76">
          <cell r="A76">
            <v>92696</v>
          </cell>
          <cell r="B76" t="str">
            <v>TRIXIE AZARINE AMBARRINI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26</v>
          </cell>
          <cell r="J76">
            <v>25</v>
          </cell>
          <cell r="K76">
            <v>0</v>
          </cell>
          <cell r="L76">
            <v>26</v>
          </cell>
          <cell r="M76">
            <v>25</v>
          </cell>
          <cell r="N76">
            <v>0</v>
          </cell>
          <cell r="O76">
            <v>24</v>
          </cell>
          <cell r="P76">
            <v>0</v>
          </cell>
          <cell r="Q76">
            <v>0</v>
          </cell>
          <cell r="R76">
            <v>32</v>
          </cell>
          <cell r="S76">
            <v>21</v>
          </cell>
          <cell r="T76">
            <v>24</v>
          </cell>
          <cell r="U76">
            <v>29</v>
          </cell>
          <cell r="V76">
            <v>31</v>
          </cell>
          <cell r="W76">
            <v>0</v>
          </cell>
          <cell r="X76">
            <v>0</v>
          </cell>
          <cell r="Y76">
            <v>0</v>
          </cell>
          <cell r="Z76">
            <v>27</v>
          </cell>
          <cell r="AA76">
            <v>0</v>
          </cell>
          <cell r="AB76">
            <v>0</v>
          </cell>
          <cell r="AC76">
            <v>26</v>
          </cell>
          <cell r="AD76">
            <v>24</v>
          </cell>
          <cell r="AE76">
            <v>24</v>
          </cell>
          <cell r="AF76">
            <v>25</v>
          </cell>
          <cell r="AG76">
            <v>26</v>
          </cell>
          <cell r="AH76">
            <v>25</v>
          </cell>
          <cell r="AI76">
            <v>24</v>
          </cell>
          <cell r="AJ76">
            <v>27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26</v>
          </cell>
          <cell r="AR76">
            <v>25</v>
          </cell>
          <cell r="AS76">
            <v>0</v>
          </cell>
          <cell r="AT76">
            <v>26</v>
          </cell>
          <cell r="AU76">
            <v>25</v>
          </cell>
          <cell r="AV76">
            <v>0</v>
          </cell>
          <cell r="AW76">
            <v>24</v>
          </cell>
          <cell r="AX76">
            <v>0</v>
          </cell>
          <cell r="AY76">
            <v>0</v>
          </cell>
          <cell r="AZ76">
            <v>32</v>
          </cell>
          <cell r="BA76">
            <v>21</v>
          </cell>
          <cell r="BB76">
            <v>24</v>
          </cell>
          <cell r="BC76">
            <v>29</v>
          </cell>
          <cell r="BD76">
            <v>31</v>
          </cell>
          <cell r="BE76">
            <v>0</v>
          </cell>
          <cell r="BF76">
            <v>0</v>
          </cell>
          <cell r="BG76">
            <v>0</v>
          </cell>
          <cell r="BH76">
            <v>27</v>
          </cell>
          <cell r="BI76">
            <v>0</v>
          </cell>
          <cell r="BJ76">
            <v>0</v>
          </cell>
          <cell r="BK76">
            <v>26</v>
          </cell>
          <cell r="BL76">
            <v>24</v>
          </cell>
          <cell r="BM76">
            <v>24</v>
          </cell>
          <cell r="BN76">
            <v>25</v>
          </cell>
          <cell r="BO76">
            <v>26</v>
          </cell>
          <cell r="BP76">
            <v>25</v>
          </cell>
          <cell r="BQ76">
            <v>24</v>
          </cell>
          <cell r="BR76">
            <v>27</v>
          </cell>
          <cell r="BS76">
            <v>19</v>
          </cell>
        </row>
        <row r="77">
          <cell r="A77" t="str">
            <v>A3921</v>
          </cell>
          <cell r="B77" t="str">
            <v>NIMAS SURI MARTIANA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27</v>
          </cell>
          <cell r="J77">
            <v>20</v>
          </cell>
          <cell r="K77">
            <v>0</v>
          </cell>
          <cell r="L77">
            <v>23</v>
          </cell>
          <cell r="M77">
            <v>22</v>
          </cell>
          <cell r="N77">
            <v>0</v>
          </cell>
          <cell r="O77">
            <v>21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30</v>
          </cell>
          <cell r="U77">
            <v>34</v>
          </cell>
          <cell r="V77">
            <v>0</v>
          </cell>
          <cell r="W77">
            <v>25</v>
          </cell>
          <cell r="X77">
            <v>27</v>
          </cell>
          <cell r="Y77">
            <v>0</v>
          </cell>
          <cell r="Z77">
            <v>27</v>
          </cell>
          <cell r="AA77">
            <v>26</v>
          </cell>
          <cell r="AB77">
            <v>0</v>
          </cell>
          <cell r="AC77">
            <v>22</v>
          </cell>
          <cell r="AD77">
            <v>25</v>
          </cell>
          <cell r="AE77">
            <v>20</v>
          </cell>
          <cell r="AF77">
            <v>25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27</v>
          </cell>
          <cell r="AR77">
            <v>20</v>
          </cell>
          <cell r="AS77">
            <v>0</v>
          </cell>
          <cell r="AT77">
            <v>23</v>
          </cell>
          <cell r="AU77">
            <v>22</v>
          </cell>
          <cell r="AV77">
            <v>0</v>
          </cell>
          <cell r="AW77">
            <v>21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30</v>
          </cell>
          <cell r="BC77">
            <v>34</v>
          </cell>
          <cell r="BD77">
            <v>0</v>
          </cell>
          <cell r="BE77">
            <v>25</v>
          </cell>
          <cell r="BF77">
            <v>27</v>
          </cell>
          <cell r="BG77">
            <v>0</v>
          </cell>
          <cell r="BH77">
            <v>27</v>
          </cell>
          <cell r="BI77">
            <v>26</v>
          </cell>
          <cell r="BJ77">
            <v>0</v>
          </cell>
          <cell r="BK77">
            <v>22</v>
          </cell>
          <cell r="BL77">
            <v>25</v>
          </cell>
          <cell r="BM77">
            <v>20</v>
          </cell>
          <cell r="BN77">
            <v>25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15</v>
          </cell>
        </row>
        <row r="78">
          <cell r="A78">
            <v>90625</v>
          </cell>
          <cell r="B78" t="str">
            <v>ARIF AHMAD NUGROHO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24</v>
          </cell>
          <cell r="J78">
            <v>0</v>
          </cell>
          <cell r="K78">
            <v>0</v>
          </cell>
          <cell r="L78">
            <v>24</v>
          </cell>
          <cell r="M78">
            <v>26</v>
          </cell>
          <cell r="N78">
            <v>0</v>
          </cell>
          <cell r="O78">
            <v>24</v>
          </cell>
          <cell r="P78">
            <v>0</v>
          </cell>
          <cell r="Q78">
            <v>0</v>
          </cell>
          <cell r="R78">
            <v>24</v>
          </cell>
          <cell r="S78">
            <v>0</v>
          </cell>
          <cell r="T78">
            <v>29</v>
          </cell>
          <cell r="U78">
            <v>32</v>
          </cell>
          <cell r="V78">
            <v>0</v>
          </cell>
          <cell r="W78">
            <v>24</v>
          </cell>
          <cell r="X78">
            <v>30</v>
          </cell>
          <cell r="Y78">
            <v>0</v>
          </cell>
          <cell r="Z78">
            <v>24</v>
          </cell>
          <cell r="AA78">
            <v>24</v>
          </cell>
          <cell r="AB78">
            <v>0</v>
          </cell>
          <cell r="AC78">
            <v>23</v>
          </cell>
          <cell r="AD78">
            <v>16</v>
          </cell>
          <cell r="AE78">
            <v>0</v>
          </cell>
          <cell r="AF78">
            <v>24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24</v>
          </cell>
          <cell r="AR78">
            <v>0</v>
          </cell>
          <cell r="AS78">
            <v>0</v>
          </cell>
          <cell r="AT78">
            <v>24</v>
          </cell>
          <cell r="AU78">
            <v>26</v>
          </cell>
          <cell r="AV78">
            <v>0</v>
          </cell>
          <cell r="AW78">
            <v>24</v>
          </cell>
          <cell r="AX78">
            <v>0</v>
          </cell>
          <cell r="AY78">
            <v>0</v>
          </cell>
          <cell r="AZ78">
            <v>24</v>
          </cell>
          <cell r="BA78">
            <v>0</v>
          </cell>
          <cell r="BB78">
            <v>29</v>
          </cell>
          <cell r="BC78">
            <v>32</v>
          </cell>
          <cell r="BD78">
            <v>0</v>
          </cell>
          <cell r="BE78">
            <v>24</v>
          </cell>
          <cell r="BF78">
            <v>30</v>
          </cell>
          <cell r="BG78">
            <v>0</v>
          </cell>
          <cell r="BH78">
            <v>24</v>
          </cell>
          <cell r="BI78">
            <v>24</v>
          </cell>
          <cell r="BJ78">
            <v>0</v>
          </cell>
          <cell r="BK78">
            <v>23</v>
          </cell>
          <cell r="BL78">
            <v>16</v>
          </cell>
          <cell r="BM78">
            <v>0</v>
          </cell>
          <cell r="BN78">
            <v>24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14</v>
          </cell>
        </row>
        <row r="79">
          <cell r="A79">
            <v>92132</v>
          </cell>
          <cell r="B79" t="str">
            <v>RIMA FAUZIAH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30</v>
          </cell>
          <cell r="J79">
            <v>27</v>
          </cell>
          <cell r="K79">
            <v>0</v>
          </cell>
          <cell r="L79">
            <v>30</v>
          </cell>
          <cell r="M79">
            <v>24</v>
          </cell>
          <cell r="N79">
            <v>0</v>
          </cell>
          <cell r="O79">
            <v>32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27</v>
          </cell>
          <cell r="U79">
            <v>41</v>
          </cell>
          <cell r="V79">
            <v>0</v>
          </cell>
          <cell r="W79">
            <v>30</v>
          </cell>
          <cell r="X79">
            <v>41</v>
          </cell>
          <cell r="Y79">
            <v>0</v>
          </cell>
          <cell r="Z79">
            <v>33</v>
          </cell>
          <cell r="AA79">
            <v>0</v>
          </cell>
          <cell r="AB79">
            <v>0</v>
          </cell>
          <cell r="AC79">
            <v>27</v>
          </cell>
          <cell r="AD79">
            <v>33</v>
          </cell>
          <cell r="AE79">
            <v>0</v>
          </cell>
          <cell r="AF79">
            <v>32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30</v>
          </cell>
          <cell r="AR79">
            <v>27</v>
          </cell>
          <cell r="AS79">
            <v>0</v>
          </cell>
          <cell r="AT79">
            <v>30</v>
          </cell>
          <cell r="AU79">
            <v>24</v>
          </cell>
          <cell r="AV79">
            <v>0</v>
          </cell>
          <cell r="AW79">
            <v>32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27</v>
          </cell>
          <cell r="BC79">
            <v>41</v>
          </cell>
          <cell r="BD79">
            <v>0</v>
          </cell>
          <cell r="BE79">
            <v>30</v>
          </cell>
          <cell r="BF79">
            <v>41</v>
          </cell>
          <cell r="BG79">
            <v>0</v>
          </cell>
          <cell r="BH79">
            <v>33</v>
          </cell>
          <cell r="BI79">
            <v>0</v>
          </cell>
          <cell r="BJ79">
            <v>0</v>
          </cell>
          <cell r="BK79">
            <v>27</v>
          </cell>
          <cell r="BL79">
            <v>33</v>
          </cell>
          <cell r="BM79">
            <v>0</v>
          </cell>
          <cell r="BN79">
            <v>32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13</v>
          </cell>
        </row>
        <row r="80">
          <cell r="A80">
            <v>92428</v>
          </cell>
          <cell r="B80" t="str">
            <v>MARCEL BELMIRO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33</v>
          </cell>
          <cell r="J80">
            <v>35</v>
          </cell>
          <cell r="K80">
            <v>0</v>
          </cell>
          <cell r="L80">
            <v>32</v>
          </cell>
          <cell r="M80">
            <v>30</v>
          </cell>
          <cell r="N80">
            <v>30</v>
          </cell>
          <cell r="O80">
            <v>30</v>
          </cell>
          <cell r="P80">
            <v>0</v>
          </cell>
          <cell r="Q80">
            <v>0</v>
          </cell>
          <cell r="R80">
            <v>34</v>
          </cell>
          <cell r="S80">
            <v>0</v>
          </cell>
          <cell r="T80">
            <v>32</v>
          </cell>
          <cell r="U80">
            <v>32</v>
          </cell>
          <cell r="V80">
            <v>30</v>
          </cell>
          <cell r="W80">
            <v>39</v>
          </cell>
          <cell r="X80">
            <v>40</v>
          </cell>
          <cell r="Y80">
            <v>0</v>
          </cell>
          <cell r="Z80">
            <v>30</v>
          </cell>
          <cell r="AA80">
            <v>31</v>
          </cell>
          <cell r="AB80">
            <v>0</v>
          </cell>
          <cell r="AC80">
            <v>32</v>
          </cell>
          <cell r="AD80">
            <v>31</v>
          </cell>
          <cell r="AE80">
            <v>31</v>
          </cell>
          <cell r="AF80">
            <v>32</v>
          </cell>
          <cell r="AG80">
            <v>0</v>
          </cell>
          <cell r="AH80">
            <v>0</v>
          </cell>
          <cell r="AI80">
            <v>35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33</v>
          </cell>
          <cell r="AR80">
            <v>35</v>
          </cell>
          <cell r="AS80">
            <v>0</v>
          </cell>
          <cell r="AT80">
            <v>32</v>
          </cell>
          <cell r="AU80">
            <v>30</v>
          </cell>
          <cell r="AV80">
            <v>30</v>
          </cell>
          <cell r="AW80">
            <v>30</v>
          </cell>
          <cell r="AX80">
            <v>0</v>
          </cell>
          <cell r="AY80">
            <v>0</v>
          </cell>
          <cell r="AZ80">
            <v>34</v>
          </cell>
          <cell r="BA80">
            <v>0</v>
          </cell>
          <cell r="BB80">
            <v>32</v>
          </cell>
          <cell r="BC80">
            <v>32</v>
          </cell>
          <cell r="BD80">
            <v>30</v>
          </cell>
          <cell r="BE80">
            <v>39</v>
          </cell>
          <cell r="BF80">
            <v>40</v>
          </cell>
          <cell r="BG80">
            <v>0</v>
          </cell>
          <cell r="BH80">
            <v>30</v>
          </cell>
          <cell r="BI80">
            <v>31</v>
          </cell>
          <cell r="BJ80">
            <v>0</v>
          </cell>
          <cell r="BK80">
            <v>32</v>
          </cell>
          <cell r="BL80">
            <v>31</v>
          </cell>
          <cell r="BM80">
            <v>31</v>
          </cell>
          <cell r="BN80">
            <v>32</v>
          </cell>
          <cell r="BO80">
            <v>0</v>
          </cell>
          <cell r="BP80">
            <v>0</v>
          </cell>
          <cell r="BQ80">
            <v>35</v>
          </cell>
          <cell r="BR80">
            <v>0</v>
          </cell>
          <cell r="BS80">
            <v>19</v>
          </cell>
        </row>
        <row r="81">
          <cell r="A81">
            <v>92430</v>
          </cell>
          <cell r="B81" t="str">
            <v>GRACIA KITHARA MUSICA GERALDIA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31</v>
          </cell>
          <cell r="J81">
            <v>24</v>
          </cell>
          <cell r="K81">
            <v>0</v>
          </cell>
          <cell r="L81">
            <v>28</v>
          </cell>
          <cell r="M81">
            <v>23</v>
          </cell>
          <cell r="N81">
            <v>24</v>
          </cell>
          <cell r="O81">
            <v>25</v>
          </cell>
          <cell r="P81">
            <v>0</v>
          </cell>
          <cell r="Q81">
            <v>0</v>
          </cell>
          <cell r="R81">
            <v>26</v>
          </cell>
          <cell r="S81">
            <v>0</v>
          </cell>
          <cell r="T81">
            <v>28</v>
          </cell>
          <cell r="U81">
            <v>30</v>
          </cell>
          <cell r="V81">
            <v>24</v>
          </cell>
          <cell r="W81">
            <v>30</v>
          </cell>
          <cell r="X81">
            <v>26</v>
          </cell>
          <cell r="Y81">
            <v>0</v>
          </cell>
          <cell r="Z81">
            <v>25</v>
          </cell>
          <cell r="AA81">
            <v>25</v>
          </cell>
          <cell r="AB81">
            <v>0</v>
          </cell>
          <cell r="AC81">
            <v>24</v>
          </cell>
          <cell r="AD81">
            <v>24</v>
          </cell>
          <cell r="AE81">
            <v>24</v>
          </cell>
          <cell r="AF81">
            <v>24</v>
          </cell>
          <cell r="AG81">
            <v>0</v>
          </cell>
          <cell r="AH81">
            <v>0</v>
          </cell>
          <cell r="AI81">
            <v>29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31</v>
          </cell>
          <cell r="AR81">
            <v>24</v>
          </cell>
          <cell r="AS81">
            <v>0</v>
          </cell>
          <cell r="AT81">
            <v>28</v>
          </cell>
          <cell r="AU81">
            <v>23</v>
          </cell>
          <cell r="AV81">
            <v>24</v>
          </cell>
          <cell r="AW81">
            <v>25</v>
          </cell>
          <cell r="AX81">
            <v>0</v>
          </cell>
          <cell r="AY81">
            <v>0</v>
          </cell>
          <cell r="AZ81">
            <v>26</v>
          </cell>
          <cell r="BA81">
            <v>0</v>
          </cell>
          <cell r="BB81">
            <v>28</v>
          </cell>
          <cell r="BC81">
            <v>30</v>
          </cell>
          <cell r="BD81">
            <v>24</v>
          </cell>
          <cell r="BE81">
            <v>30</v>
          </cell>
          <cell r="BF81">
            <v>26</v>
          </cell>
          <cell r="BG81">
            <v>0</v>
          </cell>
          <cell r="BH81">
            <v>25</v>
          </cell>
          <cell r="BI81">
            <v>25</v>
          </cell>
          <cell r="BJ81">
            <v>0</v>
          </cell>
          <cell r="BK81">
            <v>24</v>
          </cell>
          <cell r="BL81">
            <v>24</v>
          </cell>
          <cell r="BM81">
            <v>24</v>
          </cell>
          <cell r="BN81">
            <v>24</v>
          </cell>
          <cell r="BO81">
            <v>0</v>
          </cell>
          <cell r="BP81">
            <v>0</v>
          </cell>
          <cell r="BQ81">
            <v>29</v>
          </cell>
          <cell r="BR81">
            <v>0</v>
          </cell>
          <cell r="BS81">
            <v>19</v>
          </cell>
        </row>
        <row r="82">
          <cell r="A82" t="str">
            <v>A3439</v>
          </cell>
          <cell r="B82" t="str">
            <v>BERLLITA CORNELLA DEVI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14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16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12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14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16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12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3</v>
          </cell>
        </row>
        <row r="83">
          <cell r="A83">
            <v>92594</v>
          </cell>
          <cell r="B83" t="str">
            <v>BRYAN JULIANO IMANTAKA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31</v>
          </cell>
          <cell r="M83">
            <v>31</v>
          </cell>
          <cell r="N83">
            <v>0</v>
          </cell>
          <cell r="O83">
            <v>33</v>
          </cell>
          <cell r="P83">
            <v>0</v>
          </cell>
          <cell r="Q83">
            <v>0</v>
          </cell>
          <cell r="R83">
            <v>36</v>
          </cell>
          <cell r="S83">
            <v>0</v>
          </cell>
          <cell r="T83">
            <v>36</v>
          </cell>
          <cell r="U83">
            <v>45</v>
          </cell>
          <cell r="V83">
            <v>0</v>
          </cell>
          <cell r="W83">
            <v>31</v>
          </cell>
          <cell r="X83">
            <v>39</v>
          </cell>
          <cell r="Y83">
            <v>0</v>
          </cell>
          <cell r="Z83">
            <v>30</v>
          </cell>
          <cell r="AA83">
            <v>32</v>
          </cell>
          <cell r="AB83">
            <v>0</v>
          </cell>
          <cell r="AC83">
            <v>31</v>
          </cell>
          <cell r="AD83">
            <v>36</v>
          </cell>
          <cell r="AE83">
            <v>0</v>
          </cell>
          <cell r="AF83">
            <v>37</v>
          </cell>
          <cell r="AG83">
            <v>0</v>
          </cell>
          <cell r="AH83">
            <v>0</v>
          </cell>
          <cell r="AI83">
            <v>36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31</v>
          </cell>
          <cell r="AU83">
            <v>31</v>
          </cell>
          <cell r="AV83">
            <v>0</v>
          </cell>
          <cell r="AW83">
            <v>33</v>
          </cell>
          <cell r="AX83">
            <v>0</v>
          </cell>
          <cell r="AY83">
            <v>0</v>
          </cell>
          <cell r="AZ83">
            <v>36</v>
          </cell>
          <cell r="BA83">
            <v>0</v>
          </cell>
          <cell r="BB83">
            <v>36</v>
          </cell>
          <cell r="BC83">
            <v>45</v>
          </cell>
          <cell r="BD83">
            <v>0</v>
          </cell>
          <cell r="BE83">
            <v>31</v>
          </cell>
          <cell r="BF83">
            <v>39</v>
          </cell>
          <cell r="BG83">
            <v>0</v>
          </cell>
          <cell r="BH83">
            <v>30</v>
          </cell>
          <cell r="BI83">
            <v>32</v>
          </cell>
          <cell r="BJ83">
            <v>0</v>
          </cell>
          <cell r="BK83">
            <v>31</v>
          </cell>
          <cell r="BL83">
            <v>36</v>
          </cell>
          <cell r="BM83">
            <v>0</v>
          </cell>
          <cell r="BN83">
            <v>37</v>
          </cell>
          <cell r="BO83">
            <v>0</v>
          </cell>
          <cell r="BP83">
            <v>0</v>
          </cell>
          <cell r="BQ83">
            <v>36</v>
          </cell>
          <cell r="BR83">
            <v>0</v>
          </cell>
          <cell r="BS83">
            <v>14</v>
          </cell>
        </row>
        <row r="84">
          <cell r="A84">
            <v>92436</v>
          </cell>
          <cell r="B84" t="str">
            <v>GILANG WIRADANA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30</v>
          </cell>
          <cell r="M84">
            <v>0</v>
          </cell>
          <cell r="N84">
            <v>0</v>
          </cell>
          <cell r="O84">
            <v>29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24</v>
          </cell>
          <cell r="U84">
            <v>36</v>
          </cell>
          <cell r="V84">
            <v>0</v>
          </cell>
          <cell r="W84">
            <v>31</v>
          </cell>
          <cell r="X84">
            <v>38</v>
          </cell>
          <cell r="Y84">
            <v>0</v>
          </cell>
          <cell r="Z84">
            <v>29</v>
          </cell>
          <cell r="AA84">
            <v>25</v>
          </cell>
          <cell r="AB84">
            <v>0</v>
          </cell>
          <cell r="AC84">
            <v>33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30</v>
          </cell>
          <cell r="AU84">
            <v>0</v>
          </cell>
          <cell r="AV84">
            <v>0</v>
          </cell>
          <cell r="AW84">
            <v>29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24</v>
          </cell>
          <cell r="BC84">
            <v>36</v>
          </cell>
          <cell r="BD84">
            <v>0</v>
          </cell>
          <cell r="BE84">
            <v>31</v>
          </cell>
          <cell r="BF84">
            <v>38</v>
          </cell>
          <cell r="BG84">
            <v>0</v>
          </cell>
          <cell r="BH84">
            <v>29</v>
          </cell>
          <cell r="BI84">
            <v>25</v>
          </cell>
          <cell r="BJ84">
            <v>0</v>
          </cell>
          <cell r="BK84">
            <v>33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9</v>
          </cell>
        </row>
        <row r="85">
          <cell r="A85" t="str">
            <v>A4556</v>
          </cell>
          <cell r="B85" t="str">
            <v>WIJANARKO RIFQI NUGROHO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</row>
        <row r="86">
          <cell r="A86" t="str">
            <v>A4558</v>
          </cell>
          <cell r="B86" t="str">
            <v>TIRTA RHAMADANTY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</row>
        <row r="87">
          <cell r="A87" t="str">
            <v>A4557</v>
          </cell>
          <cell r="B87" t="str">
            <v>SHINTA YUNIA WULANDARI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</row>
        <row r="88">
          <cell r="A88" t="str">
            <v>A4561</v>
          </cell>
          <cell r="B88" t="str">
            <v>DEDI IRAWAN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</row>
        <row r="89">
          <cell r="A89" t="str">
            <v>A4560</v>
          </cell>
          <cell r="B89" t="str">
            <v>BONIFASIUS ADHI RENALGE DEWANTO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</row>
        <row r="90">
          <cell r="A90" t="str">
            <v>A4559</v>
          </cell>
          <cell r="B90" t="str">
            <v>DINA FADHILA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</row>
        <row r="91">
          <cell r="A91" t="str">
            <v>A4563</v>
          </cell>
          <cell r="B91" t="str">
            <v>MUHAMMAD RAFI NUR SETO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</row>
        <row r="92">
          <cell r="A92" t="str">
            <v>A4565</v>
          </cell>
          <cell r="B92" t="str">
            <v>OLIVIA DISSA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</row>
        <row r="93">
          <cell r="A93" t="str">
            <v>A4562</v>
          </cell>
          <cell r="B93" t="str">
            <v>NISAA ZAHRALAKSMI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</row>
        <row r="94">
          <cell r="A94" t="str">
            <v>A4564</v>
          </cell>
          <cell r="B94" t="str">
            <v>VIOLA SEKARAYU GAYATRI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</row>
        <row r="95">
          <cell r="A95">
            <v>92213</v>
          </cell>
          <cell r="B95" t="str">
            <v>AGUNG PAMBUDI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25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25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1</v>
          </cell>
        </row>
        <row r="96">
          <cell r="A96">
            <v>92067</v>
          </cell>
          <cell r="B96" t="str">
            <v>ADJIE ILHAM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16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16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1</v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  <cell r="B99">
            <v>0</v>
          </cell>
        </row>
        <row r="100">
          <cell r="A100" t="str">
            <v/>
          </cell>
          <cell r="B100" t="str">
            <v>Mengetahui,</v>
          </cell>
        </row>
        <row r="101">
          <cell r="A101" t="str">
            <v/>
          </cell>
          <cell r="B101">
            <v>0</v>
          </cell>
        </row>
        <row r="102">
          <cell r="A102" t="str">
            <v/>
          </cell>
          <cell r="B102">
            <v>0</v>
          </cell>
        </row>
        <row r="103">
          <cell r="A103" t="str">
            <v/>
          </cell>
          <cell r="B103">
            <v>0</v>
          </cell>
        </row>
        <row r="104">
          <cell r="A104" t="str">
            <v/>
          </cell>
          <cell r="B104">
            <v>0</v>
          </cell>
        </row>
        <row r="105">
          <cell r="A105" t="str">
            <v/>
          </cell>
          <cell r="B105">
            <v>0</v>
          </cell>
        </row>
        <row r="106">
          <cell r="A106">
            <v>0</v>
          </cell>
          <cell r="B106">
            <v>0</v>
          </cell>
        </row>
        <row r="107">
          <cell r="A107">
            <v>0</v>
          </cell>
          <cell r="B107" t="str">
            <v xml:space="preserve">SRI RAHAYU GUNADI </v>
          </cell>
        </row>
        <row r="108">
          <cell r="A108">
            <v>0</v>
          </cell>
          <cell r="B108" t="str">
            <v>HC DOC HEAD</v>
          </cell>
        </row>
        <row r="109">
          <cell r="A109">
            <v>0</v>
          </cell>
          <cell r="B109">
            <v>0</v>
          </cell>
        </row>
        <row r="110">
          <cell r="A110">
            <v>0</v>
          </cell>
          <cell r="B110">
            <v>0</v>
          </cell>
        </row>
      </sheetData>
      <sheetData sheetId="3" refreshError="1">
        <row r="1">
          <cell r="A1" t="str">
            <v>PERIODE 1 DESEMBER 2024 AAV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  <row r="2">
          <cell r="A2" t="str">
            <v>TANGGAL 02 - 14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0</v>
          </cell>
          <cell r="F4">
            <v>45629</v>
          </cell>
          <cell r="G4">
            <v>0</v>
          </cell>
          <cell r="H4">
            <v>0</v>
          </cell>
          <cell r="I4">
            <v>45630</v>
          </cell>
          <cell r="J4">
            <v>0</v>
          </cell>
          <cell r="K4">
            <v>0</v>
          </cell>
          <cell r="L4">
            <v>45631</v>
          </cell>
          <cell r="M4">
            <v>0</v>
          </cell>
          <cell r="N4">
            <v>0</v>
          </cell>
          <cell r="O4">
            <v>45632</v>
          </cell>
          <cell r="P4">
            <v>0</v>
          </cell>
          <cell r="Q4">
            <v>0</v>
          </cell>
          <cell r="R4">
            <v>45633</v>
          </cell>
          <cell r="S4">
            <v>0</v>
          </cell>
          <cell r="T4">
            <v>45635</v>
          </cell>
          <cell r="U4">
            <v>0</v>
          </cell>
          <cell r="V4">
            <v>0</v>
          </cell>
          <cell r="W4">
            <v>45636</v>
          </cell>
          <cell r="X4">
            <v>0</v>
          </cell>
          <cell r="Y4">
            <v>0</v>
          </cell>
          <cell r="Z4">
            <v>45637</v>
          </cell>
          <cell r="AA4">
            <v>0</v>
          </cell>
          <cell r="AB4">
            <v>0</v>
          </cell>
          <cell r="AC4">
            <v>45638</v>
          </cell>
          <cell r="AD4">
            <v>0</v>
          </cell>
          <cell r="AE4">
            <v>0</v>
          </cell>
          <cell r="AF4">
            <v>45639</v>
          </cell>
          <cell r="AG4">
            <v>0</v>
          </cell>
          <cell r="AH4">
            <v>0</v>
          </cell>
          <cell r="AI4">
            <v>45640</v>
          </cell>
          <cell r="AJ4">
            <v>0</v>
          </cell>
          <cell r="AK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3 </v>
          </cell>
          <cell r="F5" t="str">
            <v xml:space="preserve">SLOT 1 </v>
          </cell>
          <cell r="G5" t="str">
            <v xml:space="preserve">SLOT 2 </v>
          </cell>
          <cell r="H5" t="str">
            <v xml:space="preserve">SLOT 3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3 </v>
          </cell>
          <cell r="L5" t="str">
            <v xml:space="preserve">SLOT 1 </v>
          </cell>
          <cell r="M5" t="str">
            <v xml:space="preserve">SLOT 2 </v>
          </cell>
          <cell r="N5" t="str">
            <v xml:space="preserve">SLOT 3 </v>
          </cell>
          <cell r="O5" t="str">
            <v xml:space="preserve">SLOT 1 </v>
          </cell>
          <cell r="P5" t="str">
            <v xml:space="preserve">SLOT 2 </v>
          </cell>
          <cell r="Q5" t="str">
            <v xml:space="preserve">SLOT 3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3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3 </v>
          </cell>
          <cell r="Z5" t="str">
            <v xml:space="preserve">SLOT 1 </v>
          </cell>
          <cell r="AA5" t="str">
            <v xml:space="preserve">SLOT 2 </v>
          </cell>
          <cell r="AB5" t="str">
            <v xml:space="preserve">SLOT 3 </v>
          </cell>
          <cell r="AC5" t="str">
            <v xml:space="preserve">SLOT 1 </v>
          </cell>
          <cell r="AD5" t="str">
            <v xml:space="preserve">SLOT 2 </v>
          </cell>
          <cell r="AE5" t="str">
            <v xml:space="preserve">SLOT 3 </v>
          </cell>
          <cell r="AF5" t="str">
            <v xml:space="preserve">SLOT 1 </v>
          </cell>
          <cell r="AG5" t="str">
            <v xml:space="preserve">SLOT 2 </v>
          </cell>
          <cell r="AH5" t="str">
            <v xml:space="preserve">SLOT 3 </v>
          </cell>
          <cell r="AI5" t="str">
            <v xml:space="preserve">SLOT 1 </v>
          </cell>
          <cell r="AJ5" t="str">
            <v xml:space="preserve">SLOT 2 </v>
          </cell>
          <cell r="AK5">
            <v>0</v>
          </cell>
        </row>
        <row r="6">
          <cell r="A6">
            <v>92175</v>
          </cell>
          <cell r="B6" t="str">
            <v>Ayu Amelia Resanti</v>
          </cell>
          <cell r="C6">
            <v>0</v>
          </cell>
          <cell r="D6">
            <v>1</v>
          </cell>
          <cell r="E6">
            <v>1</v>
          </cell>
          <cell r="F6">
            <v>0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0</v>
          </cell>
          <cell r="M6">
            <v>1</v>
          </cell>
          <cell r="N6">
            <v>1</v>
          </cell>
          <cell r="O6">
            <v>0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30</v>
          </cell>
        </row>
        <row r="7">
          <cell r="A7" t="str">
            <v>A0177</v>
          </cell>
          <cell r="B7" t="str">
            <v>Yunita Nuswantari Wiratna</v>
          </cell>
          <cell r="C7">
            <v>0</v>
          </cell>
          <cell r="D7">
            <v>1</v>
          </cell>
          <cell r="E7">
            <v>0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0</v>
          </cell>
          <cell r="AK7">
            <v>23</v>
          </cell>
        </row>
        <row r="8">
          <cell r="A8" t="str">
            <v>A0297</v>
          </cell>
          <cell r="B8" t="str">
            <v>Siwi Novitaningrum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</v>
          </cell>
          <cell r="Q8">
            <v>0</v>
          </cell>
          <cell r="R8">
            <v>0</v>
          </cell>
          <cell r="S8">
            <v>0</v>
          </cell>
          <cell r="T8">
            <v>1</v>
          </cell>
          <cell r="U8">
            <v>0</v>
          </cell>
          <cell r="V8">
            <v>0</v>
          </cell>
          <cell r="W8">
            <v>0</v>
          </cell>
          <cell r="X8">
            <v>1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</v>
          </cell>
          <cell r="AE8">
            <v>0</v>
          </cell>
          <cell r="AF8">
            <v>0</v>
          </cell>
          <cell r="AG8">
            <v>1</v>
          </cell>
          <cell r="AH8">
            <v>0</v>
          </cell>
          <cell r="AI8">
            <v>0</v>
          </cell>
          <cell r="AJ8">
            <v>0</v>
          </cell>
          <cell r="AK8">
            <v>7</v>
          </cell>
        </row>
        <row r="9">
          <cell r="A9" t="str">
            <v>A1971</v>
          </cell>
          <cell r="B9" t="str">
            <v>ANGGI BEATRIKS SERAN</v>
          </cell>
          <cell r="C9">
            <v>1</v>
          </cell>
          <cell r="D9">
            <v>0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33</v>
          </cell>
        </row>
        <row r="10">
          <cell r="A10" t="str">
            <v>A2001</v>
          </cell>
          <cell r="B10" t="str">
            <v>M MENTARI GAGAT RAYNA</v>
          </cell>
          <cell r="C10">
            <v>1</v>
          </cell>
          <cell r="D10">
            <v>0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0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32</v>
          </cell>
        </row>
        <row r="11">
          <cell r="A11" t="str">
            <v>A2025</v>
          </cell>
          <cell r="B11" t="str">
            <v>NUR AINI HAFIDHA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1</v>
          </cell>
          <cell r="Q11">
            <v>0</v>
          </cell>
          <cell r="R11">
            <v>1</v>
          </cell>
          <cell r="S11">
            <v>1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1</v>
          </cell>
          <cell r="AH11">
            <v>0</v>
          </cell>
          <cell r="AI11">
            <v>1</v>
          </cell>
          <cell r="AJ11">
            <v>1</v>
          </cell>
          <cell r="AK11">
            <v>8</v>
          </cell>
        </row>
        <row r="12">
          <cell r="A12" t="str">
            <v>A2383</v>
          </cell>
          <cell r="B12" t="str">
            <v>RYSMA NUR HIDAYAH</v>
          </cell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30</v>
          </cell>
        </row>
        <row r="13">
          <cell r="A13" t="str">
            <v>A2385</v>
          </cell>
          <cell r="B13" t="str">
            <v>PUNGKI IRAWAN</v>
          </cell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  <cell r="Q13">
            <v>1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1</v>
          </cell>
          <cell r="Y13">
            <v>0</v>
          </cell>
          <cell r="Z13">
            <v>1</v>
          </cell>
          <cell r="AA13">
            <v>1</v>
          </cell>
          <cell r="AB13">
            <v>1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0</v>
          </cell>
          <cell r="AK13">
            <v>21</v>
          </cell>
        </row>
        <row r="14">
          <cell r="A14" t="str">
            <v>A2924</v>
          </cell>
          <cell r="B14" t="str">
            <v>IRA EVELIN SIHALOHO</v>
          </cell>
          <cell r="C14">
            <v>1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F14">
            <v>1</v>
          </cell>
          <cell r="AG14">
            <v>1</v>
          </cell>
          <cell r="AH14">
            <v>1</v>
          </cell>
          <cell r="AI14">
            <v>1</v>
          </cell>
          <cell r="AJ14">
            <v>0</v>
          </cell>
          <cell r="AK14">
            <v>32</v>
          </cell>
        </row>
        <row r="15">
          <cell r="A15" t="str">
            <v>A2976</v>
          </cell>
          <cell r="B15" t="str">
            <v>INTAN FIFIANA</v>
          </cell>
          <cell r="C15">
            <v>1</v>
          </cell>
          <cell r="D15">
            <v>1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0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0</v>
          </cell>
          <cell r="AK15">
            <v>29</v>
          </cell>
        </row>
        <row r="16">
          <cell r="A16" t="str">
            <v>A3091</v>
          </cell>
          <cell r="B16" t="str">
            <v>ANDREANSYAH AFLAH SIGIT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0</v>
          </cell>
          <cell r="T16">
            <v>0</v>
          </cell>
          <cell r="U16">
            <v>1</v>
          </cell>
          <cell r="V16">
            <v>0</v>
          </cell>
          <cell r="W16">
            <v>0</v>
          </cell>
          <cell r="X16">
            <v>1</v>
          </cell>
          <cell r="Y16">
            <v>0</v>
          </cell>
          <cell r="Z16">
            <v>0</v>
          </cell>
          <cell r="AA16">
            <v>0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0</v>
          </cell>
          <cell r="AG16">
            <v>0</v>
          </cell>
          <cell r="AH16">
            <v>1</v>
          </cell>
          <cell r="AI16">
            <v>0</v>
          </cell>
          <cell r="AJ16">
            <v>1</v>
          </cell>
          <cell r="AK16">
            <v>14</v>
          </cell>
        </row>
        <row r="17">
          <cell r="A17" t="str">
            <v>A4256</v>
          </cell>
          <cell r="B17" t="str">
            <v>NAMIRA AMINATUZAHRA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4</v>
          </cell>
        </row>
        <row r="18">
          <cell r="A18" t="str">
            <v>A4313</v>
          </cell>
          <cell r="B18" t="str">
            <v>VIDYA KALINGGA MURTI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  <cell r="Q18">
            <v>1</v>
          </cell>
          <cell r="R18">
            <v>0</v>
          </cell>
          <cell r="S18">
            <v>0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0</v>
          </cell>
          <cell r="AF18">
            <v>0</v>
          </cell>
          <cell r="AG18">
            <v>1</v>
          </cell>
          <cell r="AH18">
            <v>0</v>
          </cell>
          <cell r="AI18">
            <v>1</v>
          </cell>
          <cell r="AJ18">
            <v>1</v>
          </cell>
          <cell r="AK18">
            <v>22</v>
          </cell>
        </row>
        <row r="19">
          <cell r="A19" t="str">
            <v>A4314</v>
          </cell>
          <cell r="B19" t="str">
            <v>ADELIA FIRYAL HASNA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1</v>
          </cell>
          <cell r="X19">
            <v>1</v>
          </cell>
          <cell r="Y19">
            <v>0</v>
          </cell>
          <cell r="Z19">
            <v>1</v>
          </cell>
          <cell r="AA19">
            <v>1</v>
          </cell>
          <cell r="AB19">
            <v>0</v>
          </cell>
          <cell r="AC19">
            <v>1</v>
          </cell>
          <cell r="AD19">
            <v>1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9</v>
          </cell>
        </row>
        <row r="20">
          <cell r="A20" t="str">
            <v>A4315</v>
          </cell>
          <cell r="B20" t="str">
            <v>WIDIA SIJABAT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1</v>
          </cell>
          <cell r="M20">
            <v>1</v>
          </cell>
          <cell r="N20">
            <v>0</v>
          </cell>
          <cell r="O20">
            <v>0</v>
          </cell>
          <cell r="P20">
            <v>1</v>
          </cell>
          <cell r="Q20">
            <v>1</v>
          </cell>
          <cell r="R20">
            <v>1</v>
          </cell>
          <cell r="S20">
            <v>0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B20">
            <v>0</v>
          </cell>
          <cell r="AC20">
            <v>0</v>
          </cell>
          <cell r="AD20">
            <v>1</v>
          </cell>
          <cell r="AE20">
            <v>1</v>
          </cell>
          <cell r="AF20">
            <v>0</v>
          </cell>
          <cell r="AG20">
            <v>1</v>
          </cell>
          <cell r="AH20">
            <v>1</v>
          </cell>
          <cell r="AI20">
            <v>0</v>
          </cell>
          <cell r="AJ20">
            <v>0</v>
          </cell>
          <cell r="AK20">
            <v>21</v>
          </cell>
        </row>
        <row r="21">
          <cell r="A21" t="str">
            <v>A4460</v>
          </cell>
          <cell r="B21" t="str">
            <v>ALVYNA FAHARANY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1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2</v>
          </cell>
        </row>
        <row r="22">
          <cell r="A22" t="str">
            <v>A4461</v>
          </cell>
          <cell r="B22" t="str">
            <v>IMMANUEL CHRISTYAS JULIUS WICAKSONO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1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1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4</v>
          </cell>
        </row>
        <row r="23">
          <cell r="A23" t="str">
            <v/>
          </cell>
        </row>
        <row r="25">
          <cell r="A25">
            <v>0</v>
          </cell>
          <cell r="B25">
            <v>0</v>
          </cell>
        </row>
        <row r="26">
          <cell r="A26">
            <v>0</v>
          </cell>
          <cell r="B26" t="str">
            <v>Mengetahui,</v>
          </cell>
        </row>
        <row r="27">
          <cell r="A27">
            <v>0</v>
          </cell>
          <cell r="B27">
            <v>0</v>
          </cell>
        </row>
        <row r="28">
          <cell r="A28">
            <v>0</v>
          </cell>
          <cell r="B28">
            <v>0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  <cell r="B30">
            <v>0</v>
          </cell>
        </row>
        <row r="31">
          <cell r="A31">
            <v>0</v>
          </cell>
          <cell r="B31">
            <v>0</v>
          </cell>
        </row>
        <row r="32">
          <cell r="A32">
            <v>0</v>
          </cell>
          <cell r="B32">
            <v>0</v>
          </cell>
        </row>
        <row r="33">
          <cell r="A33">
            <v>0</v>
          </cell>
          <cell r="B33" t="str">
            <v xml:space="preserve">SRI RAHAYU GUNADI </v>
          </cell>
        </row>
        <row r="34">
          <cell r="A34">
            <v>0</v>
          </cell>
          <cell r="B34" t="str">
            <v>HC DOC HEAD</v>
          </cell>
        </row>
        <row r="35">
          <cell r="A35">
            <v>0</v>
          </cell>
          <cell r="B35">
            <v>0</v>
          </cell>
        </row>
        <row r="36">
          <cell r="A36">
            <v>0</v>
          </cell>
          <cell r="B36">
            <v>0</v>
          </cell>
        </row>
      </sheetData>
      <sheetData sheetId="4" refreshError="1">
        <row r="1">
          <cell r="A1" t="str">
            <v>PERIODE 1 DESEMBER 2024 CC SK</v>
          </cell>
        </row>
        <row r="2">
          <cell r="A2" t="str">
            <v>TANGGAL 02 - 14 DESEMBER 2024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E4">
            <v>45629</v>
          </cell>
          <cell r="G4">
            <v>45630</v>
          </cell>
          <cell r="I4">
            <v>45631</v>
          </cell>
          <cell r="K4">
            <v>45632</v>
          </cell>
          <cell r="M4">
            <v>45633</v>
          </cell>
          <cell r="O4">
            <v>45635</v>
          </cell>
          <cell r="Q4">
            <v>45636</v>
          </cell>
          <cell r="S4">
            <v>45637</v>
          </cell>
          <cell r="U4">
            <v>45638</v>
          </cell>
          <cell r="W4">
            <v>45639</v>
          </cell>
          <cell r="Y4">
            <v>45640</v>
          </cell>
          <cell r="AA4" t="str">
            <v>Grand Total</v>
          </cell>
        </row>
        <row r="5"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2 </v>
          </cell>
          <cell r="O5" t="str">
            <v xml:space="preserve">SLOT 1 </v>
          </cell>
          <cell r="P5" t="str">
            <v xml:space="preserve">SLOT 2 </v>
          </cell>
          <cell r="Q5" t="str">
            <v xml:space="preserve">SLOT 1 </v>
          </cell>
          <cell r="R5" t="str">
            <v xml:space="preserve">SLOT 2 </v>
          </cell>
          <cell r="S5" t="str">
            <v xml:space="preserve">SLOT 1 </v>
          </cell>
          <cell r="T5" t="str">
            <v xml:space="preserve">SLOT 2 </v>
          </cell>
          <cell r="U5" t="str">
            <v xml:space="preserve">SLOT 1 </v>
          </cell>
          <cell r="V5" t="str">
            <v xml:space="preserve">SLOT 2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1 </v>
          </cell>
          <cell r="Z5" t="str">
            <v xml:space="preserve">SLOT 2 </v>
          </cell>
        </row>
        <row r="6">
          <cell r="A6" t="str">
            <v>A2342</v>
          </cell>
          <cell r="B6" t="str">
            <v>NAUFAL IKBAR</v>
          </cell>
          <cell r="M6">
            <v>1</v>
          </cell>
          <cell r="AA6">
            <v>1</v>
          </cell>
        </row>
        <row r="7">
          <cell r="A7" t="str">
            <v>A3041</v>
          </cell>
          <cell r="B7" t="str">
            <v>ANISA FITRIANINGSIH</v>
          </cell>
          <cell r="G7">
            <v>1</v>
          </cell>
          <cell r="L7">
            <v>1</v>
          </cell>
          <cell r="M7">
            <v>1</v>
          </cell>
          <cell r="N7">
            <v>1</v>
          </cell>
          <cell r="V7">
            <v>1</v>
          </cell>
          <cell r="Y7">
            <v>1</v>
          </cell>
          <cell r="Z7">
            <v>1</v>
          </cell>
          <cell r="AA7">
            <v>7</v>
          </cell>
        </row>
        <row r="8">
          <cell r="A8" t="str">
            <v>A3870</v>
          </cell>
          <cell r="B8" t="str">
            <v>RIZKI FERNANDA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14</v>
          </cell>
        </row>
        <row r="9">
          <cell r="A9" t="str">
            <v>A4201</v>
          </cell>
          <cell r="B9" t="str">
            <v>JONATHAN ALRASHYD RIZKIANA PUTRA</v>
          </cell>
          <cell r="C9">
            <v>1</v>
          </cell>
          <cell r="D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N9">
            <v>1</v>
          </cell>
          <cell r="Z9">
            <v>1</v>
          </cell>
          <cell r="AA9">
            <v>9</v>
          </cell>
        </row>
        <row r="10">
          <cell r="A10" t="str">
            <v>A4317</v>
          </cell>
          <cell r="B10" t="str">
            <v>ANNISA SHOFI ROFIFAH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I10">
            <v>1</v>
          </cell>
          <cell r="J10">
            <v>1</v>
          </cell>
          <cell r="K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U10">
            <v>1</v>
          </cell>
          <cell r="W10">
            <v>1</v>
          </cell>
          <cell r="X10">
            <v>1</v>
          </cell>
          <cell r="AA10">
            <v>14</v>
          </cell>
        </row>
        <row r="11">
          <cell r="A11" t="str">
            <v>A4393</v>
          </cell>
          <cell r="B11" t="str">
            <v>MARIA EVITA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AA11">
            <v>21</v>
          </cell>
        </row>
        <row r="12">
          <cell r="A12" t="str">
            <v>A4416</v>
          </cell>
          <cell r="B12" t="str">
            <v>RUTH SELMA SEKAR CITRA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24</v>
          </cell>
        </row>
        <row r="13">
          <cell r="A13" t="str">
            <v>A4466</v>
          </cell>
          <cell r="B13" t="str">
            <v>ARSYI MUTIARA</v>
          </cell>
          <cell r="H13">
            <v>1</v>
          </cell>
          <cell r="S13">
            <v>1</v>
          </cell>
          <cell r="T13">
            <v>1</v>
          </cell>
          <cell r="U13">
            <v>1</v>
          </cell>
          <cell r="AA13">
            <v>4</v>
          </cell>
        </row>
        <row r="14">
          <cell r="A14" t="str">
            <v>A4467</v>
          </cell>
          <cell r="B14" t="str">
            <v>SALMA NAYLUL MUNA</v>
          </cell>
          <cell r="G14">
            <v>1</v>
          </cell>
          <cell r="AA14">
            <v>1</v>
          </cell>
        </row>
        <row r="15">
          <cell r="A15" t="str">
            <v>A3946</v>
          </cell>
          <cell r="B15" t="str">
            <v>ALFINA FAIRUZAH</v>
          </cell>
          <cell r="AA15">
            <v>0</v>
          </cell>
        </row>
        <row r="19">
          <cell r="B19" t="str">
            <v>Mengetahui,</v>
          </cell>
        </row>
        <row r="26">
          <cell r="B26" t="str">
            <v xml:space="preserve">SRI RAHAYU GUNADI </v>
          </cell>
        </row>
        <row r="27">
          <cell r="B27" t="str">
            <v>HC DOC HEAD</v>
          </cell>
        </row>
      </sheetData>
      <sheetData sheetId="5" refreshError="1">
        <row r="1">
          <cell r="A1" t="str">
            <v>PERIODE 1 DESEMBER 2024 DELTA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A2" t="str">
            <v>TANGGAL 02 - 14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45629</v>
          </cell>
          <cell r="F4">
            <v>0</v>
          </cell>
          <cell r="G4">
            <v>45630</v>
          </cell>
          <cell r="H4">
            <v>0</v>
          </cell>
          <cell r="I4">
            <v>45631</v>
          </cell>
          <cell r="J4">
            <v>0</v>
          </cell>
          <cell r="K4">
            <v>45632</v>
          </cell>
          <cell r="L4">
            <v>0</v>
          </cell>
          <cell r="M4">
            <v>45633</v>
          </cell>
          <cell r="N4">
            <v>0</v>
          </cell>
          <cell r="O4">
            <v>45635</v>
          </cell>
          <cell r="P4">
            <v>0</v>
          </cell>
          <cell r="Q4">
            <v>45636</v>
          </cell>
          <cell r="R4">
            <v>0</v>
          </cell>
          <cell r="S4">
            <v>45637</v>
          </cell>
          <cell r="T4">
            <v>0</v>
          </cell>
          <cell r="U4">
            <v>45638</v>
          </cell>
          <cell r="V4">
            <v>0</v>
          </cell>
          <cell r="W4">
            <v>45639</v>
          </cell>
          <cell r="X4">
            <v>0</v>
          </cell>
          <cell r="Y4">
            <v>45640</v>
          </cell>
          <cell r="Z4">
            <v>0</v>
          </cell>
          <cell r="AA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 </v>
          </cell>
          <cell r="D5" t="str">
            <v xml:space="preserve">SLOT 2A  </v>
          </cell>
          <cell r="E5" t="str">
            <v xml:space="preserve">SLOT 1  </v>
          </cell>
          <cell r="F5" t="str">
            <v xml:space="preserve">SLOT 2A  </v>
          </cell>
          <cell r="G5" t="str">
            <v xml:space="preserve">SLOT 1  </v>
          </cell>
          <cell r="H5" t="str">
            <v xml:space="preserve">SLOT 2A  </v>
          </cell>
          <cell r="I5" t="str">
            <v xml:space="preserve">SLOT 1  </v>
          </cell>
          <cell r="J5" t="str">
            <v xml:space="preserve">SLOT 2A  </v>
          </cell>
          <cell r="K5" t="str">
            <v xml:space="preserve">SLOT 1  </v>
          </cell>
          <cell r="L5" t="str">
            <v>SLOT 2A</v>
          </cell>
          <cell r="M5" t="str">
            <v xml:space="preserve">SLOT 1  </v>
          </cell>
          <cell r="N5" t="str">
            <v xml:space="preserve">SLOT 2A  </v>
          </cell>
          <cell r="O5" t="str">
            <v xml:space="preserve">SLOT 1  </v>
          </cell>
          <cell r="P5" t="str">
            <v xml:space="preserve">SLOT 2A  </v>
          </cell>
          <cell r="Q5" t="str">
            <v xml:space="preserve">SLOT 1  </v>
          </cell>
          <cell r="R5" t="str">
            <v xml:space="preserve">SLOT 2A  </v>
          </cell>
          <cell r="S5" t="str">
            <v xml:space="preserve">SLOT 1  </v>
          </cell>
          <cell r="T5" t="str">
            <v xml:space="preserve">SLOT 2A  </v>
          </cell>
          <cell r="U5" t="str">
            <v xml:space="preserve">SLOT 1  </v>
          </cell>
          <cell r="V5" t="str">
            <v xml:space="preserve">SLOT 2A  </v>
          </cell>
          <cell r="W5" t="str">
            <v xml:space="preserve">SLOT 1  </v>
          </cell>
          <cell r="X5" t="str">
            <v xml:space="preserve">SLOT 2A  </v>
          </cell>
          <cell r="Y5" t="str">
            <v xml:space="preserve">SLOT 1  </v>
          </cell>
          <cell r="Z5" t="str">
            <v xml:space="preserve">SLOT 2A  </v>
          </cell>
          <cell r="AA5">
            <v>0</v>
          </cell>
        </row>
        <row r="6">
          <cell r="A6">
            <v>90552</v>
          </cell>
          <cell r="B6" t="str">
            <v>Maria Rosaria Dewi Ratna Timur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0</v>
          </cell>
          <cell r="O6">
            <v>1</v>
          </cell>
          <cell r="P6">
            <v>1</v>
          </cell>
          <cell r="Q6">
            <v>1</v>
          </cell>
          <cell r="R6">
            <v>0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0</v>
          </cell>
          <cell r="Y6">
            <v>1</v>
          </cell>
          <cell r="Z6">
            <v>0</v>
          </cell>
          <cell r="AA6">
            <v>20</v>
          </cell>
        </row>
        <row r="7">
          <cell r="A7">
            <v>90592</v>
          </cell>
          <cell r="B7" t="str">
            <v>Dini Shintia Putri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0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0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0</v>
          </cell>
          <cell r="W7">
            <v>1</v>
          </cell>
          <cell r="X7">
            <v>1</v>
          </cell>
          <cell r="Y7">
            <v>1</v>
          </cell>
          <cell r="Z7">
            <v>0</v>
          </cell>
          <cell r="AA7">
            <v>20</v>
          </cell>
        </row>
        <row r="8">
          <cell r="A8">
            <v>90648</v>
          </cell>
          <cell r="B8" t="str">
            <v>Wahyu idhayati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0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0</v>
          </cell>
          <cell r="AA8">
            <v>22</v>
          </cell>
        </row>
        <row r="9">
          <cell r="A9">
            <v>90653</v>
          </cell>
          <cell r="B9" t="str">
            <v>Weni Saputri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0</v>
          </cell>
          <cell r="AA9">
            <v>22</v>
          </cell>
        </row>
        <row r="10">
          <cell r="A10">
            <v>90694</v>
          </cell>
          <cell r="B10" t="str">
            <v>Daus Devyana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0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23</v>
          </cell>
        </row>
        <row r="11">
          <cell r="A11">
            <v>92135</v>
          </cell>
          <cell r="B11" t="str">
            <v>Ernawati Nofia Rindiani</v>
          </cell>
          <cell r="C11">
            <v>1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0</v>
          </cell>
          <cell r="X11">
            <v>1</v>
          </cell>
          <cell r="Y11">
            <v>1</v>
          </cell>
          <cell r="Z11">
            <v>0</v>
          </cell>
          <cell r="AA11">
            <v>16</v>
          </cell>
        </row>
        <row r="12">
          <cell r="A12">
            <v>92287</v>
          </cell>
          <cell r="B12" t="str">
            <v>Alyda Rizka Islamiyati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0</v>
          </cell>
          <cell r="W12">
            <v>1</v>
          </cell>
          <cell r="X12">
            <v>1</v>
          </cell>
          <cell r="Y12">
            <v>1</v>
          </cell>
          <cell r="Z12">
            <v>0</v>
          </cell>
          <cell r="AA12">
            <v>21</v>
          </cell>
        </row>
        <row r="13">
          <cell r="A13">
            <v>92438</v>
          </cell>
          <cell r="B13" t="str">
            <v>Muftia Ariani Lesmana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15</v>
          </cell>
        </row>
        <row r="14">
          <cell r="A14">
            <v>92485</v>
          </cell>
          <cell r="B14" t="str">
            <v>Yulisa Eri Arvidayani</v>
          </cell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1</v>
          </cell>
          <cell r="Q14">
            <v>1</v>
          </cell>
          <cell r="R14">
            <v>0</v>
          </cell>
          <cell r="S14">
            <v>1</v>
          </cell>
          <cell r="T14">
            <v>1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15</v>
          </cell>
        </row>
        <row r="15">
          <cell r="A15">
            <v>92504</v>
          </cell>
          <cell r="B15" t="str">
            <v>Artika Yunita Ardi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0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0</v>
          </cell>
          <cell r="Z15">
            <v>0</v>
          </cell>
          <cell r="AA15">
            <v>20</v>
          </cell>
        </row>
        <row r="16">
          <cell r="A16">
            <v>92539</v>
          </cell>
          <cell r="B16" t="str">
            <v>Rosiana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  <cell r="Y16">
            <v>1</v>
          </cell>
          <cell r="Z16">
            <v>0</v>
          </cell>
          <cell r="AA16">
            <v>23</v>
          </cell>
        </row>
        <row r="17">
          <cell r="A17">
            <v>92622</v>
          </cell>
          <cell r="B17" t="str">
            <v>Ayu Suci Nugroyanti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0</v>
          </cell>
          <cell r="AA17">
            <v>22</v>
          </cell>
        </row>
        <row r="18">
          <cell r="A18">
            <v>92669</v>
          </cell>
          <cell r="B18" t="str">
            <v>Apik Kusuma Ayu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0</v>
          </cell>
          <cell r="AA18">
            <v>22</v>
          </cell>
        </row>
        <row r="19">
          <cell r="A19">
            <v>92715</v>
          </cell>
          <cell r="B19" t="str">
            <v>HESTI WAHYU PRATIWI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0</v>
          </cell>
          <cell r="Y19">
            <v>1</v>
          </cell>
          <cell r="Z19">
            <v>0</v>
          </cell>
          <cell r="AA19">
            <v>20</v>
          </cell>
        </row>
        <row r="20">
          <cell r="A20" t="str">
            <v>A0064</v>
          </cell>
          <cell r="B20" t="str">
            <v>Eko Septiardi</v>
          </cell>
          <cell r="C20">
            <v>1</v>
          </cell>
          <cell r="D20">
            <v>0</v>
          </cell>
          <cell r="E20">
            <v>1</v>
          </cell>
          <cell r="F20">
            <v>0</v>
          </cell>
          <cell r="G20">
            <v>1</v>
          </cell>
          <cell r="H20">
            <v>1</v>
          </cell>
          <cell r="I20">
            <v>1</v>
          </cell>
          <cell r="J20">
            <v>0</v>
          </cell>
          <cell r="K20">
            <v>1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1</v>
          </cell>
          <cell r="Q20">
            <v>1</v>
          </cell>
          <cell r="R20">
            <v>0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0</v>
          </cell>
          <cell r="Y20">
            <v>0</v>
          </cell>
          <cell r="Z20">
            <v>0</v>
          </cell>
          <cell r="AA20">
            <v>14</v>
          </cell>
        </row>
        <row r="21">
          <cell r="A21" t="str">
            <v>A0192</v>
          </cell>
          <cell r="B21" t="str">
            <v>Agnes Haudi Suryantika</v>
          </cell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0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0</v>
          </cell>
          <cell r="AA21">
            <v>21</v>
          </cell>
        </row>
        <row r="22">
          <cell r="A22" t="str">
            <v>A0225</v>
          </cell>
          <cell r="B22" t="str">
            <v>Rizal Saputra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0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0</v>
          </cell>
          <cell r="U22">
            <v>1</v>
          </cell>
          <cell r="V22">
            <v>1</v>
          </cell>
          <cell r="W22">
            <v>1</v>
          </cell>
          <cell r="X22">
            <v>0</v>
          </cell>
          <cell r="Y22">
            <v>1</v>
          </cell>
          <cell r="Z22">
            <v>0</v>
          </cell>
          <cell r="AA22">
            <v>20</v>
          </cell>
        </row>
        <row r="23">
          <cell r="A23" t="str">
            <v>A0261</v>
          </cell>
          <cell r="B23" t="str">
            <v>Chelsi Ananda</v>
          </cell>
          <cell r="C23">
            <v>1</v>
          </cell>
          <cell r="D23">
            <v>1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0</v>
          </cell>
          <cell r="K23">
            <v>1</v>
          </cell>
          <cell r="L23">
            <v>1</v>
          </cell>
          <cell r="M23">
            <v>1</v>
          </cell>
          <cell r="N23">
            <v>0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0</v>
          </cell>
          <cell r="V23">
            <v>0</v>
          </cell>
          <cell r="W23">
            <v>1</v>
          </cell>
          <cell r="X23">
            <v>1</v>
          </cell>
          <cell r="Y23">
            <v>1</v>
          </cell>
          <cell r="Z23">
            <v>0</v>
          </cell>
          <cell r="AA23">
            <v>19</v>
          </cell>
        </row>
        <row r="24">
          <cell r="A24" t="str">
            <v>A0320</v>
          </cell>
          <cell r="B24" t="str">
            <v>Deafni Dinda R Utami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>
            <v>0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1</v>
          </cell>
          <cell r="Z24">
            <v>0</v>
          </cell>
          <cell r="AA24">
            <v>21</v>
          </cell>
        </row>
        <row r="25">
          <cell r="A25" t="str">
            <v>A0327</v>
          </cell>
          <cell r="B25" t="str">
            <v>Wiwik Noryanti</v>
          </cell>
          <cell r="C25">
            <v>1</v>
          </cell>
          <cell r="D25">
            <v>0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0</v>
          </cell>
          <cell r="O25">
            <v>1</v>
          </cell>
          <cell r="P25">
            <v>1</v>
          </cell>
          <cell r="Q25">
            <v>1</v>
          </cell>
          <cell r="R25">
            <v>0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0</v>
          </cell>
          <cell r="AA25">
            <v>19</v>
          </cell>
        </row>
        <row r="26">
          <cell r="A26" t="str">
            <v>A0378</v>
          </cell>
          <cell r="B26" t="str">
            <v>Wiranti Putri</v>
          </cell>
          <cell r="C26">
            <v>1</v>
          </cell>
          <cell r="D26">
            <v>1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0</v>
          </cell>
          <cell r="AA26">
            <v>22</v>
          </cell>
        </row>
        <row r="27">
          <cell r="A27" t="str">
            <v>A0415</v>
          </cell>
          <cell r="B27" t="str">
            <v>Dina Nakita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</v>
          </cell>
          <cell r="W27">
            <v>0</v>
          </cell>
          <cell r="X27">
            <v>0</v>
          </cell>
          <cell r="Y27">
            <v>1</v>
          </cell>
          <cell r="Z27">
            <v>0</v>
          </cell>
          <cell r="AA27">
            <v>3</v>
          </cell>
        </row>
        <row r="28">
          <cell r="A28" t="str">
            <v>A0440</v>
          </cell>
          <cell r="B28" t="str">
            <v>MUHAMMAD HAMZAH</v>
          </cell>
          <cell r="C28">
            <v>1</v>
          </cell>
          <cell r="D28">
            <v>1</v>
          </cell>
          <cell r="E28">
            <v>1</v>
          </cell>
          <cell r="F28">
            <v>0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0</v>
          </cell>
          <cell r="M28">
            <v>1</v>
          </cell>
          <cell r="N28">
            <v>0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18</v>
          </cell>
        </row>
        <row r="29">
          <cell r="A29" t="str">
            <v>A0453</v>
          </cell>
          <cell r="B29" t="str">
            <v>ANISA SHELA NOVITA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0</v>
          </cell>
          <cell r="M29">
            <v>1</v>
          </cell>
          <cell r="N29">
            <v>0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1</v>
          </cell>
          <cell r="Y29">
            <v>1</v>
          </cell>
          <cell r="Z29">
            <v>0</v>
          </cell>
          <cell r="AA29">
            <v>21</v>
          </cell>
        </row>
        <row r="30">
          <cell r="A30" t="str">
            <v>A0458</v>
          </cell>
          <cell r="B30" t="str">
            <v>JOKO SLAMETO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0</v>
          </cell>
          <cell r="L30">
            <v>0</v>
          </cell>
          <cell r="M30">
            <v>1</v>
          </cell>
          <cell r="N30">
            <v>0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1</v>
          </cell>
          <cell r="Z30">
            <v>0</v>
          </cell>
          <cell r="AA30">
            <v>20</v>
          </cell>
        </row>
        <row r="31">
          <cell r="A31" t="str">
            <v>A0517</v>
          </cell>
          <cell r="B31" t="str">
            <v>CHATARINA SEPTRYANINGSI</v>
          </cell>
          <cell r="C31">
            <v>1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N31">
            <v>0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0</v>
          </cell>
          <cell r="AA31">
            <v>22</v>
          </cell>
        </row>
        <row r="32">
          <cell r="A32" t="str">
            <v>A0519</v>
          </cell>
          <cell r="B32" t="str">
            <v>ANASTACIA JULIANA</v>
          </cell>
          <cell r="C32">
            <v>1</v>
          </cell>
          <cell r="D32">
            <v>1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0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0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0</v>
          </cell>
          <cell r="AA32">
            <v>21</v>
          </cell>
        </row>
        <row r="33">
          <cell r="A33" t="str">
            <v>A0597</v>
          </cell>
          <cell r="B33" t="str">
            <v>REHLITNA REJEKINTA BR PURBA</v>
          </cell>
          <cell r="C33">
            <v>0</v>
          </cell>
          <cell r="D33">
            <v>0</v>
          </cell>
          <cell r="E33">
            <v>0</v>
          </cell>
          <cell r="F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1</v>
          </cell>
          <cell r="M33">
            <v>1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1</v>
          </cell>
          <cell r="W33">
            <v>0</v>
          </cell>
          <cell r="X33">
            <v>1</v>
          </cell>
          <cell r="Y33">
            <v>0</v>
          </cell>
          <cell r="Z33">
            <v>1</v>
          </cell>
          <cell r="AA33">
            <v>6</v>
          </cell>
        </row>
        <row r="34">
          <cell r="A34" t="str">
            <v>A0610</v>
          </cell>
          <cell r="B34" t="str">
            <v>MARGARETA INDAH PERMATASARI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1</v>
          </cell>
          <cell r="L34">
            <v>0</v>
          </cell>
          <cell r="M34">
            <v>0</v>
          </cell>
          <cell r="N34">
            <v>0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0</v>
          </cell>
          <cell r="Y34">
            <v>0</v>
          </cell>
          <cell r="Z34">
            <v>0</v>
          </cell>
          <cell r="AA34">
            <v>18</v>
          </cell>
        </row>
        <row r="35">
          <cell r="A35" t="str">
            <v>A0649</v>
          </cell>
          <cell r="B35" t="str">
            <v>ALYA NAYLA SALSABILA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1</v>
          </cell>
          <cell r="X35">
            <v>1</v>
          </cell>
          <cell r="Y35">
            <v>1</v>
          </cell>
          <cell r="Z35">
            <v>0</v>
          </cell>
          <cell r="AA35">
            <v>5</v>
          </cell>
        </row>
        <row r="36">
          <cell r="A36" t="str">
            <v>A0680</v>
          </cell>
          <cell r="B36" t="str">
            <v>EUIS YUNIKE WINDYANINGRUM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0</v>
          </cell>
          <cell r="U36">
            <v>1</v>
          </cell>
          <cell r="V36">
            <v>0</v>
          </cell>
          <cell r="W36">
            <v>1</v>
          </cell>
          <cell r="X36">
            <v>1</v>
          </cell>
          <cell r="Y36">
            <v>0</v>
          </cell>
          <cell r="Z36">
            <v>0</v>
          </cell>
          <cell r="AA36">
            <v>16</v>
          </cell>
        </row>
        <row r="37">
          <cell r="A37" t="str">
            <v>A0682</v>
          </cell>
          <cell r="B37" t="str">
            <v>CAROLINE DESI</v>
          </cell>
          <cell r="C37">
            <v>1</v>
          </cell>
          <cell r="D37">
            <v>0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0</v>
          </cell>
          <cell r="N37">
            <v>0</v>
          </cell>
          <cell r="O37">
            <v>1</v>
          </cell>
          <cell r="P37">
            <v>0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0</v>
          </cell>
          <cell r="Y37">
            <v>0</v>
          </cell>
          <cell r="Z37">
            <v>0</v>
          </cell>
          <cell r="AA37">
            <v>17</v>
          </cell>
        </row>
        <row r="38">
          <cell r="A38" t="str">
            <v>A0725</v>
          </cell>
          <cell r="B38" t="str">
            <v>NUR KHASANAH</v>
          </cell>
          <cell r="C38">
            <v>1</v>
          </cell>
          <cell r="D38">
            <v>1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>
            <v>0</v>
          </cell>
          <cell r="K38">
            <v>1</v>
          </cell>
          <cell r="L38">
            <v>1</v>
          </cell>
          <cell r="M38">
            <v>1</v>
          </cell>
          <cell r="N38">
            <v>0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0</v>
          </cell>
          <cell r="AA38">
            <v>21</v>
          </cell>
        </row>
        <row r="39">
          <cell r="A39" t="str">
            <v>A0745</v>
          </cell>
          <cell r="B39" t="str">
            <v>ANE MELISA MURNI</v>
          </cell>
          <cell r="C39">
            <v>1</v>
          </cell>
          <cell r="D39">
            <v>1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0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0</v>
          </cell>
          <cell r="W39">
            <v>1</v>
          </cell>
          <cell r="X39">
            <v>0</v>
          </cell>
          <cell r="Y39">
            <v>1</v>
          </cell>
          <cell r="Z39">
            <v>0</v>
          </cell>
          <cell r="AA39">
            <v>20</v>
          </cell>
        </row>
        <row r="40">
          <cell r="A40" t="str">
            <v>A0750</v>
          </cell>
          <cell r="B40" t="str">
            <v>ARVIANTI JILLY VANESHA MULETE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0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0</v>
          </cell>
          <cell r="Z40">
            <v>0</v>
          </cell>
          <cell r="AA40">
            <v>21</v>
          </cell>
        </row>
        <row r="41">
          <cell r="A41" t="str">
            <v>A0770</v>
          </cell>
          <cell r="B41" t="str">
            <v>ELZE ZULFANNY</v>
          </cell>
          <cell r="C41">
            <v>1</v>
          </cell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M41">
            <v>1</v>
          </cell>
          <cell r="N41">
            <v>0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0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0</v>
          </cell>
          <cell r="AA41">
            <v>21</v>
          </cell>
        </row>
        <row r="42">
          <cell r="A42" t="str">
            <v>A0812</v>
          </cell>
          <cell r="B42" t="str">
            <v>HERLINI NUR AZIZAH</v>
          </cell>
          <cell r="C42">
            <v>1</v>
          </cell>
          <cell r="D42">
            <v>1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0</v>
          </cell>
          <cell r="N42">
            <v>0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0</v>
          </cell>
          <cell r="AA42">
            <v>21</v>
          </cell>
        </row>
        <row r="43">
          <cell r="A43" t="str">
            <v>A0817</v>
          </cell>
          <cell r="B43" t="str">
            <v>YOLA VALENIA</v>
          </cell>
          <cell r="C43">
            <v>1</v>
          </cell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0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0</v>
          </cell>
          <cell r="Y43">
            <v>1</v>
          </cell>
          <cell r="Z43">
            <v>0</v>
          </cell>
          <cell r="AA43">
            <v>21</v>
          </cell>
        </row>
        <row r="44">
          <cell r="A44" t="str">
            <v>A0818</v>
          </cell>
          <cell r="B44" t="str">
            <v>AGIS DWI RAHMAWATI</v>
          </cell>
          <cell r="C44">
            <v>1</v>
          </cell>
          <cell r="D44">
            <v>1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0</v>
          </cell>
          <cell r="M44">
            <v>0</v>
          </cell>
          <cell r="N44">
            <v>0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0</v>
          </cell>
          <cell r="Z44">
            <v>1</v>
          </cell>
          <cell r="AA44">
            <v>20</v>
          </cell>
        </row>
        <row r="45">
          <cell r="A45" t="str">
            <v>A0821</v>
          </cell>
          <cell r="B45" t="str">
            <v>INDRIANA DAMAYANTI</v>
          </cell>
          <cell r="C45">
            <v>1</v>
          </cell>
          <cell r="D45">
            <v>1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0</v>
          </cell>
          <cell r="M45">
            <v>1</v>
          </cell>
          <cell r="N45">
            <v>0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0</v>
          </cell>
          <cell r="Y45">
            <v>1</v>
          </cell>
          <cell r="Z45">
            <v>0</v>
          </cell>
          <cell r="AA45">
            <v>20</v>
          </cell>
        </row>
        <row r="46">
          <cell r="A46" t="str">
            <v>A0830</v>
          </cell>
          <cell r="B46" t="str">
            <v>MARGI SURYANI</v>
          </cell>
          <cell r="C46">
            <v>1</v>
          </cell>
          <cell r="D46">
            <v>1</v>
          </cell>
          <cell r="E46">
            <v>1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>
            <v>1</v>
          </cell>
          <cell r="N46">
            <v>0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0</v>
          </cell>
          <cell r="AA46">
            <v>22</v>
          </cell>
        </row>
        <row r="47">
          <cell r="A47" t="str">
            <v>A0864</v>
          </cell>
          <cell r="B47" t="str">
            <v>WAHYU NURAENI</v>
          </cell>
          <cell r="C47">
            <v>1</v>
          </cell>
          <cell r="D47">
            <v>1</v>
          </cell>
          <cell r="E47">
            <v>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N47">
            <v>0</v>
          </cell>
          <cell r="O47">
            <v>1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0</v>
          </cell>
          <cell r="U47">
            <v>1</v>
          </cell>
          <cell r="V47">
            <v>1</v>
          </cell>
          <cell r="W47">
            <v>1</v>
          </cell>
          <cell r="X47">
            <v>0</v>
          </cell>
          <cell r="Y47">
            <v>1</v>
          </cell>
          <cell r="Z47">
            <v>0</v>
          </cell>
          <cell r="AA47">
            <v>20</v>
          </cell>
        </row>
        <row r="48">
          <cell r="A48" t="str">
            <v>A0874</v>
          </cell>
          <cell r="B48" t="str">
            <v>GALIH MARDIANA</v>
          </cell>
          <cell r="C48">
            <v>1</v>
          </cell>
          <cell r="D48">
            <v>1</v>
          </cell>
          <cell r="E48">
            <v>1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>
            <v>1</v>
          </cell>
          <cell r="N48">
            <v>0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0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0</v>
          </cell>
          <cell r="AA48">
            <v>21</v>
          </cell>
        </row>
        <row r="49">
          <cell r="A49" t="str">
            <v>A0879</v>
          </cell>
          <cell r="B49" t="str">
            <v>RISZA ANGGUN DWI ARIANANDA</v>
          </cell>
          <cell r="C49">
            <v>1</v>
          </cell>
          <cell r="D49">
            <v>1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  <cell r="N49">
            <v>0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0</v>
          </cell>
          <cell r="Y49">
            <v>0</v>
          </cell>
          <cell r="Z49">
            <v>1</v>
          </cell>
          <cell r="AA49">
            <v>21</v>
          </cell>
        </row>
        <row r="50">
          <cell r="A50" t="str">
            <v>A0881</v>
          </cell>
          <cell r="B50" t="str">
            <v>ERINA EKA WULANDARI</v>
          </cell>
          <cell r="C50">
            <v>1</v>
          </cell>
          <cell r="D50">
            <v>1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  <cell r="N50">
            <v>0</v>
          </cell>
          <cell r="O50">
            <v>1</v>
          </cell>
          <cell r="P50">
            <v>0</v>
          </cell>
          <cell r="Q50">
            <v>1</v>
          </cell>
          <cell r="R50">
            <v>0</v>
          </cell>
          <cell r="S50">
            <v>1</v>
          </cell>
          <cell r="T50">
            <v>0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1</v>
          </cell>
          <cell r="Z50">
            <v>0</v>
          </cell>
          <cell r="AA50">
            <v>16</v>
          </cell>
        </row>
        <row r="51">
          <cell r="A51" t="str">
            <v>A0934</v>
          </cell>
          <cell r="B51" t="str">
            <v>SINDU PRATHIWI</v>
          </cell>
          <cell r="C51">
            <v>1</v>
          </cell>
          <cell r="D51">
            <v>0</v>
          </cell>
          <cell r="E51">
            <v>0</v>
          </cell>
          <cell r="F51">
            <v>0</v>
          </cell>
          <cell r="G51">
            <v>1</v>
          </cell>
          <cell r="H51">
            <v>1</v>
          </cell>
          <cell r="I51">
            <v>1</v>
          </cell>
          <cell r="J51">
            <v>0</v>
          </cell>
          <cell r="K51">
            <v>1</v>
          </cell>
          <cell r="L51">
            <v>1</v>
          </cell>
          <cell r="M51">
            <v>1</v>
          </cell>
          <cell r="N51">
            <v>0</v>
          </cell>
          <cell r="O51">
            <v>1</v>
          </cell>
          <cell r="P51">
            <v>1</v>
          </cell>
          <cell r="Q51">
            <v>1</v>
          </cell>
          <cell r="R51">
            <v>0</v>
          </cell>
          <cell r="S51">
            <v>1</v>
          </cell>
          <cell r="T51">
            <v>0</v>
          </cell>
          <cell r="U51">
            <v>1</v>
          </cell>
          <cell r="V51">
            <v>1</v>
          </cell>
          <cell r="W51">
            <v>1</v>
          </cell>
          <cell r="X51">
            <v>1</v>
          </cell>
          <cell r="Y51">
            <v>1</v>
          </cell>
          <cell r="Z51">
            <v>0</v>
          </cell>
          <cell r="AA51">
            <v>16</v>
          </cell>
        </row>
        <row r="52">
          <cell r="A52" t="str">
            <v>A0964</v>
          </cell>
          <cell r="B52" t="str">
            <v>ANISA DESIANTI RAMADHANI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1</v>
          </cell>
          <cell r="N52">
            <v>0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0</v>
          </cell>
          <cell r="AA52">
            <v>22</v>
          </cell>
        </row>
        <row r="53">
          <cell r="A53" t="str">
            <v>A0969</v>
          </cell>
          <cell r="B53" t="str">
            <v>ANGGI DWI</v>
          </cell>
          <cell r="C53">
            <v>1</v>
          </cell>
          <cell r="D53">
            <v>1</v>
          </cell>
          <cell r="E53">
            <v>1</v>
          </cell>
          <cell r="F53">
            <v>1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M53">
            <v>1</v>
          </cell>
          <cell r="N53">
            <v>0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0</v>
          </cell>
          <cell r="W53">
            <v>1</v>
          </cell>
          <cell r="X53">
            <v>1</v>
          </cell>
          <cell r="Y53">
            <v>0</v>
          </cell>
          <cell r="Z53">
            <v>1</v>
          </cell>
          <cell r="AA53">
            <v>21</v>
          </cell>
        </row>
        <row r="54">
          <cell r="A54" t="str">
            <v>A0977</v>
          </cell>
          <cell r="B54" t="str">
            <v>RIA ARIANTI</v>
          </cell>
          <cell r="C54">
            <v>1</v>
          </cell>
          <cell r="D54">
            <v>1</v>
          </cell>
          <cell r="E54">
            <v>1</v>
          </cell>
          <cell r="F54">
            <v>1</v>
          </cell>
          <cell r="G54">
            <v>1</v>
          </cell>
          <cell r="H54">
            <v>1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  <cell r="M54">
            <v>1</v>
          </cell>
          <cell r="N54">
            <v>0</v>
          </cell>
          <cell r="O54">
            <v>1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0</v>
          </cell>
          <cell r="AA54">
            <v>22</v>
          </cell>
        </row>
        <row r="55">
          <cell r="A55" t="str">
            <v>A0999</v>
          </cell>
          <cell r="B55" t="str">
            <v>MUHAMMAD LUTHFI AZIZ</v>
          </cell>
          <cell r="C55">
            <v>1</v>
          </cell>
          <cell r="D55">
            <v>1</v>
          </cell>
          <cell r="E55">
            <v>1</v>
          </cell>
          <cell r="F55">
            <v>1</v>
          </cell>
          <cell r="G55">
            <v>1</v>
          </cell>
          <cell r="H55">
            <v>1</v>
          </cell>
          <cell r="I55">
            <v>1</v>
          </cell>
          <cell r="J55">
            <v>1</v>
          </cell>
          <cell r="K55">
            <v>1</v>
          </cell>
          <cell r="L55">
            <v>1</v>
          </cell>
          <cell r="M55">
            <v>1</v>
          </cell>
          <cell r="N55">
            <v>0</v>
          </cell>
          <cell r="O55">
            <v>1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  <cell r="Y55">
            <v>1</v>
          </cell>
          <cell r="Z55">
            <v>0</v>
          </cell>
          <cell r="AA55">
            <v>22</v>
          </cell>
        </row>
        <row r="56">
          <cell r="A56" t="str">
            <v>A1025</v>
          </cell>
          <cell r="B56" t="str">
            <v>WAFA SINTA</v>
          </cell>
          <cell r="C56">
            <v>1</v>
          </cell>
          <cell r="D56">
            <v>1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0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0</v>
          </cell>
          <cell r="W56">
            <v>1</v>
          </cell>
          <cell r="X56">
            <v>0</v>
          </cell>
          <cell r="Y56">
            <v>1</v>
          </cell>
          <cell r="Z56">
            <v>0</v>
          </cell>
          <cell r="AA56">
            <v>20</v>
          </cell>
        </row>
        <row r="57">
          <cell r="A57" t="str">
            <v>A1030</v>
          </cell>
          <cell r="B57" t="str">
            <v>ENI RACHMI MURDANINGRUM</v>
          </cell>
          <cell r="C57">
            <v>1</v>
          </cell>
          <cell r="D57">
            <v>1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J57">
            <v>1</v>
          </cell>
          <cell r="K57">
            <v>1</v>
          </cell>
          <cell r="L57">
            <v>0</v>
          </cell>
          <cell r="M57">
            <v>1</v>
          </cell>
          <cell r="N57">
            <v>0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0</v>
          </cell>
          <cell r="Y57">
            <v>1</v>
          </cell>
          <cell r="Z57">
            <v>0</v>
          </cell>
          <cell r="AA57">
            <v>20</v>
          </cell>
        </row>
        <row r="58">
          <cell r="A58" t="str">
            <v>A1096</v>
          </cell>
          <cell r="B58" t="str">
            <v>NILA HAQIQI</v>
          </cell>
          <cell r="C58">
            <v>1</v>
          </cell>
          <cell r="D58">
            <v>1</v>
          </cell>
          <cell r="E58">
            <v>1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J58">
            <v>1</v>
          </cell>
          <cell r="K58">
            <v>1</v>
          </cell>
          <cell r="L58">
            <v>1</v>
          </cell>
          <cell r="M58">
            <v>1</v>
          </cell>
          <cell r="N58">
            <v>0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0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  <cell r="Y58">
            <v>0</v>
          </cell>
          <cell r="Z58">
            <v>1</v>
          </cell>
          <cell r="AA58">
            <v>21</v>
          </cell>
        </row>
        <row r="59">
          <cell r="A59" t="str">
            <v>A1098</v>
          </cell>
          <cell r="B59" t="str">
            <v>DEXA CAHYA</v>
          </cell>
          <cell r="C59">
            <v>1</v>
          </cell>
          <cell r="D59">
            <v>1</v>
          </cell>
          <cell r="E59">
            <v>1</v>
          </cell>
          <cell r="F59">
            <v>1</v>
          </cell>
          <cell r="G59">
            <v>1</v>
          </cell>
          <cell r="H59">
            <v>0</v>
          </cell>
          <cell r="I59">
            <v>1</v>
          </cell>
          <cell r="J59">
            <v>1</v>
          </cell>
          <cell r="K59">
            <v>1</v>
          </cell>
          <cell r="L59">
            <v>1</v>
          </cell>
          <cell r="M59">
            <v>1</v>
          </cell>
          <cell r="N59">
            <v>0</v>
          </cell>
          <cell r="O59">
            <v>1</v>
          </cell>
          <cell r="P59">
            <v>1</v>
          </cell>
          <cell r="Q59">
            <v>1</v>
          </cell>
          <cell r="R59">
            <v>1</v>
          </cell>
          <cell r="S59">
            <v>1</v>
          </cell>
          <cell r="T59">
            <v>1</v>
          </cell>
          <cell r="U59">
            <v>1</v>
          </cell>
          <cell r="V59">
            <v>0</v>
          </cell>
          <cell r="W59">
            <v>1</v>
          </cell>
          <cell r="X59">
            <v>1</v>
          </cell>
          <cell r="Y59">
            <v>1</v>
          </cell>
          <cell r="Z59">
            <v>0</v>
          </cell>
          <cell r="AA59">
            <v>20</v>
          </cell>
        </row>
        <row r="60">
          <cell r="A60" t="str">
            <v>A1105</v>
          </cell>
          <cell r="B60" t="str">
            <v>ANISA NUR AINI</v>
          </cell>
          <cell r="C60">
            <v>1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1</v>
          </cell>
          <cell r="K60">
            <v>1</v>
          </cell>
          <cell r="L60">
            <v>1</v>
          </cell>
          <cell r="M60">
            <v>1</v>
          </cell>
          <cell r="N60">
            <v>0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0</v>
          </cell>
          <cell r="T60">
            <v>0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0</v>
          </cell>
          <cell r="Z60">
            <v>0</v>
          </cell>
          <cell r="AA60">
            <v>19</v>
          </cell>
        </row>
        <row r="61">
          <cell r="A61" t="str">
            <v>A1118</v>
          </cell>
          <cell r="B61" t="str">
            <v>OKSA ANDRIARDINA</v>
          </cell>
          <cell r="C61">
            <v>1</v>
          </cell>
          <cell r="D61">
            <v>1</v>
          </cell>
          <cell r="E61">
            <v>1</v>
          </cell>
          <cell r="F61">
            <v>0</v>
          </cell>
          <cell r="G61">
            <v>1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1</v>
          </cell>
          <cell r="M61">
            <v>1</v>
          </cell>
          <cell r="N61">
            <v>0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0</v>
          </cell>
          <cell r="Y61">
            <v>1</v>
          </cell>
          <cell r="Z61">
            <v>0</v>
          </cell>
          <cell r="AA61">
            <v>20</v>
          </cell>
        </row>
        <row r="62">
          <cell r="A62" t="str">
            <v>A1160</v>
          </cell>
          <cell r="B62" t="str">
            <v>NAFIS MUSLIKHAH</v>
          </cell>
          <cell r="C62">
            <v>1</v>
          </cell>
          <cell r="D62">
            <v>1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1</v>
          </cell>
          <cell r="K62">
            <v>1</v>
          </cell>
          <cell r="L62">
            <v>0</v>
          </cell>
          <cell r="M62">
            <v>0</v>
          </cell>
          <cell r="N62">
            <v>0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17</v>
          </cell>
        </row>
        <row r="63">
          <cell r="A63" t="str">
            <v>A1185</v>
          </cell>
          <cell r="B63" t="str">
            <v>SAFA PRAYUDA</v>
          </cell>
          <cell r="C63">
            <v>1</v>
          </cell>
          <cell r="D63">
            <v>1</v>
          </cell>
          <cell r="E63">
            <v>1</v>
          </cell>
          <cell r="F63">
            <v>1</v>
          </cell>
          <cell r="G63">
            <v>1</v>
          </cell>
          <cell r="H63">
            <v>1</v>
          </cell>
          <cell r="I63">
            <v>1</v>
          </cell>
          <cell r="J63">
            <v>0</v>
          </cell>
          <cell r="K63">
            <v>1</v>
          </cell>
          <cell r="L63">
            <v>1</v>
          </cell>
          <cell r="M63">
            <v>1</v>
          </cell>
          <cell r="N63">
            <v>0</v>
          </cell>
          <cell r="O63">
            <v>1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V63">
            <v>0</v>
          </cell>
          <cell r="W63">
            <v>1</v>
          </cell>
          <cell r="X63">
            <v>1</v>
          </cell>
          <cell r="Y63">
            <v>1</v>
          </cell>
          <cell r="Z63">
            <v>0</v>
          </cell>
          <cell r="AA63">
            <v>20</v>
          </cell>
        </row>
        <row r="64">
          <cell r="A64" t="str">
            <v>A1209</v>
          </cell>
          <cell r="B64" t="str">
            <v>ZULFI FAQIH NURUL JANNAH</v>
          </cell>
          <cell r="C64">
            <v>1</v>
          </cell>
          <cell r="D64">
            <v>1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0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0</v>
          </cell>
          <cell r="AA64">
            <v>22</v>
          </cell>
        </row>
        <row r="65">
          <cell r="A65" t="str">
            <v>A1215</v>
          </cell>
          <cell r="B65" t="str">
            <v>ESTERINA KUSUMAWATI</v>
          </cell>
          <cell r="C65">
            <v>1</v>
          </cell>
          <cell r="D65">
            <v>1</v>
          </cell>
          <cell r="E65">
            <v>1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  <cell r="N65">
            <v>0</v>
          </cell>
          <cell r="O65">
            <v>1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0</v>
          </cell>
          <cell r="Y65">
            <v>1</v>
          </cell>
          <cell r="Z65">
            <v>0</v>
          </cell>
          <cell r="AA65">
            <v>21</v>
          </cell>
        </row>
        <row r="66">
          <cell r="A66" t="str">
            <v>A1219</v>
          </cell>
          <cell r="B66" t="str">
            <v>AZIZ ALFISYAHRI</v>
          </cell>
          <cell r="C66">
            <v>1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1</v>
          </cell>
          <cell r="I66">
            <v>1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0</v>
          </cell>
          <cell r="O66">
            <v>1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>
            <v>0</v>
          </cell>
          <cell r="AA66">
            <v>21</v>
          </cell>
        </row>
        <row r="67">
          <cell r="A67" t="str">
            <v>A1276</v>
          </cell>
          <cell r="B67" t="str">
            <v>SINDI ARLINDA DEWI</v>
          </cell>
          <cell r="C67">
            <v>1</v>
          </cell>
          <cell r="D67">
            <v>1</v>
          </cell>
          <cell r="E67">
            <v>0</v>
          </cell>
          <cell r="F67">
            <v>0</v>
          </cell>
          <cell r="G67">
            <v>1</v>
          </cell>
          <cell r="H67">
            <v>1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  <cell r="N67">
            <v>0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0</v>
          </cell>
          <cell r="T67">
            <v>0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0</v>
          </cell>
          <cell r="AA67">
            <v>18</v>
          </cell>
        </row>
        <row r="68">
          <cell r="A68" t="str">
            <v>A1280</v>
          </cell>
          <cell r="B68" t="str">
            <v>PASKHA APRILIANINGSIH APRILIANINGSIH</v>
          </cell>
          <cell r="C68">
            <v>1</v>
          </cell>
          <cell r="D68">
            <v>1</v>
          </cell>
          <cell r="E68">
            <v>1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J68">
            <v>1</v>
          </cell>
          <cell r="K68">
            <v>1</v>
          </cell>
          <cell r="L68">
            <v>1</v>
          </cell>
          <cell r="M68">
            <v>0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0</v>
          </cell>
          <cell r="AA68">
            <v>22</v>
          </cell>
        </row>
        <row r="69">
          <cell r="A69" t="str">
            <v>A1281</v>
          </cell>
          <cell r="B69" t="str">
            <v>BENEDICTA MARISA</v>
          </cell>
          <cell r="C69">
            <v>1</v>
          </cell>
          <cell r="D69">
            <v>1</v>
          </cell>
          <cell r="E69">
            <v>1</v>
          </cell>
          <cell r="F69">
            <v>1</v>
          </cell>
          <cell r="G69">
            <v>1</v>
          </cell>
          <cell r="H69">
            <v>1</v>
          </cell>
          <cell r="I69">
            <v>0</v>
          </cell>
          <cell r="J69">
            <v>1</v>
          </cell>
          <cell r="K69">
            <v>1</v>
          </cell>
          <cell r="L69">
            <v>1</v>
          </cell>
          <cell r="M69">
            <v>1</v>
          </cell>
          <cell r="N69">
            <v>0</v>
          </cell>
          <cell r="O69">
            <v>1</v>
          </cell>
          <cell r="P69">
            <v>0</v>
          </cell>
          <cell r="Q69">
            <v>0</v>
          </cell>
          <cell r="R69">
            <v>0</v>
          </cell>
          <cell r="S69">
            <v>1</v>
          </cell>
          <cell r="T69">
            <v>1</v>
          </cell>
          <cell r="U69">
            <v>0</v>
          </cell>
          <cell r="V69">
            <v>1</v>
          </cell>
          <cell r="W69">
            <v>0</v>
          </cell>
          <cell r="X69">
            <v>1</v>
          </cell>
          <cell r="Y69">
            <v>1</v>
          </cell>
          <cell r="Z69">
            <v>0</v>
          </cell>
          <cell r="AA69">
            <v>16</v>
          </cell>
        </row>
        <row r="70">
          <cell r="A70" t="str">
            <v>A1329</v>
          </cell>
          <cell r="B70" t="str">
            <v>NABILA HASNA</v>
          </cell>
          <cell r="C70">
            <v>1</v>
          </cell>
          <cell r="D70">
            <v>1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I70">
            <v>1</v>
          </cell>
          <cell r="J70">
            <v>1</v>
          </cell>
          <cell r="K70">
            <v>1</v>
          </cell>
          <cell r="L70">
            <v>0</v>
          </cell>
          <cell r="M70">
            <v>0</v>
          </cell>
          <cell r="N70">
            <v>0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</v>
          </cell>
          <cell r="Y70">
            <v>1</v>
          </cell>
          <cell r="Z70">
            <v>0</v>
          </cell>
          <cell r="AA70">
            <v>20</v>
          </cell>
        </row>
        <row r="71">
          <cell r="A71" t="str">
            <v>A1342</v>
          </cell>
          <cell r="B71" t="str">
            <v>ENZELLENA</v>
          </cell>
          <cell r="C71">
            <v>1</v>
          </cell>
          <cell r="D71">
            <v>1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  <cell r="L71">
            <v>1</v>
          </cell>
          <cell r="M71">
            <v>1</v>
          </cell>
          <cell r="N71">
            <v>0</v>
          </cell>
          <cell r="O71">
            <v>1</v>
          </cell>
          <cell r="P71">
            <v>1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13</v>
          </cell>
        </row>
        <row r="72">
          <cell r="A72" t="str">
            <v>A1349</v>
          </cell>
          <cell r="B72" t="str">
            <v>TISA NORSARI</v>
          </cell>
          <cell r="C72">
            <v>1</v>
          </cell>
          <cell r="D72">
            <v>1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  <cell r="L72">
            <v>1</v>
          </cell>
          <cell r="M72">
            <v>1</v>
          </cell>
          <cell r="N72">
            <v>0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0</v>
          </cell>
          <cell r="AA72">
            <v>22</v>
          </cell>
        </row>
        <row r="73">
          <cell r="A73" t="str">
            <v>A1357</v>
          </cell>
          <cell r="B73" t="str">
            <v>AGNES TRINITAS</v>
          </cell>
          <cell r="C73">
            <v>1</v>
          </cell>
          <cell r="D73">
            <v>0</v>
          </cell>
          <cell r="E73">
            <v>1</v>
          </cell>
          <cell r="F73">
            <v>1</v>
          </cell>
          <cell r="G73">
            <v>1</v>
          </cell>
          <cell r="H73">
            <v>0</v>
          </cell>
          <cell r="I73">
            <v>1</v>
          </cell>
          <cell r="J73">
            <v>1</v>
          </cell>
          <cell r="K73">
            <v>1</v>
          </cell>
          <cell r="L73">
            <v>0</v>
          </cell>
          <cell r="M73">
            <v>1</v>
          </cell>
          <cell r="N73">
            <v>0</v>
          </cell>
          <cell r="O73">
            <v>1</v>
          </cell>
          <cell r="P73">
            <v>1</v>
          </cell>
          <cell r="Q73">
            <v>1</v>
          </cell>
          <cell r="R73">
            <v>1</v>
          </cell>
          <cell r="S73">
            <v>1</v>
          </cell>
          <cell r="T73">
            <v>0</v>
          </cell>
          <cell r="U73">
            <v>1</v>
          </cell>
          <cell r="V73">
            <v>0</v>
          </cell>
          <cell r="W73">
            <v>1</v>
          </cell>
          <cell r="X73">
            <v>0</v>
          </cell>
          <cell r="Y73">
            <v>1</v>
          </cell>
          <cell r="Z73">
            <v>0</v>
          </cell>
          <cell r="AA73">
            <v>16</v>
          </cell>
        </row>
        <row r="74">
          <cell r="A74" t="str">
            <v>A1360</v>
          </cell>
          <cell r="B74" t="str">
            <v>NURPUTRANTO LAKSONO</v>
          </cell>
          <cell r="C74">
            <v>1</v>
          </cell>
          <cell r="D74">
            <v>1</v>
          </cell>
          <cell r="E74">
            <v>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0</v>
          </cell>
          <cell r="O74">
            <v>1</v>
          </cell>
          <cell r="P74">
            <v>1</v>
          </cell>
          <cell r="Q74">
            <v>1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V74">
            <v>1</v>
          </cell>
          <cell r="W74">
            <v>1</v>
          </cell>
          <cell r="X74">
            <v>1</v>
          </cell>
          <cell r="Y74">
            <v>0</v>
          </cell>
          <cell r="Z74">
            <v>0</v>
          </cell>
          <cell r="AA74">
            <v>21</v>
          </cell>
        </row>
        <row r="75">
          <cell r="A75" t="str">
            <v>A1417</v>
          </cell>
          <cell r="B75" t="str">
            <v>ISTAJIB HAMAMI</v>
          </cell>
          <cell r="C75">
            <v>1</v>
          </cell>
          <cell r="D75">
            <v>1</v>
          </cell>
          <cell r="E75">
            <v>1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>
            <v>0</v>
          </cell>
          <cell r="K75">
            <v>1</v>
          </cell>
          <cell r="L75">
            <v>0</v>
          </cell>
          <cell r="M75">
            <v>1</v>
          </cell>
          <cell r="N75">
            <v>0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V75">
            <v>1</v>
          </cell>
          <cell r="W75">
            <v>1</v>
          </cell>
          <cell r="X75">
            <v>1</v>
          </cell>
          <cell r="Y75">
            <v>1</v>
          </cell>
          <cell r="Z75">
            <v>0</v>
          </cell>
          <cell r="AA75">
            <v>20</v>
          </cell>
        </row>
        <row r="76">
          <cell r="A76" t="str">
            <v>A1461</v>
          </cell>
          <cell r="B76" t="str">
            <v>AKHSA EKA MAHARANI</v>
          </cell>
          <cell r="C76">
            <v>1</v>
          </cell>
          <cell r="D76">
            <v>1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  <cell r="M76">
            <v>0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0</v>
          </cell>
          <cell r="W76">
            <v>1</v>
          </cell>
          <cell r="X76">
            <v>1</v>
          </cell>
          <cell r="Y76">
            <v>1</v>
          </cell>
          <cell r="Z76">
            <v>0</v>
          </cell>
          <cell r="AA76">
            <v>21</v>
          </cell>
        </row>
        <row r="77">
          <cell r="A77" t="str">
            <v>A1465</v>
          </cell>
          <cell r="B77" t="str">
            <v>ALDY CIPTHA PRIMANDA</v>
          </cell>
          <cell r="C77">
            <v>1</v>
          </cell>
          <cell r="D77">
            <v>1</v>
          </cell>
          <cell r="E77">
            <v>1</v>
          </cell>
          <cell r="F77">
            <v>0</v>
          </cell>
          <cell r="G77">
            <v>1</v>
          </cell>
          <cell r="H77">
            <v>1</v>
          </cell>
          <cell r="I77">
            <v>1</v>
          </cell>
          <cell r="J77">
            <v>0</v>
          </cell>
          <cell r="K77">
            <v>1</v>
          </cell>
          <cell r="L77">
            <v>0</v>
          </cell>
          <cell r="M77">
            <v>1</v>
          </cell>
          <cell r="N77">
            <v>0</v>
          </cell>
          <cell r="O77">
            <v>1</v>
          </cell>
          <cell r="P77">
            <v>1</v>
          </cell>
          <cell r="Q77">
            <v>1</v>
          </cell>
          <cell r="R77">
            <v>1</v>
          </cell>
          <cell r="S77">
            <v>1</v>
          </cell>
          <cell r="T77">
            <v>1</v>
          </cell>
          <cell r="U77">
            <v>1</v>
          </cell>
          <cell r="V77">
            <v>1</v>
          </cell>
          <cell r="W77">
            <v>1</v>
          </cell>
          <cell r="X77">
            <v>0</v>
          </cell>
          <cell r="Y77">
            <v>1</v>
          </cell>
          <cell r="Z77">
            <v>0</v>
          </cell>
          <cell r="AA77">
            <v>18</v>
          </cell>
        </row>
        <row r="78">
          <cell r="A78" t="str">
            <v>A1525</v>
          </cell>
          <cell r="B78" t="str">
            <v>MARSIDAH</v>
          </cell>
          <cell r="C78">
            <v>1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0</v>
          </cell>
          <cell r="O78">
            <v>1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  <cell r="T78">
            <v>0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0</v>
          </cell>
          <cell r="AA78">
            <v>21</v>
          </cell>
        </row>
        <row r="79">
          <cell r="A79" t="str">
            <v>A1531</v>
          </cell>
          <cell r="B79" t="str">
            <v>ERIN ALFINATA</v>
          </cell>
          <cell r="C79">
            <v>1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J79">
            <v>1</v>
          </cell>
          <cell r="K79">
            <v>1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V79">
            <v>0</v>
          </cell>
          <cell r="W79">
            <v>1</v>
          </cell>
          <cell r="X79">
            <v>1</v>
          </cell>
          <cell r="Y79">
            <v>1</v>
          </cell>
          <cell r="Z79">
            <v>0</v>
          </cell>
          <cell r="AA79">
            <v>21</v>
          </cell>
        </row>
        <row r="80">
          <cell r="A80" t="str">
            <v>A1556</v>
          </cell>
          <cell r="B80" t="str">
            <v>ISMA AUDIA PRABAWATI</v>
          </cell>
          <cell r="C80">
            <v>1</v>
          </cell>
          <cell r="D80">
            <v>1</v>
          </cell>
          <cell r="E80">
            <v>1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J80">
            <v>1</v>
          </cell>
          <cell r="K80">
            <v>1</v>
          </cell>
          <cell r="L80">
            <v>1</v>
          </cell>
          <cell r="M80">
            <v>1</v>
          </cell>
          <cell r="N80">
            <v>0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0</v>
          </cell>
          <cell r="AA80">
            <v>22</v>
          </cell>
        </row>
        <row r="81">
          <cell r="A81" t="str">
            <v>A1650</v>
          </cell>
          <cell r="B81" t="str">
            <v>RISKA PUTRI ADELIA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1</v>
          </cell>
          <cell r="M81">
            <v>0</v>
          </cell>
          <cell r="N81">
            <v>0</v>
          </cell>
          <cell r="O81">
            <v>1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</v>
          </cell>
          <cell r="U81">
            <v>0</v>
          </cell>
          <cell r="V81">
            <v>0</v>
          </cell>
          <cell r="W81">
            <v>0</v>
          </cell>
          <cell r="X81">
            <v>1</v>
          </cell>
          <cell r="Y81">
            <v>0</v>
          </cell>
          <cell r="Z81">
            <v>0</v>
          </cell>
          <cell r="AA81">
            <v>4</v>
          </cell>
        </row>
        <row r="82">
          <cell r="A82" t="str">
            <v>A1651</v>
          </cell>
          <cell r="B82" t="str">
            <v>NUR ROMADANI FITRIANA</v>
          </cell>
          <cell r="C82">
            <v>1</v>
          </cell>
          <cell r="D82">
            <v>1</v>
          </cell>
          <cell r="E82">
            <v>1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J82">
            <v>0</v>
          </cell>
          <cell r="K82">
            <v>1</v>
          </cell>
          <cell r="L82">
            <v>1</v>
          </cell>
          <cell r="M82">
            <v>1</v>
          </cell>
          <cell r="N82">
            <v>0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0</v>
          </cell>
          <cell r="Z82">
            <v>0</v>
          </cell>
          <cell r="AA82">
            <v>20</v>
          </cell>
        </row>
        <row r="83">
          <cell r="A83" t="str">
            <v>A1652</v>
          </cell>
          <cell r="B83" t="str">
            <v>ADINDA PUTRI AMALIA</v>
          </cell>
          <cell r="C83">
            <v>1</v>
          </cell>
          <cell r="D83">
            <v>0</v>
          </cell>
          <cell r="E83">
            <v>1</v>
          </cell>
          <cell r="F83">
            <v>1</v>
          </cell>
          <cell r="G83">
            <v>1</v>
          </cell>
          <cell r="H83">
            <v>0</v>
          </cell>
          <cell r="I83">
            <v>0</v>
          </cell>
          <cell r="J83">
            <v>1</v>
          </cell>
          <cell r="K83">
            <v>0</v>
          </cell>
          <cell r="L83">
            <v>1</v>
          </cell>
          <cell r="M83">
            <v>1</v>
          </cell>
          <cell r="N83">
            <v>0</v>
          </cell>
          <cell r="O83">
            <v>1</v>
          </cell>
          <cell r="P83">
            <v>0</v>
          </cell>
          <cell r="Q83">
            <v>1</v>
          </cell>
          <cell r="R83">
            <v>0</v>
          </cell>
          <cell r="S83">
            <v>0</v>
          </cell>
          <cell r="T83">
            <v>1</v>
          </cell>
          <cell r="U83">
            <v>0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15</v>
          </cell>
        </row>
        <row r="84">
          <cell r="A84" t="str">
            <v>A1669</v>
          </cell>
          <cell r="B84" t="str">
            <v>CINTIA ANINDA HEKA SHAFIRA</v>
          </cell>
          <cell r="C84">
            <v>1</v>
          </cell>
          <cell r="D84">
            <v>1</v>
          </cell>
          <cell r="E84">
            <v>0</v>
          </cell>
          <cell r="F84">
            <v>0</v>
          </cell>
          <cell r="G84">
            <v>1</v>
          </cell>
          <cell r="H84">
            <v>1</v>
          </cell>
          <cell r="I84">
            <v>1</v>
          </cell>
          <cell r="J84">
            <v>1</v>
          </cell>
          <cell r="K84">
            <v>1</v>
          </cell>
          <cell r="L84">
            <v>0</v>
          </cell>
          <cell r="M84">
            <v>1</v>
          </cell>
          <cell r="N84">
            <v>0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0</v>
          </cell>
          <cell r="Y84">
            <v>1</v>
          </cell>
          <cell r="Z84">
            <v>0</v>
          </cell>
          <cell r="AA84">
            <v>18</v>
          </cell>
        </row>
        <row r="85">
          <cell r="A85" t="str">
            <v>A1721</v>
          </cell>
          <cell r="B85" t="str">
            <v>MEGA AUDILIA</v>
          </cell>
          <cell r="C85">
            <v>1</v>
          </cell>
          <cell r="D85">
            <v>1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0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0</v>
          </cell>
          <cell r="AA85">
            <v>22</v>
          </cell>
        </row>
        <row r="86">
          <cell r="A86" t="str">
            <v>A1728</v>
          </cell>
          <cell r="B86" t="str">
            <v>AYU TRI LESTARI</v>
          </cell>
          <cell r="C86">
            <v>1</v>
          </cell>
          <cell r="D86">
            <v>1</v>
          </cell>
          <cell r="E86">
            <v>1</v>
          </cell>
          <cell r="F86">
            <v>0</v>
          </cell>
          <cell r="G86">
            <v>1</v>
          </cell>
          <cell r="H86">
            <v>1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  <cell r="M86">
            <v>0</v>
          </cell>
          <cell r="N86">
            <v>0</v>
          </cell>
          <cell r="O86">
            <v>1</v>
          </cell>
          <cell r="P86">
            <v>1</v>
          </cell>
          <cell r="Q86">
            <v>1</v>
          </cell>
          <cell r="R86">
            <v>0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1</v>
          </cell>
          <cell r="Y86">
            <v>1</v>
          </cell>
          <cell r="Z86">
            <v>0</v>
          </cell>
          <cell r="AA86">
            <v>19</v>
          </cell>
        </row>
        <row r="87">
          <cell r="A87" t="str">
            <v>A1755</v>
          </cell>
          <cell r="B87" t="str">
            <v>TIFANI ADELIA SYAFITRI</v>
          </cell>
          <cell r="C87">
            <v>1</v>
          </cell>
          <cell r="D87">
            <v>1</v>
          </cell>
          <cell r="E87">
            <v>1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J87">
            <v>1</v>
          </cell>
          <cell r="K87">
            <v>1</v>
          </cell>
          <cell r="L87">
            <v>1</v>
          </cell>
          <cell r="M87">
            <v>1</v>
          </cell>
          <cell r="N87">
            <v>0</v>
          </cell>
          <cell r="O87">
            <v>1</v>
          </cell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0</v>
          </cell>
          <cell r="V87">
            <v>0</v>
          </cell>
          <cell r="W87">
            <v>1</v>
          </cell>
          <cell r="X87">
            <v>1</v>
          </cell>
          <cell r="Y87">
            <v>1</v>
          </cell>
          <cell r="Z87">
            <v>0</v>
          </cell>
          <cell r="AA87">
            <v>20</v>
          </cell>
        </row>
        <row r="88">
          <cell r="A88" t="str">
            <v>A1762</v>
          </cell>
          <cell r="B88" t="str">
            <v>MUTAHIR ALI</v>
          </cell>
          <cell r="C88">
            <v>1</v>
          </cell>
          <cell r="D88">
            <v>1</v>
          </cell>
          <cell r="E88">
            <v>1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J88">
            <v>1</v>
          </cell>
          <cell r="K88">
            <v>1</v>
          </cell>
          <cell r="L88">
            <v>1</v>
          </cell>
          <cell r="M88">
            <v>1</v>
          </cell>
          <cell r="N88">
            <v>0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0</v>
          </cell>
          <cell r="AA88">
            <v>22</v>
          </cell>
        </row>
        <row r="89">
          <cell r="A89" t="str">
            <v>A1766</v>
          </cell>
          <cell r="B89" t="str">
            <v>ELIZABETH PARAMITA</v>
          </cell>
          <cell r="C89">
            <v>1</v>
          </cell>
          <cell r="D89">
            <v>1</v>
          </cell>
          <cell r="E89">
            <v>1</v>
          </cell>
          <cell r="F89">
            <v>1</v>
          </cell>
          <cell r="G89">
            <v>1</v>
          </cell>
          <cell r="H89">
            <v>1</v>
          </cell>
          <cell r="I89">
            <v>1</v>
          </cell>
          <cell r="J89">
            <v>1</v>
          </cell>
          <cell r="K89">
            <v>1</v>
          </cell>
          <cell r="L89">
            <v>1</v>
          </cell>
          <cell r="M89">
            <v>0</v>
          </cell>
          <cell r="N89">
            <v>1</v>
          </cell>
          <cell r="O89">
            <v>1</v>
          </cell>
          <cell r="P89">
            <v>1</v>
          </cell>
          <cell r="Q89">
            <v>1</v>
          </cell>
          <cell r="R89">
            <v>1</v>
          </cell>
          <cell r="S89">
            <v>1</v>
          </cell>
          <cell r="T89">
            <v>1</v>
          </cell>
          <cell r="U89">
            <v>1</v>
          </cell>
          <cell r="V89">
            <v>1</v>
          </cell>
          <cell r="W89">
            <v>1</v>
          </cell>
          <cell r="X89">
            <v>0</v>
          </cell>
          <cell r="Y89">
            <v>1</v>
          </cell>
          <cell r="Z89">
            <v>0</v>
          </cell>
          <cell r="AA89">
            <v>21</v>
          </cell>
        </row>
        <row r="90">
          <cell r="A90" t="str">
            <v>A1773</v>
          </cell>
          <cell r="B90" t="str">
            <v>MELINIA WINDY ERLIYA</v>
          </cell>
          <cell r="C90">
            <v>1</v>
          </cell>
          <cell r="D90">
            <v>1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1</v>
          </cell>
          <cell r="J90">
            <v>1</v>
          </cell>
          <cell r="K90">
            <v>1</v>
          </cell>
          <cell r="L90">
            <v>1</v>
          </cell>
          <cell r="M90">
            <v>1</v>
          </cell>
          <cell r="N90">
            <v>0</v>
          </cell>
          <cell r="O90">
            <v>1</v>
          </cell>
          <cell r="P90">
            <v>1</v>
          </cell>
          <cell r="Q90">
            <v>1</v>
          </cell>
          <cell r="R90">
            <v>0</v>
          </cell>
          <cell r="S90">
            <v>1</v>
          </cell>
          <cell r="T90">
            <v>0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  <cell r="Y90">
            <v>0</v>
          </cell>
          <cell r="Z90">
            <v>1</v>
          </cell>
          <cell r="AA90">
            <v>20</v>
          </cell>
        </row>
        <row r="91">
          <cell r="A91" t="str">
            <v>A1774</v>
          </cell>
          <cell r="B91" t="str">
            <v>MARIA DEWI TIRTA PERWITA SARI PERWITA SARI</v>
          </cell>
          <cell r="C91">
            <v>1</v>
          </cell>
          <cell r="D91">
            <v>1</v>
          </cell>
          <cell r="E91">
            <v>1</v>
          </cell>
          <cell r="F91">
            <v>1</v>
          </cell>
          <cell r="G91">
            <v>1</v>
          </cell>
          <cell r="H91">
            <v>1</v>
          </cell>
          <cell r="I91">
            <v>1</v>
          </cell>
          <cell r="J91">
            <v>1</v>
          </cell>
          <cell r="K91">
            <v>1</v>
          </cell>
          <cell r="L91">
            <v>1</v>
          </cell>
          <cell r="M91">
            <v>1</v>
          </cell>
          <cell r="N91">
            <v>0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0</v>
          </cell>
          <cell r="X91">
            <v>0</v>
          </cell>
          <cell r="Y91">
            <v>1</v>
          </cell>
          <cell r="Z91">
            <v>0</v>
          </cell>
          <cell r="AA91">
            <v>20</v>
          </cell>
        </row>
        <row r="92">
          <cell r="A92" t="str">
            <v>A1777</v>
          </cell>
          <cell r="B92" t="str">
            <v>MUTIANI WULANDARI</v>
          </cell>
          <cell r="C92">
            <v>1</v>
          </cell>
          <cell r="D92">
            <v>1</v>
          </cell>
          <cell r="E92">
            <v>1</v>
          </cell>
          <cell r="F92">
            <v>1</v>
          </cell>
          <cell r="G92">
            <v>1</v>
          </cell>
          <cell r="H92">
            <v>1</v>
          </cell>
          <cell r="I92">
            <v>1</v>
          </cell>
          <cell r="J92">
            <v>1</v>
          </cell>
          <cell r="K92">
            <v>1</v>
          </cell>
          <cell r="L92">
            <v>0</v>
          </cell>
          <cell r="M92">
            <v>0</v>
          </cell>
          <cell r="N92">
            <v>0</v>
          </cell>
          <cell r="O92">
            <v>1</v>
          </cell>
          <cell r="P92">
            <v>0</v>
          </cell>
          <cell r="Q92">
            <v>1</v>
          </cell>
          <cell r="R92">
            <v>0</v>
          </cell>
          <cell r="S92">
            <v>1</v>
          </cell>
          <cell r="T92">
            <v>0</v>
          </cell>
          <cell r="U92">
            <v>1</v>
          </cell>
          <cell r="V92">
            <v>0</v>
          </cell>
          <cell r="W92">
            <v>1</v>
          </cell>
          <cell r="X92">
            <v>0</v>
          </cell>
          <cell r="Y92">
            <v>1</v>
          </cell>
          <cell r="Z92">
            <v>0</v>
          </cell>
          <cell r="AA92">
            <v>15</v>
          </cell>
        </row>
        <row r="93">
          <cell r="A93" t="str">
            <v>A1781</v>
          </cell>
          <cell r="B93" t="str">
            <v>ZULFA AZIZAH</v>
          </cell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1</v>
          </cell>
          <cell r="L93">
            <v>1</v>
          </cell>
          <cell r="M93">
            <v>1</v>
          </cell>
          <cell r="N93">
            <v>0</v>
          </cell>
          <cell r="O93">
            <v>1</v>
          </cell>
          <cell r="P93">
            <v>0</v>
          </cell>
          <cell r="Q93">
            <v>0</v>
          </cell>
          <cell r="R93">
            <v>0</v>
          </cell>
          <cell r="S93">
            <v>1</v>
          </cell>
          <cell r="T93">
            <v>1</v>
          </cell>
          <cell r="U93">
            <v>1</v>
          </cell>
          <cell r="V93">
            <v>1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15</v>
          </cell>
        </row>
        <row r="94">
          <cell r="A94" t="str">
            <v>A1825</v>
          </cell>
          <cell r="B94" t="str">
            <v>MARLIANA</v>
          </cell>
          <cell r="C94">
            <v>1</v>
          </cell>
          <cell r="D94">
            <v>1</v>
          </cell>
          <cell r="E94">
            <v>1</v>
          </cell>
          <cell r="F94">
            <v>1</v>
          </cell>
          <cell r="G94">
            <v>1</v>
          </cell>
          <cell r="H94">
            <v>1</v>
          </cell>
          <cell r="I94">
            <v>1</v>
          </cell>
          <cell r="J94">
            <v>1</v>
          </cell>
          <cell r="K94">
            <v>1</v>
          </cell>
          <cell r="L94">
            <v>1</v>
          </cell>
          <cell r="M94">
            <v>1</v>
          </cell>
          <cell r="N94">
            <v>0</v>
          </cell>
          <cell r="O94">
            <v>1</v>
          </cell>
          <cell r="P94">
            <v>1</v>
          </cell>
          <cell r="Q94">
            <v>1</v>
          </cell>
          <cell r="R94">
            <v>0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>
            <v>1</v>
          </cell>
          <cell r="X94">
            <v>1</v>
          </cell>
          <cell r="Y94">
            <v>1</v>
          </cell>
          <cell r="Z94">
            <v>0</v>
          </cell>
          <cell r="AA94">
            <v>21</v>
          </cell>
        </row>
        <row r="95">
          <cell r="A95" t="str">
            <v>A1841</v>
          </cell>
          <cell r="B95" t="str">
            <v>ADHINA PUTRIANA KUSUMAWATI</v>
          </cell>
          <cell r="C95">
            <v>1</v>
          </cell>
          <cell r="D95">
            <v>1</v>
          </cell>
          <cell r="E95">
            <v>1</v>
          </cell>
          <cell r="F95">
            <v>0</v>
          </cell>
          <cell r="G95">
            <v>1</v>
          </cell>
          <cell r="H95">
            <v>1</v>
          </cell>
          <cell r="I95">
            <v>1</v>
          </cell>
          <cell r="J95">
            <v>0</v>
          </cell>
          <cell r="K95">
            <v>1</v>
          </cell>
          <cell r="L95">
            <v>0</v>
          </cell>
          <cell r="M95">
            <v>1</v>
          </cell>
          <cell r="N95">
            <v>0</v>
          </cell>
          <cell r="O95">
            <v>1</v>
          </cell>
          <cell r="P95">
            <v>1</v>
          </cell>
          <cell r="Q95">
            <v>1</v>
          </cell>
          <cell r="R95">
            <v>0</v>
          </cell>
          <cell r="S95">
            <v>1</v>
          </cell>
          <cell r="T95">
            <v>1</v>
          </cell>
          <cell r="U95">
            <v>0</v>
          </cell>
          <cell r="V95">
            <v>0</v>
          </cell>
          <cell r="W95">
            <v>1</v>
          </cell>
          <cell r="X95">
            <v>0</v>
          </cell>
          <cell r="Y95">
            <v>1</v>
          </cell>
          <cell r="Z95">
            <v>0</v>
          </cell>
          <cell r="AA95">
            <v>15</v>
          </cell>
        </row>
        <row r="96">
          <cell r="A96" t="str">
            <v>A1842</v>
          </cell>
          <cell r="B96" t="str">
            <v>KELPIN PONTIUS ARON</v>
          </cell>
          <cell r="C96">
            <v>1</v>
          </cell>
          <cell r="D96">
            <v>1</v>
          </cell>
          <cell r="E96">
            <v>1</v>
          </cell>
          <cell r="F96">
            <v>0</v>
          </cell>
          <cell r="G96">
            <v>1</v>
          </cell>
          <cell r="H96">
            <v>0</v>
          </cell>
          <cell r="I96">
            <v>1</v>
          </cell>
          <cell r="J96">
            <v>0</v>
          </cell>
          <cell r="K96">
            <v>1</v>
          </cell>
          <cell r="L96">
            <v>0</v>
          </cell>
          <cell r="M96">
            <v>1</v>
          </cell>
          <cell r="N96">
            <v>0</v>
          </cell>
          <cell r="O96">
            <v>1</v>
          </cell>
          <cell r="P96">
            <v>1</v>
          </cell>
          <cell r="Q96">
            <v>0</v>
          </cell>
          <cell r="R96">
            <v>1</v>
          </cell>
          <cell r="S96">
            <v>1</v>
          </cell>
          <cell r="T96">
            <v>0</v>
          </cell>
          <cell r="U96">
            <v>1</v>
          </cell>
          <cell r="V96">
            <v>0</v>
          </cell>
          <cell r="W96">
            <v>1</v>
          </cell>
          <cell r="X96">
            <v>1</v>
          </cell>
          <cell r="Y96">
            <v>1</v>
          </cell>
          <cell r="Z96">
            <v>0</v>
          </cell>
          <cell r="AA96">
            <v>15</v>
          </cell>
        </row>
        <row r="97">
          <cell r="A97" t="str">
            <v>A1854</v>
          </cell>
          <cell r="B97" t="str">
            <v>SALSABILA OKTAVIMADIANA</v>
          </cell>
          <cell r="C97">
            <v>0</v>
          </cell>
          <cell r="D97">
            <v>0</v>
          </cell>
          <cell r="E97">
            <v>1</v>
          </cell>
          <cell r="F97">
            <v>1</v>
          </cell>
          <cell r="G97">
            <v>1</v>
          </cell>
          <cell r="H97">
            <v>1</v>
          </cell>
          <cell r="I97">
            <v>1</v>
          </cell>
          <cell r="J97">
            <v>1</v>
          </cell>
          <cell r="K97">
            <v>1</v>
          </cell>
          <cell r="L97">
            <v>1</v>
          </cell>
          <cell r="M97">
            <v>1</v>
          </cell>
          <cell r="N97">
            <v>0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0</v>
          </cell>
          <cell r="Z97">
            <v>1</v>
          </cell>
          <cell r="AA97">
            <v>20</v>
          </cell>
        </row>
        <row r="98">
          <cell r="A98" t="str">
            <v>A1855</v>
          </cell>
          <cell r="B98" t="str">
            <v>WANINGSIH YONA LARASATI</v>
          </cell>
          <cell r="C98">
            <v>0</v>
          </cell>
          <cell r="D98">
            <v>0</v>
          </cell>
          <cell r="E98">
            <v>1</v>
          </cell>
          <cell r="F98">
            <v>0</v>
          </cell>
          <cell r="G98">
            <v>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2</v>
          </cell>
        </row>
        <row r="99">
          <cell r="A99" t="str">
            <v>A1893</v>
          </cell>
          <cell r="B99" t="str">
            <v>SYANNE AURELLIA KAWIHARDJA</v>
          </cell>
          <cell r="C99">
            <v>0</v>
          </cell>
          <cell r="D99">
            <v>0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  <cell r="O99">
            <v>1</v>
          </cell>
          <cell r="P99">
            <v>0</v>
          </cell>
          <cell r="Q99">
            <v>1</v>
          </cell>
          <cell r="R99">
            <v>1</v>
          </cell>
          <cell r="S99">
            <v>1</v>
          </cell>
          <cell r="T99">
            <v>1</v>
          </cell>
          <cell r="U99">
            <v>1</v>
          </cell>
          <cell r="V99">
            <v>1</v>
          </cell>
          <cell r="W99">
            <v>1</v>
          </cell>
          <cell r="X99">
            <v>0</v>
          </cell>
          <cell r="Y99">
            <v>1</v>
          </cell>
          <cell r="Z99">
            <v>0</v>
          </cell>
          <cell r="AA99">
            <v>16</v>
          </cell>
        </row>
        <row r="100">
          <cell r="A100" t="str">
            <v>A1944</v>
          </cell>
          <cell r="B100" t="str">
            <v>MUHAMMAD HILMI AZZAHIDI</v>
          </cell>
          <cell r="C100">
            <v>1</v>
          </cell>
          <cell r="D100">
            <v>1</v>
          </cell>
          <cell r="E100">
            <v>1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  <cell r="L100">
            <v>1</v>
          </cell>
          <cell r="M100">
            <v>1</v>
          </cell>
          <cell r="N100">
            <v>0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0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0</v>
          </cell>
          <cell r="AA100">
            <v>21</v>
          </cell>
        </row>
        <row r="101">
          <cell r="A101" t="str">
            <v>A1954</v>
          </cell>
          <cell r="B101" t="str">
            <v>JELITA AYUNDA FITRIA</v>
          </cell>
          <cell r="C101">
            <v>1</v>
          </cell>
          <cell r="D101">
            <v>1</v>
          </cell>
          <cell r="E101">
            <v>1</v>
          </cell>
          <cell r="F101">
            <v>1</v>
          </cell>
          <cell r="G101">
            <v>1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0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0</v>
          </cell>
          <cell r="AA101">
            <v>22</v>
          </cell>
        </row>
        <row r="102">
          <cell r="A102" t="str">
            <v>A1957</v>
          </cell>
          <cell r="B102" t="str">
            <v>FATIA</v>
          </cell>
          <cell r="C102">
            <v>1</v>
          </cell>
          <cell r="D102">
            <v>1</v>
          </cell>
          <cell r="E102">
            <v>1</v>
          </cell>
          <cell r="F102">
            <v>1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0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0</v>
          </cell>
          <cell r="AA102">
            <v>22</v>
          </cell>
        </row>
        <row r="103">
          <cell r="A103" t="str">
            <v>A2145</v>
          </cell>
          <cell r="B103" t="str">
            <v>LAILY FAJRIYANTI</v>
          </cell>
          <cell r="C103">
            <v>1</v>
          </cell>
          <cell r="D103">
            <v>1</v>
          </cell>
          <cell r="E103">
            <v>1</v>
          </cell>
          <cell r="F103">
            <v>0</v>
          </cell>
          <cell r="G103">
            <v>1</v>
          </cell>
          <cell r="H103">
            <v>1</v>
          </cell>
          <cell r="I103">
            <v>1</v>
          </cell>
          <cell r="J103">
            <v>1</v>
          </cell>
          <cell r="K103">
            <v>1</v>
          </cell>
          <cell r="L103">
            <v>0</v>
          </cell>
          <cell r="M103">
            <v>1</v>
          </cell>
          <cell r="N103">
            <v>0</v>
          </cell>
          <cell r="O103">
            <v>1</v>
          </cell>
          <cell r="P103">
            <v>0</v>
          </cell>
          <cell r="Q103">
            <v>1</v>
          </cell>
          <cell r="R103">
            <v>1</v>
          </cell>
          <cell r="S103">
            <v>1</v>
          </cell>
          <cell r="T103">
            <v>1</v>
          </cell>
          <cell r="U103">
            <v>0</v>
          </cell>
          <cell r="V103">
            <v>1</v>
          </cell>
          <cell r="W103">
            <v>0</v>
          </cell>
          <cell r="X103">
            <v>0</v>
          </cell>
          <cell r="Y103">
            <v>1</v>
          </cell>
          <cell r="Z103">
            <v>0</v>
          </cell>
          <cell r="AA103">
            <v>16</v>
          </cell>
        </row>
        <row r="104">
          <cell r="A104" t="str">
            <v>A2179</v>
          </cell>
          <cell r="B104" t="str">
            <v>ANNISA LARASATI</v>
          </cell>
          <cell r="C104">
            <v>1</v>
          </cell>
          <cell r="D104">
            <v>1</v>
          </cell>
          <cell r="E104">
            <v>1</v>
          </cell>
          <cell r="F104">
            <v>1</v>
          </cell>
          <cell r="G104">
            <v>1</v>
          </cell>
          <cell r="H104">
            <v>1</v>
          </cell>
          <cell r="I104">
            <v>1</v>
          </cell>
          <cell r="J104">
            <v>0</v>
          </cell>
          <cell r="K104">
            <v>1</v>
          </cell>
          <cell r="L104">
            <v>1</v>
          </cell>
          <cell r="M104">
            <v>1</v>
          </cell>
          <cell r="N104">
            <v>0</v>
          </cell>
          <cell r="O104">
            <v>1</v>
          </cell>
          <cell r="P104">
            <v>0</v>
          </cell>
          <cell r="Q104">
            <v>1</v>
          </cell>
          <cell r="R104">
            <v>1</v>
          </cell>
          <cell r="S104">
            <v>1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</v>
          </cell>
          <cell r="Y104">
            <v>1</v>
          </cell>
          <cell r="Z104">
            <v>0</v>
          </cell>
          <cell r="AA104">
            <v>20</v>
          </cell>
        </row>
        <row r="105">
          <cell r="A105" t="str">
            <v>A2255</v>
          </cell>
          <cell r="B105" t="str">
            <v>ELI SITOHANG</v>
          </cell>
          <cell r="C105">
            <v>1</v>
          </cell>
          <cell r="D105">
            <v>1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0</v>
          </cell>
          <cell r="K105">
            <v>1</v>
          </cell>
          <cell r="L105">
            <v>1</v>
          </cell>
          <cell r="M105">
            <v>1</v>
          </cell>
          <cell r="N105">
            <v>0</v>
          </cell>
          <cell r="O105">
            <v>1</v>
          </cell>
          <cell r="P105">
            <v>1</v>
          </cell>
          <cell r="Q105">
            <v>1</v>
          </cell>
          <cell r="R105">
            <v>0</v>
          </cell>
          <cell r="S105">
            <v>1</v>
          </cell>
          <cell r="T105">
            <v>1</v>
          </cell>
          <cell r="U105">
            <v>1</v>
          </cell>
          <cell r="V105">
            <v>0</v>
          </cell>
          <cell r="W105">
            <v>1</v>
          </cell>
          <cell r="X105">
            <v>0</v>
          </cell>
          <cell r="Y105">
            <v>0</v>
          </cell>
          <cell r="Z105">
            <v>0</v>
          </cell>
          <cell r="AA105">
            <v>17</v>
          </cell>
        </row>
        <row r="106">
          <cell r="A106" t="str">
            <v>A2322</v>
          </cell>
          <cell r="B106" t="str">
            <v>ROSI NOVI LUTFITASARI</v>
          </cell>
          <cell r="C106">
            <v>1</v>
          </cell>
          <cell r="D106">
            <v>1</v>
          </cell>
          <cell r="E106">
            <v>1</v>
          </cell>
          <cell r="F106">
            <v>1</v>
          </cell>
          <cell r="G106">
            <v>1</v>
          </cell>
          <cell r="H106">
            <v>1</v>
          </cell>
          <cell r="I106">
            <v>1</v>
          </cell>
          <cell r="J106">
            <v>1</v>
          </cell>
          <cell r="K106">
            <v>1</v>
          </cell>
          <cell r="L106">
            <v>0</v>
          </cell>
          <cell r="M106">
            <v>0</v>
          </cell>
          <cell r="N106">
            <v>1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  <cell r="T106">
            <v>1</v>
          </cell>
          <cell r="U106">
            <v>1</v>
          </cell>
          <cell r="V106">
            <v>0</v>
          </cell>
          <cell r="W106">
            <v>1</v>
          </cell>
          <cell r="X106">
            <v>1</v>
          </cell>
          <cell r="Y106">
            <v>0</v>
          </cell>
          <cell r="Z106">
            <v>0</v>
          </cell>
          <cell r="AA106">
            <v>19</v>
          </cell>
        </row>
        <row r="107">
          <cell r="A107" t="str">
            <v>A2417</v>
          </cell>
          <cell r="B107" t="str">
            <v>LALANG WINATA BINTANG NANOE</v>
          </cell>
          <cell r="C107">
            <v>1</v>
          </cell>
          <cell r="D107">
            <v>1</v>
          </cell>
          <cell r="E107">
            <v>1</v>
          </cell>
          <cell r="F107">
            <v>1</v>
          </cell>
          <cell r="G107">
            <v>1</v>
          </cell>
          <cell r="H107">
            <v>1</v>
          </cell>
          <cell r="I107">
            <v>1</v>
          </cell>
          <cell r="J107">
            <v>1</v>
          </cell>
          <cell r="K107">
            <v>1</v>
          </cell>
          <cell r="L107">
            <v>1</v>
          </cell>
          <cell r="M107">
            <v>1</v>
          </cell>
          <cell r="N107">
            <v>0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>
            <v>1</v>
          </cell>
          <cell r="U107">
            <v>1</v>
          </cell>
          <cell r="V107">
            <v>1</v>
          </cell>
          <cell r="W107">
            <v>1</v>
          </cell>
          <cell r="X107">
            <v>1</v>
          </cell>
          <cell r="Y107">
            <v>1</v>
          </cell>
          <cell r="Z107">
            <v>0</v>
          </cell>
          <cell r="AA107">
            <v>22</v>
          </cell>
        </row>
        <row r="108">
          <cell r="A108" t="str">
            <v>A2418</v>
          </cell>
          <cell r="B108" t="str">
            <v>RIZKA MAULIA ROKHMAH</v>
          </cell>
          <cell r="C108">
            <v>1</v>
          </cell>
          <cell r="D108">
            <v>1</v>
          </cell>
          <cell r="E108">
            <v>1</v>
          </cell>
          <cell r="F108">
            <v>1</v>
          </cell>
          <cell r="G108">
            <v>1</v>
          </cell>
          <cell r="H108">
            <v>1</v>
          </cell>
          <cell r="I108">
            <v>1</v>
          </cell>
          <cell r="J108">
            <v>0</v>
          </cell>
          <cell r="K108">
            <v>1</v>
          </cell>
          <cell r="L108">
            <v>0</v>
          </cell>
          <cell r="M108">
            <v>1</v>
          </cell>
          <cell r="N108">
            <v>0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>
            <v>1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0</v>
          </cell>
          <cell r="AA108">
            <v>16</v>
          </cell>
        </row>
        <row r="109">
          <cell r="A109" t="str">
            <v>A2441</v>
          </cell>
          <cell r="B109" t="str">
            <v>AJENG SURYA ASMININGRUM</v>
          </cell>
          <cell r="C109">
            <v>1</v>
          </cell>
          <cell r="D109">
            <v>1</v>
          </cell>
          <cell r="E109">
            <v>0</v>
          </cell>
          <cell r="F109">
            <v>0</v>
          </cell>
          <cell r="G109">
            <v>1</v>
          </cell>
          <cell r="H109">
            <v>1</v>
          </cell>
          <cell r="I109">
            <v>1</v>
          </cell>
          <cell r="J109">
            <v>1</v>
          </cell>
          <cell r="K109">
            <v>0</v>
          </cell>
          <cell r="L109">
            <v>0</v>
          </cell>
          <cell r="M109">
            <v>1</v>
          </cell>
          <cell r="N109">
            <v>0</v>
          </cell>
          <cell r="O109">
            <v>1</v>
          </cell>
          <cell r="P109">
            <v>1</v>
          </cell>
          <cell r="Q109">
            <v>1</v>
          </cell>
          <cell r="R109">
            <v>0</v>
          </cell>
          <cell r="S109">
            <v>1</v>
          </cell>
          <cell r="T109">
            <v>1</v>
          </cell>
          <cell r="U109">
            <v>1</v>
          </cell>
          <cell r="V109">
            <v>1</v>
          </cell>
          <cell r="W109">
            <v>0</v>
          </cell>
          <cell r="X109">
            <v>0</v>
          </cell>
          <cell r="Y109">
            <v>1</v>
          </cell>
          <cell r="Z109">
            <v>0</v>
          </cell>
          <cell r="AA109">
            <v>15</v>
          </cell>
        </row>
        <row r="110">
          <cell r="A110" t="str">
            <v>A2442</v>
          </cell>
          <cell r="B110" t="str">
            <v>FAYI SALSABILA</v>
          </cell>
          <cell r="C110">
            <v>1</v>
          </cell>
          <cell r="D110">
            <v>1</v>
          </cell>
          <cell r="E110">
            <v>1</v>
          </cell>
          <cell r="F110">
            <v>0</v>
          </cell>
          <cell r="G110">
            <v>1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  <cell r="L110">
            <v>0</v>
          </cell>
          <cell r="M110">
            <v>1</v>
          </cell>
          <cell r="N110">
            <v>0</v>
          </cell>
          <cell r="O110">
            <v>1</v>
          </cell>
          <cell r="P110">
            <v>1</v>
          </cell>
          <cell r="Q110">
            <v>1</v>
          </cell>
          <cell r="R110">
            <v>0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0</v>
          </cell>
          <cell r="Y110">
            <v>1</v>
          </cell>
          <cell r="Z110">
            <v>0</v>
          </cell>
          <cell r="AA110">
            <v>18</v>
          </cell>
        </row>
        <row r="111">
          <cell r="A111" t="str">
            <v>A2462</v>
          </cell>
          <cell r="B111" t="str">
            <v>KHUSNUL KHATIMAH</v>
          </cell>
          <cell r="C111">
            <v>1</v>
          </cell>
          <cell r="D111">
            <v>1</v>
          </cell>
          <cell r="E111">
            <v>1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0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  <cell r="T111">
            <v>1</v>
          </cell>
          <cell r="U111">
            <v>1</v>
          </cell>
          <cell r="V111">
            <v>1</v>
          </cell>
          <cell r="W111">
            <v>1</v>
          </cell>
          <cell r="X111">
            <v>1</v>
          </cell>
          <cell r="Y111">
            <v>1</v>
          </cell>
          <cell r="Z111">
            <v>0</v>
          </cell>
          <cell r="AA111">
            <v>22</v>
          </cell>
        </row>
        <row r="112">
          <cell r="A112" t="str">
            <v>A2507</v>
          </cell>
          <cell r="B112" t="str">
            <v>ARJUNA TANJUNG</v>
          </cell>
          <cell r="C112">
            <v>1</v>
          </cell>
          <cell r="D112">
            <v>1</v>
          </cell>
          <cell r="E112">
            <v>1</v>
          </cell>
          <cell r="F112">
            <v>1</v>
          </cell>
          <cell r="G112">
            <v>1</v>
          </cell>
          <cell r="H112">
            <v>1</v>
          </cell>
          <cell r="I112">
            <v>1</v>
          </cell>
          <cell r="J112">
            <v>1</v>
          </cell>
          <cell r="K112">
            <v>1</v>
          </cell>
          <cell r="L112">
            <v>1</v>
          </cell>
          <cell r="M112">
            <v>1</v>
          </cell>
          <cell r="N112">
            <v>0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W112">
            <v>1</v>
          </cell>
          <cell r="X112">
            <v>1</v>
          </cell>
          <cell r="Y112">
            <v>1</v>
          </cell>
          <cell r="Z112">
            <v>0</v>
          </cell>
          <cell r="AA112">
            <v>22</v>
          </cell>
        </row>
        <row r="113">
          <cell r="A113" t="str">
            <v>A2510</v>
          </cell>
          <cell r="B113" t="str">
            <v>THIFAL KHANSA NABILA</v>
          </cell>
          <cell r="C113">
            <v>1</v>
          </cell>
          <cell r="D113">
            <v>0</v>
          </cell>
          <cell r="E113">
            <v>1</v>
          </cell>
          <cell r="F113">
            <v>0</v>
          </cell>
          <cell r="G113">
            <v>1</v>
          </cell>
          <cell r="H113">
            <v>0</v>
          </cell>
          <cell r="I113">
            <v>0</v>
          </cell>
          <cell r="J113">
            <v>0</v>
          </cell>
          <cell r="K113">
            <v>1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1</v>
          </cell>
          <cell r="T113">
            <v>0</v>
          </cell>
          <cell r="U113">
            <v>1</v>
          </cell>
          <cell r="V113">
            <v>0</v>
          </cell>
          <cell r="W113">
            <v>1</v>
          </cell>
          <cell r="X113">
            <v>0</v>
          </cell>
          <cell r="Y113">
            <v>0</v>
          </cell>
          <cell r="Z113">
            <v>0</v>
          </cell>
          <cell r="AA113">
            <v>7</v>
          </cell>
        </row>
        <row r="114">
          <cell r="A114" t="str">
            <v>A2719</v>
          </cell>
          <cell r="B114" t="str">
            <v>DYAH AYU MIRA BELLA</v>
          </cell>
          <cell r="C114">
            <v>1</v>
          </cell>
          <cell r="D114">
            <v>1</v>
          </cell>
          <cell r="E114">
            <v>1</v>
          </cell>
          <cell r="F114">
            <v>1</v>
          </cell>
          <cell r="G114">
            <v>1</v>
          </cell>
          <cell r="H114">
            <v>1</v>
          </cell>
          <cell r="I114">
            <v>1</v>
          </cell>
          <cell r="J114">
            <v>0</v>
          </cell>
          <cell r="K114">
            <v>1</v>
          </cell>
          <cell r="L114">
            <v>1</v>
          </cell>
          <cell r="M114">
            <v>1</v>
          </cell>
          <cell r="N114">
            <v>0</v>
          </cell>
          <cell r="O114">
            <v>1</v>
          </cell>
          <cell r="P114">
            <v>1</v>
          </cell>
          <cell r="Q114">
            <v>1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V114">
            <v>0</v>
          </cell>
          <cell r="W114">
            <v>1</v>
          </cell>
          <cell r="X114">
            <v>1</v>
          </cell>
          <cell r="Y114">
            <v>1</v>
          </cell>
          <cell r="Z114">
            <v>0</v>
          </cell>
          <cell r="AA114">
            <v>20</v>
          </cell>
        </row>
        <row r="115">
          <cell r="A115" t="str">
            <v>A2782</v>
          </cell>
          <cell r="B115" t="str">
            <v>ADRIAL RAMDHANI</v>
          </cell>
          <cell r="C115">
            <v>1</v>
          </cell>
          <cell r="D115">
            <v>1</v>
          </cell>
          <cell r="E115">
            <v>1</v>
          </cell>
          <cell r="F115">
            <v>0</v>
          </cell>
          <cell r="G115">
            <v>1</v>
          </cell>
          <cell r="H115">
            <v>1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</v>
          </cell>
          <cell r="P115">
            <v>1</v>
          </cell>
          <cell r="Q115">
            <v>1</v>
          </cell>
          <cell r="R115">
            <v>1</v>
          </cell>
          <cell r="S115">
            <v>1</v>
          </cell>
          <cell r="T115">
            <v>1</v>
          </cell>
          <cell r="U115">
            <v>1</v>
          </cell>
          <cell r="V115">
            <v>1</v>
          </cell>
          <cell r="W115">
            <v>1</v>
          </cell>
          <cell r="X115">
            <v>0</v>
          </cell>
          <cell r="Y115">
            <v>1</v>
          </cell>
          <cell r="Z115">
            <v>0</v>
          </cell>
          <cell r="AA115">
            <v>15</v>
          </cell>
        </row>
        <row r="116">
          <cell r="A116" t="str">
            <v>A2886</v>
          </cell>
          <cell r="B116" t="str">
            <v>ASA HIRASNA SEPTIANI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0</v>
          </cell>
          <cell r="M116">
            <v>1</v>
          </cell>
          <cell r="N116">
            <v>0</v>
          </cell>
          <cell r="O116">
            <v>1</v>
          </cell>
          <cell r="P116">
            <v>0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0</v>
          </cell>
          <cell r="Y116">
            <v>1</v>
          </cell>
          <cell r="Z116">
            <v>0</v>
          </cell>
          <cell r="AA116">
            <v>19</v>
          </cell>
        </row>
        <row r="117">
          <cell r="A117" t="str">
            <v>A2925</v>
          </cell>
          <cell r="B117" t="str">
            <v>MARIA GORETTI DIAN PERMATA HADI</v>
          </cell>
          <cell r="C117">
            <v>1</v>
          </cell>
          <cell r="D117">
            <v>1</v>
          </cell>
          <cell r="E117">
            <v>1</v>
          </cell>
          <cell r="F117">
            <v>1</v>
          </cell>
          <cell r="G117">
            <v>1</v>
          </cell>
          <cell r="H117">
            <v>1</v>
          </cell>
          <cell r="I117">
            <v>1</v>
          </cell>
          <cell r="J117">
            <v>1</v>
          </cell>
          <cell r="K117">
            <v>1</v>
          </cell>
          <cell r="L117">
            <v>1</v>
          </cell>
          <cell r="M117">
            <v>1</v>
          </cell>
          <cell r="N117">
            <v>0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V117">
            <v>1</v>
          </cell>
          <cell r="W117">
            <v>1</v>
          </cell>
          <cell r="X117">
            <v>1</v>
          </cell>
          <cell r="Y117">
            <v>0</v>
          </cell>
          <cell r="Z117">
            <v>0</v>
          </cell>
          <cell r="AA117">
            <v>21</v>
          </cell>
        </row>
        <row r="118">
          <cell r="A118" t="str">
            <v>A2936</v>
          </cell>
          <cell r="B118" t="str">
            <v>DIMAS AGUNG NUGROHO</v>
          </cell>
          <cell r="C118">
            <v>1</v>
          </cell>
          <cell r="D118">
            <v>1</v>
          </cell>
          <cell r="E118">
            <v>1</v>
          </cell>
          <cell r="F118">
            <v>1</v>
          </cell>
          <cell r="G118">
            <v>1</v>
          </cell>
          <cell r="H118">
            <v>0</v>
          </cell>
          <cell r="I118">
            <v>1</v>
          </cell>
          <cell r="J118">
            <v>0</v>
          </cell>
          <cell r="K118">
            <v>1</v>
          </cell>
          <cell r="L118">
            <v>0</v>
          </cell>
          <cell r="M118">
            <v>1</v>
          </cell>
          <cell r="N118">
            <v>0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  <cell r="T118">
            <v>0</v>
          </cell>
          <cell r="U118">
            <v>1</v>
          </cell>
          <cell r="V118">
            <v>0</v>
          </cell>
          <cell r="W118">
            <v>1</v>
          </cell>
          <cell r="X118">
            <v>1</v>
          </cell>
          <cell r="Y118">
            <v>1</v>
          </cell>
          <cell r="Z118">
            <v>0</v>
          </cell>
          <cell r="AA118">
            <v>17</v>
          </cell>
        </row>
        <row r="119">
          <cell r="A119" t="str">
            <v>A2937</v>
          </cell>
          <cell r="B119" t="str">
            <v>ALEXANDRO ELSIKA SOGE</v>
          </cell>
          <cell r="C119">
            <v>1</v>
          </cell>
          <cell r="D119">
            <v>1</v>
          </cell>
          <cell r="E119">
            <v>1</v>
          </cell>
          <cell r="F119">
            <v>1</v>
          </cell>
          <cell r="G119">
            <v>1</v>
          </cell>
          <cell r="H119">
            <v>0</v>
          </cell>
          <cell r="I119">
            <v>1</v>
          </cell>
          <cell r="J119">
            <v>1</v>
          </cell>
          <cell r="K119">
            <v>1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0</v>
          </cell>
          <cell r="U119">
            <v>1</v>
          </cell>
          <cell r="V119">
            <v>0</v>
          </cell>
          <cell r="W119">
            <v>1</v>
          </cell>
          <cell r="X119">
            <v>1</v>
          </cell>
          <cell r="Y119">
            <v>0</v>
          </cell>
          <cell r="Z119">
            <v>0</v>
          </cell>
          <cell r="AA119">
            <v>16</v>
          </cell>
        </row>
        <row r="120">
          <cell r="A120" t="str">
            <v>A2944</v>
          </cell>
          <cell r="B120" t="str">
            <v>I LUH LAKSMI EKA DEWI</v>
          </cell>
          <cell r="C120">
            <v>1</v>
          </cell>
          <cell r="D120">
            <v>1</v>
          </cell>
          <cell r="E120">
            <v>1</v>
          </cell>
          <cell r="F120">
            <v>1</v>
          </cell>
          <cell r="G120">
            <v>1</v>
          </cell>
          <cell r="H120">
            <v>1</v>
          </cell>
          <cell r="I120">
            <v>1</v>
          </cell>
          <cell r="J120">
            <v>1</v>
          </cell>
          <cell r="K120">
            <v>1</v>
          </cell>
          <cell r="L120">
            <v>0</v>
          </cell>
          <cell r="M120">
            <v>1</v>
          </cell>
          <cell r="N120">
            <v>0</v>
          </cell>
          <cell r="O120">
            <v>1</v>
          </cell>
          <cell r="P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X120">
            <v>1</v>
          </cell>
          <cell r="Y120">
            <v>1</v>
          </cell>
          <cell r="Z120">
            <v>0</v>
          </cell>
          <cell r="AA120">
            <v>21</v>
          </cell>
        </row>
        <row r="121">
          <cell r="A121" t="str">
            <v>A2953</v>
          </cell>
          <cell r="B121" t="str">
            <v>NAWANGWULAN DESIKUMALA</v>
          </cell>
          <cell r="C121">
            <v>1</v>
          </cell>
          <cell r="D121">
            <v>1</v>
          </cell>
          <cell r="E121">
            <v>1</v>
          </cell>
          <cell r="F121">
            <v>1</v>
          </cell>
          <cell r="G121">
            <v>1</v>
          </cell>
          <cell r="H121">
            <v>1</v>
          </cell>
          <cell r="I121">
            <v>1</v>
          </cell>
          <cell r="J121">
            <v>1</v>
          </cell>
          <cell r="K121">
            <v>1</v>
          </cell>
          <cell r="L121">
            <v>1</v>
          </cell>
          <cell r="M121">
            <v>1</v>
          </cell>
          <cell r="N121">
            <v>0</v>
          </cell>
          <cell r="O121">
            <v>1</v>
          </cell>
          <cell r="P121">
            <v>1</v>
          </cell>
          <cell r="Q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</v>
          </cell>
          <cell r="Y121">
            <v>1</v>
          </cell>
          <cell r="Z121">
            <v>0</v>
          </cell>
          <cell r="AA121">
            <v>22</v>
          </cell>
        </row>
        <row r="122">
          <cell r="A122" t="str">
            <v>A2961</v>
          </cell>
          <cell r="B122" t="str">
            <v>AGUNG PRASETYADI</v>
          </cell>
          <cell r="C122">
            <v>1</v>
          </cell>
          <cell r="D122">
            <v>1</v>
          </cell>
          <cell r="E122">
            <v>1</v>
          </cell>
          <cell r="F122">
            <v>1</v>
          </cell>
          <cell r="G122">
            <v>1</v>
          </cell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1</v>
          </cell>
          <cell r="M122">
            <v>1</v>
          </cell>
          <cell r="N122">
            <v>0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0</v>
          </cell>
          <cell r="AA122">
            <v>22</v>
          </cell>
        </row>
        <row r="123">
          <cell r="A123" t="str">
            <v>A3007</v>
          </cell>
          <cell r="B123" t="str">
            <v>MELLINDA VERAWATI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1</v>
          </cell>
          <cell r="I123">
            <v>1</v>
          </cell>
          <cell r="J123">
            <v>0</v>
          </cell>
          <cell r="K123">
            <v>0</v>
          </cell>
          <cell r="L123">
            <v>1</v>
          </cell>
          <cell r="M123">
            <v>1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1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  <cell r="W123">
            <v>0</v>
          </cell>
          <cell r="X123">
            <v>1</v>
          </cell>
          <cell r="Y123">
            <v>1</v>
          </cell>
          <cell r="Z123">
            <v>0</v>
          </cell>
          <cell r="AA123">
            <v>10</v>
          </cell>
        </row>
        <row r="124">
          <cell r="A124" t="str">
            <v>A3029</v>
          </cell>
          <cell r="B124" t="str">
            <v>EMMIA CLARITA BR TARIGAN</v>
          </cell>
          <cell r="C124">
            <v>1</v>
          </cell>
          <cell r="D124">
            <v>1</v>
          </cell>
          <cell r="E124">
            <v>1</v>
          </cell>
          <cell r="F124">
            <v>1</v>
          </cell>
          <cell r="G124">
            <v>1</v>
          </cell>
          <cell r="H124">
            <v>1</v>
          </cell>
          <cell r="I124">
            <v>1</v>
          </cell>
          <cell r="J124">
            <v>1</v>
          </cell>
          <cell r="K124">
            <v>1</v>
          </cell>
          <cell r="L124">
            <v>1</v>
          </cell>
          <cell r="M124">
            <v>1</v>
          </cell>
          <cell r="N124">
            <v>0</v>
          </cell>
          <cell r="O124">
            <v>1</v>
          </cell>
          <cell r="P124">
            <v>1</v>
          </cell>
          <cell r="Q124">
            <v>1</v>
          </cell>
          <cell r="R124">
            <v>0</v>
          </cell>
          <cell r="S124">
            <v>1</v>
          </cell>
          <cell r="T124">
            <v>1</v>
          </cell>
          <cell r="U124">
            <v>1</v>
          </cell>
          <cell r="V124">
            <v>1</v>
          </cell>
          <cell r="W124">
            <v>1</v>
          </cell>
          <cell r="X124">
            <v>0</v>
          </cell>
          <cell r="Y124">
            <v>1</v>
          </cell>
          <cell r="Z124">
            <v>0</v>
          </cell>
          <cell r="AA124">
            <v>20</v>
          </cell>
        </row>
        <row r="125">
          <cell r="A125" t="str">
            <v>A3117</v>
          </cell>
          <cell r="B125" t="str">
            <v>HAPSARI ARINTA</v>
          </cell>
          <cell r="C125">
            <v>1</v>
          </cell>
          <cell r="D125">
            <v>1</v>
          </cell>
          <cell r="E125">
            <v>1</v>
          </cell>
          <cell r="F125">
            <v>0</v>
          </cell>
          <cell r="G125">
            <v>1</v>
          </cell>
          <cell r="H125">
            <v>1</v>
          </cell>
          <cell r="I125">
            <v>1</v>
          </cell>
          <cell r="J125">
            <v>1</v>
          </cell>
          <cell r="K125">
            <v>1</v>
          </cell>
          <cell r="L125">
            <v>0</v>
          </cell>
          <cell r="M125">
            <v>1</v>
          </cell>
          <cell r="N125">
            <v>0</v>
          </cell>
          <cell r="O125">
            <v>1</v>
          </cell>
          <cell r="P125">
            <v>1</v>
          </cell>
          <cell r="Q125">
            <v>1</v>
          </cell>
          <cell r="R125">
            <v>0</v>
          </cell>
          <cell r="S125">
            <v>1</v>
          </cell>
          <cell r="T125">
            <v>1</v>
          </cell>
          <cell r="U125">
            <v>1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15</v>
          </cell>
        </row>
        <row r="126">
          <cell r="A126" t="str">
            <v>A3172</v>
          </cell>
          <cell r="B126" t="str">
            <v>NURYANI NURYANI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1</v>
          </cell>
          <cell r="M126">
            <v>0</v>
          </cell>
          <cell r="N126">
            <v>1</v>
          </cell>
          <cell r="O126">
            <v>1</v>
          </cell>
          <cell r="P126">
            <v>1</v>
          </cell>
          <cell r="Q126">
            <v>1</v>
          </cell>
          <cell r="R126">
            <v>1</v>
          </cell>
          <cell r="S126">
            <v>1</v>
          </cell>
          <cell r="T126">
            <v>1</v>
          </cell>
          <cell r="U126">
            <v>1</v>
          </cell>
          <cell r="V126">
            <v>1</v>
          </cell>
          <cell r="W126">
            <v>1</v>
          </cell>
          <cell r="X126">
            <v>1</v>
          </cell>
          <cell r="Y126">
            <v>1</v>
          </cell>
          <cell r="Z126">
            <v>0</v>
          </cell>
          <cell r="AA126">
            <v>22</v>
          </cell>
        </row>
        <row r="127">
          <cell r="A127" t="str">
            <v>A3218</v>
          </cell>
          <cell r="B127" t="str">
            <v>IRMA SEMBIRING</v>
          </cell>
          <cell r="C127">
            <v>1</v>
          </cell>
          <cell r="D127">
            <v>1</v>
          </cell>
          <cell r="E127">
            <v>1</v>
          </cell>
          <cell r="F127">
            <v>1</v>
          </cell>
          <cell r="G127">
            <v>1</v>
          </cell>
          <cell r="H127">
            <v>1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0</v>
          </cell>
          <cell r="O127">
            <v>1</v>
          </cell>
          <cell r="P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V127">
            <v>1</v>
          </cell>
          <cell r="W127">
            <v>1</v>
          </cell>
          <cell r="X127">
            <v>1</v>
          </cell>
          <cell r="Y127">
            <v>0</v>
          </cell>
          <cell r="Z127">
            <v>1</v>
          </cell>
          <cell r="AA127">
            <v>22</v>
          </cell>
        </row>
        <row r="128">
          <cell r="A128" t="str">
            <v>A3227</v>
          </cell>
          <cell r="B128" t="str">
            <v>AULIA TASYA AZZAHRA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0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1</v>
          </cell>
          <cell r="P128">
            <v>1</v>
          </cell>
          <cell r="Q128">
            <v>1</v>
          </cell>
          <cell r="R128">
            <v>1</v>
          </cell>
          <cell r="S128">
            <v>1</v>
          </cell>
          <cell r="T128">
            <v>0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1</v>
          </cell>
          <cell r="Z128">
            <v>0</v>
          </cell>
          <cell r="AA128">
            <v>17</v>
          </cell>
        </row>
        <row r="129">
          <cell r="A129" t="str">
            <v>A3258</v>
          </cell>
          <cell r="B129" t="str">
            <v>CLARA DEVI MAHARANI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1</v>
          </cell>
          <cell r="N129">
            <v>0</v>
          </cell>
          <cell r="O129">
            <v>1</v>
          </cell>
          <cell r="P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0</v>
          </cell>
          <cell r="Y129">
            <v>1</v>
          </cell>
          <cell r="Z129">
            <v>0</v>
          </cell>
          <cell r="AA129">
            <v>20</v>
          </cell>
        </row>
        <row r="130">
          <cell r="A130" t="str">
            <v>A3259</v>
          </cell>
          <cell r="B130" t="str">
            <v>ALBERTUS CHRISTIAN ADE DARMAWAN</v>
          </cell>
          <cell r="C130">
            <v>1</v>
          </cell>
          <cell r="D130">
            <v>1</v>
          </cell>
          <cell r="E130">
            <v>1</v>
          </cell>
          <cell r="F130">
            <v>1</v>
          </cell>
          <cell r="G130">
            <v>1</v>
          </cell>
          <cell r="H130">
            <v>1</v>
          </cell>
          <cell r="I130">
            <v>1</v>
          </cell>
          <cell r="J130">
            <v>1</v>
          </cell>
          <cell r="K130">
            <v>1</v>
          </cell>
          <cell r="L130">
            <v>1</v>
          </cell>
          <cell r="M130">
            <v>1</v>
          </cell>
          <cell r="N130">
            <v>0</v>
          </cell>
          <cell r="O130">
            <v>1</v>
          </cell>
          <cell r="P130">
            <v>1</v>
          </cell>
          <cell r="Q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V130">
            <v>1</v>
          </cell>
          <cell r="W130">
            <v>1</v>
          </cell>
          <cell r="X130">
            <v>1</v>
          </cell>
          <cell r="Y130">
            <v>1</v>
          </cell>
          <cell r="Z130">
            <v>0</v>
          </cell>
          <cell r="AA130">
            <v>22</v>
          </cell>
        </row>
        <row r="131">
          <cell r="A131" t="str">
            <v>A3273</v>
          </cell>
          <cell r="B131" t="str">
            <v>BINTANG MUTIARAJATI</v>
          </cell>
          <cell r="C131">
            <v>1</v>
          </cell>
          <cell r="D131">
            <v>1</v>
          </cell>
          <cell r="E131">
            <v>1</v>
          </cell>
          <cell r="F131">
            <v>1</v>
          </cell>
          <cell r="G131">
            <v>1</v>
          </cell>
          <cell r="H131">
            <v>0</v>
          </cell>
          <cell r="I131">
            <v>1</v>
          </cell>
          <cell r="J131">
            <v>1</v>
          </cell>
          <cell r="K131">
            <v>1</v>
          </cell>
          <cell r="L131">
            <v>0</v>
          </cell>
          <cell r="M131">
            <v>1</v>
          </cell>
          <cell r="N131">
            <v>0</v>
          </cell>
          <cell r="O131">
            <v>1</v>
          </cell>
          <cell r="P131">
            <v>1</v>
          </cell>
          <cell r="Q131">
            <v>1</v>
          </cell>
          <cell r="R131">
            <v>1</v>
          </cell>
          <cell r="S131">
            <v>1</v>
          </cell>
          <cell r="T131">
            <v>1</v>
          </cell>
          <cell r="U131">
            <v>1</v>
          </cell>
          <cell r="V131">
            <v>1</v>
          </cell>
          <cell r="W131">
            <v>1</v>
          </cell>
          <cell r="X131">
            <v>0</v>
          </cell>
          <cell r="Y131">
            <v>1</v>
          </cell>
          <cell r="Z131">
            <v>0</v>
          </cell>
          <cell r="AA131">
            <v>19</v>
          </cell>
        </row>
        <row r="132">
          <cell r="A132" t="str">
            <v>A3301</v>
          </cell>
          <cell r="B132" t="str">
            <v>MARIA SHINTA</v>
          </cell>
          <cell r="C132">
            <v>0</v>
          </cell>
          <cell r="D132">
            <v>0</v>
          </cell>
          <cell r="E132">
            <v>0</v>
          </cell>
          <cell r="F132">
            <v>1</v>
          </cell>
          <cell r="G132">
            <v>0</v>
          </cell>
          <cell r="H132">
            <v>0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0</v>
          </cell>
          <cell r="O132">
            <v>1</v>
          </cell>
          <cell r="P132">
            <v>0</v>
          </cell>
          <cell r="Q132">
            <v>1</v>
          </cell>
          <cell r="R132">
            <v>0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0</v>
          </cell>
          <cell r="AA132">
            <v>15</v>
          </cell>
        </row>
        <row r="133">
          <cell r="A133" t="str">
            <v>A3321</v>
          </cell>
          <cell r="B133" t="str">
            <v>DESTI RAHMAWATI</v>
          </cell>
          <cell r="C133">
            <v>0</v>
          </cell>
          <cell r="D133">
            <v>1</v>
          </cell>
          <cell r="E133">
            <v>1</v>
          </cell>
          <cell r="F133">
            <v>0</v>
          </cell>
          <cell r="G133">
            <v>1</v>
          </cell>
          <cell r="H133">
            <v>0</v>
          </cell>
          <cell r="I133">
            <v>1</v>
          </cell>
          <cell r="J133">
            <v>1</v>
          </cell>
          <cell r="K133">
            <v>1</v>
          </cell>
          <cell r="L133">
            <v>0</v>
          </cell>
          <cell r="M133">
            <v>1</v>
          </cell>
          <cell r="N133">
            <v>0</v>
          </cell>
          <cell r="O133">
            <v>1</v>
          </cell>
          <cell r="P133">
            <v>0</v>
          </cell>
          <cell r="Q133">
            <v>1</v>
          </cell>
          <cell r="R133">
            <v>0</v>
          </cell>
          <cell r="S133">
            <v>1</v>
          </cell>
          <cell r="T133">
            <v>1</v>
          </cell>
          <cell r="U133">
            <v>1</v>
          </cell>
          <cell r="V133">
            <v>1</v>
          </cell>
          <cell r="W133">
            <v>1</v>
          </cell>
          <cell r="X133">
            <v>0</v>
          </cell>
          <cell r="Y133">
            <v>1</v>
          </cell>
          <cell r="Z133">
            <v>0</v>
          </cell>
          <cell r="AA133">
            <v>15</v>
          </cell>
        </row>
        <row r="134">
          <cell r="A134" t="str">
            <v>A3358</v>
          </cell>
          <cell r="B134" t="str">
            <v>NOVIA PUTRIANA KUSUMAWATI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1</v>
          </cell>
          <cell r="H134">
            <v>0</v>
          </cell>
          <cell r="I134">
            <v>1</v>
          </cell>
          <cell r="J134">
            <v>0</v>
          </cell>
          <cell r="K134">
            <v>1</v>
          </cell>
          <cell r="L134">
            <v>0</v>
          </cell>
          <cell r="M134">
            <v>0</v>
          </cell>
          <cell r="N134">
            <v>0</v>
          </cell>
          <cell r="O134">
            <v>1</v>
          </cell>
          <cell r="P134">
            <v>0</v>
          </cell>
          <cell r="Q134">
            <v>0</v>
          </cell>
          <cell r="R134">
            <v>0</v>
          </cell>
          <cell r="S134">
            <v>1</v>
          </cell>
          <cell r="T134">
            <v>0</v>
          </cell>
          <cell r="U134">
            <v>0</v>
          </cell>
          <cell r="V134">
            <v>0</v>
          </cell>
          <cell r="W134">
            <v>1</v>
          </cell>
          <cell r="X134">
            <v>0</v>
          </cell>
          <cell r="Y134">
            <v>0</v>
          </cell>
          <cell r="Z134">
            <v>0</v>
          </cell>
          <cell r="AA134">
            <v>6</v>
          </cell>
        </row>
        <row r="135">
          <cell r="A135" t="str">
            <v>A3403</v>
          </cell>
          <cell r="B135" t="str">
            <v>PINKAN NDARU DEWANTARI</v>
          </cell>
          <cell r="C135">
            <v>1</v>
          </cell>
          <cell r="D135">
            <v>1</v>
          </cell>
          <cell r="E135">
            <v>1</v>
          </cell>
          <cell r="F135">
            <v>0</v>
          </cell>
          <cell r="G135">
            <v>1</v>
          </cell>
          <cell r="H135">
            <v>1</v>
          </cell>
          <cell r="I135">
            <v>1</v>
          </cell>
          <cell r="J135">
            <v>1</v>
          </cell>
          <cell r="K135">
            <v>0</v>
          </cell>
          <cell r="L135">
            <v>0</v>
          </cell>
          <cell r="M135">
            <v>1</v>
          </cell>
          <cell r="N135">
            <v>0</v>
          </cell>
          <cell r="O135">
            <v>1</v>
          </cell>
          <cell r="P135">
            <v>1</v>
          </cell>
          <cell r="Q135">
            <v>1</v>
          </cell>
          <cell r="R135">
            <v>0</v>
          </cell>
          <cell r="S135">
            <v>1</v>
          </cell>
          <cell r="T135">
            <v>1</v>
          </cell>
          <cell r="U135">
            <v>1</v>
          </cell>
          <cell r="V135">
            <v>1</v>
          </cell>
          <cell r="W135">
            <v>0</v>
          </cell>
          <cell r="X135">
            <v>0</v>
          </cell>
          <cell r="Y135">
            <v>1</v>
          </cell>
          <cell r="Z135">
            <v>0</v>
          </cell>
          <cell r="AA135">
            <v>16</v>
          </cell>
        </row>
        <row r="136">
          <cell r="A136" t="str">
            <v>A3404</v>
          </cell>
          <cell r="B136" t="str">
            <v>AYU SUKMAWATI</v>
          </cell>
          <cell r="C136">
            <v>1</v>
          </cell>
          <cell r="D136">
            <v>1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0</v>
          </cell>
          <cell r="O136">
            <v>1</v>
          </cell>
          <cell r="P136">
            <v>1</v>
          </cell>
          <cell r="Q136">
            <v>1</v>
          </cell>
          <cell r="R136">
            <v>1</v>
          </cell>
          <cell r="S136">
            <v>1</v>
          </cell>
          <cell r="T136">
            <v>1</v>
          </cell>
          <cell r="U136">
            <v>1</v>
          </cell>
          <cell r="V136">
            <v>1</v>
          </cell>
          <cell r="W136">
            <v>1</v>
          </cell>
          <cell r="X136">
            <v>1</v>
          </cell>
          <cell r="Y136">
            <v>0</v>
          </cell>
          <cell r="Z136">
            <v>1</v>
          </cell>
          <cell r="AA136">
            <v>22</v>
          </cell>
        </row>
        <row r="137">
          <cell r="A137" t="str">
            <v>A3406</v>
          </cell>
          <cell r="B137" t="str">
            <v>SEPTI MUNTE</v>
          </cell>
          <cell r="C137">
            <v>1</v>
          </cell>
          <cell r="D137">
            <v>1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0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0</v>
          </cell>
          <cell r="AA137">
            <v>22</v>
          </cell>
        </row>
        <row r="138">
          <cell r="A138" t="str">
            <v>A3408</v>
          </cell>
          <cell r="B138" t="str">
            <v>AGISTA WIGI NUROINI</v>
          </cell>
          <cell r="C138">
            <v>1</v>
          </cell>
          <cell r="D138">
            <v>1</v>
          </cell>
          <cell r="E138">
            <v>1</v>
          </cell>
          <cell r="F138">
            <v>0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0</v>
          </cell>
          <cell r="M138">
            <v>1</v>
          </cell>
          <cell r="N138">
            <v>0</v>
          </cell>
          <cell r="O138">
            <v>1</v>
          </cell>
          <cell r="P138">
            <v>1</v>
          </cell>
          <cell r="Q138">
            <v>1</v>
          </cell>
          <cell r="R138">
            <v>0</v>
          </cell>
          <cell r="S138">
            <v>1</v>
          </cell>
          <cell r="T138">
            <v>0</v>
          </cell>
          <cell r="U138">
            <v>1</v>
          </cell>
          <cell r="V138">
            <v>1</v>
          </cell>
          <cell r="W138">
            <v>1</v>
          </cell>
          <cell r="X138">
            <v>1</v>
          </cell>
          <cell r="Y138">
            <v>1</v>
          </cell>
          <cell r="Z138">
            <v>0</v>
          </cell>
          <cell r="AA138">
            <v>18</v>
          </cell>
        </row>
        <row r="139">
          <cell r="A139" t="str">
            <v>A3451</v>
          </cell>
          <cell r="B139" t="str">
            <v>MARCELLINA PUTRI</v>
          </cell>
          <cell r="C139">
            <v>1</v>
          </cell>
          <cell r="D139">
            <v>1</v>
          </cell>
          <cell r="E139">
            <v>1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  <cell r="M139">
            <v>1</v>
          </cell>
          <cell r="N139">
            <v>0</v>
          </cell>
          <cell r="O139">
            <v>1</v>
          </cell>
          <cell r="P139">
            <v>1</v>
          </cell>
          <cell r="Q139">
            <v>1</v>
          </cell>
          <cell r="R139">
            <v>1</v>
          </cell>
          <cell r="S139">
            <v>1</v>
          </cell>
          <cell r="T139">
            <v>0</v>
          </cell>
          <cell r="U139">
            <v>1</v>
          </cell>
          <cell r="V139">
            <v>1</v>
          </cell>
          <cell r="W139">
            <v>1</v>
          </cell>
          <cell r="X139">
            <v>0</v>
          </cell>
          <cell r="Y139">
            <v>1</v>
          </cell>
          <cell r="Z139">
            <v>0</v>
          </cell>
          <cell r="AA139">
            <v>20</v>
          </cell>
        </row>
        <row r="140">
          <cell r="A140" t="str">
            <v>A3456</v>
          </cell>
          <cell r="B140" t="str">
            <v>FEBY KURNIA</v>
          </cell>
          <cell r="C140">
            <v>1</v>
          </cell>
          <cell r="D140">
            <v>1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J140">
            <v>1</v>
          </cell>
          <cell r="K140">
            <v>1</v>
          </cell>
          <cell r="L140">
            <v>1</v>
          </cell>
          <cell r="M140">
            <v>0</v>
          </cell>
          <cell r="N140">
            <v>1</v>
          </cell>
          <cell r="O140">
            <v>1</v>
          </cell>
          <cell r="P140">
            <v>1</v>
          </cell>
          <cell r="Q140">
            <v>1</v>
          </cell>
          <cell r="R140">
            <v>1</v>
          </cell>
          <cell r="S140">
            <v>1</v>
          </cell>
          <cell r="T140">
            <v>1</v>
          </cell>
          <cell r="U140">
            <v>1</v>
          </cell>
          <cell r="V140">
            <v>1</v>
          </cell>
          <cell r="W140">
            <v>1</v>
          </cell>
          <cell r="X140">
            <v>1</v>
          </cell>
          <cell r="Y140">
            <v>1</v>
          </cell>
          <cell r="Z140">
            <v>0</v>
          </cell>
          <cell r="AA140">
            <v>22</v>
          </cell>
        </row>
        <row r="141">
          <cell r="A141" t="str">
            <v>A3474</v>
          </cell>
          <cell r="B141" t="str">
            <v>IRMA TRIANA</v>
          </cell>
          <cell r="C141">
            <v>1</v>
          </cell>
          <cell r="D141">
            <v>1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  <cell r="M141">
            <v>1</v>
          </cell>
          <cell r="N141">
            <v>0</v>
          </cell>
          <cell r="O141">
            <v>1</v>
          </cell>
          <cell r="P141">
            <v>1</v>
          </cell>
          <cell r="Q141">
            <v>1</v>
          </cell>
          <cell r="R141">
            <v>0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0</v>
          </cell>
          <cell r="AA141">
            <v>21</v>
          </cell>
        </row>
        <row r="142">
          <cell r="A142" t="str">
            <v>A3475</v>
          </cell>
          <cell r="B142" t="str">
            <v>SEPTIANA DWI LESTARI PURBANINGRUM</v>
          </cell>
          <cell r="C142">
            <v>1</v>
          </cell>
          <cell r="D142">
            <v>0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0</v>
          </cell>
          <cell r="J142">
            <v>0</v>
          </cell>
          <cell r="K142">
            <v>1</v>
          </cell>
          <cell r="L142">
            <v>0</v>
          </cell>
          <cell r="M142">
            <v>1</v>
          </cell>
          <cell r="N142">
            <v>0</v>
          </cell>
          <cell r="O142">
            <v>1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  <cell r="V142">
            <v>1</v>
          </cell>
          <cell r="W142">
            <v>1</v>
          </cell>
          <cell r="X142">
            <v>0</v>
          </cell>
          <cell r="Y142">
            <v>1</v>
          </cell>
          <cell r="Z142">
            <v>0</v>
          </cell>
          <cell r="AA142">
            <v>17</v>
          </cell>
        </row>
        <row r="143">
          <cell r="A143" t="str">
            <v>A3476</v>
          </cell>
          <cell r="B143" t="str">
            <v>PRILLA IMADIANA FAJRIN</v>
          </cell>
          <cell r="C143">
            <v>1</v>
          </cell>
          <cell r="D143">
            <v>1</v>
          </cell>
          <cell r="E143">
            <v>1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1</v>
          </cell>
          <cell r="M143">
            <v>1</v>
          </cell>
          <cell r="N143">
            <v>0</v>
          </cell>
          <cell r="O143">
            <v>1</v>
          </cell>
          <cell r="P143">
            <v>1</v>
          </cell>
          <cell r="Q143">
            <v>1</v>
          </cell>
          <cell r="R143">
            <v>1</v>
          </cell>
          <cell r="S143">
            <v>0</v>
          </cell>
          <cell r="T143">
            <v>0</v>
          </cell>
          <cell r="U143">
            <v>1</v>
          </cell>
          <cell r="V143">
            <v>1</v>
          </cell>
          <cell r="W143">
            <v>1</v>
          </cell>
          <cell r="X143">
            <v>1</v>
          </cell>
          <cell r="Y143">
            <v>1</v>
          </cell>
          <cell r="Z143">
            <v>0</v>
          </cell>
          <cell r="AA143">
            <v>20</v>
          </cell>
        </row>
        <row r="144">
          <cell r="A144" t="str">
            <v>A3479</v>
          </cell>
          <cell r="B144" t="str">
            <v>VASSYA DIAN</v>
          </cell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0</v>
          </cell>
          <cell r="K144">
            <v>1</v>
          </cell>
          <cell r="L144">
            <v>1</v>
          </cell>
          <cell r="M144">
            <v>0</v>
          </cell>
          <cell r="N144">
            <v>1</v>
          </cell>
          <cell r="O144">
            <v>1</v>
          </cell>
          <cell r="P144">
            <v>1</v>
          </cell>
          <cell r="Q144">
            <v>1</v>
          </cell>
          <cell r="R144">
            <v>1</v>
          </cell>
          <cell r="S144">
            <v>1</v>
          </cell>
          <cell r="T144">
            <v>1</v>
          </cell>
          <cell r="U144">
            <v>1</v>
          </cell>
          <cell r="V144">
            <v>1</v>
          </cell>
          <cell r="W144">
            <v>1</v>
          </cell>
          <cell r="X144">
            <v>1</v>
          </cell>
          <cell r="Y144">
            <v>0</v>
          </cell>
          <cell r="Z144">
            <v>0</v>
          </cell>
          <cell r="AA144">
            <v>20</v>
          </cell>
        </row>
        <row r="145">
          <cell r="A145" t="str">
            <v>A3534</v>
          </cell>
          <cell r="B145" t="str">
            <v>RIZNA NOVALINDA WARDANA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1</v>
          </cell>
          <cell r="R145">
            <v>0</v>
          </cell>
          <cell r="S145">
            <v>1</v>
          </cell>
          <cell r="T145">
            <v>0</v>
          </cell>
          <cell r="U145">
            <v>1</v>
          </cell>
          <cell r="V145">
            <v>0</v>
          </cell>
          <cell r="W145">
            <v>1</v>
          </cell>
          <cell r="X145">
            <v>0</v>
          </cell>
          <cell r="Y145">
            <v>1</v>
          </cell>
          <cell r="Z145">
            <v>0</v>
          </cell>
          <cell r="AA145">
            <v>5</v>
          </cell>
        </row>
        <row r="146">
          <cell r="A146" t="str">
            <v>A3547</v>
          </cell>
          <cell r="B146" t="str">
            <v>SHERAVINA NADANTI</v>
          </cell>
          <cell r="C146">
            <v>1</v>
          </cell>
          <cell r="D146">
            <v>1</v>
          </cell>
          <cell r="E146">
            <v>1</v>
          </cell>
          <cell r="F146">
            <v>1</v>
          </cell>
          <cell r="G146">
            <v>1</v>
          </cell>
          <cell r="H146">
            <v>0</v>
          </cell>
          <cell r="I146">
            <v>1</v>
          </cell>
          <cell r="J146">
            <v>1</v>
          </cell>
          <cell r="K146">
            <v>1</v>
          </cell>
          <cell r="L146">
            <v>0</v>
          </cell>
          <cell r="M146">
            <v>0</v>
          </cell>
          <cell r="N146">
            <v>0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0</v>
          </cell>
          <cell r="U146">
            <v>1</v>
          </cell>
          <cell r="V146">
            <v>0</v>
          </cell>
          <cell r="W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15</v>
          </cell>
        </row>
        <row r="147">
          <cell r="A147" t="str">
            <v>A3558</v>
          </cell>
          <cell r="B147" t="str">
            <v>Andi Sofie Febrina Salshabila</v>
          </cell>
          <cell r="C147">
            <v>1</v>
          </cell>
          <cell r="D147">
            <v>1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1</v>
          </cell>
          <cell r="N147">
            <v>0</v>
          </cell>
          <cell r="O147">
            <v>1</v>
          </cell>
          <cell r="P147">
            <v>1</v>
          </cell>
          <cell r="Q147">
            <v>1</v>
          </cell>
          <cell r="R147">
            <v>1</v>
          </cell>
          <cell r="S147">
            <v>1</v>
          </cell>
          <cell r="T147">
            <v>1</v>
          </cell>
          <cell r="U147">
            <v>1</v>
          </cell>
          <cell r="V147">
            <v>1</v>
          </cell>
          <cell r="W147">
            <v>1</v>
          </cell>
          <cell r="X147">
            <v>1</v>
          </cell>
          <cell r="Y147">
            <v>1</v>
          </cell>
          <cell r="Z147">
            <v>0</v>
          </cell>
          <cell r="AA147">
            <v>22</v>
          </cell>
        </row>
        <row r="148">
          <cell r="A148" t="str">
            <v>A3597</v>
          </cell>
          <cell r="B148" t="str">
            <v>WINDI AYUNI SIJABAT</v>
          </cell>
          <cell r="C148">
            <v>1</v>
          </cell>
          <cell r="D148">
            <v>1</v>
          </cell>
          <cell r="E148">
            <v>1</v>
          </cell>
          <cell r="F148">
            <v>1</v>
          </cell>
          <cell r="G148">
            <v>1</v>
          </cell>
          <cell r="H148">
            <v>1</v>
          </cell>
          <cell r="I148">
            <v>1</v>
          </cell>
          <cell r="J148">
            <v>1</v>
          </cell>
          <cell r="K148">
            <v>1</v>
          </cell>
          <cell r="L148">
            <v>0</v>
          </cell>
          <cell r="M148">
            <v>1</v>
          </cell>
          <cell r="N148">
            <v>0</v>
          </cell>
          <cell r="O148">
            <v>1</v>
          </cell>
          <cell r="P148">
            <v>1</v>
          </cell>
          <cell r="Q148">
            <v>1</v>
          </cell>
          <cell r="R148">
            <v>1</v>
          </cell>
          <cell r="S148">
            <v>1</v>
          </cell>
          <cell r="T148">
            <v>1</v>
          </cell>
          <cell r="U148">
            <v>1</v>
          </cell>
          <cell r="V148">
            <v>1</v>
          </cell>
          <cell r="W148">
            <v>1</v>
          </cell>
          <cell r="X148">
            <v>1</v>
          </cell>
          <cell r="Y148">
            <v>1</v>
          </cell>
          <cell r="Z148">
            <v>0</v>
          </cell>
          <cell r="AA148">
            <v>21</v>
          </cell>
        </row>
        <row r="149">
          <cell r="A149" t="str">
            <v>A3599</v>
          </cell>
          <cell r="B149" t="str">
            <v>HANIFAH RAHMADHANI</v>
          </cell>
          <cell r="C149">
            <v>1</v>
          </cell>
          <cell r="D149">
            <v>1</v>
          </cell>
          <cell r="E149">
            <v>1</v>
          </cell>
          <cell r="F149">
            <v>1</v>
          </cell>
          <cell r="G149">
            <v>1</v>
          </cell>
          <cell r="H149">
            <v>1</v>
          </cell>
          <cell r="I149">
            <v>1</v>
          </cell>
          <cell r="J149">
            <v>1</v>
          </cell>
          <cell r="K149">
            <v>1</v>
          </cell>
          <cell r="L149">
            <v>0</v>
          </cell>
          <cell r="M149">
            <v>0</v>
          </cell>
          <cell r="N149">
            <v>0</v>
          </cell>
          <cell r="O149">
            <v>1</v>
          </cell>
          <cell r="P149">
            <v>1</v>
          </cell>
          <cell r="Q149">
            <v>1</v>
          </cell>
          <cell r="R149">
            <v>1</v>
          </cell>
          <cell r="S149">
            <v>1</v>
          </cell>
          <cell r="T149">
            <v>1</v>
          </cell>
          <cell r="U149">
            <v>1</v>
          </cell>
          <cell r="V149">
            <v>1</v>
          </cell>
          <cell r="W149">
            <v>1</v>
          </cell>
          <cell r="X149">
            <v>1</v>
          </cell>
          <cell r="Y149">
            <v>1</v>
          </cell>
          <cell r="Z149">
            <v>0</v>
          </cell>
          <cell r="AA149">
            <v>20</v>
          </cell>
        </row>
        <row r="150">
          <cell r="A150" t="str">
            <v>A3601</v>
          </cell>
          <cell r="B150" t="str">
            <v>VIRGINIA LORENSA NUGRAHA</v>
          </cell>
          <cell r="C150">
            <v>1</v>
          </cell>
          <cell r="D150">
            <v>1</v>
          </cell>
          <cell r="E150">
            <v>1</v>
          </cell>
          <cell r="F150">
            <v>0</v>
          </cell>
          <cell r="G150">
            <v>1</v>
          </cell>
          <cell r="H150">
            <v>1</v>
          </cell>
          <cell r="I150">
            <v>1</v>
          </cell>
          <cell r="J150">
            <v>0</v>
          </cell>
          <cell r="K150">
            <v>1</v>
          </cell>
          <cell r="L150">
            <v>1</v>
          </cell>
          <cell r="M150">
            <v>1</v>
          </cell>
          <cell r="N150">
            <v>0</v>
          </cell>
          <cell r="O150">
            <v>1</v>
          </cell>
          <cell r="P150">
            <v>1</v>
          </cell>
          <cell r="Q150">
            <v>1</v>
          </cell>
          <cell r="R150">
            <v>0</v>
          </cell>
          <cell r="S150">
            <v>1</v>
          </cell>
          <cell r="T150">
            <v>1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1</v>
          </cell>
          <cell r="Z150">
            <v>0</v>
          </cell>
          <cell r="AA150">
            <v>15</v>
          </cell>
        </row>
        <row r="151">
          <cell r="A151" t="str">
            <v>A3622</v>
          </cell>
          <cell r="B151" t="str">
            <v>RAVELLINA NAIA SAFITRI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1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1</v>
          </cell>
          <cell r="Y151">
            <v>0</v>
          </cell>
          <cell r="Z151">
            <v>0</v>
          </cell>
          <cell r="AA151">
            <v>2</v>
          </cell>
        </row>
        <row r="152">
          <cell r="A152" t="str">
            <v>A3721</v>
          </cell>
          <cell r="B152" t="str">
            <v>ABYAN BARI BHRAMANTA</v>
          </cell>
          <cell r="C152">
            <v>1</v>
          </cell>
          <cell r="D152">
            <v>1</v>
          </cell>
          <cell r="E152">
            <v>1</v>
          </cell>
          <cell r="F152">
            <v>1</v>
          </cell>
          <cell r="G152">
            <v>1</v>
          </cell>
          <cell r="H152">
            <v>0</v>
          </cell>
          <cell r="I152">
            <v>1</v>
          </cell>
          <cell r="J152">
            <v>1</v>
          </cell>
          <cell r="K152">
            <v>1</v>
          </cell>
          <cell r="L152">
            <v>0</v>
          </cell>
          <cell r="M152">
            <v>0</v>
          </cell>
          <cell r="N152">
            <v>0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0</v>
          </cell>
          <cell r="T152">
            <v>0</v>
          </cell>
          <cell r="U152">
            <v>1</v>
          </cell>
          <cell r="V152">
            <v>1</v>
          </cell>
          <cell r="W152">
            <v>1</v>
          </cell>
          <cell r="X152">
            <v>0</v>
          </cell>
          <cell r="Y152">
            <v>1</v>
          </cell>
          <cell r="Z152">
            <v>0</v>
          </cell>
          <cell r="AA152">
            <v>16</v>
          </cell>
        </row>
        <row r="153">
          <cell r="A153" t="str">
            <v>A3728</v>
          </cell>
          <cell r="B153" t="str">
            <v>MUHAMMAD ARDIAN SETYO KUSUMO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1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1</v>
          </cell>
        </row>
        <row r="154">
          <cell r="A154" t="str">
            <v>A3743</v>
          </cell>
          <cell r="B154" t="str">
            <v>PUTRI RAMADHANI</v>
          </cell>
          <cell r="C154">
            <v>1</v>
          </cell>
          <cell r="D154">
            <v>1</v>
          </cell>
          <cell r="E154">
            <v>1</v>
          </cell>
          <cell r="F154">
            <v>1</v>
          </cell>
          <cell r="G154">
            <v>1</v>
          </cell>
          <cell r="H154">
            <v>1</v>
          </cell>
          <cell r="I154">
            <v>1</v>
          </cell>
          <cell r="J154">
            <v>1</v>
          </cell>
          <cell r="K154">
            <v>1</v>
          </cell>
          <cell r="L154">
            <v>0</v>
          </cell>
          <cell r="M154">
            <v>0</v>
          </cell>
          <cell r="N154">
            <v>1</v>
          </cell>
          <cell r="O154">
            <v>1</v>
          </cell>
          <cell r="P154">
            <v>1</v>
          </cell>
          <cell r="Q154">
            <v>1</v>
          </cell>
          <cell r="R154">
            <v>1</v>
          </cell>
          <cell r="S154">
            <v>1</v>
          </cell>
          <cell r="T154">
            <v>1</v>
          </cell>
          <cell r="U154">
            <v>1</v>
          </cell>
          <cell r="V154">
            <v>0</v>
          </cell>
          <cell r="W154">
            <v>1</v>
          </cell>
          <cell r="X154">
            <v>1</v>
          </cell>
          <cell r="Y154">
            <v>1</v>
          </cell>
          <cell r="Z154">
            <v>0</v>
          </cell>
          <cell r="AA154">
            <v>20</v>
          </cell>
        </row>
        <row r="155">
          <cell r="A155" t="str">
            <v>A3752</v>
          </cell>
          <cell r="B155" t="str">
            <v>MEYTA ANDIRA</v>
          </cell>
          <cell r="C155">
            <v>0</v>
          </cell>
          <cell r="D155">
            <v>0</v>
          </cell>
          <cell r="E155">
            <v>1</v>
          </cell>
          <cell r="F155">
            <v>1</v>
          </cell>
          <cell r="G155">
            <v>1</v>
          </cell>
          <cell r="H155">
            <v>1</v>
          </cell>
          <cell r="I155">
            <v>1</v>
          </cell>
          <cell r="J155">
            <v>1</v>
          </cell>
          <cell r="K155">
            <v>1</v>
          </cell>
          <cell r="L155">
            <v>0</v>
          </cell>
          <cell r="M155">
            <v>1</v>
          </cell>
          <cell r="N155">
            <v>0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0</v>
          </cell>
          <cell r="Y155">
            <v>1</v>
          </cell>
          <cell r="Z155">
            <v>0</v>
          </cell>
          <cell r="AA155">
            <v>18</v>
          </cell>
        </row>
        <row r="156">
          <cell r="A156" t="str">
            <v>A3754</v>
          </cell>
          <cell r="B156" t="str">
            <v>FIRDA NUR KARIMA</v>
          </cell>
          <cell r="C156">
            <v>1</v>
          </cell>
          <cell r="D156">
            <v>1</v>
          </cell>
          <cell r="E156">
            <v>1</v>
          </cell>
          <cell r="F156">
            <v>1</v>
          </cell>
          <cell r="G156">
            <v>1</v>
          </cell>
          <cell r="H156">
            <v>1</v>
          </cell>
          <cell r="I156">
            <v>1</v>
          </cell>
          <cell r="J156">
            <v>1</v>
          </cell>
          <cell r="K156">
            <v>1</v>
          </cell>
          <cell r="L156">
            <v>1</v>
          </cell>
          <cell r="M156">
            <v>1</v>
          </cell>
          <cell r="N156">
            <v>0</v>
          </cell>
          <cell r="O156">
            <v>1</v>
          </cell>
          <cell r="P156">
            <v>1</v>
          </cell>
          <cell r="Q156">
            <v>1</v>
          </cell>
          <cell r="R156">
            <v>1</v>
          </cell>
          <cell r="S156">
            <v>1</v>
          </cell>
          <cell r="T156">
            <v>1</v>
          </cell>
          <cell r="U156">
            <v>1</v>
          </cell>
          <cell r="V156">
            <v>1</v>
          </cell>
          <cell r="W156">
            <v>1</v>
          </cell>
          <cell r="X156">
            <v>0</v>
          </cell>
          <cell r="Y156">
            <v>1</v>
          </cell>
          <cell r="Z156">
            <v>0</v>
          </cell>
          <cell r="AA156">
            <v>21</v>
          </cell>
        </row>
        <row r="157">
          <cell r="A157" t="str">
            <v>A3785</v>
          </cell>
          <cell r="B157" t="str">
            <v>MUHAMMAD DAFA FEBRIANSYAH</v>
          </cell>
          <cell r="C157">
            <v>1</v>
          </cell>
          <cell r="D157">
            <v>1</v>
          </cell>
          <cell r="E157">
            <v>1</v>
          </cell>
          <cell r="F157">
            <v>0</v>
          </cell>
          <cell r="G157">
            <v>1</v>
          </cell>
          <cell r="H157">
            <v>0</v>
          </cell>
          <cell r="I157">
            <v>1</v>
          </cell>
          <cell r="J157">
            <v>1</v>
          </cell>
          <cell r="K157">
            <v>1</v>
          </cell>
          <cell r="L157">
            <v>0</v>
          </cell>
          <cell r="M157">
            <v>1</v>
          </cell>
          <cell r="N157">
            <v>0</v>
          </cell>
          <cell r="O157">
            <v>1</v>
          </cell>
          <cell r="P157">
            <v>1</v>
          </cell>
          <cell r="Q157">
            <v>1</v>
          </cell>
          <cell r="R157">
            <v>0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0</v>
          </cell>
          <cell r="AA157">
            <v>18</v>
          </cell>
        </row>
        <row r="158">
          <cell r="A158" t="str">
            <v>A3826</v>
          </cell>
          <cell r="B158" t="str">
            <v>IRENE INTAN PRADISTA</v>
          </cell>
          <cell r="C158">
            <v>1</v>
          </cell>
          <cell r="D158">
            <v>0</v>
          </cell>
          <cell r="E158">
            <v>1</v>
          </cell>
          <cell r="F158">
            <v>1</v>
          </cell>
          <cell r="G158">
            <v>1</v>
          </cell>
          <cell r="H158">
            <v>0</v>
          </cell>
          <cell r="I158">
            <v>1</v>
          </cell>
          <cell r="J158">
            <v>1</v>
          </cell>
          <cell r="K158">
            <v>1</v>
          </cell>
          <cell r="L158">
            <v>0</v>
          </cell>
          <cell r="M158">
            <v>0</v>
          </cell>
          <cell r="N158">
            <v>0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0</v>
          </cell>
          <cell r="U158">
            <v>1</v>
          </cell>
          <cell r="V158">
            <v>1</v>
          </cell>
          <cell r="W158">
            <v>1</v>
          </cell>
          <cell r="X158">
            <v>0</v>
          </cell>
          <cell r="Y158">
            <v>1</v>
          </cell>
          <cell r="Z158">
            <v>0</v>
          </cell>
          <cell r="AA158">
            <v>16</v>
          </cell>
        </row>
        <row r="159">
          <cell r="A159" t="str">
            <v>A3833</v>
          </cell>
          <cell r="B159" t="str">
            <v>MUHAMMAD SUBHAN</v>
          </cell>
          <cell r="C159">
            <v>1</v>
          </cell>
          <cell r="D159">
            <v>1</v>
          </cell>
          <cell r="E159">
            <v>1</v>
          </cell>
          <cell r="F159">
            <v>1</v>
          </cell>
          <cell r="G159">
            <v>1</v>
          </cell>
          <cell r="H159">
            <v>1</v>
          </cell>
          <cell r="I159">
            <v>1</v>
          </cell>
          <cell r="J159">
            <v>1</v>
          </cell>
          <cell r="K159">
            <v>1</v>
          </cell>
          <cell r="L159">
            <v>1</v>
          </cell>
          <cell r="M159">
            <v>1</v>
          </cell>
          <cell r="N159">
            <v>0</v>
          </cell>
          <cell r="O159">
            <v>1</v>
          </cell>
          <cell r="P159">
            <v>1</v>
          </cell>
          <cell r="Q159">
            <v>1</v>
          </cell>
          <cell r="R159">
            <v>1</v>
          </cell>
          <cell r="S159">
            <v>1</v>
          </cell>
          <cell r="T159">
            <v>1</v>
          </cell>
          <cell r="U159">
            <v>1</v>
          </cell>
          <cell r="V159">
            <v>1</v>
          </cell>
          <cell r="W159">
            <v>1</v>
          </cell>
          <cell r="X159">
            <v>1</v>
          </cell>
          <cell r="Y159">
            <v>0</v>
          </cell>
          <cell r="Z159">
            <v>1</v>
          </cell>
          <cell r="AA159">
            <v>22</v>
          </cell>
        </row>
        <row r="160">
          <cell r="A160" t="str">
            <v>A3840</v>
          </cell>
          <cell r="B160" t="str">
            <v>NATHANIA PUTRI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</v>
          </cell>
          <cell r="N160">
            <v>0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1</v>
          </cell>
          <cell r="Y160">
            <v>0</v>
          </cell>
          <cell r="Z160">
            <v>0</v>
          </cell>
          <cell r="AA160">
            <v>3</v>
          </cell>
        </row>
        <row r="161">
          <cell r="A161" t="str">
            <v>A3877</v>
          </cell>
          <cell r="B161" t="str">
            <v>FELSA INKIRIWANG</v>
          </cell>
          <cell r="C161">
            <v>0</v>
          </cell>
          <cell r="D161">
            <v>0</v>
          </cell>
          <cell r="E161">
            <v>1</v>
          </cell>
          <cell r="F161">
            <v>1</v>
          </cell>
          <cell r="G161">
            <v>1</v>
          </cell>
          <cell r="H161">
            <v>0</v>
          </cell>
          <cell r="I161">
            <v>0</v>
          </cell>
          <cell r="J161">
            <v>1</v>
          </cell>
          <cell r="K161">
            <v>0</v>
          </cell>
          <cell r="L161">
            <v>1</v>
          </cell>
          <cell r="M161">
            <v>1</v>
          </cell>
          <cell r="N161">
            <v>1</v>
          </cell>
          <cell r="O161">
            <v>0</v>
          </cell>
          <cell r="P161">
            <v>0</v>
          </cell>
          <cell r="Q161">
            <v>0</v>
          </cell>
          <cell r="R161">
            <v>1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1</v>
          </cell>
          <cell r="X161">
            <v>1</v>
          </cell>
          <cell r="Y161">
            <v>0</v>
          </cell>
          <cell r="Z161">
            <v>1</v>
          </cell>
          <cell r="AA161">
            <v>11</v>
          </cell>
        </row>
        <row r="162">
          <cell r="A162" t="str">
            <v>A3899</v>
          </cell>
          <cell r="B162" t="str">
            <v>ZAHRA FATIHAH MIFTAHURRAHMAH</v>
          </cell>
          <cell r="C162">
            <v>1</v>
          </cell>
          <cell r="D162">
            <v>1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J162">
            <v>1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1</v>
          </cell>
          <cell r="P162">
            <v>1</v>
          </cell>
          <cell r="Q162">
            <v>1</v>
          </cell>
          <cell r="R162">
            <v>1</v>
          </cell>
          <cell r="S162">
            <v>1</v>
          </cell>
          <cell r="T162">
            <v>1</v>
          </cell>
          <cell r="U162">
            <v>1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15</v>
          </cell>
        </row>
        <row r="163">
          <cell r="A163" t="str">
            <v>A3905</v>
          </cell>
          <cell r="B163" t="str">
            <v>RISMAWATY</v>
          </cell>
          <cell r="C163">
            <v>1</v>
          </cell>
          <cell r="D163">
            <v>1</v>
          </cell>
          <cell r="E163">
            <v>1</v>
          </cell>
          <cell r="F163">
            <v>1</v>
          </cell>
          <cell r="G163">
            <v>1</v>
          </cell>
          <cell r="H163">
            <v>1</v>
          </cell>
          <cell r="I163">
            <v>1</v>
          </cell>
          <cell r="J163">
            <v>1</v>
          </cell>
          <cell r="K163">
            <v>1</v>
          </cell>
          <cell r="L163">
            <v>0</v>
          </cell>
          <cell r="M163">
            <v>1</v>
          </cell>
          <cell r="N163">
            <v>0</v>
          </cell>
          <cell r="O163">
            <v>1</v>
          </cell>
          <cell r="P163">
            <v>1</v>
          </cell>
          <cell r="Q163">
            <v>1</v>
          </cell>
          <cell r="R163">
            <v>0</v>
          </cell>
          <cell r="S163">
            <v>1</v>
          </cell>
          <cell r="T163">
            <v>1</v>
          </cell>
          <cell r="U163">
            <v>1</v>
          </cell>
          <cell r="V163">
            <v>1</v>
          </cell>
          <cell r="W163">
            <v>1</v>
          </cell>
          <cell r="X163">
            <v>0</v>
          </cell>
          <cell r="Y163">
            <v>1</v>
          </cell>
          <cell r="Z163">
            <v>0</v>
          </cell>
          <cell r="AA163">
            <v>19</v>
          </cell>
        </row>
        <row r="164">
          <cell r="A164" t="str">
            <v>A3935</v>
          </cell>
          <cell r="B164" t="str">
            <v>MARSEL HAMANDIKA</v>
          </cell>
          <cell r="C164">
            <v>1</v>
          </cell>
          <cell r="D164">
            <v>1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J164">
            <v>1</v>
          </cell>
          <cell r="K164">
            <v>1</v>
          </cell>
          <cell r="L164">
            <v>0</v>
          </cell>
          <cell r="M164">
            <v>1</v>
          </cell>
          <cell r="N164">
            <v>0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0</v>
          </cell>
          <cell r="U164">
            <v>1</v>
          </cell>
          <cell r="V164">
            <v>1</v>
          </cell>
          <cell r="W164">
            <v>1</v>
          </cell>
          <cell r="X164">
            <v>1</v>
          </cell>
          <cell r="Y164">
            <v>1</v>
          </cell>
          <cell r="Z164">
            <v>0</v>
          </cell>
          <cell r="AA164">
            <v>20</v>
          </cell>
        </row>
        <row r="165">
          <cell r="A165" t="str">
            <v>A3941</v>
          </cell>
          <cell r="B165" t="str">
            <v>RIZQI LANOVA</v>
          </cell>
          <cell r="C165">
            <v>1</v>
          </cell>
          <cell r="D165">
            <v>0</v>
          </cell>
          <cell r="E165">
            <v>1</v>
          </cell>
          <cell r="F165">
            <v>1</v>
          </cell>
          <cell r="G165">
            <v>1</v>
          </cell>
          <cell r="H165">
            <v>0</v>
          </cell>
          <cell r="I165">
            <v>1</v>
          </cell>
          <cell r="J165">
            <v>1</v>
          </cell>
          <cell r="K165">
            <v>1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W165">
            <v>1</v>
          </cell>
          <cell r="X165">
            <v>1</v>
          </cell>
          <cell r="Y165">
            <v>1</v>
          </cell>
          <cell r="Z165">
            <v>0</v>
          </cell>
          <cell r="AA165">
            <v>16</v>
          </cell>
        </row>
        <row r="166">
          <cell r="A166" t="str">
            <v>A3992</v>
          </cell>
          <cell r="B166" t="str">
            <v>SARWATUL KARIMAH</v>
          </cell>
          <cell r="C166">
            <v>1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1</v>
          </cell>
          <cell r="U166">
            <v>0</v>
          </cell>
          <cell r="V166">
            <v>1</v>
          </cell>
          <cell r="W166">
            <v>0</v>
          </cell>
          <cell r="X166">
            <v>1</v>
          </cell>
          <cell r="Y166">
            <v>1</v>
          </cell>
          <cell r="Z166">
            <v>0</v>
          </cell>
          <cell r="AA166">
            <v>6</v>
          </cell>
        </row>
        <row r="167">
          <cell r="A167" t="str">
            <v>A3994</v>
          </cell>
          <cell r="B167" t="str">
            <v>ALIF BINTANG HASIHOLAN POHAN</v>
          </cell>
          <cell r="C167">
            <v>1</v>
          </cell>
          <cell r="D167">
            <v>1</v>
          </cell>
          <cell r="E167">
            <v>1</v>
          </cell>
          <cell r="F167">
            <v>1</v>
          </cell>
          <cell r="G167">
            <v>1</v>
          </cell>
          <cell r="H167">
            <v>1</v>
          </cell>
          <cell r="I167">
            <v>1</v>
          </cell>
          <cell r="J167">
            <v>1</v>
          </cell>
          <cell r="K167">
            <v>1</v>
          </cell>
          <cell r="L167">
            <v>1</v>
          </cell>
          <cell r="M167">
            <v>1</v>
          </cell>
          <cell r="N167">
            <v>0</v>
          </cell>
          <cell r="O167">
            <v>1</v>
          </cell>
          <cell r="P167">
            <v>1</v>
          </cell>
          <cell r="Q167">
            <v>1</v>
          </cell>
          <cell r="R167">
            <v>0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0</v>
          </cell>
          <cell r="AA167">
            <v>21</v>
          </cell>
        </row>
        <row r="168">
          <cell r="A168" t="str">
            <v>A3999</v>
          </cell>
          <cell r="B168" t="str">
            <v>MIKHA MAMORU</v>
          </cell>
          <cell r="C168">
            <v>1</v>
          </cell>
          <cell r="D168">
            <v>1</v>
          </cell>
          <cell r="E168">
            <v>1</v>
          </cell>
          <cell r="F168">
            <v>1</v>
          </cell>
          <cell r="G168">
            <v>1</v>
          </cell>
          <cell r="H168">
            <v>1</v>
          </cell>
          <cell r="I168">
            <v>1</v>
          </cell>
          <cell r="J168">
            <v>1</v>
          </cell>
          <cell r="K168">
            <v>1</v>
          </cell>
          <cell r="L168">
            <v>0</v>
          </cell>
          <cell r="M168">
            <v>1</v>
          </cell>
          <cell r="N168">
            <v>0</v>
          </cell>
          <cell r="O168">
            <v>1</v>
          </cell>
          <cell r="P168">
            <v>1</v>
          </cell>
          <cell r="Q168">
            <v>1</v>
          </cell>
          <cell r="R168">
            <v>0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0</v>
          </cell>
          <cell r="Y168">
            <v>0</v>
          </cell>
          <cell r="Z168">
            <v>0</v>
          </cell>
          <cell r="AA168">
            <v>18</v>
          </cell>
        </row>
        <row r="169">
          <cell r="A169" t="str">
            <v>A4039</v>
          </cell>
          <cell r="B169" t="str">
            <v>IBRAHIM FEBA NAUFALINDO</v>
          </cell>
          <cell r="C169">
            <v>1</v>
          </cell>
          <cell r="D169">
            <v>1</v>
          </cell>
          <cell r="E169">
            <v>1</v>
          </cell>
          <cell r="F169">
            <v>1</v>
          </cell>
          <cell r="G169">
            <v>1</v>
          </cell>
          <cell r="H169">
            <v>1</v>
          </cell>
          <cell r="I169">
            <v>1</v>
          </cell>
          <cell r="J169">
            <v>0</v>
          </cell>
          <cell r="K169">
            <v>1</v>
          </cell>
          <cell r="L169">
            <v>1</v>
          </cell>
          <cell r="M169">
            <v>1</v>
          </cell>
          <cell r="N169">
            <v>0</v>
          </cell>
          <cell r="O169">
            <v>1</v>
          </cell>
          <cell r="P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V169">
            <v>1</v>
          </cell>
          <cell r="W169">
            <v>1</v>
          </cell>
          <cell r="X169">
            <v>1</v>
          </cell>
          <cell r="Y169">
            <v>1</v>
          </cell>
          <cell r="Z169">
            <v>0</v>
          </cell>
          <cell r="AA169">
            <v>21</v>
          </cell>
        </row>
        <row r="170">
          <cell r="A170" t="str">
            <v>A4152</v>
          </cell>
          <cell r="B170" t="str">
            <v>KAMAL MAULANA RAMADHAN</v>
          </cell>
          <cell r="C170">
            <v>1</v>
          </cell>
          <cell r="D170">
            <v>1</v>
          </cell>
          <cell r="E170">
            <v>1</v>
          </cell>
          <cell r="F170">
            <v>1</v>
          </cell>
          <cell r="G170">
            <v>1</v>
          </cell>
          <cell r="H170">
            <v>1</v>
          </cell>
          <cell r="I170">
            <v>1</v>
          </cell>
          <cell r="J170">
            <v>1</v>
          </cell>
          <cell r="K170">
            <v>1</v>
          </cell>
          <cell r="L170">
            <v>1</v>
          </cell>
          <cell r="M170">
            <v>1</v>
          </cell>
          <cell r="N170">
            <v>0</v>
          </cell>
          <cell r="O170">
            <v>1</v>
          </cell>
          <cell r="P170">
            <v>0</v>
          </cell>
          <cell r="Q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1</v>
          </cell>
          <cell r="V170">
            <v>1</v>
          </cell>
          <cell r="W170">
            <v>1</v>
          </cell>
          <cell r="X170">
            <v>1</v>
          </cell>
          <cell r="Y170">
            <v>1</v>
          </cell>
          <cell r="Z170">
            <v>0</v>
          </cell>
          <cell r="AA170">
            <v>21</v>
          </cell>
        </row>
        <row r="171">
          <cell r="A171" t="str">
            <v>A4193</v>
          </cell>
          <cell r="B171" t="str">
            <v>MONJE ZERIKO SURBAKTI</v>
          </cell>
          <cell r="C171">
            <v>0</v>
          </cell>
          <cell r="D171">
            <v>1</v>
          </cell>
          <cell r="E171">
            <v>0</v>
          </cell>
          <cell r="F171">
            <v>0</v>
          </cell>
          <cell r="G171">
            <v>1</v>
          </cell>
          <cell r="H171">
            <v>0</v>
          </cell>
          <cell r="I171">
            <v>1</v>
          </cell>
          <cell r="J171">
            <v>1</v>
          </cell>
          <cell r="K171">
            <v>1</v>
          </cell>
          <cell r="L171">
            <v>1</v>
          </cell>
          <cell r="M171">
            <v>1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7</v>
          </cell>
        </row>
        <row r="172">
          <cell r="A172" t="str">
            <v>A4194</v>
          </cell>
          <cell r="B172" t="str">
            <v>WISLY WISESA</v>
          </cell>
          <cell r="C172">
            <v>1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1</v>
          </cell>
          <cell r="M172">
            <v>1</v>
          </cell>
          <cell r="N172">
            <v>0</v>
          </cell>
          <cell r="O172">
            <v>1</v>
          </cell>
          <cell r="P172">
            <v>0</v>
          </cell>
          <cell r="Q172">
            <v>1</v>
          </cell>
          <cell r="R172">
            <v>0</v>
          </cell>
          <cell r="S172">
            <v>1</v>
          </cell>
          <cell r="T172">
            <v>0</v>
          </cell>
          <cell r="U172">
            <v>1</v>
          </cell>
          <cell r="V172">
            <v>0</v>
          </cell>
          <cell r="W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8</v>
          </cell>
        </row>
        <row r="173">
          <cell r="A173" t="str">
            <v>A4209</v>
          </cell>
          <cell r="B173" t="str">
            <v>ANTILTHA BAYU NUGRAHA</v>
          </cell>
          <cell r="C173">
            <v>0</v>
          </cell>
          <cell r="D173">
            <v>0</v>
          </cell>
          <cell r="E173">
            <v>0</v>
          </cell>
          <cell r="F173">
            <v>1</v>
          </cell>
          <cell r="G173">
            <v>1</v>
          </cell>
          <cell r="H173">
            <v>1</v>
          </cell>
          <cell r="I173">
            <v>1</v>
          </cell>
          <cell r="J173">
            <v>1</v>
          </cell>
          <cell r="K173">
            <v>1</v>
          </cell>
          <cell r="L173">
            <v>1</v>
          </cell>
          <cell r="M173">
            <v>1</v>
          </cell>
          <cell r="N173">
            <v>0</v>
          </cell>
          <cell r="O173">
            <v>1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9</v>
          </cell>
        </row>
        <row r="174">
          <cell r="A174" t="str">
            <v>A4211</v>
          </cell>
          <cell r="B174" t="str">
            <v>EASTIN SIMBOLON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1</v>
          </cell>
          <cell r="M174">
            <v>1</v>
          </cell>
          <cell r="N174">
            <v>1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1</v>
          </cell>
          <cell r="T174">
            <v>0</v>
          </cell>
          <cell r="U174">
            <v>0</v>
          </cell>
          <cell r="V174">
            <v>1</v>
          </cell>
          <cell r="W174">
            <v>0</v>
          </cell>
          <cell r="X174">
            <v>0</v>
          </cell>
          <cell r="Y174">
            <v>1</v>
          </cell>
          <cell r="Z174">
            <v>1</v>
          </cell>
          <cell r="AA174">
            <v>7</v>
          </cell>
        </row>
        <row r="175">
          <cell r="A175" t="str">
            <v>A4217</v>
          </cell>
          <cell r="B175" t="str">
            <v>ROFIYU ANGGRAINI</v>
          </cell>
          <cell r="C175">
            <v>1</v>
          </cell>
          <cell r="D175">
            <v>1</v>
          </cell>
          <cell r="E175">
            <v>1</v>
          </cell>
          <cell r="F175">
            <v>1</v>
          </cell>
          <cell r="G175">
            <v>1</v>
          </cell>
          <cell r="H175">
            <v>1</v>
          </cell>
          <cell r="I175">
            <v>1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0</v>
          </cell>
          <cell r="O175">
            <v>1</v>
          </cell>
          <cell r="P175">
            <v>1</v>
          </cell>
          <cell r="Q175">
            <v>1</v>
          </cell>
          <cell r="R175">
            <v>0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0</v>
          </cell>
          <cell r="AA175">
            <v>21</v>
          </cell>
        </row>
        <row r="176">
          <cell r="A176" t="str">
            <v>A4232</v>
          </cell>
          <cell r="B176" t="str">
            <v>FARICA KARIN BUTSAINA</v>
          </cell>
          <cell r="C176">
            <v>0</v>
          </cell>
          <cell r="D176">
            <v>0</v>
          </cell>
          <cell r="E176">
            <v>0</v>
          </cell>
          <cell r="F176">
            <v>1</v>
          </cell>
          <cell r="G176">
            <v>0</v>
          </cell>
          <cell r="H176">
            <v>0</v>
          </cell>
          <cell r="I176">
            <v>0</v>
          </cell>
          <cell r="J176">
            <v>1</v>
          </cell>
          <cell r="K176">
            <v>1</v>
          </cell>
          <cell r="L176">
            <v>1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1</v>
          </cell>
          <cell r="R176">
            <v>1</v>
          </cell>
          <cell r="S176">
            <v>0</v>
          </cell>
          <cell r="T176">
            <v>1</v>
          </cell>
          <cell r="U176">
            <v>1</v>
          </cell>
          <cell r="V176">
            <v>1</v>
          </cell>
          <cell r="W176">
            <v>0</v>
          </cell>
          <cell r="X176">
            <v>1</v>
          </cell>
          <cell r="Y176">
            <v>0</v>
          </cell>
          <cell r="Z176">
            <v>0</v>
          </cell>
          <cell r="AA176">
            <v>10</v>
          </cell>
        </row>
        <row r="177">
          <cell r="A177" t="str">
            <v>A4331</v>
          </cell>
          <cell r="B177" t="str">
            <v>SATRIA SANDY QODLYZZAKA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1</v>
          </cell>
          <cell r="J177">
            <v>0</v>
          </cell>
          <cell r="K177">
            <v>0</v>
          </cell>
          <cell r="L177">
            <v>1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1</v>
          </cell>
          <cell r="S177">
            <v>0</v>
          </cell>
          <cell r="T177">
            <v>0</v>
          </cell>
          <cell r="U177">
            <v>0</v>
          </cell>
          <cell r="V177">
            <v>1</v>
          </cell>
          <cell r="W177">
            <v>0</v>
          </cell>
          <cell r="X177">
            <v>1</v>
          </cell>
          <cell r="Y177">
            <v>0</v>
          </cell>
          <cell r="Z177">
            <v>0</v>
          </cell>
          <cell r="AA177">
            <v>5</v>
          </cell>
        </row>
        <row r="178">
          <cell r="A178" t="str">
            <v>A4413</v>
          </cell>
          <cell r="B178" t="str">
            <v>KUSTI ANA</v>
          </cell>
          <cell r="C178">
            <v>1</v>
          </cell>
          <cell r="D178">
            <v>0</v>
          </cell>
          <cell r="E178">
            <v>1</v>
          </cell>
          <cell r="F178">
            <v>1</v>
          </cell>
          <cell r="G178">
            <v>1</v>
          </cell>
          <cell r="H178">
            <v>0</v>
          </cell>
          <cell r="I178">
            <v>1</v>
          </cell>
          <cell r="J178">
            <v>1</v>
          </cell>
          <cell r="K178">
            <v>0</v>
          </cell>
          <cell r="L178">
            <v>1</v>
          </cell>
          <cell r="M178">
            <v>1</v>
          </cell>
          <cell r="N178">
            <v>1</v>
          </cell>
          <cell r="O178">
            <v>0</v>
          </cell>
          <cell r="P178">
            <v>0</v>
          </cell>
          <cell r="Q178">
            <v>1</v>
          </cell>
          <cell r="R178">
            <v>1</v>
          </cell>
          <cell r="S178">
            <v>0</v>
          </cell>
          <cell r="T178">
            <v>1</v>
          </cell>
          <cell r="U178">
            <v>1</v>
          </cell>
          <cell r="V178">
            <v>1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18</v>
          </cell>
        </row>
        <row r="179">
          <cell r="A179" t="str">
            <v>A4414</v>
          </cell>
          <cell r="B179" t="str">
            <v>DHIEMAS PRIYAGUNG MANALU</v>
          </cell>
          <cell r="C179">
            <v>1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1</v>
          </cell>
          <cell r="N179">
            <v>1</v>
          </cell>
          <cell r="O179">
            <v>1</v>
          </cell>
          <cell r="P179">
            <v>0</v>
          </cell>
          <cell r="Q179">
            <v>1</v>
          </cell>
          <cell r="R179">
            <v>1</v>
          </cell>
          <cell r="S179">
            <v>0</v>
          </cell>
          <cell r="T179">
            <v>0</v>
          </cell>
          <cell r="U179">
            <v>0</v>
          </cell>
          <cell r="V179">
            <v>1</v>
          </cell>
          <cell r="W179">
            <v>0</v>
          </cell>
          <cell r="X179">
            <v>1</v>
          </cell>
          <cell r="Y179">
            <v>0</v>
          </cell>
          <cell r="Z179">
            <v>1</v>
          </cell>
          <cell r="AA179">
            <v>9</v>
          </cell>
        </row>
        <row r="180">
          <cell r="A180" t="str">
            <v>A4415</v>
          </cell>
          <cell r="B180" t="str">
            <v>VENI RAHMAN</v>
          </cell>
          <cell r="C180">
            <v>0</v>
          </cell>
          <cell r="D180">
            <v>0</v>
          </cell>
          <cell r="E180">
            <v>0</v>
          </cell>
          <cell r="F180">
            <v>1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</v>
          </cell>
          <cell r="L180">
            <v>0</v>
          </cell>
          <cell r="M180">
            <v>1</v>
          </cell>
          <cell r="N180">
            <v>1</v>
          </cell>
          <cell r="O180">
            <v>0</v>
          </cell>
          <cell r="P180">
            <v>0</v>
          </cell>
          <cell r="Q180">
            <v>0</v>
          </cell>
          <cell r="R180">
            <v>1</v>
          </cell>
          <cell r="S180">
            <v>1</v>
          </cell>
          <cell r="T180">
            <v>1</v>
          </cell>
          <cell r="U180">
            <v>0</v>
          </cell>
          <cell r="V180">
            <v>1</v>
          </cell>
          <cell r="W180">
            <v>1</v>
          </cell>
          <cell r="X180">
            <v>0</v>
          </cell>
          <cell r="Y180">
            <v>1</v>
          </cell>
          <cell r="Z180">
            <v>0</v>
          </cell>
          <cell r="AA180">
            <v>10</v>
          </cell>
        </row>
        <row r="181">
          <cell r="A181" t="str">
            <v>A3664</v>
          </cell>
          <cell r="B181" t="str">
            <v>VIONA AMBARITA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A182" t="str">
            <v>A0685</v>
          </cell>
          <cell r="B182" t="str">
            <v>DZAKY DAMARTUNGGA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1</v>
          </cell>
          <cell r="Y182">
            <v>0</v>
          </cell>
          <cell r="Z182">
            <v>0</v>
          </cell>
          <cell r="AA182">
            <v>1</v>
          </cell>
        </row>
        <row r="183">
          <cell r="A183" t="str">
            <v>A3572</v>
          </cell>
          <cell r="B183" t="str">
            <v>Valda Sari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1</v>
          </cell>
          <cell r="V183">
            <v>0</v>
          </cell>
          <cell r="W183">
            <v>1</v>
          </cell>
          <cell r="X183">
            <v>0</v>
          </cell>
          <cell r="Y183">
            <v>0</v>
          </cell>
          <cell r="Z183">
            <v>0</v>
          </cell>
          <cell r="AA183">
            <v>2</v>
          </cell>
        </row>
        <row r="184">
          <cell r="A184" t="str">
            <v>A4036</v>
          </cell>
          <cell r="B184" t="str">
            <v>DWIKA ELTANJUNG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1</v>
          </cell>
          <cell r="T184">
            <v>1</v>
          </cell>
          <cell r="U184">
            <v>0</v>
          </cell>
          <cell r="V184">
            <v>0</v>
          </cell>
          <cell r="W184">
            <v>1</v>
          </cell>
          <cell r="X184">
            <v>0</v>
          </cell>
          <cell r="Y184">
            <v>1</v>
          </cell>
          <cell r="Z184">
            <v>0</v>
          </cell>
          <cell r="AA184">
            <v>4</v>
          </cell>
        </row>
        <row r="185">
          <cell r="A185" t="str">
            <v>A1277</v>
          </cell>
          <cell r="B185" t="str">
            <v>ARDIANA ZAHRA YULITA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1</v>
          </cell>
          <cell r="S185">
            <v>0</v>
          </cell>
          <cell r="T185">
            <v>1</v>
          </cell>
          <cell r="U185">
            <v>0</v>
          </cell>
          <cell r="V185">
            <v>0</v>
          </cell>
          <cell r="W185">
            <v>1</v>
          </cell>
          <cell r="X185">
            <v>1</v>
          </cell>
          <cell r="Y185">
            <v>1</v>
          </cell>
          <cell r="Z185">
            <v>0</v>
          </cell>
          <cell r="AA185">
            <v>5</v>
          </cell>
        </row>
        <row r="186">
          <cell r="A186" t="str">
            <v>A4188</v>
          </cell>
          <cell r="B186" t="str">
            <v>NOVA SANDA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1</v>
          </cell>
        </row>
        <row r="187">
          <cell r="A187" t="str">
            <v>A4480</v>
          </cell>
          <cell r="B187" t="str">
            <v>MALINDA APRILIANI P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1</v>
          </cell>
          <cell r="T187">
            <v>1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0</v>
          </cell>
          <cell r="AA187">
            <v>7</v>
          </cell>
        </row>
        <row r="188">
          <cell r="A188" t="str">
            <v>A4478</v>
          </cell>
          <cell r="B188" t="str">
            <v>DWI MUSTIKA WATI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1</v>
          </cell>
          <cell r="W188">
            <v>1</v>
          </cell>
          <cell r="X188">
            <v>1</v>
          </cell>
          <cell r="Y188">
            <v>1</v>
          </cell>
          <cell r="Z188">
            <v>0</v>
          </cell>
          <cell r="AA188">
            <v>4</v>
          </cell>
        </row>
        <row r="189">
          <cell r="A189" t="str">
            <v>A4153</v>
          </cell>
          <cell r="B189" t="str">
            <v>ZAKKIYAH WULANDARI NUGRAHA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1</v>
          </cell>
          <cell r="Z189">
            <v>0</v>
          </cell>
          <cell r="AA189">
            <v>1</v>
          </cell>
        </row>
        <row r="190">
          <cell r="A190" t="str">
            <v>A3353</v>
          </cell>
          <cell r="B190" t="str">
            <v>GARUDA PAMUNGKAS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1</v>
          </cell>
          <cell r="Y190">
            <v>0</v>
          </cell>
          <cell r="Z190">
            <v>0</v>
          </cell>
          <cell r="AA190">
            <v>1</v>
          </cell>
        </row>
        <row r="191">
          <cell r="A191" t="str">
            <v/>
          </cell>
        </row>
        <row r="192">
          <cell r="A192" t="str">
            <v/>
          </cell>
          <cell r="B192">
            <v>0</v>
          </cell>
        </row>
        <row r="193">
          <cell r="A193" t="str">
            <v/>
          </cell>
          <cell r="B193" t="str">
            <v>Mengetahui,</v>
          </cell>
        </row>
        <row r="194">
          <cell r="A194">
            <v>0</v>
          </cell>
          <cell r="B194">
            <v>0</v>
          </cell>
        </row>
        <row r="195">
          <cell r="A195">
            <v>0</v>
          </cell>
          <cell r="B195">
            <v>0</v>
          </cell>
        </row>
        <row r="196">
          <cell r="A196">
            <v>0</v>
          </cell>
          <cell r="B196">
            <v>0</v>
          </cell>
        </row>
        <row r="197">
          <cell r="A197">
            <v>0</v>
          </cell>
          <cell r="B197">
            <v>0</v>
          </cell>
        </row>
        <row r="198">
          <cell r="A198">
            <v>0</v>
          </cell>
          <cell r="B198">
            <v>0</v>
          </cell>
        </row>
        <row r="199">
          <cell r="A199">
            <v>0</v>
          </cell>
          <cell r="B199">
            <v>0</v>
          </cell>
        </row>
        <row r="200">
          <cell r="A200">
            <v>0</v>
          </cell>
          <cell r="B200" t="str">
            <v xml:space="preserve">SRI RAHAYU GUNADI </v>
          </cell>
        </row>
        <row r="201">
          <cell r="A201">
            <v>0</v>
          </cell>
          <cell r="B201" t="str">
            <v>HC DOC HEAD</v>
          </cell>
        </row>
        <row r="202">
          <cell r="A202">
            <v>0</v>
          </cell>
          <cell r="B202">
            <v>0</v>
          </cell>
        </row>
        <row r="203">
          <cell r="A203">
            <v>0</v>
          </cell>
          <cell r="B203">
            <v>0</v>
          </cell>
        </row>
      </sheetData>
      <sheetData sheetId="6" refreshError="1">
        <row r="1">
          <cell r="A1" t="str">
            <v>PERIODE 1 DESEMBER 2024 TEMA C1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</row>
        <row r="2">
          <cell r="A2" t="str">
            <v>TANGGAL 02 - 13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45629</v>
          </cell>
          <cell r="F4">
            <v>0</v>
          </cell>
          <cell r="G4">
            <v>45630</v>
          </cell>
          <cell r="H4">
            <v>0</v>
          </cell>
          <cell r="I4">
            <v>45631</v>
          </cell>
          <cell r="J4">
            <v>0</v>
          </cell>
          <cell r="K4">
            <v>45632</v>
          </cell>
          <cell r="L4">
            <v>0</v>
          </cell>
          <cell r="M4">
            <v>45635</v>
          </cell>
          <cell r="N4">
            <v>0</v>
          </cell>
          <cell r="O4">
            <v>45636</v>
          </cell>
          <cell r="P4">
            <v>0</v>
          </cell>
          <cell r="Q4">
            <v>45637</v>
          </cell>
          <cell r="R4">
            <v>0</v>
          </cell>
          <cell r="S4">
            <v>45638</v>
          </cell>
          <cell r="T4">
            <v>0</v>
          </cell>
          <cell r="U4">
            <v>45639</v>
          </cell>
          <cell r="V4">
            <v>0</v>
          </cell>
          <cell r="W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2 </v>
          </cell>
          <cell r="O5" t="str">
            <v xml:space="preserve">SLOT 1 </v>
          </cell>
          <cell r="P5" t="str">
            <v xml:space="preserve">SLOT 2 </v>
          </cell>
          <cell r="Q5" t="str">
            <v xml:space="preserve">SLOT 1 </v>
          </cell>
          <cell r="R5" t="str">
            <v xml:space="preserve">SLOT 2 </v>
          </cell>
          <cell r="S5" t="str">
            <v xml:space="preserve">SLOT 1 </v>
          </cell>
          <cell r="T5" t="str">
            <v xml:space="preserve">SLOT 2 </v>
          </cell>
          <cell r="U5" t="str">
            <v xml:space="preserve">SLOT 1 </v>
          </cell>
          <cell r="V5" t="str">
            <v xml:space="preserve">SLOT 2 </v>
          </cell>
          <cell r="W5">
            <v>0</v>
          </cell>
        </row>
        <row r="6">
          <cell r="A6" t="str">
            <v>A0417</v>
          </cell>
          <cell r="B6" t="str">
            <v>Nur Afifah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20</v>
          </cell>
        </row>
        <row r="7">
          <cell r="A7" t="str">
            <v>A0799</v>
          </cell>
          <cell r="B7" t="str">
            <v>VIVI RIZQI HAPSARI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1</v>
          </cell>
          <cell r="I7">
            <v>0</v>
          </cell>
          <cell r="J7">
            <v>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3</v>
          </cell>
        </row>
        <row r="8">
          <cell r="A8" t="str">
            <v>A3598</v>
          </cell>
          <cell r="B8" t="str">
            <v>DEPRILANA EGO PRAKASA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0</v>
          </cell>
          <cell r="L8">
            <v>0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0</v>
          </cell>
          <cell r="V8">
            <v>0</v>
          </cell>
          <cell r="W8">
            <v>16</v>
          </cell>
        </row>
        <row r="9">
          <cell r="A9" t="str">
            <v>A3682</v>
          </cell>
          <cell r="B9" t="str">
            <v>JESSICA MAHARANI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20</v>
          </cell>
        </row>
        <row r="10">
          <cell r="A10" t="str">
            <v>A3776</v>
          </cell>
          <cell r="B10" t="str">
            <v>OWENA ZANETA YOGASWARI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4</v>
          </cell>
        </row>
        <row r="11">
          <cell r="A11" t="str">
            <v>A4016</v>
          </cell>
          <cell r="B11" t="str">
            <v>RICHARD RONALDI SOUISA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  <cell r="Q11">
            <v>1</v>
          </cell>
          <cell r="R11">
            <v>1</v>
          </cell>
          <cell r="S11">
            <v>0</v>
          </cell>
          <cell r="T11">
            <v>0</v>
          </cell>
          <cell r="U11">
            <v>1</v>
          </cell>
          <cell r="V11">
            <v>1</v>
          </cell>
          <cell r="W11">
            <v>10</v>
          </cell>
        </row>
        <row r="12">
          <cell r="A12" t="str">
            <v>A4137</v>
          </cell>
          <cell r="B12" t="str">
            <v>MISYELLA FANNY CHRISTIANI</v>
          </cell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  <cell r="Q12">
            <v>0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12</v>
          </cell>
        </row>
        <row r="13">
          <cell r="A13" t="str">
            <v>A4138</v>
          </cell>
          <cell r="B13" t="str">
            <v>DIAN KRISTINA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12</v>
          </cell>
        </row>
        <row r="14">
          <cell r="A14" t="str">
            <v>A4278</v>
          </cell>
          <cell r="B14" t="str">
            <v>INDAHRIZKY DINARTANTY PRASETYO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20</v>
          </cell>
        </row>
        <row r="15">
          <cell r="A15" t="str">
            <v>A4357</v>
          </cell>
          <cell r="B15" t="str">
            <v>WINDI NABILAH FEBRIANI</v>
          </cell>
          <cell r="C15">
            <v>1</v>
          </cell>
          <cell r="D15">
            <v>0</v>
          </cell>
          <cell r="E15">
            <v>1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1</v>
          </cell>
          <cell r="N15">
            <v>1</v>
          </cell>
          <cell r="O15">
            <v>0</v>
          </cell>
          <cell r="P15">
            <v>1</v>
          </cell>
          <cell r="Q15">
            <v>0</v>
          </cell>
          <cell r="R15">
            <v>1</v>
          </cell>
          <cell r="S15">
            <v>0</v>
          </cell>
          <cell r="T15">
            <v>1</v>
          </cell>
          <cell r="U15">
            <v>0</v>
          </cell>
          <cell r="V15">
            <v>1</v>
          </cell>
          <cell r="W15">
            <v>11</v>
          </cell>
        </row>
        <row r="16">
          <cell r="A16" t="str">
            <v>A4513</v>
          </cell>
          <cell r="B16" t="str">
            <v>MUHAMMAD NUR RAMADANI</v>
          </cell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16</v>
          </cell>
        </row>
        <row r="17">
          <cell r="A17" t="str">
            <v>A4514</v>
          </cell>
          <cell r="B17" t="str">
            <v>PRINCE EKA SAPUTRI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10</v>
          </cell>
        </row>
        <row r="18">
          <cell r="A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A20">
            <v>0</v>
          </cell>
          <cell r="B20" t="str">
            <v>Mengetahui,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>
            <v>0</v>
          </cell>
          <cell r="B27" t="str">
            <v xml:space="preserve">SRI RAHAYU GUNADI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>
            <v>0</v>
          </cell>
          <cell r="B28" t="str">
            <v>HC DOC HEAD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A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A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A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A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</sheetData>
      <sheetData sheetId="7" refreshError="1">
        <row r="1">
          <cell r="A1" t="str">
            <v>PERIODE 1 DESEMBER 2024 TEMA C2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</row>
        <row r="2">
          <cell r="A2" t="str">
            <v>TANGGAL 02 - 14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45629</v>
          </cell>
          <cell r="F4">
            <v>0</v>
          </cell>
          <cell r="G4">
            <v>45630</v>
          </cell>
          <cell r="H4">
            <v>0</v>
          </cell>
          <cell r="I4">
            <v>45631</v>
          </cell>
          <cell r="J4">
            <v>0</v>
          </cell>
          <cell r="K4">
            <v>45632</v>
          </cell>
          <cell r="L4">
            <v>0</v>
          </cell>
          <cell r="M4">
            <v>45633</v>
          </cell>
          <cell r="N4">
            <v>45635</v>
          </cell>
          <cell r="O4">
            <v>0</v>
          </cell>
          <cell r="P4">
            <v>45636</v>
          </cell>
          <cell r="Q4">
            <v>0</v>
          </cell>
          <cell r="R4">
            <v>45637</v>
          </cell>
          <cell r="S4">
            <v>0</v>
          </cell>
          <cell r="T4">
            <v>45638</v>
          </cell>
          <cell r="U4">
            <v>0</v>
          </cell>
          <cell r="V4">
            <v>45639</v>
          </cell>
          <cell r="W4">
            <v>0</v>
          </cell>
          <cell r="X4">
            <v>45640</v>
          </cell>
          <cell r="Y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2 </v>
          </cell>
          <cell r="X5" t="str">
            <v xml:space="preserve">SLOT 1 </v>
          </cell>
          <cell r="Y5">
            <v>0</v>
          </cell>
        </row>
        <row r="6">
          <cell r="A6" t="str">
            <v>A3962</v>
          </cell>
          <cell r="B6" t="str">
            <v>SHIDDIQI DIQI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22</v>
          </cell>
        </row>
        <row r="7">
          <cell r="A7">
            <v>90118</v>
          </cell>
          <cell r="B7" t="str">
            <v>AGRESITABELA PURNANINGRUM</v>
          </cell>
          <cell r="C7">
            <v>1</v>
          </cell>
          <cell r="D7">
            <v>1</v>
          </cell>
          <cell r="E7">
            <v>1</v>
          </cell>
          <cell r="F7">
            <v>0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0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0</v>
          </cell>
          <cell r="U7">
            <v>0</v>
          </cell>
          <cell r="V7">
            <v>1</v>
          </cell>
          <cell r="W7">
            <v>1</v>
          </cell>
          <cell r="X7">
            <v>0</v>
          </cell>
          <cell r="Y7">
            <v>17</v>
          </cell>
        </row>
        <row r="8">
          <cell r="A8">
            <v>90759</v>
          </cell>
          <cell r="B8" t="str">
            <v>Pertiwi Handayani</v>
          </cell>
          <cell r="C8">
            <v>1</v>
          </cell>
          <cell r="D8">
            <v>0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0</v>
          </cell>
          <cell r="M8">
            <v>1</v>
          </cell>
          <cell r="N8">
            <v>1</v>
          </cell>
          <cell r="O8">
            <v>0</v>
          </cell>
          <cell r="P8">
            <v>1</v>
          </cell>
          <cell r="Q8">
            <v>1</v>
          </cell>
          <cell r="R8">
            <v>1</v>
          </cell>
          <cell r="S8">
            <v>0</v>
          </cell>
          <cell r="T8">
            <v>1</v>
          </cell>
          <cell r="U8">
            <v>1</v>
          </cell>
          <cell r="V8">
            <v>1</v>
          </cell>
          <cell r="W8">
            <v>0</v>
          </cell>
          <cell r="X8">
            <v>0</v>
          </cell>
          <cell r="Y8">
            <v>16</v>
          </cell>
        </row>
        <row r="9">
          <cell r="A9">
            <v>92192</v>
          </cell>
          <cell r="B9" t="str">
            <v>Bima Bagaskara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0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21</v>
          </cell>
        </row>
        <row r="10">
          <cell r="A10">
            <v>92259</v>
          </cell>
          <cell r="B10" t="str">
            <v>Novi Anggraini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0</v>
          </cell>
          <cell r="W10">
            <v>1</v>
          </cell>
          <cell r="X10">
            <v>1</v>
          </cell>
          <cell r="Y10">
            <v>18</v>
          </cell>
        </row>
        <row r="11">
          <cell r="A11">
            <v>92265</v>
          </cell>
          <cell r="B11" t="str">
            <v>IKA MUZAINATUL KHASANAH</v>
          </cell>
          <cell r="C11">
            <v>1</v>
          </cell>
          <cell r="D11">
            <v>0</v>
          </cell>
          <cell r="E11">
            <v>1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</row>
        <row r="12">
          <cell r="A12">
            <v>92303</v>
          </cell>
          <cell r="B12" t="str">
            <v>KELVIN REVIDO HAFIDH SYAHPUTRA</v>
          </cell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0</v>
          </cell>
          <cell r="Y12">
            <v>16</v>
          </cell>
        </row>
        <row r="13">
          <cell r="A13">
            <v>92347</v>
          </cell>
          <cell r="B13" t="str">
            <v>RAHMAD SABTONO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16</v>
          </cell>
        </row>
        <row r="14">
          <cell r="A14">
            <v>92628</v>
          </cell>
          <cell r="B14" t="str">
            <v>Nini Aulia Sari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92744</v>
          </cell>
          <cell r="B15" t="str">
            <v>Esti Musriana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0</v>
          </cell>
          <cell r="Y15">
            <v>12</v>
          </cell>
        </row>
        <row r="16">
          <cell r="A16" t="str">
            <v>A0056</v>
          </cell>
          <cell r="B16" t="str">
            <v>Elsa Salsabila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0</v>
          </cell>
          <cell r="S16">
            <v>0</v>
          </cell>
          <cell r="T16">
            <v>0</v>
          </cell>
          <cell r="U16">
            <v>1</v>
          </cell>
          <cell r="V16">
            <v>1</v>
          </cell>
          <cell r="W16">
            <v>1</v>
          </cell>
          <cell r="X16">
            <v>0</v>
          </cell>
          <cell r="Y16">
            <v>16</v>
          </cell>
        </row>
        <row r="17">
          <cell r="A17" t="str">
            <v>A0105</v>
          </cell>
          <cell r="B17" t="str">
            <v>Sanda Irianto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22</v>
          </cell>
        </row>
        <row r="18">
          <cell r="A18" t="str">
            <v>A0216</v>
          </cell>
          <cell r="B18" t="str">
            <v>Devi Prastika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0</v>
          </cell>
          <cell r="Y18">
            <v>20</v>
          </cell>
        </row>
        <row r="19">
          <cell r="A19" t="str">
            <v>A0217</v>
          </cell>
          <cell r="B19" t="str">
            <v>Yusril Rama Mahendra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1</v>
          </cell>
          <cell r="P19">
            <v>1</v>
          </cell>
          <cell r="Q19">
            <v>0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0</v>
          </cell>
          <cell r="X19">
            <v>0</v>
          </cell>
          <cell r="Y19">
            <v>16</v>
          </cell>
        </row>
        <row r="20">
          <cell r="A20" t="str">
            <v>A0244</v>
          </cell>
          <cell r="B20" t="str">
            <v>Setyaningtyas Trinovitasari</v>
          </cell>
          <cell r="C20">
            <v>1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0</v>
          </cell>
          <cell r="I20">
            <v>1</v>
          </cell>
          <cell r="J20">
            <v>1</v>
          </cell>
          <cell r="K20">
            <v>1</v>
          </cell>
          <cell r="L20">
            <v>0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  <cell r="Q20">
            <v>0</v>
          </cell>
          <cell r="R20">
            <v>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12</v>
          </cell>
        </row>
        <row r="21">
          <cell r="A21" t="str">
            <v>A0369</v>
          </cell>
          <cell r="B21" t="str">
            <v>Isna Nur Muharimah</v>
          </cell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1</v>
          </cell>
          <cell r="Q21">
            <v>0</v>
          </cell>
          <cell r="R21">
            <v>1</v>
          </cell>
          <cell r="S21">
            <v>0</v>
          </cell>
          <cell r="T21">
            <v>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7</v>
          </cell>
        </row>
        <row r="22">
          <cell r="A22" t="str">
            <v>A0486</v>
          </cell>
          <cell r="B22" t="str">
            <v>YACINTA PUSPITASARI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0</v>
          </cell>
          <cell r="K22">
            <v>1</v>
          </cell>
          <cell r="L22">
            <v>0</v>
          </cell>
          <cell r="M22">
            <v>0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15</v>
          </cell>
        </row>
        <row r="23">
          <cell r="A23" t="str">
            <v>A0560</v>
          </cell>
          <cell r="B23" t="str">
            <v>MATHILDA EUNIKE ANDREA R</v>
          </cell>
          <cell r="C23">
            <v>1</v>
          </cell>
          <cell r="D23">
            <v>1</v>
          </cell>
          <cell r="E23">
            <v>1</v>
          </cell>
          <cell r="F23">
            <v>1</v>
          </cell>
          <cell r="G23">
            <v>0</v>
          </cell>
          <cell r="H23">
            <v>0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0</v>
          </cell>
          <cell r="Y23">
            <v>14</v>
          </cell>
        </row>
        <row r="24">
          <cell r="A24" t="str">
            <v>A0565</v>
          </cell>
          <cell r="B24" t="str">
            <v>PRADIPTA NIWAYANI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22</v>
          </cell>
        </row>
        <row r="25">
          <cell r="A25" t="str">
            <v>A0707</v>
          </cell>
          <cell r="B25" t="str">
            <v>NAILI AZKA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4</v>
          </cell>
        </row>
        <row r="26">
          <cell r="A26" t="str">
            <v>A0708</v>
          </cell>
          <cell r="B26" t="str">
            <v>REZZA KHAERUNISA</v>
          </cell>
          <cell r="C26">
            <v>0</v>
          </cell>
          <cell r="D26">
            <v>1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0</v>
          </cell>
          <cell r="K26">
            <v>1</v>
          </cell>
          <cell r="L26">
            <v>1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  <cell r="Q26">
            <v>0</v>
          </cell>
          <cell r="R26">
            <v>1</v>
          </cell>
          <cell r="S26">
            <v>1</v>
          </cell>
          <cell r="T26">
            <v>1</v>
          </cell>
          <cell r="U26">
            <v>0</v>
          </cell>
          <cell r="V26">
            <v>1</v>
          </cell>
          <cell r="W26">
            <v>1</v>
          </cell>
          <cell r="X26">
            <v>0</v>
          </cell>
          <cell r="Y26">
            <v>15</v>
          </cell>
        </row>
        <row r="27">
          <cell r="A27" t="str">
            <v>A0710</v>
          </cell>
          <cell r="B27" t="str">
            <v>MILLENIA MALINGGAS</v>
          </cell>
          <cell r="C27">
            <v>1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0</v>
          </cell>
          <cell r="V27">
            <v>1</v>
          </cell>
          <cell r="W27">
            <v>1</v>
          </cell>
          <cell r="X27">
            <v>1</v>
          </cell>
          <cell r="Y27">
            <v>13</v>
          </cell>
        </row>
        <row r="28">
          <cell r="A28" t="str">
            <v>A0723</v>
          </cell>
          <cell r="B28" t="str">
            <v>FRANSISCA AYU PUSPITA SARI</v>
          </cell>
          <cell r="C28">
            <v>1</v>
          </cell>
          <cell r="D28">
            <v>1</v>
          </cell>
          <cell r="E28">
            <v>1</v>
          </cell>
          <cell r="F28">
            <v>0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1</v>
          </cell>
          <cell r="S28">
            <v>0</v>
          </cell>
          <cell r="T28">
            <v>1</v>
          </cell>
          <cell r="U28">
            <v>1</v>
          </cell>
          <cell r="V28">
            <v>0</v>
          </cell>
          <cell r="W28">
            <v>0</v>
          </cell>
          <cell r="X28">
            <v>0</v>
          </cell>
          <cell r="Y28">
            <v>10</v>
          </cell>
        </row>
        <row r="29">
          <cell r="A29" t="str">
            <v>A0724</v>
          </cell>
          <cell r="B29" t="str">
            <v>RIZKY REYNALDI</v>
          </cell>
          <cell r="C29">
            <v>0</v>
          </cell>
          <cell r="D29">
            <v>0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0</v>
          </cell>
          <cell r="Y29">
            <v>19</v>
          </cell>
        </row>
        <row r="30">
          <cell r="A30" t="str">
            <v>A0786</v>
          </cell>
          <cell r="B30" t="str">
            <v>ARYA KEY</v>
          </cell>
          <cell r="C30">
            <v>1</v>
          </cell>
          <cell r="D30">
            <v>1</v>
          </cell>
          <cell r="E30">
            <v>0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21</v>
          </cell>
        </row>
        <row r="31">
          <cell r="A31" t="str">
            <v>A0855</v>
          </cell>
          <cell r="B31" t="str">
            <v>DWIKE MUTIARA RAHMADANI</v>
          </cell>
          <cell r="C31">
            <v>1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0</v>
          </cell>
          <cell r="I31">
            <v>1</v>
          </cell>
          <cell r="J31">
            <v>1</v>
          </cell>
          <cell r="K31">
            <v>1</v>
          </cell>
          <cell r="L31">
            <v>0</v>
          </cell>
          <cell r="M31">
            <v>0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0</v>
          </cell>
          <cell r="T31">
            <v>1</v>
          </cell>
          <cell r="U31">
            <v>1</v>
          </cell>
          <cell r="V31">
            <v>1</v>
          </cell>
          <cell r="W31">
            <v>0</v>
          </cell>
          <cell r="X31">
            <v>0</v>
          </cell>
          <cell r="Y31">
            <v>16</v>
          </cell>
        </row>
        <row r="32">
          <cell r="A32" t="str">
            <v>A0898</v>
          </cell>
          <cell r="B32" t="str">
            <v>FIENDA KURNIAWATI</v>
          </cell>
          <cell r="C32">
            <v>0</v>
          </cell>
          <cell r="D32">
            <v>1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0</v>
          </cell>
          <cell r="N32">
            <v>0</v>
          </cell>
          <cell r="O32">
            <v>0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0</v>
          </cell>
          <cell r="Y32">
            <v>17</v>
          </cell>
        </row>
        <row r="33">
          <cell r="A33" t="str">
            <v>A0911</v>
          </cell>
          <cell r="B33" t="str">
            <v>ENGELINA GALUH WINDIASARI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0</v>
          </cell>
          <cell r="O33">
            <v>0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0</v>
          </cell>
          <cell r="X33">
            <v>1</v>
          </cell>
          <cell r="Y33">
            <v>15</v>
          </cell>
        </row>
        <row r="34">
          <cell r="A34" t="str">
            <v>A0918</v>
          </cell>
          <cell r="B34" t="str">
            <v>OGIE PRAYOGA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4</v>
          </cell>
        </row>
        <row r="35">
          <cell r="A35" t="str">
            <v>A0920</v>
          </cell>
          <cell r="B35" t="str">
            <v>HANGESTI RETNO UTARI UTARI</v>
          </cell>
          <cell r="C35">
            <v>1</v>
          </cell>
          <cell r="D35">
            <v>1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22</v>
          </cell>
        </row>
        <row r="36">
          <cell r="A36" t="str">
            <v>A0927</v>
          </cell>
          <cell r="B36" t="str">
            <v>INTAN AYU WARDANI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0</v>
          </cell>
          <cell r="Y36">
            <v>21</v>
          </cell>
        </row>
        <row r="37">
          <cell r="A37" t="str">
            <v>A1059</v>
          </cell>
          <cell r="B37" t="str">
            <v>AZILA ZALWA</v>
          </cell>
          <cell r="C37">
            <v>1</v>
          </cell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  <cell r="Y37">
            <v>22</v>
          </cell>
        </row>
        <row r="38">
          <cell r="A38" t="str">
            <v>A1089</v>
          </cell>
          <cell r="B38" t="str">
            <v>DINA ROHMATIKA</v>
          </cell>
          <cell r="C38">
            <v>0</v>
          </cell>
          <cell r="D38">
            <v>0</v>
          </cell>
          <cell r="E38">
            <v>1</v>
          </cell>
          <cell r="F38">
            <v>1</v>
          </cell>
          <cell r="G38">
            <v>1</v>
          </cell>
          <cell r="H38">
            <v>0</v>
          </cell>
          <cell r="I38">
            <v>0</v>
          </cell>
          <cell r="J38">
            <v>0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17</v>
          </cell>
        </row>
        <row r="39">
          <cell r="A39" t="str">
            <v>A1117</v>
          </cell>
          <cell r="B39" t="str">
            <v>NINDA RIZQI SAFITRI</v>
          </cell>
          <cell r="C39">
            <v>0</v>
          </cell>
          <cell r="D39">
            <v>0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0</v>
          </cell>
          <cell r="K39">
            <v>1</v>
          </cell>
          <cell r="L39">
            <v>1</v>
          </cell>
          <cell r="M39">
            <v>0</v>
          </cell>
          <cell r="N39">
            <v>1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</v>
          </cell>
          <cell r="V39">
            <v>0</v>
          </cell>
          <cell r="W39">
            <v>0</v>
          </cell>
          <cell r="X39">
            <v>0</v>
          </cell>
          <cell r="Y39">
            <v>10</v>
          </cell>
        </row>
        <row r="40">
          <cell r="A40" t="str">
            <v>A1135</v>
          </cell>
          <cell r="B40" t="str">
            <v>FANNI MELIA ALVIONALIZA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0</v>
          </cell>
          <cell r="I40">
            <v>1</v>
          </cell>
          <cell r="J40">
            <v>1</v>
          </cell>
          <cell r="K40">
            <v>1</v>
          </cell>
          <cell r="L40">
            <v>0</v>
          </cell>
          <cell r="M40">
            <v>0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0</v>
          </cell>
          <cell r="T40">
            <v>0</v>
          </cell>
          <cell r="U40">
            <v>0</v>
          </cell>
          <cell r="V40">
            <v>1</v>
          </cell>
          <cell r="W40">
            <v>0</v>
          </cell>
          <cell r="X40">
            <v>0</v>
          </cell>
          <cell r="Y40">
            <v>14</v>
          </cell>
        </row>
        <row r="41">
          <cell r="A41" t="str">
            <v>A1208</v>
          </cell>
          <cell r="B41" t="str">
            <v>RIYAN ISTIQOMAH</v>
          </cell>
          <cell r="C41">
            <v>1</v>
          </cell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1</v>
          </cell>
          <cell r="O41">
            <v>0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16</v>
          </cell>
        </row>
        <row r="42">
          <cell r="A42" t="str">
            <v>A1232</v>
          </cell>
          <cell r="B42" t="str">
            <v>FIORENTINA BR SEBAYANG</v>
          </cell>
          <cell r="C42">
            <v>1</v>
          </cell>
          <cell r="D42">
            <v>1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0</v>
          </cell>
          <cell r="Y42">
            <v>21</v>
          </cell>
        </row>
        <row r="43">
          <cell r="A43" t="str">
            <v>A1237</v>
          </cell>
          <cell r="B43" t="str">
            <v>FEBRIANTI SIANTURI</v>
          </cell>
          <cell r="C43">
            <v>1</v>
          </cell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0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21</v>
          </cell>
        </row>
        <row r="44">
          <cell r="A44" t="str">
            <v>A1244</v>
          </cell>
          <cell r="B44" t="str">
            <v>SHOFIA NOVIANTI</v>
          </cell>
          <cell r="C44">
            <v>1</v>
          </cell>
          <cell r="D44">
            <v>1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0</v>
          </cell>
          <cell r="Y44">
            <v>21</v>
          </cell>
        </row>
        <row r="45">
          <cell r="A45" t="str">
            <v>A1249</v>
          </cell>
          <cell r="B45" t="str">
            <v>ARDIANSYAH ABUBAKAR</v>
          </cell>
          <cell r="C45">
            <v>0</v>
          </cell>
          <cell r="D45">
            <v>0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0</v>
          </cell>
          <cell r="J45">
            <v>0</v>
          </cell>
          <cell r="K45">
            <v>1</v>
          </cell>
          <cell r="L45">
            <v>0</v>
          </cell>
          <cell r="M45">
            <v>0</v>
          </cell>
          <cell r="N45">
            <v>0</v>
          </cell>
          <cell r="O45">
            <v>1</v>
          </cell>
          <cell r="P45">
            <v>0</v>
          </cell>
          <cell r="Q45">
            <v>0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0</v>
          </cell>
          <cell r="W45">
            <v>1</v>
          </cell>
          <cell r="X45">
            <v>0</v>
          </cell>
          <cell r="Y45">
            <v>11</v>
          </cell>
        </row>
        <row r="46">
          <cell r="A46" t="str">
            <v>A1250</v>
          </cell>
          <cell r="B46" t="str">
            <v>MAYANG PUTRI INANDA SARI</v>
          </cell>
          <cell r="C46">
            <v>1</v>
          </cell>
          <cell r="D46">
            <v>1</v>
          </cell>
          <cell r="E46">
            <v>1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>
            <v>0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0</v>
          </cell>
          <cell r="Y46">
            <v>20</v>
          </cell>
        </row>
        <row r="47">
          <cell r="A47" t="str">
            <v>A1305</v>
          </cell>
          <cell r="B47" t="str">
            <v>HANIFAH DUWI AMALIA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  <cell r="Y47">
            <v>14</v>
          </cell>
        </row>
        <row r="48">
          <cell r="A48" t="str">
            <v>A1362</v>
          </cell>
          <cell r="B48" t="str">
            <v>NATALIA SIMAMORA</v>
          </cell>
          <cell r="C48">
            <v>1</v>
          </cell>
          <cell r="D48">
            <v>1</v>
          </cell>
          <cell r="E48">
            <v>0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>
            <v>0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0</v>
          </cell>
          <cell r="Y48">
            <v>19</v>
          </cell>
        </row>
        <row r="49">
          <cell r="A49" t="str">
            <v>A1366</v>
          </cell>
          <cell r="B49" t="str">
            <v>MIFTA UL ULUM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16</v>
          </cell>
        </row>
        <row r="50">
          <cell r="A50" t="str">
            <v>A1407</v>
          </cell>
          <cell r="B50" t="str">
            <v>HARDINI KOMALASARI</v>
          </cell>
          <cell r="C50">
            <v>1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22</v>
          </cell>
        </row>
        <row r="51">
          <cell r="A51" t="str">
            <v>A1409</v>
          </cell>
          <cell r="B51" t="str">
            <v>YULI ANA</v>
          </cell>
          <cell r="C51">
            <v>1</v>
          </cell>
          <cell r="D51">
            <v>1</v>
          </cell>
          <cell r="E51">
            <v>1</v>
          </cell>
          <cell r="F51">
            <v>1</v>
          </cell>
          <cell r="G51">
            <v>1</v>
          </cell>
          <cell r="H51">
            <v>0</v>
          </cell>
          <cell r="I51">
            <v>1</v>
          </cell>
          <cell r="J51">
            <v>1</v>
          </cell>
          <cell r="K51">
            <v>1</v>
          </cell>
          <cell r="L51">
            <v>1</v>
          </cell>
          <cell r="M51">
            <v>0</v>
          </cell>
          <cell r="N51">
            <v>0</v>
          </cell>
          <cell r="O51">
            <v>0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0</v>
          </cell>
          <cell r="V51">
            <v>1</v>
          </cell>
          <cell r="W51">
            <v>1</v>
          </cell>
          <cell r="X51">
            <v>0</v>
          </cell>
          <cell r="Y51">
            <v>16</v>
          </cell>
        </row>
        <row r="52">
          <cell r="A52" t="str">
            <v>A1428</v>
          </cell>
          <cell r="B52" t="str">
            <v>RIFKA AYU PRADITA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0</v>
          </cell>
          <cell r="N52">
            <v>0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0</v>
          </cell>
          <cell r="Y52">
            <v>19</v>
          </cell>
        </row>
        <row r="53">
          <cell r="A53" t="str">
            <v>A1496</v>
          </cell>
          <cell r="B53" t="str">
            <v>INDAH PUSPITA DEWI</v>
          </cell>
          <cell r="C53">
            <v>1</v>
          </cell>
          <cell r="D53">
            <v>1</v>
          </cell>
          <cell r="E53">
            <v>1</v>
          </cell>
          <cell r="F53">
            <v>1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0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0</v>
          </cell>
          <cell r="W53">
            <v>0</v>
          </cell>
          <cell r="X53">
            <v>0</v>
          </cell>
          <cell r="Y53">
            <v>18</v>
          </cell>
        </row>
        <row r="54">
          <cell r="A54" t="str">
            <v>A1638</v>
          </cell>
          <cell r="B54" t="str">
            <v>ERNI DWI WIDYANTI</v>
          </cell>
          <cell r="C54">
            <v>1</v>
          </cell>
          <cell r="D54">
            <v>1</v>
          </cell>
          <cell r="E54">
            <v>1</v>
          </cell>
          <cell r="F54">
            <v>1</v>
          </cell>
          <cell r="G54">
            <v>1</v>
          </cell>
          <cell r="H54">
            <v>1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22</v>
          </cell>
        </row>
        <row r="55">
          <cell r="A55" t="str">
            <v>A1792</v>
          </cell>
          <cell r="B55" t="str">
            <v>ADINDA PUTRI ZELA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1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1</v>
          </cell>
          <cell r="Q55">
            <v>0</v>
          </cell>
          <cell r="R55">
            <v>1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3</v>
          </cell>
        </row>
        <row r="56">
          <cell r="A56" t="str">
            <v>A2014</v>
          </cell>
          <cell r="B56" t="str">
            <v>NUR ANISA</v>
          </cell>
          <cell r="C56">
            <v>1</v>
          </cell>
          <cell r="D56">
            <v>1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22</v>
          </cell>
        </row>
        <row r="57">
          <cell r="A57" t="str">
            <v>A2026</v>
          </cell>
          <cell r="B57" t="str">
            <v>ALMAY CAESARI ISMIAJI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1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1</v>
          </cell>
          <cell r="Y57">
            <v>2</v>
          </cell>
        </row>
        <row r="58">
          <cell r="A58" t="str">
            <v>A2072</v>
          </cell>
          <cell r="B58" t="str">
            <v>DIANA PUTERI MAHARANI</v>
          </cell>
          <cell r="C58">
            <v>1</v>
          </cell>
          <cell r="D58">
            <v>1</v>
          </cell>
          <cell r="E58">
            <v>1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J58">
            <v>1</v>
          </cell>
          <cell r="K58">
            <v>1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  <cell r="Y58">
            <v>22</v>
          </cell>
        </row>
        <row r="59">
          <cell r="A59" t="str">
            <v>A2300</v>
          </cell>
          <cell r="B59" t="str">
            <v>GRACE SIFRA</v>
          </cell>
          <cell r="C59">
            <v>1</v>
          </cell>
          <cell r="D59">
            <v>1</v>
          </cell>
          <cell r="E59">
            <v>1</v>
          </cell>
          <cell r="F59">
            <v>1</v>
          </cell>
          <cell r="G59">
            <v>1</v>
          </cell>
          <cell r="H59">
            <v>0</v>
          </cell>
          <cell r="I59">
            <v>1</v>
          </cell>
          <cell r="J59">
            <v>1</v>
          </cell>
          <cell r="K59">
            <v>1</v>
          </cell>
          <cell r="L59">
            <v>1</v>
          </cell>
          <cell r="M59">
            <v>0</v>
          </cell>
          <cell r="N59">
            <v>1</v>
          </cell>
          <cell r="O59">
            <v>1</v>
          </cell>
          <cell r="P59">
            <v>1</v>
          </cell>
          <cell r="Q59">
            <v>1</v>
          </cell>
          <cell r="R59">
            <v>1</v>
          </cell>
          <cell r="S59">
            <v>1</v>
          </cell>
          <cell r="T59">
            <v>1</v>
          </cell>
          <cell r="U59">
            <v>0</v>
          </cell>
          <cell r="V59">
            <v>1</v>
          </cell>
          <cell r="W59">
            <v>1</v>
          </cell>
          <cell r="X59">
            <v>0</v>
          </cell>
          <cell r="Y59">
            <v>18</v>
          </cell>
        </row>
        <row r="60">
          <cell r="A60" t="str">
            <v>A2369</v>
          </cell>
          <cell r="B60" t="str">
            <v>ANIS DIANA SARI</v>
          </cell>
          <cell r="C60">
            <v>1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1</v>
          </cell>
          <cell r="K60">
            <v>1</v>
          </cell>
          <cell r="L60">
            <v>1</v>
          </cell>
          <cell r="M60">
            <v>0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0</v>
          </cell>
          <cell r="Y60">
            <v>20</v>
          </cell>
        </row>
        <row r="61">
          <cell r="A61" t="str">
            <v>A2495</v>
          </cell>
          <cell r="B61" t="str">
            <v>FADLIN ROHMAWATI</v>
          </cell>
          <cell r="C61">
            <v>1</v>
          </cell>
          <cell r="D61">
            <v>1</v>
          </cell>
          <cell r="E61">
            <v>1</v>
          </cell>
          <cell r="F61">
            <v>1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0</v>
          </cell>
          <cell r="Y61">
            <v>15</v>
          </cell>
        </row>
        <row r="62">
          <cell r="A62" t="str">
            <v>A2574</v>
          </cell>
          <cell r="B62" t="str">
            <v>JATU ASTRI PRADISTA</v>
          </cell>
          <cell r="C62">
            <v>0</v>
          </cell>
          <cell r="D62">
            <v>0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1</v>
          </cell>
          <cell r="K62">
            <v>1</v>
          </cell>
          <cell r="L62">
            <v>1</v>
          </cell>
          <cell r="M62">
            <v>0</v>
          </cell>
          <cell r="N62">
            <v>0</v>
          </cell>
          <cell r="O62">
            <v>0</v>
          </cell>
          <cell r="P62">
            <v>1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0</v>
          </cell>
          <cell r="X62">
            <v>1</v>
          </cell>
          <cell r="Y62">
            <v>16</v>
          </cell>
        </row>
        <row r="63">
          <cell r="A63" t="str">
            <v>A2604</v>
          </cell>
          <cell r="B63" t="str">
            <v>YUSRIDAH LUBIS</v>
          </cell>
          <cell r="C63">
            <v>1</v>
          </cell>
          <cell r="D63">
            <v>1</v>
          </cell>
          <cell r="E63">
            <v>1</v>
          </cell>
          <cell r="F63">
            <v>1</v>
          </cell>
          <cell r="G63">
            <v>1</v>
          </cell>
          <cell r="H63">
            <v>1</v>
          </cell>
          <cell r="I63">
            <v>1</v>
          </cell>
          <cell r="J63">
            <v>1</v>
          </cell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  <cell r="T63">
            <v>1</v>
          </cell>
          <cell r="U63">
            <v>0</v>
          </cell>
          <cell r="V63">
            <v>1</v>
          </cell>
          <cell r="W63">
            <v>1</v>
          </cell>
          <cell r="X63">
            <v>1</v>
          </cell>
          <cell r="Y63">
            <v>21</v>
          </cell>
        </row>
        <row r="64">
          <cell r="A64" t="str">
            <v>A2619</v>
          </cell>
          <cell r="B64" t="str">
            <v>TEDI AFRIYANTO</v>
          </cell>
          <cell r="C64">
            <v>1</v>
          </cell>
          <cell r="D64">
            <v>1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  <cell r="I64">
            <v>0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0</v>
          </cell>
          <cell r="Y64">
            <v>20</v>
          </cell>
        </row>
        <row r="65">
          <cell r="A65" t="str">
            <v>A2684</v>
          </cell>
          <cell r="B65" t="str">
            <v>DIMAS VERGIAWAN AFIAT</v>
          </cell>
          <cell r="C65">
            <v>1</v>
          </cell>
          <cell r="D65">
            <v>1</v>
          </cell>
          <cell r="E65">
            <v>1</v>
          </cell>
          <cell r="F65">
            <v>0</v>
          </cell>
          <cell r="G65">
            <v>1</v>
          </cell>
          <cell r="H65">
            <v>1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0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1</v>
          </cell>
          <cell r="Y65">
            <v>20</v>
          </cell>
        </row>
        <row r="66">
          <cell r="A66" t="str">
            <v>A2702</v>
          </cell>
          <cell r="B66" t="str">
            <v>DILA FITRIANI</v>
          </cell>
          <cell r="C66">
            <v>1</v>
          </cell>
          <cell r="D66">
            <v>1</v>
          </cell>
          <cell r="E66">
            <v>0</v>
          </cell>
          <cell r="F66">
            <v>0</v>
          </cell>
          <cell r="G66">
            <v>1</v>
          </cell>
          <cell r="H66">
            <v>1</v>
          </cell>
          <cell r="I66">
            <v>1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>
            <v>0</v>
          </cell>
          <cell r="V66">
            <v>1</v>
          </cell>
          <cell r="W66">
            <v>1</v>
          </cell>
          <cell r="X66">
            <v>1</v>
          </cell>
          <cell r="Y66">
            <v>19</v>
          </cell>
        </row>
        <row r="67">
          <cell r="A67" t="str">
            <v>A2705</v>
          </cell>
          <cell r="B67" t="str">
            <v>ANTONIA DESI ENDAH KRISTIYANTI</v>
          </cell>
          <cell r="C67">
            <v>1</v>
          </cell>
          <cell r="D67">
            <v>1</v>
          </cell>
          <cell r="E67">
            <v>1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  <cell r="M67">
            <v>0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0</v>
          </cell>
          <cell r="S67">
            <v>0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19</v>
          </cell>
        </row>
        <row r="68">
          <cell r="A68" t="str">
            <v>A2867</v>
          </cell>
          <cell r="B68" t="str">
            <v>REHULINA PUTRI DEPARI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A69" t="str">
            <v>A2901</v>
          </cell>
          <cell r="B69" t="str">
            <v>NELLY ANJANI BR SEMBIRING</v>
          </cell>
          <cell r="C69">
            <v>1</v>
          </cell>
          <cell r="D69">
            <v>1</v>
          </cell>
          <cell r="E69">
            <v>1</v>
          </cell>
          <cell r="F69">
            <v>1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1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6</v>
          </cell>
        </row>
        <row r="70">
          <cell r="A70" t="str">
            <v>A2964</v>
          </cell>
          <cell r="B70" t="str">
            <v>AKHAYA ARSYOGA</v>
          </cell>
          <cell r="C70">
            <v>1</v>
          </cell>
          <cell r="D70">
            <v>1</v>
          </cell>
          <cell r="E70">
            <v>1</v>
          </cell>
          <cell r="F70">
            <v>0</v>
          </cell>
          <cell r="G70">
            <v>0</v>
          </cell>
          <cell r="H70">
            <v>1</v>
          </cell>
          <cell r="I70">
            <v>1</v>
          </cell>
          <cell r="J70">
            <v>1</v>
          </cell>
          <cell r="K70">
            <v>1</v>
          </cell>
          <cell r="L70">
            <v>0</v>
          </cell>
          <cell r="M70">
            <v>0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0</v>
          </cell>
          <cell r="V70">
            <v>1</v>
          </cell>
          <cell r="W70">
            <v>0</v>
          </cell>
          <cell r="X70">
            <v>0</v>
          </cell>
          <cell r="Y70">
            <v>15</v>
          </cell>
        </row>
        <row r="71">
          <cell r="A71" t="str">
            <v>A2985</v>
          </cell>
          <cell r="B71" t="str">
            <v>REGINA MICHELLE TANSAYA PRAMONO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</v>
          </cell>
          <cell r="J71">
            <v>1</v>
          </cell>
          <cell r="K71">
            <v>1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1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4</v>
          </cell>
        </row>
        <row r="72">
          <cell r="A72" t="str">
            <v>A3034</v>
          </cell>
          <cell r="B72" t="str">
            <v>MEYTIA EKA PUTRI</v>
          </cell>
          <cell r="C72">
            <v>1</v>
          </cell>
          <cell r="D72">
            <v>1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0</v>
          </cell>
          <cell r="V72">
            <v>1</v>
          </cell>
          <cell r="W72">
            <v>1</v>
          </cell>
          <cell r="X72">
            <v>1</v>
          </cell>
          <cell r="Y72">
            <v>21</v>
          </cell>
        </row>
        <row r="73">
          <cell r="A73" t="str">
            <v>A3147</v>
          </cell>
          <cell r="B73" t="str">
            <v>SAGITA DEO SANTOSA</v>
          </cell>
          <cell r="C73">
            <v>1</v>
          </cell>
          <cell r="D73">
            <v>1</v>
          </cell>
          <cell r="E73">
            <v>1</v>
          </cell>
          <cell r="F73">
            <v>0</v>
          </cell>
          <cell r="G73">
            <v>1</v>
          </cell>
          <cell r="H73">
            <v>1</v>
          </cell>
          <cell r="I73">
            <v>1</v>
          </cell>
          <cell r="J73">
            <v>0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0</v>
          </cell>
          <cell r="X73">
            <v>1</v>
          </cell>
          <cell r="Y73">
            <v>19</v>
          </cell>
        </row>
        <row r="74">
          <cell r="A74" t="str">
            <v>A3175</v>
          </cell>
          <cell r="B74" t="str">
            <v>INDRI SARI</v>
          </cell>
          <cell r="C74">
            <v>0</v>
          </cell>
          <cell r="D74">
            <v>0</v>
          </cell>
          <cell r="E74">
            <v>1</v>
          </cell>
          <cell r="F74">
            <v>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</v>
          </cell>
          <cell r="L74">
            <v>0</v>
          </cell>
          <cell r="M74">
            <v>1</v>
          </cell>
          <cell r="N74">
            <v>1</v>
          </cell>
          <cell r="O74">
            <v>1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1</v>
          </cell>
          <cell r="U74">
            <v>1</v>
          </cell>
          <cell r="V74">
            <v>1</v>
          </cell>
          <cell r="W74">
            <v>1</v>
          </cell>
          <cell r="X74">
            <v>1</v>
          </cell>
          <cell r="Y74">
            <v>11</v>
          </cell>
        </row>
        <row r="75">
          <cell r="A75" t="str">
            <v>A3188</v>
          </cell>
          <cell r="B75" t="str">
            <v>FAUZIYATI KHAIRUL LATIFAH</v>
          </cell>
          <cell r="C75">
            <v>1</v>
          </cell>
          <cell r="D75">
            <v>1</v>
          </cell>
          <cell r="E75">
            <v>1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1</v>
          </cell>
          <cell r="L75">
            <v>1</v>
          </cell>
          <cell r="M75">
            <v>0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V75">
            <v>1</v>
          </cell>
          <cell r="W75">
            <v>1</v>
          </cell>
          <cell r="X75">
            <v>0</v>
          </cell>
          <cell r="Y75">
            <v>20</v>
          </cell>
        </row>
        <row r="76">
          <cell r="A76" t="str">
            <v>A3210</v>
          </cell>
          <cell r="B76" t="str">
            <v>HAFIDZ HILMY</v>
          </cell>
          <cell r="C76">
            <v>0</v>
          </cell>
          <cell r="D76">
            <v>0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0</v>
          </cell>
          <cell r="L76">
            <v>0</v>
          </cell>
          <cell r="M76">
            <v>0</v>
          </cell>
          <cell r="N76">
            <v>1</v>
          </cell>
          <cell r="O76">
            <v>1</v>
          </cell>
          <cell r="P76">
            <v>0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0</v>
          </cell>
          <cell r="W76">
            <v>0</v>
          </cell>
          <cell r="X76">
            <v>0</v>
          </cell>
          <cell r="Y76">
            <v>13</v>
          </cell>
        </row>
        <row r="77">
          <cell r="A77" t="str">
            <v>A3216</v>
          </cell>
          <cell r="B77" t="str">
            <v>INTAN KHOIRUNISA FEBILIANA</v>
          </cell>
          <cell r="C77">
            <v>1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1</v>
          </cell>
          <cell r="O77">
            <v>0</v>
          </cell>
          <cell r="P77">
            <v>1</v>
          </cell>
          <cell r="Q77">
            <v>1</v>
          </cell>
          <cell r="R77">
            <v>1</v>
          </cell>
          <cell r="S77">
            <v>1</v>
          </cell>
          <cell r="T77">
            <v>1</v>
          </cell>
          <cell r="U77">
            <v>0</v>
          </cell>
          <cell r="V77">
            <v>1</v>
          </cell>
          <cell r="W77">
            <v>1</v>
          </cell>
          <cell r="X77">
            <v>1</v>
          </cell>
          <cell r="Y77">
            <v>15</v>
          </cell>
        </row>
        <row r="78">
          <cell r="A78" t="str">
            <v>A3305</v>
          </cell>
          <cell r="B78" t="str">
            <v>ARIF NOVIANTO</v>
          </cell>
          <cell r="C78">
            <v>1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  <cell r="T78">
            <v>1</v>
          </cell>
          <cell r="U78">
            <v>0</v>
          </cell>
          <cell r="V78">
            <v>1</v>
          </cell>
          <cell r="W78">
            <v>1</v>
          </cell>
          <cell r="X78">
            <v>1</v>
          </cell>
          <cell r="Y78">
            <v>21</v>
          </cell>
        </row>
        <row r="79">
          <cell r="A79" t="str">
            <v>A3306</v>
          </cell>
          <cell r="B79" t="str">
            <v>ILHAM MUHAMMAD DYAN FAUZI</v>
          </cell>
          <cell r="C79">
            <v>0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J79">
            <v>0</v>
          </cell>
          <cell r="K79">
            <v>1</v>
          </cell>
          <cell r="L79">
            <v>1</v>
          </cell>
          <cell r="M79">
            <v>0</v>
          </cell>
          <cell r="N79">
            <v>1</v>
          </cell>
          <cell r="O79">
            <v>1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14</v>
          </cell>
        </row>
        <row r="80">
          <cell r="A80" t="str">
            <v>A3333</v>
          </cell>
          <cell r="B80" t="str">
            <v>ZEFANYA NOVIANA HEHAMAHUA</v>
          </cell>
          <cell r="C80">
            <v>1</v>
          </cell>
          <cell r="D80">
            <v>0</v>
          </cell>
          <cell r="E80">
            <v>1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J80">
            <v>1</v>
          </cell>
          <cell r="K80">
            <v>0</v>
          </cell>
          <cell r="L80">
            <v>0</v>
          </cell>
          <cell r="M80">
            <v>0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0</v>
          </cell>
          <cell r="W80">
            <v>0</v>
          </cell>
          <cell r="X80">
            <v>0</v>
          </cell>
          <cell r="Y80">
            <v>15</v>
          </cell>
        </row>
        <row r="81">
          <cell r="A81" t="str">
            <v>A3371</v>
          </cell>
          <cell r="B81" t="str">
            <v>EMMANUELA YOSEPHINE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</v>
          </cell>
          <cell r="H81">
            <v>0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1</v>
          </cell>
          <cell r="O81">
            <v>1</v>
          </cell>
          <cell r="P81">
            <v>0</v>
          </cell>
          <cell r="Q81">
            <v>0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0</v>
          </cell>
          <cell r="Y81">
            <v>10</v>
          </cell>
        </row>
        <row r="82">
          <cell r="A82" t="str">
            <v>A3510</v>
          </cell>
          <cell r="B82" t="str">
            <v>ANNISA FADYA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1</v>
          </cell>
          <cell r="H82">
            <v>1</v>
          </cell>
          <cell r="I82">
            <v>1</v>
          </cell>
          <cell r="J82">
            <v>1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  <cell r="O82">
            <v>1</v>
          </cell>
          <cell r="P82">
            <v>0</v>
          </cell>
          <cell r="Q82">
            <v>1</v>
          </cell>
          <cell r="R82">
            <v>0</v>
          </cell>
          <cell r="S82">
            <v>1</v>
          </cell>
          <cell r="T82">
            <v>0</v>
          </cell>
          <cell r="U82">
            <v>1</v>
          </cell>
          <cell r="V82">
            <v>0</v>
          </cell>
          <cell r="W82">
            <v>0</v>
          </cell>
          <cell r="X82">
            <v>0</v>
          </cell>
          <cell r="Y82">
            <v>9</v>
          </cell>
        </row>
        <row r="83">
          <cell r="A83" t="str">
            <v>A3514</v>
          </cell>
          <cell r="B83" t="str">
            <v>ALEXSANDRE DEDE</v>
          </cell>
          <cell r="C83">
            <v>1</v>
          </cell>
          <cell r="D83">
            <v>0</v>
          </cell>
          <cell r="E83">
            <v>1</v>
          </cell>
          <cell r="F83">
            <v>1</v>
          </cell>
          <cell r="G83">
            <v>1</v>
          </cell>
          <cell r="H83">
            <v>1</v>
          </cell>
          <cell r="I83">
            <v>1</v>
          </cell>
          <cell r="J83">
            <v>1</v>
          </cell>
          <cell r="K83">
            <v>0</v>
          </cell>
          <cell r="L83">
            <v>0</v>
          </cell>
          <cell r="M83">
            <v>0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0</v>
          </cell>
          <cell r="W83">
            <v>0</v>
          </cell>
          <cell r="X83">
            <v>0</v>
          </cell>
          <cell r="Y83">
            <v>15</v>
          </cell>
        </row>
        <row r="84">
          <cell r="A84" t="str">
            <v>A3515</v>
          </cell>
          <cell r="B84" t="str">
            <v>AGATA ISTIKALANI</v>
          </cell>
          <cell r="C84">
            <v>1</v>
          </cell>
          <cell r="D84">
            <v>1</v>
          </cell>
          <cell r="E84">
            <v>1</v>
          </cell>
          <cell r="F84">
            <v>1</v>
          </cell>
          <cell r="G84">
            <v>1</v>
          </cell>
          <cell r="H84">
            <v>1</v>
          </cell>
          <cell r="I84">
            <v>0</v>
          </cell>
          <cell r="J84">
            <v>0</v>
          </cell>
          <cell r="K84">
            <v>1</v>
          </cell>
          <cell r="L84">
            <v>1</v>
          </cell>
          <cell r="M84">
            <v>0</v>
          </cell>
          <cell r="N84">
            <v>0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0</v>
          </cell>
          <cell r="U84">
            <v>1</v>
          </cell>
          <cell r="V84">
            <v>1</v>
          </cell>
          <cell r="W84">
            <v>1</v>
          </cell>
          <cell r="X84">
            <v>0</v>
          </cell>
          <cell r="Y84">
            <v>16</v>
          </cell>
        </row>
        <row r="85">
          <cell r="A85" t="str">
            <v>A3680</v>
          </cell>
          <cell r="B85" t="str">
            <v>FARAH NADHIFAH</v>
          </cell>
          <cell r="C85">
            <v>1</v>
          </cell>
          <cell r="D85">
            <v>1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0</v>
          </cell>
          <cell r="O85">
            <v>0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0</v>
          </cell>
          <cell r="Y85">
            <v>19</v>
          </cell>
        </row>
        <row r="86">
          <cell r="A86" t="str">
            <v>A3693</v>
          </cell>
          <cell r="B86" t="str">
            <v>LENSE SITOMPUL</v>
          </cell>
          <cell r="C86">
            <v>1</v>
          </cell>
          <cell r="D86">
            <v>1</v>
          </cell>
          <cell r="E86">
            <v>1</v>
          </cell>
          <cell r="F86">
            <v>1</v>
          </cell>
          <cell r="G86">
            <v>1</v>
          </cell>
          <cell r="H86">
            <v>1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1</v>
          </cell>
          <cell r="Y86">
            <v>22</v>
          </cell>
        </row>
        <row r="87">
          <cell r="A87" t="str">
            <v>A3766</v>
          </cell>
          <cell r="B87" t="str">
            <v>BESTFEBRI CHRISTY DAMERIA PAKPAHAN</v>
          </cell>
          <cell r="C87">
            <v>1</v>
          </cell>
          <cell r="D87">
            <v>1</v>
          </cell>
          <cell r="E87">
            <v>1</v>
          </cell>
          <cell r="F87">
            <v>0</v>
          </cell>
          <cell r="G87">
            <v>1</v>
          </cell>
          <cell r="H87">
            <v>1</v>
          </cell>
          <cell r="I87">
            <v>1</v>
          </cell>
          <cell r="J87">
            <v>1</v>
          </cell>
          <cell r="K87">
            <v>0</v>
          </cell>
          <cell r="L87">
            <v>0</v>
          </cell>
          <cell r="M87">
            <v>1</v>
          </cell>
          <cell r="N87">
            <v>1</v>
          </cell>
          <cell r="O87">
            <v>1</v>
          </cell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</v>
          </cell>
          <cell r="Y87">
            <v>19</v>
          </cell>
        </row>
        <row r="88">
          <cell r="A88" t="str">
            <v>A3815</v>
          </cell>
          <cell r="B88" t="str">
            <v>ANDREANE AMARISSA</v>
          </cell>
          <cell r="C88">
            <v>1</v>
          </cell>
          <cell r="D88">
            <v>1</v>
          </cell>
          <cell r="E88">
            <v>1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J88">
            <v>1</v>
          </cell>
          <cell r="K88">
            <v>0</v>
          </cell>
          <cell r="L88">
            <v>0</v>
          </cell>
          <cell r="M88">
            <v>0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0</v>
          </cell>
          <cell r="V88">
            <v>1</v>
          </cell>
          <cell r="W88">
            <v>1</v>
          </cell>
          <cell r="X88">
            <v>0</v>
          </cell>
          <cell r="Y88">
            <v>17</v>
          </cell>
        </row>
        <row r="89">
          <cell r="A89" t="str">
            <v>A3868</v>
          </cell>
          <cell r="B89" t="str">
            <v>YANA PAULINA</v>
          </cell>
          <cell r="C89">
            <v>1</v>
          </cell>
          <cell r="D89">
            <v>0</v>
          </cell>
          <cell r="E89">
            <v>1</v>
          </cell>
          <cell r="F89">
            <v>1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3</v>
          </cell>
        </row>
        <row r="90">
          <cell r="A90" t="str">
            <v>A3927</v>
          </cell>
          <cell r="B90" t="str">
            <v>ARIS HERMAWAN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1</v>
          </cell>
          <cell r="O90">
            <v>0</v>
          </cell>
          <cell r="P90">
            <v>0</v>
          </cell>
          <cell r="Q90">
            <v>0</v>
          </cell>
          <cell r="R90">
            <v>1</v>
          </cell>
          <cell r="S90">
            <v>1</v>
          </cell>
          <cell r="T90">
            <v>1</v>
          </cell>
          <cell r="U90">
            <v>1</v>
          </cell>
          <cell r="V90">
            <v>1</v>
          </cell>
          <cell r="W90">
            <v>1</v>
          </cell>
          <cell r="X90">
            <v>0</v>
          </cell>
          <cell r="Y90">
            <v>8</v>
          </cell>
        </row>
        <row r="91">
          <cell r="A91" t="str">
            <v>A3996</v>
          </cell>
          <cell r="B91" t="str">
            <v>JOANICA INTAN CAHYANDARI</v>
          </cell>
          <cell r="C91">
            <v>1</v>
          </cell>
          <cell r="D91">
            <v>1</v>
          </cell>
          <cell r="E91">
            <v>1</v>
          </cell>
          <cell r="F91">
            <v>1</v>
          </cell>
          <cell r="G91">
            <v>1</v>
          </cell>
          <cell r="H91">
            <v>1</v>
          </cell>
          <cell r="I91">
            <v>1</v>
          </cell>
          <cell r="J91">
            <v>1</v>
          </cell>
          <cell r="K91">
            <v>1</v>
          </cell>
          <cell r="L91">
            <v>1</v>
          </cell>
          <cell r="M91">
            <v>0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21</v>
          </cell>
        </row>
        <row r="92">
          <cell r="A92" t="str">
            <v>A4011</v>
          </cell>
          <cell r="B92" t="str">
            <v>MUHAMMAD FAJRIADY</v>
          </cell>
          <cell r="C92">
            <v>1</v>
          </cell>
          <cell r="D92">
            <v>1</v>
          </cell>
          <cell r="E92">
            <v>1</v>
          </cell>
          <cell r="F92">
            <v>1</v>
          </cell>
          <cell r="G92">
            <v>0</v>
          </cell>
          <cell r="H92">
            <v>1</v>
          </cell>
          <cell r="I92">
            <v>1</v>
          </cell>
          <cell r="J92">
            <v>0</v>
          </cell>
          <cell r="K92">
            <v>1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20</v>
          </cell>
        </row>
        <row r="93">
          <cell r="A93" t="str">
            <v>A4024</v>
          </cell>
          <cell r="B93" t="str">
            <v>FITRIA NURUL</v>
          </cell>
          <cell r="C93">
            <v>1</v>
          </cell>
          <cell r="D93">
            <v>1</v>
          </cell>
          <cell r="E93">
            <v>1</v>
          </cell>
          <cell r="F93">
            <v>1</v>
          </cell>
          <cell r="G93">
            <v>1</v>
          </cell>
          <cell r="H93">
            <v>1</v>
          </cell>
          <cell r="I93">
            <v>1</v>
          </cell>
          <cell r="J93">
            <v>1</v>
          </cell>
          <cell r="K93">
            <v>1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1</v>
          </cell>
          <cell r="Q93">
            <v>1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V93">
            <v>1</v>
          </cell>
          <cell r="W93">
            <v>1</v>
          </cell>
          <cell r="X93">
            <v>1</v>
          </cell>
          <cell r="Y93">
            <v>22</v>
          </cell>
        </row>
        <row r="94">
          <cell r="A94" t="str">
            <v>A4046</v>
          </cell>
          <cell r="B94" t="str">
            <v>DANIEL RIO ANDIKA PUTRA</v>
          </cell>
          <cell r="C94">
            <v>1</v>
          </cell>
          <cell r="D94">
            <v>0</v>
          </cell>
          <cell r="E94">
            <v>1</v>
          </cell>
          <cell r="F94">
            <v>1</v>
          </cell>
          <cell r="G94">
            <v>1</v>
          </cell>
          <cell r="H94">
            <v>1</v>
          </cell>
          <cell r="I94">
            <v>1</v>
          </cell>
          <cell r="J94">
            <v>1</v>
          </cell>
          <cell r="K94">
            <v>1</v>
          </cell>
          <cell r="L94">
            <v>1</v>
          </cell>
          <cell r="M94">
            <v>1</v>
          </cell>
          <cell r="N94">
            <v>1</v>
          </cell>
          <cell r="O94">
            <v>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>
            <v>1</v>
          </cell>
          <cell r="X94">
            <v>1</v>
          </cell>
          <cell r="Y94">
            <v>21</v>
          </cell>
        </row>
        <row r="95">
          <cell r="A95" t="str">
            <v>A4050</v>
          </cell>
          <cell r="B95" t="str">
            <v>DITA PUSPITA SARI</v>
          </cell>
          <cell r="C95">
            <v>0</v>
          </cell>
          <cell r="D95">
            <v>0</v>
          </cell>
          <cell r="E95">
            <v>0</v>
          </cell>
          <cell r="F95">
            <v>1</v>
          </cell>
          <cell r="G95">
            <v>1</v>
          </cell>
          <cell r="H95">
            <v>1</v>
          </cell>
          <cell r="I95">
            <v>1</v>
          </cell>
          <cell r="J95">
            <v>1</v>
          </cell>
          <cell r="K95">
            <v>1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1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U95">
            <v>1</v>
          </cell>
          <cell r="V95">
            <v>1</v>
          </cell>
          <cell r="W95">
            <v>0</v>
          </cell>
          <cell r="X95">
            <v>1</v>
          </cell>
          <cell r="Y95">
            <v>18</v>
          </cell>
        </row>
        <row r="96">
          <cell r="A96" t="str">
            <v>A4087</v>
          </cell>
          <cell r="B96" t="str">
            <v>ARIF TEGUH WICAKSONO</v>
          </cell>
          <cell r="C96">
            <v>1</v>
          </cell>
          <cell r="D96">
            <v>1</v>
          </cell>
          <cell r="E96">
            <v>1</v>
          </cell>
          <cell r="F96">
            <v>1</v>
          </cell>
          <cell r="G96">
            <v>1</v>
          </cell>
          <cell r="H96">
            <v>1</v>
          </cell>
          <cell r="I96">
            <v>1</v>
          </cell>
          <cell r="J96">
            <v>1</v>
          </cell>
          <cell r="K96">
            <v>1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0</v>
          </cell>
          <cell r="Y96">
            <v>15</v>
          </cell>
        </row>
        <row r="97">
          <cell r="A97" t="str">
            <v>A4089</v>
          </cell>
          <cell r="B97" t="str">
            <v>ADI FIRMANSYAH</v>
          </cell>
          <cell r="C97">
            <v>1</v>
          </cell>
          <cell r="D97">
            <v>1</v>
          </cell>
          <cell r="E97">
            <v>1</v>
          </cell>
          <cell r="F97">
            <v>1</v>
          </cell>
          <cell r="G97">
            <v>1</v>
          </cell>
          <cell r="H97">
            <v>1</v>
          </cell>
          <cell r="I97">
            <v>1</v>
          </cell>
          <cell r="J97">
            <v>1</v>
          </cell>
          <cell r="K97">
            <v>1</v>
          </cell>
          <cell r="L97">
            <v>1</v>
          </cell>
          <cell r="M97">
            <v>0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0</v>
          </cell>
          <cell r="Y97">
            <v>20</v>
          </cell>
        </row>
        <row r="98">
          <cell r="A98" t="str">
            <v>A4112</v>
          </cell>
          <cell r="B98" t="str">
            <v>VENY SIPAYUNG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0</v>
          </cell>
          <cell r="M98">
            <v>0</v>
          </cell>
          <cell r="N98">
            <v>1</v>
          </cell>
          <cell r="O98">
            <v>1</v>
          </cell>
          <cell r="P98">
            <v>0</v>
          </cell>
          <cell r="Q98">
            <v>0</v>
          </cell>
          <cell r="R98">
            <v>1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1</v>
          </cell>
          <cell r="X98">
            <v>0</v>
          </cell>
          <cell r="Y98">
            <v>12</v>
          </cell>
        </row>
        <row r="99">
          <cell r="A99" t="str">
            <v>A4139</v>
          </cell>
          <cell r="B99" t="str">
            <v>KEYLA REISA IARA</v>
          </cell>
          <cell r="C99">
            <v>1</v>
          </cell>
          <cell r="D99">
            <v>1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>
            <v>1</v>
          </cell>
          <cell r="T99">
            <v>1</v>
          </cell>
          <cell r="U99">
            <v>1</v>
          </cell>
          <cell r="V99">
            <v>1</v>
          </cell>
          <cell r="W99">
            <v>1</v>
          </cell>
          <cell r="X99">
            <v>0</v>
          </cell>
          <cell r="Y99">
            <v>21</v>
          </cell>
        </row>
        <row r="100">
          <cell r="A100" t="str">
            <v>A4141</v>
          </cell>
          <cell r="B100" t="str">
            <v>AILSA SHELEY</v>
          </cell>
          <cell r="C100">
            <v>1</v>
          </cell>
          <cell r="D100">
            <v>0</v>
          </cell>
          <cell r="E100">
            <v>1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  <cell r="L100">
            <v>1</v>
          </cell>
          <cell r="M100">
            <v>0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0</v>
          </cell>
          <cell r="V100">
            <v>1</v>
          </cell>
          <cell r="W100">
            <v>1</v>
          </cell>
          <cell r="X100">
            <v>0</v>
          </cell>
          <cell r="Y100">
            <v>18</v>
          </cell>
        </row>
        <row r="101">
          <cell r="A101" t="str">
            <v>A4143</v>
          </cell>
          <cell r="B101" t="str">
            <v>GREVLIANY JOURIEN NOYA</v>
          </cell>
          <cell r="C101">
            <v>0</v>
          </cell>
          <cell r="D101">
            <v>0</v>
          </cell>
          <cell r="E101">
            <v>1</v>
          </cell>
          <cell r="F101">
            <v>0</v>
          </cell>
          <cell r="G101">
            <v>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1</v>
          </cell>
          <cell r="Q101">
            <v>0</v>
          </cell>
          <cell r="R101">
            <v>1</v>
          </cell>
          <cell r="S101">
            <v>0</v>
          </cell>
          <cell r="T101">
            <v>1</v>
          </cell>
          <cell r="U101">
            <v>1</v>
          </cell>
          <cell r="V101">
            <v>0</v>
          </cell>
          <cell r="W101">
            <v>0</v>
          </cell>
          <cell r="X101">
            <v>0</v>
          </cell>
          <cell r="Y101">
            <v>6</v>
          </cell>
        </row>
        <row r="102">
          <cell r="A102" t="str">
            <v>A4162</v>
          </cell>
          <cell r="B102" t="str">
            <v>FATHUL MUBAROQ</v>
          </cell>
          <cell r="C102">
            <v>1</v>
          </cell>
          <cell r="D102">
            <v>1</v>
          </cell>
          <cell r="E102">
            <v>1</v>
          </cell>
          <cell r="F102">
            <v>1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0</v>
          </cell>
          <cell r="Y102">
            <v>21</v>
          </cell>
        </row>
        <row r="103">
          <cell r="A103" t="str">
            <v>A4205</v>
          </cell>
          <cell r="B103" t="str">
            <v>ARIN ISNAENI FEBRIYANTI</v>
          </cell>
          <cell r="C103">
            <v>1</v>
          </cell>
          <cell r="D103">
            <v>0</v>
          </cell>
          <cell r="E103">
            <v>0</v>
          </cell>
          <cell r="F103">
            <v>1</v>
          </cell>
          <cell r="G103">
            <v>0</v>
          </cell>
          <cell r="H103">
            <v>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3</v>
          </cell>
        </row>
        <row r="104">
          <cell r="A104" t="str">
            <v>A4225</v>
          </cell>
          <cell r="B104" t="str">
            <v>TOPAN JIWODEWO</v>
          </cell>
          <cell r="C104">
            <v>0</v>
          </cell>
          <cell r="D104">
            <v>1</v>
          </cell>
          <cell r="E104">
            <v>1</v>
          </cell>
          <cell r="F104">
            <v>1</v>
          </cell>
          <cell r="G104">
            <v>1</v>
          </cell>
          <cell r="H104">
            <v>0</v>
          </cell>
          <cell r="I104">
            <v>0</v>
          </cell>
          <cell r="J104">
            <v>0</v>
          </cell>
          <cell r="K104">
            <v>1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0</v>
          </cell>
          <cell r="Y104">
            <v>9</v>
          </cell>
        </row>
        <row r="105">
          <cell r="A105" t="str">
            <v>A4242</v>
          </cell>
          <cell r="B105" t="str">
            <v>NI KADEK SUCIATI</v>
          </cell>
          <cell r="C105">
            <v>1</v>
          </cell>
          <cell r="D105">
            <v>1</v>
          </cell>
          <cell r="E105">
            <v>0</v>
          </cell>
          <cell r="F105">
            <v>0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</v>
          </cell>
          <cell r="R105">
            <v>0</v>
          </cell>
          <cell r="S105">
            <v>0</v>
          </cell>
          <cell r="T105">
            <v>1</v>
          </cell>
          <cell r="U105">
            <v>1</v>
          </cell>
          <cell r="V105">
            <v>0</v>
          </cell>
          <cell r="W105">
            <v>0</v>
          </cell>
          <cell r="X105">
            <v>0</v>
          </cell>
          <cell r="Y105">
            <v>12</v>
          </cell>
        </row>
        <row r="106">
          <cell r="A106" t="str">
            <v>A4244</v>
          </cell>
          <cell r="B106" t="str">
            <v>SITI FATIMATUZ ZAHROH</v>
          </cell>
          <cell r="C106">
            <v>1</v>
          </cell>
          <cell r="D106">
            <v>1</v>
          </cell>
          <cell r="E106">
            <v>1</v>
          </cell>
          <cell r="F106">
            <v>1</v>
          </cell>
          <cell r="G106">
            <v>1</v>
          </cell>
          <cell r="H106">
            <v>1</v>
          </cell>
          <cell r="I106">
            <v>0</v>
          </cell>
          <cell r="J106">
            <v>0</v>
          </cell>
          <cell r="K106">
            <v>1</v>
          </cell>
          <cell r="L106">
            <v>1</v>
          </cell>
          <cell r="M106">
            <v>1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1</v>
          </cell>
          <cell r="W106">
            <v>1</v>
          </cell>
          <cell r="X106">
            <v>1</v>
          </cell>
          <cell r="Y106">
            <v>12</v>
          </cell>
        </row>
        <row r="107">
          <cell r="A107" t="str">
            <v>A4270</v>
          </cell>
          <cell r="B107" t="str">
            <v>DELLA OXZA</v>
          </cell>
          <cell r="C107">
            <v>1</v>
          </cell>
          <cell r="D107">
            <v>1</v>
          </cell>
          <cell r="E107">
            <v>1</v>
          </cell>
          <cell r="F107">
            <v>1</v>
          </cell>
          <cell r="G107">
            <v>1</v>
          </cell>
          <cell r="H107">
            <v>1</v>
          </cell>
          <cell r="I107">
            <v>1</v>
          </cell>
          <cell r="J107">
            <v>1</v>
          </cell>
          <cell r="K107">
            <v>1</v>
          </cell>
          <cell r="L107">
            <v>1</v>
          </cell>
          <cell r="M107">
            <v>1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>
            <v>1</v>
          </cell>
          <cell r="U107">
            <v>1</v>
          </cell>
          <cell r="V107">
            <v>1</v>
          </cell>
          <cell r="W107">
            <v>1</v>
          </cell>
          <cell r="X107">
            <v>1</v>
          </cell>
          <cell r="Y107">
            <v>22</v>
          </cell>
        </row>
        <row r="108">
          <cell r="A108" t="str">
            <v>A4273</v>
          </cell>
          <cell r="B108" t="str">
            <v>RUTH TRIS KRISTIANTI</v>
          </cell>
          <cell r="C108">
            <v>1</v>
          </cell>
          <cell r="D108">
            <v>1</v>
          </cell>
          <cell r="E108">
            <v>1</v>
          </cell>
          <cell r="F108">
            <v>1</v>
          </cell>
          <cell r="G108">
            <v>1</v>
          </cell>
          <cell r="H108">
            <v>1</v>
          </cell>
          <cell r="I108">
            <v>1</v>
          </cell>
          <cell r="J108">
            <v>1</v>
          </cell>
          <cell r="K108">
            <v>1</v>
          </cell>
          <cell r="L108">
            <v>1</v>
          </cell>
          <cell r="M108">
            <v>1</v>
          </cell>
          <cell r="N108">
            <v>1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>
            <v>1</v>
          </cell>
          <cell r="U108">
            <v>1</v>
          </cell>
          <cell r="V108">
            <v>1</v>
          </cell>
          <cell r="W108">
            <v>1</v>
          </cell>
          <cell r="X108">
            <v>1</v>
          </cell>
          <cell r="Y108">
            <v>22</v>
          </cell>
        </row>
        <row r="109">
          <cell r="A109" t="str">
            <v>A4276</v>
          </cell>
          <cell r="B109" t="str">
            <v>UMMI AISYATUL LATIFAH ASARO</v>
          </cell>
          <cell r="C109">
            <v>1</v>
          </cell>
          <cell r="D109">
            <v>1</v>
          </cell>
          <cell r="E109">
            <v>1</v>
          </cell>
          <cell r="F109">
            <v>1</v>
          </cell>
          <cell r="G109">
            <v>1</v>
          </cell>
          <cell r="H109">
            <v>1</v>
          </cell>
          <cell r="I109">
            <v>1</v>
          </cell>
          <cell r="J109">
            <v>1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V109">
            <v>1</v>
          </cell>
          <cell r="W109">
            <v>0</v>
          </cell>
          <cell r="X109">
            <v>0</v>
          </cell>
          <cell r="Y109">
            <v>20</v>
          </cell>
        </row>
        <row r="110">
          <cell r="A110" t="str">
            <v>A4285</v>
          </cell>
          <cell r="B110" t="str">
            <v>VINO MUJAHIDIN</v>
          </cell>
          <cell r="C110">
            <v>1</v>
          </cell>
          <cell r="D110">
            <v>1</v>
          </cell>
          <cell r="E110">
            <v>1</v>
          </cell>
          <cell r="F110">
            <v>1</v>
          </cell>
          <cell r="G110">
            <v>1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  <cell r="L110">
            <v>1</v>
          </cell>
          <cell r="M110">
            <v>1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>
            <v>22</v>
          </cell>
        </row>
        <row r="111">
          <cell r="A111" t="str">
            <v>A4287</v>
          </cell>
          <cell r="B111" t="str">
            <v>FARA DHIYA HASFANA</v>
          </cell>
          <cell r="C111">
            <v>1</v>
          </cell>
          <cell r="D111">
            <v>1</v>
          </cell>
          <cell r="E111">
            <v>1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  <cell r="T111">
            <v>1</v>
          </cell>
          <cell r="U111">
            <v>1</v>
          </cell>
          <cell r="V111">
            <v>1</v>
          </cell>
          <cell r="W111">
            <v>1</v>
          </cell>
          <cell r="X111">
            <v>1</v>
          </cell>
          <cell r="Y111">
            <v>22</v>
          </cell>
        </row>
        <row r="112">
          <cell r="A112" t="str">
            <v>A4319</v>
          </cell>
          <cell r="B112" t="str">
            <v>FINA ARIMBI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1</v>
          </cell>
          <cell r="W112">
            <v>0</v>
          </cell>
          <cell r="X112">
            <v>1</v>
          </cell>
          <cell r="Y112">
            <v>3</v>
          </cell>
        </row>
        <row r="113">
          <cell r="A113" t="str">
            <v>A4320</v>
          </cell>
          <cell r="B113" t="str">
            <v>CARINA MONIQ ANADELLA</v>
          </cell>
          <cell r="C113">
            <v>1</v>
          </cell>
          <cell r="D113">
            <v>1</v>
          </cell>
          <cell r="E113">
            <v>1</v>
          </cell>
          <cell r="F113">
            <v>1</v>
          </cell>
          <cell r="G113">
            <v>1</v>
          </cell>
          <cell r="H113">
            <v>1</v>
          </cell>
          <cell r="I113">
            <v>0</v>
          </cell>
          <cell r="J113">
            <v>0</v>
          </cell>
          <cell r="K113">
            <v>1</v>
          </cell>
          <cell r="L113">
            <v>1</v>
          </cell>
          <cell r="M113">
            <v>1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20</v>
          </cell>
        </row>
        <row r="114">
          <cell r="A114" t="str">
            <v>A4321</v>
          </cell>
          <cell r="B114" t="str">
            <v>AULIA NUR AZIZAH</v>
          </cell>
          <cell r="C114">
            <v>1</v>
          </cell>
          <cell r="D114">
            <v>1</v>
          </cell>
          <cell r="E114">
            <v>1</v>
          </cell>
          <cell r="F114">
            <v>1</v>
          </cell>
          <cell r="G114">
            <v>1</v>
          </cell>
          <cell r="H114">
            <v>1</v>
          </cell>
          <cell r="I114">
            <v>1</v>
          </cell>
          <cell r="J114">
            <v>1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1</v>
          </cell>
          <cell r="Q114">
            <v>1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V114">
            <v>1</v>
          </cell>
          <cell r="W114">
            <v>1</v>
          </cell>
          <cell r="X114">
            <v>1</v>
          </cell>
          <cell r="Y114">
            <v>22</v>
          </cell>
        </row>
        <row r="115">
          <cell r="A115" t="str">
            <v>A4322</v>
          </cell>
          <cell r="B115" t="str">
            <v>AICO JUSU</v>
          </cell>
          <cell r="C115">
            <v>1</v>
          </cell>
          <cell r="D115">
            <v>1</v>
          </cell>
          <cell r="E115">
            <v>1</v>
          </cell>
          <cell r="F115">
            <v>1</v>
          </cell>
          <cell r="G115">
            <v>1</v>
          </cell>
          <cell r="H115">
            <v>1</v>
          </cell>
          <cell r="I115">
            <v>1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1</v>
          </cell>
          <cell r="O115">
            <v>1</v>
          </cell>
          <cell r="P115">
            <v>1</v>
          </cell>
          <cell r="Q115">
            <v>1</v>
          </cell>
          <cell r="R115">
            <v>1</v>
          </cell>
          <cell r="S115">
            <v>1</v>
          </cell>
          <cell r="T115">
            <v>1</v>
          </cell>
          <cell r="U115">
            <v>1</v>
          </cell>
          <cell r="V115">
            <v>1</v>
          </cell>
          <cell r="W115">
            <v>1</v>
          </cell>
          <cell r="X115">
            <v>1</v>
          </cell>
          <cell r="Y115">
            <v>22</v>
          </cell>
        </row>
        <row r="116">
          <cell r="A116" t="str">
            <v>A4323</v>
          </cell>
          <cell r="B116" t="str">
            <v>ROHEDI ANNISA WIJAYANTI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0</v>
          </cell>
          <cell r="L116">
            <v>0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20</v>
          </cell>
        </row>
        <row r="117">
          <cell r="A117" t="str">
            <v>A4324</v>
          </cell>
          <cell r="B117" t="str">
            <v>MARIA CESHA PUTRIAWAN</v>
          </cell>
          <cell r="C117">
            <v>1</v>
          </cell>
          <cell r="D117">
            <v>1</v>
          </cell>
          <cell r="E117">
            <v>1</v>
          </cell>
          <cell r="F117">
            <v>1</v>
          </cell>
          <cell r="G117">
            <v>1</v>
          </cell>
          <cell r="H117">
            <v>0</v>
          </cell>
          <cell r="I117">
            <v>1</v>
          </cell>
          <cell r="J117">
            <v>1</v>
          </cell>
          <cell r="K117">
            <v>0</v>
          </cell>
          <cell r="L117">
            <v>0</v>
          </cell>
          <cell r="M117">
            <v>0</v>
          </cell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V117">
            <v>1</v>
          </cell>
          <cell r="W117">
            <v>1</v>
          </cell>
          <cell r="X117">
            <v>1</v>
          </cell>
          <cell r="Y117">
            <v>18</v>
          </cell>
        </row>
        <row r="118">
          <cell r="A118" t="str">
            <v>A4325</v>
          </cell>
          <cell r="B118" t="str">
            <v>SHAFA KANDRAYU</v>
          </cell>
          <cell r="C118">
            <v>1</v>
          </cell>
          <cell r="D118">
            <v>1</v>
          </cell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0</v>
          </cell>
          <cell r="X118">
            <v>1</v>
          </cell>
          <cell r="Y118">
            <v>21</v>
          </cell>
        </row>
        <row r="119">
          <cell r="A119" t="str">
            <v>A4326</v>
          </cell>
          <cell r="B119" t="str">
            <v>ASTIRA NOVANTARA</v>
          </cell>
          <cell r="C119">
            <v>1</v>
          </cell>
          <cell r="D119">
            <v>1</v>
          </cell>
          <cell r="E119">
            <v>1</v>
          </cell>
          <cell r="F119">
            <v>1</v>
          </cell>
          <cell r="G119">
            <v>1</v>
          </cell>
          <cell r="H119">
            <v>1</v>
          </cell>
          <cell r="I119">
            <v>1</v>
          </cell>
          <cell r="J119">
            <v>1</v>
          </cell>
          <cell r="K119">
            <v>1</v>
          </cell>
          <cell r="L119">
            <v>1</v>
          </cell>
          <cell r="M119">
            <v>1</v>
          </cell>
          <cell r="N119">
            <v>0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21</v>
          </cell>
        </row>
        <row r="120">
          <cell r="A120" t="str">
            <v>A4341</v>
          </cell>
          <cell r="B120" t="str">
            <v>RIZA ULHIDAYAH</v>
          </cell>
          <cell r="C120">
            <v>1</v>
          </cell>
          <cell r="D120">
            <v>1</v>
          </cell>
          <cell r="E120">
            <v>1</v>
          </cell>
          <cell r="F120">
            <v>1</v>
          </cell>
          <cell r="G120">
            <v>1</v>
          </cell>
          <cell r="H120">
            <v>1</v>
          </cell>
          <cell r="I120">
            <v>1</v>
          </cell>
          <cell r="J120">
            <v>1</v>
          </cell>
          <cell r="K120">
            <v>1</v>
          </cell>
          <cell r="L120">
            <v>1</v>
          </cell>
          <cell r="M120">
            <v>1</v>
          </cell>
          <cell r="N120">
            <v>1</v>
          </cell>
          <cell r="O120">
            <v>1</v>
          </cell>
          <cell r="P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X120">
            <v>1</v>
          </cell>
          <cell r="Y120">
            <v>22</v>
          </cell>
        </row>
        <row r="121">
          <cell r="A121" t="str">
            <v>A4344</v>
          </cell>
          <cell r="B121" t="str">
            <v>MUHAMMAD RANDY FIRMANSYAH</v>
          </cell>
          <cell r="C121">
            <v>1</v>
          </cell>
          <cell r="D121">
            <v>1</v>
          </cell>
          <cell r="E121">
            <v>0</v>
          </cell>
          <cell r="F121">
            <v>1</v>
          </cell>
          <cell r="G121">
            <v>1</v>
          </cell>
          <cell r="H121">
            <v>0</v>
          </cell>
          <cell r="I121">
            <v>1</v>
          </cell>
          <cell r="J121">
            <v>1</v>
          </cell>
          <cell r="K121">
            <v>1</v>
          </cell>
          <cell r="L121">
            <v>1</v>
          </cell>
          <cell r="M121">
            <v>1</v>
          </cell>
          <cell r="N121">
            <v>1</v>
          </cell>
          <cell r="O121">
            <v>1</v>
          </cell>
          <cell r="P121">
            <v>0</v>
          </cell>
          <cell r="Q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</v>
          </cell>
          <cell r="Y121">
            <v>19</v>
          </cell>
        </row>
        <row r="122">
          <cell r="A122" t="str">
            <v>A4363</v>
          </cell>
          <cell r="B122" t="str">
            <v>RINA IKA LESTARI</v>
          </cell>
          <cell r="C122">
            <v>1</v>
          </cell>
          <cell r="D122">
            <v>1</v>
          </cell>
          <cell r="E122">
            <v>1</v>
          </cell>
          <cell r="F122">
            <v>1</v>
          </cell>
          <cell r="G122">
            <v>1</v>
          </cell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1</v>
          </cell>
          <cell r="M122">
            <v>1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0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21</v>
          </cell>
        </row>
        <row r="123">
          <cell r="A123" t="str">
            <v>A4364</v>
          </cell>
          <cell r="B123" t="str">
            <v>MUHAMMAD RAIHANDRA</v>
          </cell>
          <cell r="C123">
            <v>1</v>
          </cell>
          <cell r="D123">
            <v>1</v>
          </cell>
          <cell r="E123">
            <v>1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1</v>
          </cell>
          <cell r="Q123">
            <v>1</v>
          </cell>
          <cell r="R123">
            <v>1</v>
          </cell>
          <cell r="S123">
            <v>1</v>
          </cell>
          <cell r="T123">
            <v>1</v>
          </cell>
          <cell r="U123">
            <v>1</v>
          </cell>
          <cell r="V123">
            <v>1</v>
          </cell>
          <cell r="W123">
            <v>1</v>
          </cell>
          <cell r="X123">
            <v>1</v>
          </cell>
          <cell r="Y123">
            <v>22</v>
          </cell>
        </row>
        <row r="124">
          <cell r="A124" t="str">
            <v>A4366</v>
          </cell>
          <cell r="B124" t="str">
            <v>RISKA KRISTIANA</v>
          </cell>
          <cell r="C124">
            <v>1</v>
          </cell>
          <cell r="D124">
            <v>1</v>
          </cell>
          <cell r="E124">
            <v>1</v>
          </cell>
          <cell r="F124">
            <v>1</v>
          </cell>
          <cell r="G124">
            <v>1</v>
          </cell>
          <cell r="H124">
            <v>1</v>
          </cell>
          <cell r="I124">
            <v>1</v>
          </cell>
          <cell r="J124">
            <v>1</v>
          </cell>
          <cell r="K124">
            <v>1</v>
          </cell>
          <cell r="L124">
            <v>1</v>
          </cell>
          <cell r="M124">
            <v>1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1</v>
          </cell>
          <cell r="S124">
            <v>1</v>
          </cell>
          <cell r="T124">
            <v>0</v>
          </cell>
          <cell r="U124">
            <v>1</v>
          </cell>
          <cell r="V124">
            <v>1</v>
          </cell>
          <cell r="W124">
            <v>1</v>
          </cell>
          <cell r="X124">
            <v>1</v>
          </cell>
          <cell r="Y124">
            <v>21</v>
          </cell>
        </row>
        <row r="125">
          <cell r="A125" t="str">
            <v>A4367</v>
          </cell>
          <cell r="B125" t="str">
            <v>SISWI HARDIYANTI RUKMANA DEWI</v>
          </cell>
          <cell r="C125">
            <v>1</v>
          </cell>
          <cell r="D125">
            <v>1</v>
          </cell>
          <cell r="E125">
            <v>1</v>
          </cell>
          <cell r="F125">
            <v>1</v>
          </cell>
          <cell r="G125">
            <v>1</v>
          </cell>
          <cell r="H125">
            <v>1</v>
          </cell>
          <cell r="I125">
            <v>1</v>
          </cell>
          <cell r="J125">
            <v>1</v>
          </cell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22</v>
          </cell>
        </row>
        <row r="126">
          <cell r="A126" t="str">
            <v>A4369</v>
          </cell>
          <cell r="B126" t="str">
            <v>AULIA PUTRI WULANDARI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1</v>
          </cell>
          <cell r="M126">
            <v>0</v>
          </cell>
          <cell r="N126">
            <v>1</v>
          </cell>
          <cell r="O126">
            <v>1</v>
          </cell>
          <cell r="P126">
            <v>1</v>
          </cell>
          <cell r="Q126">
            <v>1</v>
          </cell>
          <cell r="R126">
            <v>1</v>
          </cell>
          <cell r="S126">
            <v>1</v>
          </cell>
          <cell r="T126">
            <v>1</v>
          </cell>
          <cell r="U126">
            <v>1</v>
          </cell>
          <cell r="V126">
            <v>1</v>
          </cell>
          <cell r="W126">
            <v>1</v>
          </cell>
          <cell r="X126">
            <v>0</v>
          </cell>
          <cell r="Y126">
            <v>20</v>
          </cell>
        </row>
        <row r="127">
          <cell r="A127" t="str">
            <v>A4382</v>
          </cell>
          <cell r="B127" t="str">
            <v>YESSHIS FAYN</v>
          </cell>
          <cell r="C127">
            <v>1</v>
          </cell>
          <cell r="D127">
            <v>0</v>
          </cell>
          <cell r="E127">
            <v>1</v>
          </cell>
          <cell r="F127">
            <v>0</v>
          </cell>
          <cell r="G127">
            <v>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3</v>
          </cell>
        </row>
        <row r="128">
          <cell r="A128" t="str">
            <v>A4383</v>
          </cell>
          <cell r="B128" t="str">
            <v>MOHAMMAD ADIB ABDUL JALIL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0</v>
          </cell>
          <cell r="H128">
            <v>0</v>
          </cell>
          <cell r="I128">
            <v>1</v>
          </cell>
          <cell r="J128">
            <v>1</v>
          </cell>
          <cell r="K128">
            <v>1</v>
          </cell>
          <cell r="L128">
            <v>1</v>
          </cell>
          <cell r="M128">
            <v>0</v>
          </cell>
          <cell r="N128">
            <v>1</v>
          </cell>
          <cell r="O128">
            <v>1</v>
          </cell>
          <cell r="P128">
            <v>1</v>
          </cell>
          <cell r="Q128">
            <v>1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1</v>
          </cell>
          <cell r="W128">
            <v>1</v>
          </cell>
          <cell r="X128">
            <v>1</v>
          </cell>
          <cell r="Y128">
            <v>15</v>
          </cell>
        </row>
        <row r="129">
          <cell r="A129" t="str">
            <v>A4385</v>
          </cell>
          <cell r="B129" t="str">
            <v>ANANDA AYU LESTARI</v>
          </cell>
          <cell r="C129">
            <v>1</v>
          </cell>
          <cell r="D129">
            <v>0</v>
          </cell>
          <cell r="E129">
            <v>1</v>
          </cell>
          <cell r="F129">
            <v>0</v>
          </cell>
          <cell r="G129">
            <v>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3</v>
          </cell>
        </row>
        <row r="130">
          <cell r="A130" t="str">
            <v>A4405</v>
          </cell>
          <cell r="B130" t="str">
            <v>SALWA AYU WIGATI</v>
          </cell>
          <cell r="C130">
            <v>1</v>
          </cell>
          <cell r="D130">
            <v>1</v>
          </cell>
          <cell r="E130">
            <v>1</v>
          </cell>
          <cell r="F130">
            <v>1</v>
          </cell>
          <cell r="G130">
            <v>1</v>
          </cell>
          <cell r="H130">
            <v>1</v>
          </cell>
          <cell r="I130">
            <v>1</v>
          </cell>
          <cell r="J130">
            <v>1</v>
          </cell>
          <cell r="K130">
            <v>1</v>
          </cell>
          <cell r="L130">
            <v>1</v>
          </cell>
          <cell r="M130">
            <v>1</v>
          </cell>
          <cell r="N130">
            <v>1</v>
          </cell>
          <cell r="O130">
            <v>1</v>
          </cell>
          <cell r="P130">
            <v>1</v>
          </cell>
          <cell r="Q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V130">
            <v>1</v>
          </cell>
          <cell r="W130">
            <v>1</v>
          </cell>
          <cell r="X130">
            <v>0</v>
          </cell>
          <cell r="Y130">
            <v>21</v>
          </cell>
        </row>
        <row r="131">
          <cell r="A131" t="str">
            <v>A4408</v>
          </cell>
          <cell r="B131" t="str">
            <v>VALENTINUS DICKY</v>
          </cell>
          <cell r="C131">
            <v>0</v>
          </cell>
          <cell r="D131">
            <v>0</v>
          </cell>
          <cell r="E131">
            <v>0</v>
          </cell>
          <cell r="F131">
            <v>1</v>
          </cell>
          <cell r="G131">
            <v>0</v>
          </cell>
          <cell r="H131">
            <v>1</v>
          </cell>
          <cell r="I131">
            <v>0</v>
          </cell>
          <cell r="J131">
            <v>0</v>
          </cell>
          <cell r="K131">
            <v>0</v>
          </cell>
          <cell r="L131">
            <v>1</v>
          </cell>
          <cell r="M131">
            <v>1</v>
          </cell>
          <cell r="N131">
            <v>0</v>
          </cell>
          <cell r="O131">
            <v>1</v>
          </cell>
          <cell r="P131">
            <v>0</v>
          </cell>
          <cell r="Q131">
            <v>0</v>
          </cell>
          <cell r="R131">
            <v>0</v>
          </cell>
          <cell r="S131">
            <v>1</v>
          </cell>
          <cell r="T131">
            <v>0</v>
          </cell>
          <cell r="U131">
            <v>1</v>
          </cell>
          <cell r="V131">
            <v>0</v>
          </cell>
          <cell r="W131">
            <v>0</v>
          </cell>
          <cell r="X131">
            <v>1</v>
          </cell>
          <cell r="Y131">
            <v>8</v>
          </cell>
        </row>
        <row r="132">
          <cell r="A132" t="str">
            <v>A4419</v>
          </cell>
          <cell r="B132" t="str">
            <v>MICHAELA YUDHISTA</v>
          </cell>
          <cell r="C132">
            <v>1</v>
          </cell>
          <cell r="D132">
            <v>0</v>
          </cell>
          <cell r="E132">
            <v>1</v>
          </cell>
          <cell r="F132">
            <v>0</v>
          </cell>
          <cell r="G132">
            <v>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3</v>
          </cell>
        </row>
        <row r="133">
          <cell r="A133" t="str">
            <v>A4422</v>
          </cell>
          <cell r="B133" t="str">
            <v>NUR SABILA</v>
          </cell>
          <cell r="C133">
            <v>1</v>
          </cell>
          <cell r="D133">
            <v>1</v>
          </cell>
          <cell r="E133">
            <v>1</v>
          </cell>
          <cell r="F133">
            <v>1</v>
          </cell>
          <cell r="G133">
            <v>1</v>
          </cell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1</v>
          </cell>
          <cell r="M133">
            <v>1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1</v>
          </cell>
          <cell r="T133">
            <v>1</v>
          </cell>
          <cell r="U133">
            <v>1</v>
          </cell>
          <cell r="V133">
            <v>1</v>
          </cell>
          <cell r="W133">
            <v>1</v>
          </cell>
          <cell r="X133">
            <v>1</v>
          </cell>
          <cell r="Y133">
            <v>20</v>
          </cell>
        </row>
        <row r="134">
          <cell r="A134" t="str">
            <v>A4423</v>
          </cell>
          <cell r="B134" t="str">
            <v>CHOIRUNISA ADILIA SURYANI</v>
          </cell>
          <cell r="C134">
            <v>1</v>
          </cell>
          <cell r="D134">
            <v>0</v>
          </cell>
          <cell r="E134">
            <v>1</v>
          </cell>
          <cell r="F134">
            <v>1</v>
          </cell>
          <cell r="G134">
            <v>0</v>
          </cell>
          <cell r="H134">
            <v>1</v>
          </cell>
          <cell r="I134">
            <v>1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1</v>
          </cell>
          <cell r="P134">
            <v>1</v>
          </cell>
          <cell r="Q134">
            <v>1</v>
          </cell>
          <cell r="R134">
            <v>1</v>
          </cell>
          <cell r="S134">
            <v>1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10</v>
          </cell>
        </row>
        <row r="135">
          <cell r="A135" t="str">
            <v>A4425</v>
          </cell>
          <cell r="B135" t="str">
            <v>FITTA MARDHI YANTI</v>
          </cell>
          <cell r="C135">
            <v>0</v>
          </cell>
          <cell r="D135">
            <v>0</v>
          </cell>
          <cell r="E135">
            <v>1</v>
          </cell>
          <cell r="F135">
            <v>0</v>
          </cell>
          <cell r="G135">
            <v>1</v>
          </cell>
          <cell r="H135">
            <v>0</v>
          </cell>
          <cell r="I135">
            <v>1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1</v>
          </cell>
          <cell r="U135">
            <v>0</v>
          </cell>
          <cell r="V135">
            <v>1</v>
          </cell>
          <cell r="W135">
            <v>1</v>
          </cell>
          <cell r="X135">
            <v>1</v>
          </cell>
          <cell r="Y135">
            <v>7</v>
          </cell>
        </row>
        <row r="136">
          <cell r="A136" t="str">
            <v>A4437</v>
          </cell>
          <cell r="B136" t="str">
            <v>MUHAMMAD ILZAM</v>
          </cell>
          <cell r="C136">
            <v>1</v>
          </cell>
          <cell r="D136">
            <v>1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0</v>
          </cell>
          <cell r="J136">
            <v>1</v>
          </cell>
          <cell r="K136">
            <v>0</v>
          </cell>
          <cell r="L136">
            <v>1</v>
          </cell>
          <cell r="M136">
            <v>1</v>
          </cell>
          <cell r="N136">
            <v>1</v>
          </cell>
          <cell r="O136">
            <v>1</v>
          </cell>
          <cell r="P136">
            <v>1</v>
          </cell>
          <cell r="Q136">
            <v>1</v>
          </cell>
          <cell r="R136">
            <v>1</v>
          </cell>
          <cell r="S136">
            <v>1</v>
          </cell>
          <cell r="T136">
            <v>1</v>
          </cell>
          <cell r="U136">
            <v>1</v>
          </cell>
          <cell r="V136">
            <v>1</v>
          </cell>
          <cell r="W136">
            <v>1</v>
          </cell>
          <cell r="X136">
            <v>1</v>
          </cell>
          <cell r="Y136">
            <v>20</v>
          </cell>
        </row>
        <row r="137">
          <cell r="A137" t="str">
            <v>A4439</v>
          </cell>
          <cell r="B137" t="str">
            <v>PIERINA PRIMA UTOMO</v>
          </cell>
          <cell r="C137">
            <v>1</v>
          </cell>
          <cell r="D137">
            <v>0</v>
          </cell>
          <cell r="E137">
            <v>1</v>
          </cell>
          <cell r="F137">
            <v>0</v>
          </cell>
          <cell r="G137">
            <v>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1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4</v>
          </cell>
        </row>
        <row r="138">
          <cell r="A138" t="str">
            <v>A4447</v>
          </cell>
          <cell r="B138" t="str">
            <v>ALETTA CHRISTABEL FENAN</v>
          </cell>
          <cell r="C138">
            <v>1</v>
          </cell>
          <cell r="D138">
            <v>0</v>
          </cell>
          <cell r="E138">
            <v>0</v>
          </cell>
          <cell r="F138">
            <v>1</v>
          </cell>
          <cell r="G138">
            <v>1</v>
          </cell>
          <cell r="H138">
            <v>0</v>
          </cell>
          <cell r="I138">
            <v>1</v>
          </cell>
          <cell r="J138">
            <v>1</v>
          </cell>
          <cell r="K138">
            <v>1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1</v>
          </cell>
          <cell r="R138">
            <v>1</v>
          </cell>
          <cell r="S138">
            <v>1</v>
          </cell>
          <cell r="T138">
            <v>0</v>
          </cell>
          <cell r="U138">
            <v>0</v>
          </cell>
          <cell r="V138">
            <v>1</v>
          </cell>
          <cell r="W138">
            <v>0</v>
          </cell>
          <cell r="X138">
            <v>1</v>
          </cell>
          <cell r="Y138">
            <v>11</v>
          </cell>
        </row>
        <row r="139">
          <cell r="A139" t="str">
            <v>A4448</v>
          </cell>
          <cell r="B139" t="str">
            <v>MARIA INTAN PRAMESWARI</v>
          </cell>
          <cell r="C139">
            <v>0</v>
          </cell>
          <cell r="D139">
            <v>1</v>
          </cell>
          <cell r="E139">
            <v>1</v>
          </cell>
          <cell r="F139">
            <v>0</v>
          </cell>
          <cell r="G139">
            <v>1</v>
          </cell>
          <cell r="H139">
            <v>0</v>
          </cell>
          <cell r="I139">
            <v>1</v>
          </cell>
          <cell r="J139">
            <v>1</v>
          </cell>
          <cell r="K139">
            <v>0</v>
          </cell>
          <cell r="L139">
            <v>1</v>
          </cell>
          <cell r="M139">
            <v>0</v>
          </cell>
          <cell r="N139">
            <v>1</v>
          </cell>
          <cell r="O139">
            <v>0</v>
          </cell>
          <cell r="P139">
            <v>0</v>
          </cell>
          <cell r="Q139">
            <v>1</v>
          </cell>
          <cell r="R139">
            <v>1</v>
          </cell>
          <cell r="S139">
            <v>1</v>
          </cell>
          <cell r="T139">
            <v>0</v>
          </cell>
          <cell r="U139">
            <v>1</v>
          </cell>
          <cell r="V139">
            <v>1</v>
          </cell>
          <cell r="W139">
            <v>0</v>
          </cell>
          <cell r="X139">
            <v>0</v>
          </cell>
          <cell r="Y139">
            <v>12</v>
          </cell>
        </row>
        <row r="140">
          <cell r="A140" t="str">
            <v>A4451</v>
          </cell>
          <cell r="B140" t="str">
            <v>HUSNIYA TAZKIYA AZZAHRA</v>
          </cell>
          <cell r="C140">
            <v>0</v>
          </cell>
          <cell r="D140">
            <v>1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J140">
            <v>1</v>
          </cell>
          <cell r="K140">
            <v>1</v>
          </cell>
          <cell r="L140">
            <v>1</v>
          </cell>
          <cell r="M140">
            <v>0</v>
          </cell>
          <cell r="N140">
            <v>1</v>
          </cell>
          <cell r="O140">
            <v>1</v>
          </cell>
          <cell r="P140">
            <v>1</v>
          </cell>
          <cell r="Q140">
            <v>1</v>
          </cell>
          <cell r="R140">
            <v>1</v>
          </cell>
          <cell r="S140">
            <v>1</v>
          </cell>
          <cell r="T140">
            <v>1</v>
          </cell>
          <cell r="U140">
            <v>1</v>
          </cell>
          <cell r="V140">
            <v>1</v>
          </cell>
          <cell r="W140">
            <v>1</v>
          </cell>
          <cell r="X140">
            <v>0</v>
          </cell>
          <cell r="Y140">
            <v>19</v>
          </cell>
        </row>
        <row r="141">
          <cell r="A141" t="str">
            <v>A4468</v>
          </cell>
          <cell r="B141" t="str">
            <v>CHAIRUNNISA RIZQI NUGRAHANTI</v>
          </cell>
          <cell r="C141">
            <v>1</v>
          </cell>
          <cell r="D141">
            <v>1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0</v>
          </cell>
          <cell r="M141">
            <v>0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0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0</v>
          </cell>
          <cell r="Y141">
            <v>18</v>
          </cell>
        </row>
        <row r="142">
          <cell r="A142" t="str">
            <v>A4469</v>
          </cell>
          <cell r="B142" t="str">
            <v>ADHIKA PUTRI MAHARANI</v>
          </cell>
          <cell r="C142">
            <v>1</v>
          </cell>
          <cell r="D142">
            <v>1</v>
          </cell>
          <cell r="E142">
            <v>1</v>
          </cell>
          <cell r="F142">
            <v>1</v>
          </cell>
          <cell r="G142">
            <v>1</v>
          </cell>
          <cell r="H142">
            <v>0</v>
          </cell>
          <cell r="I142">
            <v>1</v>
          </cell>
          <cell r="J142">
            <v>1</v>
          </cell>
          <cell r="K142">
            <v>0</v>
          </cell>
          <cell r="L142">
            <v>0</v>
          </cell>
          <cell r="M142">
            <v>1</v>
          </cell>
          <cell r="N142">
            <v>0</v>
          </cell>
          <cell r="O142">
            <v>1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11</v>
          </cell>
        </row>
        <row r="143">
          <cell r="A143" t="str">
            <v>A4470</v>
          </cell>
          <cell r="B143" t="str">
            <v>SYARIFATUL MUKAROMAH</v>
          </cell>
          <cell r="C143">
            <v>1</v>
          </cell>
          <cell r="D143">
            <v>1</v>
          </cell>
          <cell r="E143">
            <v>1</v>
          </cell>
          <cell r="F143">
            <v>1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1</v>
          </cell>
          <cell r="L143">
            <v>1</v>
          </cell>
          <cell r="M143">
            <v>1</v>
          </cell>
          <cell r="N143">
            <v>1</v>
          </cell>
          <cell r="O143">
            <v>1</v>
          </cell>
          <cell r="P143">
            <v>1</v>
          </cell>
          <cell r="Q143">
            <v>1</v>
          </cell>
          <cell r="R143">
            <v>1</v>
          </cell>
          <cell r="S143">
            <v>1</v>
          </cell>
          <cell r="T143">
            <v>1</v>
          </cell>
          <cell r="U143">
            <v>1</v>
          </cell>
          <cell r="V143">
            <v>1</v>
          </cell>
          <cell r="W143">
            <v>1</v>
          </cell>
          <cell r="X143">
            <v>1</v>
          </cell>
          <cell r="Y143">
            <v>18</v>
          </cell>
        </row>
        <row r="144">
          <cell r="A144" t="str">
            <v>A4471</v>
          </cell>
          <cell r="B144" t="str">
            <v>DWIYAN MAHARANI MUTIARA FIRDAUS</v>
          </cell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1</v>
          </cell>
          <cell r="Q144">
            <v>1</v>
          </cell>
          <cell r="R144">
            <v>1</v>
          </cell>
          <cell r="S144">
            <v>1</v>
          </cell>
          <cell r="T144">
            <v>1</v>
          </cell>
          <cell r="U144">
            <v>1</v>
          </cell>
          <cell r="V144">
            <v>1</v>
          </cell>
          <cell r="W144">
            <v>1</v>
          </cell>
          <cell r="X144">
            <v>0</v>
          </cell>
          <cell r="Y144">
            <v>21</v>
          </cell>
        </row>
        <row r="145">
          <cell r="A145" t="str">
            <v>A4450</v>
          </cell>
          <cell r="B145" t="str">
            <v>ADINDA NURMALITA YULIYANTI</v>
          </cell>
          <cell r="C145">
            <v>1</v>
          </cell>
          <cell r="D145">
            <v>1</v>
          </cell>
          <cell r="E145">
            <v>1</v>
          </cell>
          <cell r="F145">
            <v>1</v>
          </cell>
          <cell r="G145">
            <v>1</v>
          </cell>
          <cell r="H145">
            <v>0</v>
          </cell>
          <cell r="I145">
            <v>1</v>
          </cell>
          <cell r="J145">
            <v>0</v>
          </cell>
          <cell r="K145">
            <v>1</v>
          </cell>
          <cell r="L145">
            <v>1</v>
          </cell>
          <cell r="M145">
            <v>1</v>
          </cell>
          <cell r="N145">
            <v>1</v>
          </cell>
          <cell r="O145">
            <v>1</v>
          </cell>
          <cell r="P145">
            <v>1</v>
          </cell>
          <cell r="Q145">
            <v>1</v>
          </cell>
          <cell r="R145">
            <v>1</v>
          </cell>
          <cell r="S145">
            <v>0</v>
          </cell>
          <cell r="T145">
            <v>1</v>
          </cell>
          <cell r="U145">
            <v>0</v>
          </cell>
          <cell r="V145">
            <v>1</v>
          </cell>
          <cell r="W145">
            <v>1</v>
          </cell>
          <cell r="X145">
            <v>1</v>
          </cell>
          <cell r="Y145">
            <v>18</v>
          </cell>
        </row>
        <row r="146">
          <cell r="A146" t="str">
            <v>A4449</v>
          </cell>
          <cell r="B146" t="str">
            <v>HERNANDA NUR RAHMAWATI</v>
          </cell>
          <cell r="C146">
            <v>1</v>
          </cell>
          <cell r="D146">
            <v>1</v>
          </cell>
          <cell r="E146">
            <v>1</v>
          </cell>
          <cell r="F146">
            <v>0</v>
          </cell>
          <cell r="G146">
            <v>1</v>
          </cell>
          <cell r="H146">
            <v>1</v>
          </cell>
          <cell r="I146">
            <v>1</v>
          </cell>
          <cell r="J146">
            <v>1</v>
          </cell>
          <cell r="K146">
            <v>1</v>
          </cell>
          <cell r="L146">
            <v>0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0</v>
          </cell>
          <cell r="V146">
            <v>1</v>
          </cell>
          <cell r="W146">
            <v>1</v>
          </cell>
          <cell r="X146">
            <v>1</v>
          </cell>
          <cell r="Y146">
            <v>19</v>
          </cell>
        </row>
        <row r="147">
          <cell r="A147" t="str">
            <v>A3326</v>
          </cell>
          <cell r="B147" t="str">
            <v>DISA PUTRI HAPSARI</v>
          </cell>
          <cell r="C147">
            <v>1</v>
          </cell>
          <cell r="D147">
            <v>0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1</v>
          </cell>
          <cell r="N147">
            <v>0</v>
          </cell>
          <cell r="O147">
            <v>0</v>
          </cell>
          <cell r="P147">
            <v>1</v>
          </cell>
          <cell r="Q147">
            <v>1</v>
          </cell>
          <cell r="R147">
            <v>1</v>
          </cell>
          <cell r="S147">
            <v>0</v>
          </cell>
          <cell r="T147">
            <v>1</v>
          </cell>
          <cell r="U147">
            <v>1</v>
          </cell>
          <cell r="V147">
            <v>1</v>
          </cell>
          <cell r="W147">
            <v>0</v>
          </cell>
          <cell r="X147">
            <v>1</v>
          </cell>
          <cell r="Y147">
            <v>17</v>
          </cell>
        </row>
        <row r="148">
          <cell r="A148" t="str">
            <v>A4490</v>
          </cell>
          <cell r="B148" t="str">
            <v>RAHMA TRIANDITA ATMAJA</v>
          </cell>
          <cell r="C148">
            <v>1</v>
          </cell>
          <cell r="D148">
            <v>1</v>
          </cell>
          <cell r="E148">
            <v>1</v>
          </cell>
          <cell r="F148">
            <v>1</v>
          </cell>
          <cell r="G148">
            <v>0</v>
          </cell>
          <cell r="H148">
            <v>0</v>
          </cell>
          <cell r="I148">
            <v>1</v>
          </cell>
          <cell r="J148">
            <v>1</v>
          </cell>
          <cell r="K148">
            <v>1</v>
          </cell>
          <cell r="L148">
            <v>1</v>
          </cell>
          <cell r="M148">
            <v>1</v>
          </cell>
          <cell r="N148">
            <v>1</v>
          </cell>
          <cell r="O148">
            <v>1</v>
          </cell>
          <cell r="P148">
            <v>1</v>
          </cell>
          <cell r="Q148">
            <v>1</v>
          </cell>
          <cell r="R148">
            <v>1</v>
          </cell>
          <cell r="S148">
            <v>1</v>
          </cell>
          <cell r="T148">
            <v>1</v>
          </cell>
          <cell r="U148">
            <v>1</v>
          </cell>
          <cell r="V148">
            <v>1</v>
          </cell>
          <cell r="W148">
            <v>1</v>
          </cell>
          <cell r="X148">
            <v>0</v>
          </cell>
          <cell r="Y148">
            <v>19</v>
          </cell>
        </row>
        <row r="149">
          <cell r="A149" t="str">
            <v>A4492</v>
          </cell>
          <cell r="B149" t="str">
            <v>AAN NUGRAH ANDIANG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1</v>
          </cell>
          <cell r="K149">
            <v>1</v>
          </cell>
          <cell r="L149">
            <v>1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1</v>
          </cell>
          <cell r="R149">
            <v>1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5</v>
          </cell>
        </row>
        <row r="150">
          <cell r="A150" t="str">
            <v>A4493</v>
          </cell>
          <cell r="B150" t="str">
            <v>SYALOM JORIGO</v>
          </cell>
          <cell r="C150">
            <v>0</v>
          </cell>
          <cell r="D150">
            <v>1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1</v>
          </cell>
          <cell r="L150">
            <v>1</v>
          </cell>
          <cell r="M150">
            <v>1</v>
          </cell>
          <cell r="N150">
            <v>0</v>
          </cell>
          <cell r="O150">
            <v>1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1</v>
          </cell>
          <cell r="U150">
            <v>1</v>
          </cell>
          <cell r="V150">
            <v>1</v>
          </cell>
          <cell r="W150">
            <v>1</v>
          </cell>
          <cell r="X150">
            <v>0</v>
          </cell>
          <cell r="Y150">
            <v>9</v>
          </cell>
        </row>
        <row r="151">
          <cell r="A151" t="str">
            <v>A4494</v>
          </cell>
          <cell r="B151" t="str">
            <v>INTAN SARI ALMASAH</v>
          </cell>
          <cell r="C151">
            <v>1</v>
          </cell>
          <cell r="D151">
            <v>1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1</v>
          </cell>
          <cell r="Q151">
            <v>1</v>
          </cell>
          <cell r="R151">
            <v>1</v>
          </cell>
          <cell r="S151">
            <v>0</v>
          </cell>
          <cell r="T151">
            <v>1</v>
          </cell>
          <cell r="U151">
            <v>1</v>
          </cell>
          <cell r="V151">
            <v>1</v>
          </cell>
          <cell r="W151">
            <v>1</v>
          </cell>
          <cell r="X151">
            <v>1</v>
          </cell>
          <cell r="Y151">
            <v>10</v>
          </cell>
        </row>
        <row r="152">
          <cell r="A152" t="str">
            <v>A4515</v>
          </cell>
          <cell r="B152" t="str">
            <v>TRIVENA WALELANG</v>
          </cell>
          <cell r="C152">
            <v>1</v>
          </cell>
          <cell r="D152">
            <v>0</v>
          </cell>
          <cell r="E152">
            <v>1</v>
          </cell>
          <cell r="F152">
            <v>1</v>
          </cell>
          <cell r="G152">
            <v>1</v>
          </cell>
          <cell r="H152">
            <v>0</v>
          </cell>
          <cell r="I152">
            <v>0</v>
          </cell>
          <cell r="J152">
            <v>1</v>
          </cell>
          <cell r="K152">
            <v>1</v>
          </cell>
          <cell r="L152">
            <v>1</v>
          </cell>
          <cell r="M152">
            <v>0</v>
          </cell>
          <cell r="N152">
            <v>0</v>
          </cell>
          <cell r="O152">
            <v>0</v>
          </cell>
          <cell r="P152">
            <v>1</v>
          </cell>
          <cell r="Q152">
            <v>0</v>
          </cell>
          <cell r="R152">
            <v>1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</v>
          </cell>
          <cell r="X152">
            <v>0</v>
          </cell>
          <cell r="Y152">
            <v>10</v>
          </cell>
        </row>
        <row r="153">
          <cell r="A153" t="str">
            <v>A4516</v>
          </cell>
          <cell r="B153" t="str">
            <v>KHARISMA INTAN</v>
          </cell>
          <cell r="C153">
            <v>1</v>
          </cell>
          <cell r="D153">
            <v>1</v>
          </cell>
          <cell r="E153">
            <v>1</v>
          </cell>
          <cell r="F153">
            <v>0</v>
          </cell>
          <cell r="G153">
            <v>1</v>
          </cell>
          <cell r="H153">
            <v>0</v>
          </cell>
          <cell r="I153">
            <v>0</v>
          </cell>
          <cell r="J153">
            <v>1</v>
          </cell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1</v>
          </cell>
          <cell r="V153">
            <v>1</v>
          </cell>
          <cell r="W153">
            <v>0</v>
          </cell>
          <cell r="X153">
            <v>1</v>
          </cell>
          <cell r="Y153">
            <v>18</v>
          </cell>
        </row>
        <row r="154">
          <cell r="A154" t="str">
            <v>A4517</v>
          </cell>
          <cell r="B154" t="str">
            <v>BRIGITA PUNDI</v>
          </cell>
          <cell r="C154">
            <v>1</v>
          </cell>
          <cell r="D154">
            <v>0</v>
          </cell>
          <cell r="E154">
            <v>1</v>
          </cell>
          <cell r="F154">
            <v>1</v>
          </cell>
          <cell r="G154">
            <v>1</v>
          </cell>
          <cell r="H154">
            <v>0</v>
          </cell>
          <cell r="I154">
            <v>0</v>
          </cell>
          <cell r="J154">
            <v>0</v>
          </cell>
          <cell r="K154">
            <v>1</v>
          </cell>
          <cell r="L154">
            <v>1</v>
          </cell>
          <cell r="M154">
            <v>1</v>
          </cell>
          <cell r="N154">
            <v>0</v>
          </cell>
          <cell r="O154">
            <v>1</v>
          </cell>
          <cell r="P154">
            <v>1</v>
          </cell>
          <cell r="Q154">
            <v>0</v>
          </cell>
          <cell r="R154">
            <v>1</v>
          </cell>
          <cell r="S154">
            <v>0</v>
          </cell>
          <cell r="T154">
            <v>1</v>
          </cell>
          <cell r="U154">
            <v>0</v>
          </cell>
          <cell r="V154">
            <v>1</v>
          </cell>
          <cell r="W154">
            <v>0</v>
          </cell>
          <cell r="X154">
            <v>0</v>
          </cell>
          <cell r="Y154">
            <v>12</v>
          </cell>
        </row>
        <row r="155">
          <cell r="A155" t="str">
            <v>A4518</v>
          </cell>
          <cell r="B155" t="str">
            <v>NUR NUGROHO</v>
          </cell>
          <cell r="C155">
            <v>0</v>
          </cell>
          <cell r="D155">
            <v>1</v>
          </cell>
          <cell r="E155">
            <v>0</v>
          </cell>
          <cell r="F155">
            <v>1</v>
          </cell>
          <cell r="G155">
            <v>0</v>
          </cell>
          <cell r="H155">
            <v>0</v>
          </cell>
          <cell r="I155">
            <v>0</v>
          </cell>
          <cell r="J155">
            <v>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1</v>
          </cell>
          <cell r="V155">
            <v>1</v>
          </cell>
          <cell r="W155">
            <v>0</v>
          </cell>
          <cell r="X155">
            <v>0</v>
          </cell>
          <cell r="Y155">
            <v>5</v>
          </cell>
        </row>
        <row r="156">
          <cell r="A156" t="str">
            <v>A4519</v>
          </cell>
          <cell r="B156" t="str">
            <v>YESI EKA KUMALA</v>
          </cell>
          <cell r="C156">
            <v>0</v>
          </cell>
          <cell r="D156">
            <v>0</v>
          </cell>
          <cell r="E156">
            <v>1</v>
          </cell>
          <cell r="F156">
            <v>1</v>
          </cell>
          <cell r="G156">
            <v>1</v>
          </cell>
          <cell r="H156">
            <v>1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4</v>
          </cell>
        </row>
        <row r="157">
          <cell r="A157" t="str">
            <v>A4549</v>
          </cell>
          <cell r="B157" t="str">
            <v>MARIA ANGGRIANI JEHAMU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0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9</v>
          </cell>
        </row>
        <row r="158">
          <cell r="A158" t="str">
            <v>A4550</v>
          </cell>
          <cell r="B158" t="str">
            <v>ANISCA ORCHIDYTA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4</v>
          </cell>
        </row>
        <row r="159">
          <cell r="A159" t="str">
            <v>A4551</v>
          </cell>
          <cell r="B159" t="str">
            <v>SHAVIRA NOVI SAFITRI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</v>
          </cell>
          <cell r="W159">
            <v>1</v>
          </cell>
          <cell r="X159">
            <v>0</v>
          </cell>
          <cell r="Y159">
            <v>2</v>
          </cell>
        </row>
        <row r="160">
          <cell r="A160" t="str">
            <v>A4552</v>
          </cell>
          <cell r="B160" t="str">
            <v>FANIA NURANISA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1</v>
          </cell>
          <cell r="O160">
            <v>1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>
            <v>0</v>
          </cell>
          <cell r="U160">
            <v>0</v>
          </cell>
          <cell r="V160">
            <v>1</v>
          </cell>
          <cell r="W160">
            <v>1</v>
          </cell>
          <cell r="X160">
            <v>0</v>
          </cell>
          <cell r="Y160">
            <v>8</v>
          </cell>
        </row>
        <row r="161">
          <cell r="A161" t="str">
            <v>A4553</v>
          </cell>
          <cell r="B161" t="str">
            <v>COSMETH ALBERTHO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1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1</v>
          </cell>
        </row>
        <row r="162">
          <cell r="A162" t="str">
            <v>A4554</v>
          </cell>
          <cell r="B162" t="str">
            <v>JILAN PUTRI RATU SASONGKO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1</v>
          </cell>
          <cell r="P162">
            <v>1</v>
          </cell>
          <cell r="Q162">
            <v>1</v>
          </cell>
          <cell r="R162">
            <v>1</v>
          </cell>
          <cell r="S162">
            <v>1</v>
          </cell>
          <cell r="T162">
            <v>0</v>
          </cell>
          <cell r="U162">
            <v>0</v>
          </cell>
          <cell r="V162">
            <v>0</v>
          </cell>
          <cell r="W162">
            <v>1</v>
          </cell>
          <cell r="X162">
            <v>0</v>
          </cell>
          <cell r="Y162">
            <v>6</v>
          </cell>
        </row>
        <row r="163">
          <cell r="A163" t="str">
            <v>A4555</v>
          </cell>
          <cell r="B163" t="str">
            <v>RICO ARDYA KUSUMA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1</v>
          </cell>
          <cell r="S163">
            <v>1</v>
          </cell>
          <cell r="T163">
            <v>0</v>
          </cell>
          <cell r="U163">
            <v>0</v>
          </cell>
          <cell r="V163">
            <v>1</v>
          </cell>
          <cell r="W163">
            <v>1</v>
          </cell>
          <cell r="X163">
            <v>0</v>
          </cell>
          <cell r="Y163">
            <v>4</v>
          </cell>
        </row>
        <row r="164">
          <cell r="A164" t="str">
            <v>A3220</v>
          </cell>
          <cell r="B164" t="str">
            <v>MUHAMAD AGUNG GUMELAR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1</v>
          </cell>
          <cell r="Q164">
            <v>0</v>
          </cell>
          <cell r="R164">
            <v>1</v>
          </cell>
          <cell r="S164">
            <v>0</v>
          </cell>
          <cell r="T164">
            <v>1</v>
          </cell>
          <cell r="U164">
            <v>1</v>
          </cell>
          <cell r="V164">
            <v>1</v>
          </cell>
          <cell r="W164">
            <v>1</v>
          </cell>
          <cell r="X164">
            <v>0</v>
          </cell>
          <cell r="Y164">
            <v>6</v>
          </cell>
        </row>
        <row r="165">
          <cell r="A165" t="str">
            <v>A4441</v>
          </cell>
          <cell r="B165" t="str">
            <v>IRWANDA BUDI PANGESTU</v>
          </cell>
          <cell r="C165">
            <v>1</v>
          </cell>
          <cell r="D165">
            <v>1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0</v>
          </cell>
          <cell r="Q165">
            <v>0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W165">
            <v>1</v>
          </cell>
          <cell r="X165">
            <v>0</v>
          </cell>
          <cell r="Y165">
            <v>19</v>
          </cell>
        </row>
        <row r="166">
          <cell r="A166" t="str">
            <v>A4035</v>
          </cell>
          <cell r="B166" t="str">
            <v>RIZKI MULYAWAN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1</v>
          </cell>
          <cell r="O166">
            <v>1</v>
          </cell>
          <cell r="P166">
            <v>1</v>
          </cell>
          <cell r="Q166">
            <v>0</v>
          </cell>
          <cell r="R166">
            <v>1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4</v>
          </cell>
        </row>
        <row r="167">
          <cell r="A167" t="str">
            <v/>
          </cell>
        </row>
        <row r="168">
          <cell r="A168" t="str">
            <v/>
          </cell>
          <cell r="B168">
            <v>0</v>
          </cell>
        </row>
        <row r="169">
          <cell r="A169">
            <v>0</v>
          </cell>
          <cell r="B169" t="str">
            <v>Mengetahui,</v>
          </cell>
        </row>
        <row r="170">
          <cell r="A170">
            <v>0</v>
          </cell>
          <cell r="B170">
            <v>0</v>
          </cell>
        </row>
        <row r="171">
          <cell r="A171">
            <v>0</v>
          </cell>
          <cell r="B171">
            <v>0</v>
          </cell>
        </row>
        <row r="172">
          <cell r="A172">
            <v>0</v>
          </cell>
          <cell r="B172">
            <v>0</v>
          </cell>
        </row>
        <row r="173">
          <cell r="A173">
            <v>0</v>
          </cell>
          <cell r="B173">
            <v>0</v>
          </cell>
        </row>
        <row r="174">
          <cell r="A174">
            <v>0</v>
          </cell>
          <cell r="B174">
            <v>0</v>
          </cell>
        </row>
        <row r="175">
          <cell r="A175">
            <v>0</v>
          </cell>
          <cell r="B175">
            <v>0</v>
          </cell>
        </row>
        <row r="176">
          <cell r="A176">
            <v>0</v>
          </cell>
          <cell r="B176" t="str">
            <v xml:space="preserve">SRI RAHAYU GUNADI </v>
          </cell>
        </row>
        <row r="177">
          <cell r="A177">
            <v>0</v>
          </cell>
          <cell r="B177" t="str">
            <v>HC DOC HEAD</v>
          </cell>
        </row>
        <row r="178">
          <cell r="A178">
            <v>0</v>
          </cell>
          <cell r="B178">
            <v>0</v>
          </cell>
        </row>
        <row r="179">
          <cell r="A179">
            <v>0</v>
          </cell>
          <cell r="B179">
            <v>0</v>
          </cell>
        </row>
      </sheetData>
      <sheetData sheetId="8" refreshError="1">
        <row r="1">
          <cell r="A1" t="str">
            <v>PERIODE 1 DESEMBER 2024 TEMA C3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</row>
        <row r="2">
          <cell r="A2" t="str">
            <v>TANGGAL 02 - 14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45629</v>
          </cell>
          <cell r="F4">
            <v>0</v>
          </cell>
          <cell r="G4">
            <v>45630</v>
          </cell>
          <cell r="H4">
            <v>0</v>
          </cell>
          <cell r="I4">
            <v>45631</v>
          </cell>
          <cell r="J4">
            <v>0</v>
          </cell>
          <cell r="K4">
            <v>45632</v>
          </cell>
          <cell r="L4">
            <v>0</v>
          </cell>
          <cell r="M4">
            <v>45633</v>
          </cell>
          <cell r="N4">
            <v>45635</v>
          </cell>
          <cell r="O4">
            <v>0</v>
          </cell>
          <cell r="P4">
            <v>45636</v>
          </cell>
          <cell r="Q4">
            <v>0</v>
          </cell>
          <cell r="R4">
            <v>45637</v>
          </cell>
          <cell r="S4">
            <v>0</v>
          </cell>
          <cell r="T4">
            <v>45638</v>
          </cell>
          <cell r="U4">
            <v>0</v>
          </cell>
          <cell r="V4">
            <v>45639</v>
          </cell>
          <cell r="W4">
            <v>0</v>
          </cell>
          <cell r="X4">
            <v>45640</v>
          </cell>
          <cell r="Y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2 </v>
          </cell>
          <cell r="X5" t="str">
            <v xml:space="preserve">SLOT 1 </v>
          </cell>
          <cell r="Y5">
            <v>0</v>
          </cell>
        </row>
        <row r="6">
          <cell r="A6" t="str">
            <v>A1261</v>
          </cell>
          <cell r="B6" t="str">
            <v>A MISBAHUL ULUM</v>
          </cell>
          <cell r="C6">
            <v>1</v>
          </cell>
          <cell r="D6">
            <v>0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0</v>
          </cell>
          <cell r="L6">
            <v>0</v>
          </cell>
          <cell r="M6">
            <v>1</v>
          </cell>
          <cell r="N6">
            <v>1</v>
          </cell>
          <cell r="O6">
            <v>0</v>
          </cell>
          <cell r="P6">
            <v>1</v>
          </cell>
          <cell r="Q6">
            <v>1</v>
          </cell>
          <cell r="R6">
            <v>1</v>
          </cell>
          <cell r="S6">
            <v>0</v>
          </cell>
          <cell r="T6">
            <v>0</v>
          </cell>
          <cell r="U6">
            <v>1</v>
          </cell>
          <cell r="V6">
            <v>1</v>
          </cell>
          <cell r="W6">
            <v>0</v>
          </cell>
          <cell r="X6">
            <v>0</v>
          </cell>
          <cell r="Y6">
            <v>14</v>
          </cell>
        </row>
        <row r="7">
          <cell r="A7" t="str">
            <v>A2045</v>
          </cell>
          <cell r="B7" t="str">
            <v>DEVI OKTAVIANI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0</v>
          </cell>
          <cell r="W7">
            <v>1</v>
          </cell>
          <cell r="X7">
            <v>1</v>
          </cell>
          <cell r="Y7">
            <v>21</v>
          </cell>
        </row>
        <row r="8">
          <cell r="A8" t="str">
            <v>A2308</v>
          </cell>
          <cell r="B8" t="str">
            <v>AYU TRI ASTUTIK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20</v>
          </cell>
        </row>
        <row r="9">
          <cell r="A9" t="str">
            <v>A2317</v>
          </cell>
          <cell r="B9" t="str">
            <v>CICILLIA YOSSY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21</v>
          </cell>
        </row>
        <row r="10">
          <cell r="A10" t="str">
            <v>A2613</v>
          </cell>
          <cell r="B10" t="str">
            <v>DHEI KLAUDIYA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0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0</v>
          </cell>
          <cell r="Y10">
            <v>20</v>
          </cell>
        </row>
        <row r="11">
          <cell r="A11" t="str">
            <v>A3265</v>
          </cell>
          <cell r="B11" t="str">
            <v>YOLANDA ANDARESTA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22</v>
          </cell>
        </row>
        <row r="12">
          <cell r="A12" t="str">
            <v>A3929</v>
          </cell>
          <cell r="B12" t="str">
            <v>AGATHA DIAH SARASWATI</v>
          </cell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  <cell r="Q12">
            <v>1</v>
          </cell>
          <cell r="R12">
            <v>0</v>
          </cell>
          <cell r="S12">
            <v>1</v>
          </cell>
          <cell r="T12">
            <v>0</v>
          </cell>
          <cell r="U12">
            <v>1</v>
          </cell>
          <cell r="V12">
            <v>0</v>
          </cell>
          <cell r="W12">
            <v>1</v>
          </cell>
          <cell r="X12">
            <v>0</v>
          </cell>
          <cell r="Y12">
            <v>10</v>
          </cell>
        </row>
        <row r="13">
          <cell r="A13" t="str">
            <v>A4129</v>
          </cell>
          <cell r="B13" t="str">
            <v>MERLINDA ASTUTI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0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0</v>
          </cell>
          <cell r="Y13">
            <v>20</v>
          </cell>
        </row>
        <row r="14">
          <cell r="A14" t="str">
            <v>A4176</v>
          </cell>
          <cell r="B14" t="str">
            <v>HALIFAH SHAFIRA</v>
          </cell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1</v>
          </cell>
          <cell r="Y14">
            <v>3</v>
          </cell>
        </row>
        <row r="15">
          <cell r="A15" t="str">
            <v>A4345</v>
          </cell>
          <cell r="B15" t="str">
            <v>HEIDY ADELINE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0</v>
          </cell>
          <cell r="Y15">
            <v>18</v>
          </cell>
        </row>
        <row r="16">
          <cell r="A16" t="str">
            <v>A4377</v>
          </cell>
          <cell r="B16" t="str">
            <v>ANNISA SAFITRI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0</v>
          </cell>
          <cell r="R16">
            <v>0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0</v>
          </cell>
          <cell r="Y16">
            <v>11</v>
          </cell>
        </row>
        <row r="17">
          <cell r="A17" t="str">
            <v>A4391</v>
          </cell>
          <cell r="B17" t="str">
            <v>LINTANG KINANTHI WIDI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0</v>
          </cell>
          <cell r="X17">
            <v>1</v>
          </cell>
          <cell r="Y17">
            <v>21</v>
          </cell>
        </row>
        <row r="18">
          <cell r="A18" t="str">
            <v>A4392</v>
          </cell>
          <cell r="B18" t="str">
            <v>DWI AGUNG NUGROHO</v>
          </cell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</v>
          </cell>
          <cell r="U18">
            <v>0</v>
          </cell>
          <cell r="V18">
            <v>0</v>
          </cell>
          <cell r="W18">
            <v>0</v>
          </cell>
          <cell r="X18">
            <v>1</v>
          </cell>
          <cell r="Y18">
            <v>7</v>
          </cell>
        </row>
        <row r="19">
          <cell r="A19" t="str">
            <v>A4394</v>
          </cell>
          <cell r="B19" t="str">
            <v>AYU ANA WIDIASTUTIK</v>
          </cell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1</v>
          </cell>
          <cell r="O19">
            <v>0</v>
          </cell>
          <cell r="P19">
            <v>1</v>
          </cell>
          <cell r="Q19">
            <v>1</v>
          </cell>
          <cell r="R19">
            <v>1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16</v>
          </cell>
        </row>
        <row r="20">
          <cell r="A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A22">
            <v>0</v>
          </cell>
          <cell r="B22" t="str">
            <v>Mengetahui,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A29">
            <v>0</v>
          </cell>
          <cell r="B29" t="str">
            <v xml:space="preserve">SRI RAHAYU GUNADI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A30">
            <v>0</v>
          </cell>
          <cell r="B30" t="str">
            <v>HC DOC HEAD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A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A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A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A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A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A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A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A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</sheetData>
      <sheetData sheetId="9" refreshError="1">
        <row r="1">
          <cell r="A1" t="str">
            <v>PERIODE 1 DESEMBER 2024 TEMA HAJI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</row>
        <row r="2">
          <cell r="A2" t="str">
            <v>TANGGAL 02 - 14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45629</v>
          </cell>
          <cell r="F4">
            <v>0</v>
          </cell>
          <cell r="G4">
            <v>45630</v>
          </cell>
          <cell r="H4">
            <v>0</v>
          </cell>
          <cell r="I4">
            <v>45631</v>
          </cell>
          <cell r="J4">
            <v>0</v>
          </cell>
          <cell r="K4">
            <v>45632</v>
          </cell>
          <cell r="L4">
            <v>0</v>
          </cell>
          <cell r="M4">
            <v>45633</v>
          </cell>
          <cell r="N4">
            <v>45635</v>
          </cell>
          <cell r="O4">
            <v>0</v>
          </cell>
          <cell r="P4">
            <v>45636</v>
          </cell>
          <cell r="Q4">
            <v>0</v>
          </cell>
          <cell r="R4">
            <v>45637</v>
          </cell>
          <cell r="S4">
            <v>0</v>
          </cell>
          <cell r="T4">
            <v>45638</v>
          </cell>
          <cell r="U4">
            <v>0</v>
          </cell>
          <cell r="V4">
            <v>45639</v>
          </cell>
          <cell r="W4">
            <v>0</v>
          </cell>
          <cell r="X4">
            <v>45640</v>
          </cell>
          <cell r="Y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2 </v>
          </cell>
          <cell r="X5" t="str">
            <v xml:space="preserve">SLOT 1 </v>
          </cell>
          <cell r="Y5">
            <v>0</v>
          </cell>
        </row>
        <row r="6">
          <cell r="A6" t="str">
            <v>A1802</v>
          </cell>
          <cell r="B6" t="str">
            <v>ZAQIYA PERMATA RISDA</v>
          </cell>
          <cell r="C6">
            <v>1</v>
          </cell>
          <cell r="D6">
            <v>1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1</v>
          </cell>
          <cell r="K6">
            <v>0</v>
          </cell>
          <cell r="L6">
            <v>0</v>
          </cell>
          <cell r="M6">
            <v>0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12</v>
          </cell>
        </row>
        <row r="7">
          <cell r="A7" t="str">
            <v>A3530</v>
          </cell>
          <cell r="B7" t="str">
            <v>SITI AFIFAH</v>
          </cell>
          <cell r="C7">
            <v>1</v>
          </cell>
          <cell r="D7">
            <v>0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0</v>
          </cell>
          <cell r="O7">
            <v>0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19</v>
          </cell>
        </row>
        <row r="8">
          <cell r="A8" t="str">
            <v>A3654</v>
          </cell>
          <cell r="B8" t="str">
            <v>MUHAMAD SAIFURRAHMAN WAHID</v>
          </cell>
          <cell r="C8">
            <v>0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1</v>
          </cell>
          <cell r="Q8">
            <v>1</v>
          </cell>
          <cell r="R8">
            <v>0</v>
          </cell>
          <cell r="S8">
            <v>1</v>
          </cell>
          <cell r="T8">
            <v>1</v>
          </cell>
          <cell r="U8">
            <v>0</v>
          </cell>
          <cell r="V8">
            <v>0</v>
          </cell>
          <cell r="W8">
            <v>1</v>
          </cell>
          <cell r="X8">
            <v>1</v>
          </cell>
          <cell r="Y8">
            <v>14</v>
          </cell>
        </row>
        <row r="9">
          <cell r="A9" t="str">
            <v>A3685</v>
          </cell>
          <cell r="B9" t="str">
            <v>HENOK CHRISTOVEL VALENTINO MEWENGKANG</v>
          </cell>
          <cell r="C9">
            <v>0</v>
          </cell>
          <cell r="D9">
            <v>0</v>
          </cell>
          <cell r="E9">
            <v>1</v>
          </cell>
          <cell r="F9">
            <v>1</v>
          </cell>
          <cell r="G9">
            <v>0</v>
          </cell>
          <cell r="H9">
            <v>0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</v>
          </cell>
          <cell r="O9">
            <v>0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14</v>
          </cell>
        </row>
        <row r="10">
          <cell r="A10" t="str">
            <v>A4027</v>
          </cell>
          <cell r="B10" t="str">
            <v>FARHAN ADRIAN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0</v>
          </cell>
          <cell r="P10">
            <v>1</v>
          </cell>
          <cell r="Q10">
            <v>0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20</v>
          </cell>
        </row>
        <row r="11">
          <cell r="A11" t="str">
            <v>A4043</v>
          </cell>
          <cell r="B11" t="str">
            <v>TABITA KRISTIN LINTANGINGTYAS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0</v>
          </cell>
          <cell r="Y11">
            <v>21</v>
          </cell>
        </row>
        <row r="12">
          <cell r="A12" t="str">
            <v>A4117</v>
          </cell>
          <cell r="B12" t="str">
            <v>JESSIANA ADE NOVITA</v>
          </cell>
          <cell r="C12">
            <v>0</v>
          </cell>
          <cell r="D12">
            <v>1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  <cell r="Q12">
            <v>0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0</v>
          </cell>
          <cell r="W12">
            <v>1</v>
          </cell>
          <cell r="X12">
            <v>0</v>
          </cell>
          <cell r="Y12">
            <v>14</v>
          </cell>
        </row>
        <row r="13">
          <cell r="A13" t="str">
            <v>A4119</v>
          </cell>
          <cell r="B13" t="str">
            <v>NUR ELISA</v>
          </cell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0</v>
          </cell>
          <cell r="W13">
            <v>0</v>
          </cell>
          <cell r="X13">
            <v>0</v>
          </cell>
          <cell r="Y13">
            <v>12</v>
          </cell>
        </row>
        <row r="14">
          <cell r="A14" t="str">
            <v>A4121</v>
          </cell>
          <cell r="B14" t="str">
            <v>HINDA NOVIANTI</v>
          </cell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0</v>
          </cell>
          <cell r="X14">
            <v>0</v>
          </cell>
          <cell r="Y14">
            <v>9</v>
          </cell>
        </row>
        <row r="15">
          <cell r="A15" t="str">
            <v>A4282</v>
          </cell>
          <cell r="B15" t="str">
            <v>NAILA TAZKIYYA ROSYIDA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</v>
          </cell>
          <cell r="V15">
            <v>1</v>
          </cell>
          <cell r="W15">
            <v>1</v>
          </cell>
          <cell r="X15">
            <v>0</v>
          </cell>
          <cell r="Y15">
            <v>13</v>
          </cell>
        </row>
        <row r="16">
          <cell r="A16" t="str">
            <v>A4397</v>
          </cell>
          <cell r="B16" t="str">
            <v>CHYANA KHOIRUN RISKYANI</v>
          </cell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1</v>
          </cell>
          <cell r="P16">
            <v>1</v>
          </cell>
          <cell r="Q16">
            <v>0</v>
          </cell>
          <cell r="R16">
            <v>1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0</v>
          </cell>
          <cell r="X16">
            <v>0</v>
          </cell>
          <cell r="Y16">
            <v>11</v>
          </cell>
        </row>
        <row r="17">
          <cell r="A17" t="str">
            <v>A4399</v>
          </cell>
          <cell r="B17" t="str">
            <v>ANISA AULIA RAHMA</v>
          </cell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0</v>
          </cell>
          <cell r="X17">
            <v>0</v>
          </cell>
          <cell r="Y17">
            <v>15</v>
          </cell>
        </row>
        <row r="18">
          <cell r="A18" t="str">
            <v>A3956</v>
          </cell>
          <cell r="B18" t="str">
            <v>MARATUN SHOLIKHAH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1</v>
          </cell>
        </row>
        <row r="19">
          <cell r="A19" t="str">
            <v>A4431</v>
          </cell>
          <cell r="B19" t="str">
            <v>ANGGIT NUR DWIASTUTI</v>
          </cell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  <cell r="Q19">
            <v>1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1</v>
          </cell>
          <cell r="X19">
            <v>0</v>
          </cell>
          <cell r="Y19">
            <v>6</v>
          </cell>
        </row>
        <row r="20">
          <cell r="A20" t="str">
            <v>A4432</v>
          </cell>
          <cell r="B20" t="str">
            <v>NISITA NARESWARI</v>
          </cell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1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0</v>
          </cell>
          <cell r="Y20">
            <v>14</v>
          </cell>
        </row>
        <row r="21">
          <cell r="A21" t="str">
            <v>A4452</v>
          </cell>
          <cell r="B21" t="str">
            <v>INDRIA AYUNINGTYAS DWI RISANDY</v>
          </cell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</v>
          </cell>
          <cell r="L21">
            <v>1</v>
          </cell>
          <cell r="M21">
            <v>0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0</v>
          </cell>
          <cell r="S21">
            <v>1</v>
          </cell>
          <cell r="T21">
            <v>0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12</v>
          </cell>
        </row>
        <row r="22">
          <cell r="A22" t="str">
            <v>A4433</v>
          </cell>
          <cell r="B22" t="str">
            <v>NURUL HALIMATIS SADIYYAH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1</v>
          </cell>
        </row>
        <row r="23">
          <cell r="A23" t="str">
            <v>A3531</v>
          </cell>
          <cell r="B23" t="str">
            <v>LIA SAEFA SA'DIYAH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A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A26">
            <v>0</v>
          </cell>
          <cell r="B26" t="str">
            <v>Mengetahui,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A33">
            <v>0</v>
          </cell>
          <cell r="B33" t="str">
            <v xml:space="preserve">SRI RAHAYU GUNADI 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A34">
            <v>0</v>
          </cell>
          <cell r="B34" t="str">
            <v>HC DOC HEAD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A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A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A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A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A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A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A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A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</sheetData>
      <sheetData sheetId="10" refreshError="1">
        <row r="1">
          <cell r="A1" t="str">
            <v>PERIODE 1 DESEMBER 2024 PRIO DANA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</row>
        <row r="2">
          <cell r="A2" t="str">
            <v>TANGGAL 02 - 14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45629</v>
          </cell>
          <cell r="F4">
            <v>0</v>
          </cell>
          <cell r="G4">
            <v>45630</v>
          </cell>
          <cell r="H4">
            <v>0</v>
          </cell>
          <cell r="I4">
            <v>45631</v>
          </cell>
          <cell r="J4">
            <v>0</v>
          </cell>
          <cell r="K4">
            <v>45632</v>
          </cell>
          <cell r="L4">
            <v>0</v>
          </cell>
          <cell r="M4">
            <v>45633</v>
          </cell>
          <cell r="N4">
            <v>45635</v>
          </cell>
          <cell r="O4">
            <v>0</v>
          </cell>
          <cell r="P4">
            <v>45636</v>
          </cell>
          <cell r="Q4">
            <v>0</v>
          </cell>
          <cell r="R4">
            <v>45637</v>
          </cell>
          <cell r="S4">
            <v>0</v>
          </cell>
          <cell r="T4">
            <v>45638</v>
          </cell>
          <cell r="U4">
            <v>0</v>
          </cell>
          <cell r="V4">
            <v>45639</v>
          </cell>
          <cell r="W4">
            <v>0</v>
          </cell>
          <cell r="X4">
            <v>45640</v>
          </cell>
          <cell r="Y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2 </v>
          </cell>
          <cell r="X5" t="str">
            <v xml:space="preserve">SLOT 1 </v>
          </cell>
          <cell r="Y5">
            <v>0</v>
          </cell>
        </row>
        <row r="6">
          <cell r="A6" t="str">
            <v>A0441</v>
          </cell>
          <cell r="B6" t="str">
            <v>VIKA INDAH ENGGARWATI ZEGA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5</v>
          </cell>
        </row>
        <row r="7">
          <cell r="A7" t="str">
            <v>A3943</v>
          </cell>
          <cell r="B7" t="str">
            <v>ZEFANYA CHRISTLEEN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0</v>
          </cell>
          <cell r="N7">
            <v>1</v>
          </cell>
          <cell r="O7">
            <v>0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20</v>
          </cell>
        </row>
        <row r="8">
          <cell r="A8" t="str">
            <v>A4127</v>
          </cell>
          <cell r="B8" t="str">
            <v>ILHAM SETYA DHARMAWAN</v>
          </cell>
          <cell r="C8">
            <v>0</v>
          </cell>
          <cell r="D8">
            <v>0</v>
          </cell>
          <cell r="E8">
            <v>1</v>
          </cell>
          <cell r="F8">
            <v>1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0</v>
          </cell>
          <cell r="Q8">
            <v>1</v>
          </cell>
          <cell r="R8">
            <v>0</v>
          </cell>
          <cell r="S8">
            <v>0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13</v>
          </cell>
        </row>
        <row r="9">
          <cell r="A9" t="str">
            <v>A4400</v>
          </cell>
          <cell r="B9" t="str">
            <v>ANITA GABRELLA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1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  <cell r="N9">
            <v>1</v>
          </cell>
          <cell r="O9">
            <v>1</v>
          </cell>
          <cell r="P9">
            <v>1</v>
          </cell>
          <cell r="Q9">
            <v>0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0</v>
          </cell>
          <cell r="X9">
            <v>0</v>
          </cell>
          <cell r="Y9">
            <v>16</v>
          </cell>
        </row>
        <row r="10">
          <cell r="A10" t="str">
            <v>A4401</v>
          </cell>
          <cell r="B10" t="str">
            <v>FELIKS ALEXANDRO NESTA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0</v>
          </cell>
          <cell r="L10">
            <v>0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0</v>
          </cell>
          <cell r="X10">
            <v>1</v>
          </cell>
          <cell r="Y10">
            <v>19</v>
          </cell>
        </row>
        <row r="11">
          <cell r="A11" t="str">
            <v>A4402</v>
          </cell>
          <cell r="B11" t="str">
            <v>ANTIAS AYU ROMADHANI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0</v>
          </cell>
          <cell r="Y11">
            <v>14</v>
          </cell>
        </row>
        <row r="12">
          <cell r="A12" t="str">
            <v>A4454</v>
          </cell>
          <cell r="B12" t="str">
            <v>NOVEN RAMADHANI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A13" t="str">
            <v>A4455</v>
          </cell>
          <cell r="B13" t="str">
            <v>ANGELIQUE NATHANIA SURJADI</v>
          </cell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0</v>
          </cell>
          <cell r="T13">
            <v>1</v>
          </cell>
          <cell r="U13">
            <v>1</v>
          </cell>
          <cell r="V13">
            <v>0</v>
          </cell>
          <cell r="W13">
            <v>0</v>
          </cell>
          <cell r="X13">
            <v>1</v>
          </cell>
          <cell r="Y13">
            <v>10</v>
          </cell>
        </row>
        <row r="14">
          <cell r="A14" t="str">
            <v>A4457</v>
          </cell>
          <cell r="B14" t="str">
            <v>PUTRI KUSUMADEWI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1</v>
          </cell>
          <cell r="Y14">
            <v>9</v>
          </cell>
        </row>
        <row r="15">
          <cell r="A15" t="str">
            <v>A4453</v>
          </cell>
          <cell r="B15" t="str">
            <v>AQIL FACHMI MEYSAL AMIR</v>
          </cell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  <cell r="Q15">
            <v>0</v>
          </cell>
          <cell r="R15">
            <v>1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7</v>
          </cell>
        </row>
        <row r="16">
          <cell r="A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113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A18">
            <v>0</v>
          </cell>
          <cell r="B18" t="str">
            <v>Mengetahui,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 t="str">
            <v xml:space="preserve">SRI RAHAYU GUNADI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A26">
            <v>0</v>
          </cell>
          <cell r="B26" t="str">
            <v>HC DOC HEAD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A C1"/>
      <sheetName val="TEMA C2"/>
      <sheetName val="TEMA C3"/>
      <sheetName val="TEMA HAJI"/>
      <sheetName val="TEMA PD"/>
      <sheetName val="DELTA"/>
      <sheetName val="AAV"/>
      <sheetName val="RVO"/>
      <sheetName val="GC"/>
      <sheetName val="SBP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NPK</v>
          </cell>
          <cell r="B2" t="str">
            <v>NAMA</v>
          </cell>
          <cell r="C2" t="str">
            <v>GRADING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 t="str">
            <v>TOTAL SLOT</v>
          </cell>
          <cell r="R2" t="str">
            <v>TOTAL AAV</v>
          </cell>
          <cell r="S2" t="str">
            <v>AAV/SLOT</v>
          </cell>
          <cell r="T2" t="str">
            <v>GRADING</v>
          </cell>
        </row>
        <row r="3">
          <cell r="A3">
            <v>0</v>
          </cell>
          <cell r="B3">
            <v>0</v>
          </cell>
          <cell r="C3" t="str">
            <v>P2 JUN</v>
          </cell>
          <cell r="D3">
            <v>0</v>
          </cell>
          <cell r="E3" t="str">
            <v>JUL</v>
          </cell>
          <cell r="F3">
            <v>0</v>
          </cell>
          <cell r="G3" t="str">
            <v>AUG</v>
          </cell>
          <cell r="H3">
            <v>0</v>
          </cell>
          <cell r="I3" t="str">
            <v>SEP</v>
          </cell>
          <cell r="J3">
            <v>0</v>
          </cell>
          <cell r="K3" t="str">
            <v>OKT</v>
          </cell>
          <cell r="L3">
            <v>0</v>
          </cell>
          <cell r="M3" t="str">
            <v>NOV</v>
          </cell>
          <cell r="N3">
            <v>0</v>
          </cell>
          <cell r="O3" t="str">
            <v>P1 DES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</row>
        <row r="4">
          <cell r="A4">
            <v>0</v>
          </cell>
          <cell r="B4">
            <v>0</v>
          </cell>
          <cell r="C4" t="str">
            <v>SLOT</v>
          </cell>
          <cell r="D4" t="str">
            <v>AAV</v>
          </cell>
          <cell r="E4" t="str">
            <v>SLOT</v>
          </cell>
          <cell r="F4" t="str">
            <v>AAV</v>
          </cell>
          <cell r="G4" t="str">
            <v>SLOT</v>
          </cell>
          <cell r="H4" t="str">
            <v>AAV</v>
          </cell>
          <cell r="I4" t="str">
            <v>SLOT</v>
          </cell>
          <cell r="J4" t="str">
            <v>AAV</v>
          </cell>
          <cell r="K4" t="str">
            <v>SLOT</v>
          </cell>
          <cell r="L4" t="str">
            <v>AAV</v>
          </cell>
          <cell r="M4" t="str">
            <v>SLOT</v>
          </cell>
          <cell r="N4" t="str">
            <v>AAV</v>
          </cell>
          <cell r="O4" t="str">
            <v>SLOT</v>
          </cell>
          <cell r="P4" t="str">
            <v>AAV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>
            <v>90223</v>
          </cell>
          <cell r="B5" t="str">
            <v>DIEGO RISTYA PRAKOSA</v>
          </cell>
          <cell r="C5" t="str">
            <v>-</v>
          </cell>
          <cell r="D5" t="str">
            <v>-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 t="str">
            <v>-</v>
          </cell>
          <cell r="P5" t="str">
            <v>-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</row>
        <row r="6">
          <cell r="A6">
            <v>90170</v>
          </cell>
          <cell r="B6" t="str">
            <v>AMRI ROHMATINI</v>
          </cell>
          <cell r="C6">
            <v>12</v>
          </cell>
          <cell r="D6">
            <v>518</v>
          </cell>
          <cell r="E6">
            <v>24</v>
          </cell>
          <cell r="F6">
            <v>952</v>
          </cell>
          <cell r="G6">
            <v>25</v>
          </cell>
          <cell r="H6">
            <v>1043</v>
          </cell>
          <cell r="I6">
            <v>22</v>
          </cell>
          <cell r="J6">
            <v>988</v>
          </cell>
          <cell r="K6">
            <v>27</v>
          </cell>
          <cell r="L6">
            <v>1008</v>
          </cell>
          <cell r="M6">
            <v>25</v>
          </cell>
          <cell r="N6">
            <v>1057</v>
          </cell>
          <cell r="O6">
            <v>12</v>
          </cell>
          <cell r="P6">
            <v>449</v>
          </cell>
          <cell r="Q6">
            <v>147</v>
          </cell>
          <cell r="R6">
            <v>6015</v>
          </cell>
          <cell r="S6">
            <v>40.918367346938773</v>
          </cell>
          <cell r="T6">
            <v>3</v>
          </cell>
        </row>
        <row r="7">
          <cell r="A7">
            <v>92153</v>
          </cell>
          <cell r="B7" t="str">
            <v>AMALIA LARASATI</v>
          </cell>
          <cell r="C7" t="str">
            <v>-</v>
          </cell>
          <cell r="D7" t="str">
            <v>-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 t="str">
            <v>-</v>
          </cell>
          <cell r="P7" t="str">
            <v>-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A8">
            <v>90279</v>
          </cell>
          <cell r="B8" t="str">
            <v>SUTRIA NINGRUM</v>
          </cell>
          <cell r="C8" t="str">
            <v>-</v>
          </cell>
          <cell r="D8" t="str">
            <v>-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P8" t="str">
            <v>-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A9">
            <v>90547</v>
          </cell>
          <cell r="B9" t="str">
            <v>DHIMAS FAJAR</v>
          </cell>
          <cell r="C9" t="str">
            <v>-</v>
          </cell>
          <cell r="D9" t="str">
            <v>-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 t="str">
            <v>-</v>
          </cell>
          <cell r="P9" t="str">
            <v>-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A10">
            <v>90556</v>
          </cell>
          <cell r="B10" t="str">
            <v>ISIDORUS MARCHO</v>
          </cell>
          <cell r="C10" t="str">
            <v>-</v>
          </cell>
          <cell r="D10" t="str">
            <v>-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 t="str">
            <v>-</v>
          </cell>
          <cell r="P10" t="str">
            <v>-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90568</v>
          </cell>
          <cell r="B11" t="str">
            <v>FADHLY RADITYA PUTRA</v>
          </cell>
          <cell r="C11" t="str">
            <v>-</v>
          </cell>
          <cell r="D11" t="str">
            <v>-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 t="str">
            <v>-</v>
          </cell>
          <cell r="P11" t="str">
            <v>-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A12">
            <v>90557</v>
          </cell>
          <cell r="B12" t="str">
            <v>TIFANI EKA ALCISHA</v>
          </cell>
          <cell r="C12">
            <v>19</v>
          </cell>
          <cell r="D12">
            <v>1061</v>
          </cell>
          <cell r="E12">
            <v>40</v>
          </cell>
          <cell r="F12">
            <v>2039</v>
          </cell>
          <cell r="G12">
            <v>34</v>
          </cell>
          <cell r="H12">
            <v>1857</v>
          </cell>
          <cell r="I12">
            <v>30</v>
          </cell>
          <cell r="J12">
            <v>1625</v>
          </cell>
          <cell r="K12">
            <v>36</v>
          </cell>
          <cell r="L12">
            <v>1746</v>
          </cell>
          <cell r="M12">
            <v>34</v>
          </cell>
          <cell r="N12">
            <v>1913</v>
          </cell>
          <cell r="O12">
            <v>18</v>
          </cell>
          <cell r="P12">
            <v>900</v>
          </cell>
          <cell r="Q12">
            <v>211</v>
          </cell>
          <cell r="R12">
            <v>11141</v>
          </cell>
          <cell r="S12">
            <v>52.800947867298575</v>
          </cell>
          <cell r="T12">
            <v>3</v>
          </cell>
        </row>
        <row r="13">
          <cell r="A13">
            <v>90552</v>
          </cell>
          <cell r="B13" t="str">
            <v>MARIA ROSARIA DEWI RATNA TIMUR</v>
          </cell>
          <cell r="C13">
            <v>5</v>
          </cell>
          <cell r="D13">
            <v>235</v>
          </cell>
          <cell r="E13">
            <v>8</v>
          </cell>
          <cell r="F13">
            <v>337</v>
          </cell>
          <cell r="G13">
            <v>12</v>
          </cell>
          <cell r="H13">
            <v>507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P13" t="str">
            <v>-</v>
          </cell>
          <cell r="Q13">
            <v>25</v>
          </cell>
          <cell r="R13">
            <v>1079</v>
          </cell>
          <cell r="S13">
            <v>43.16</v>
          </cell>
          <cell r="T13">
            <v>3</v>
          </cell>
        </row>
        <row r="14">
          <cell r="A14">
            <v>90693</v>
          </cell>
          <cell r="B14" t="str">
            <v>SALMA RIZQAN</v>
          </cell>
          <cell r="C14" t="str">
            <v>-</v>
          </cell>
          <cell r="D14" t="str">
            <v>-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 t="str">
            <v>-</v>
          </cell>
          <cell r="P14" t="str">
            <v>-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A15">
            <v>90716</v>
          </cell>
          <cell r="B15" t="str">
            <v>NIKITA SWASTIKA</v>
          </cell>
          <cell r="C15">
            <v>7</v>
          </cell>
          <cell r="D15">
            <v>286</v>
          </cell>
          <cell r="E15">
            <v>18</v>
          </cell>
          <cell r="F15">
            <v>704</v>
          </cell>
          <cell r="G15">
            <v>32</v>
          </cell>
          <cell r="H15">
            <v>1485</v>
          </cell>
          <cell r="I15">
            <v>31</v>
          </cell>
          <cell r="J15">
            <v>1364</v>
          </cell>
          <cell r="K15">
            <v>36</v>
          </cell>
          <cell r="L15">
            <v>1426</v>
          </cell>
          <cell r="M15">
            <v>0</v>
          </cell>
          <cell r="N15">
            <v>0</v>
          </cell>
          <cell r="O15" t="str">
            <v>-</v>
          </cell>
          <cell r="P15" t="str">
            <v>-</v>
          </cell>
          <cell r="Q15">
            <v>124</v>
          </cell>
          <cell r="R15">
            <v>5265</v>
          </cell>
          <cell r="S15">
            <v>42.45967741935484</v>
          </cell>
          <cell r="T15">
            <v>3</v>
          </cell>
        </row>
        <row r="16">
          <cell r="A16">
            <v>92572</v>
          </cell>
          <cell r="B16" t="str">
            <v>OSVANDRI</v>
          </cell>
          <cell r="C16" t="str">
            <v>-</v>
          </cell>
          <cell r="D16" t="str">
            <v>-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 t="str">
            <v>-</v>
          </cell>
          <cell r="P16" t="str">
            <v>-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A17">
            <v>90553</v>
          </cell>
          <cell r="B17" t="str">
            <v>GALIH ERNAWATI WIBAWA</v>
          </cell>
          <cell r="C17" t="str">
            <v>-</v>
          </cell>
          <cell r="D17" t="str">
            <v>-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 t="str">
            <v>-</v>
          </cell>
          <cell r="P17" t="str">
            <v>-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>
            <v>90565</v>
          </cell>
          <cell r="B18" t="str">
            <v>ELISABETH YOVITA NATHANIA</v>
          </cell>
          <cell r="C18" t="str">
            <v>-</v>
          </cell>
          <cell r="D18" t="str">
            <v>-</v>
          </cell>
          <cell r="E18">
            <v>0</v>
          </cell>
          <cell r="F18">
            <v>0</v>
          </cell>
          <cell r="G18">
            <v>20</v>
          </cell>
          <cell r="H18">
            <v>889</v>
          </cell>
          <cell r="I18">
            <v>43</v>
          </cell>
          <cell r="J18">
            <v>1752</v>
          </cell>
          <cell r="K18">
            <v>30</v>
          </cell>
          <cell r="L18">
            <v>1016</v>
          </cell>
          <cell r="M18">
            <v>35</v>
          </cell>
          <cell r="N18">
            <v>1461</v>
          </cell>
          <cell r="O18">
            <v>11</v>
          </cell>
          <cell r="P18">
            <v>423</v>
          </cell>
          <cell r="Q18">
            <v>139</v>
          </cell>
          <cell r="R18">
            <v>5541</v>
          </cell>
          <cell r="S18">
            <v>39.863309352517987</v>
          </cell>
          <cell r="T18">
            <v>2</v>
          </cell>
        </row>
        <row r="19">
          <cell r="A19">
            <v>92479</v>
          </cell>
          <cell r="B19" t="str">
            <v>ELISA JAYANTI LESTARI</v>
          </cell>
          <cell r="C19" t="str">
            <v>-</v>
          </cell>
          <cell r="D19" t="str">
            <v>-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 t="str">
            <v>-</v>
          </cell>
          <cell r="P19" t="str">
            <v>-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 t="str">
            <v>A0130</v>
          </cell>
          <cell r="B20" t="str">
            <v>GIANTY HERLINA MELISSA SIDEBANG</v>
          </cell>
          <cell r="C20" t="str">
            <v>-</v>
          </cell>
          <cell r="D20" t="str">
            <v>-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 t="str">
            <v>-</v>
          </cell>
          <cell r="P20" t="str">
            <v>-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 t="str">
            <v>A0039</v>
          </cell>
          <cell r="B21" t="str">
            <v>ALFI WAHYU ZAHARA</v>
          </cell>
          <cell r="C21" t="str">
            <v>-</v>
          </cell>
          <cell r="D21" t="str">
            <v>-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 t="str">
            <v>-</v>
          </cell>
          <cell r="P21" t="str">
            <v>-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 t="str">
            <v>A0167</v>
          </cell>
          <cell r="B22" t="str">
            <v>Safa Aqilla</v>
          </cell>
          <cell r="C22" t="str">
            <v>-</v>
          </cell>
          <cell r="D22" t="str">
            <v>-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P22" t="str">
            <v>-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>
            <v>90616</v>
          </cell>
          <cell r="B23" t="str">
            <v>WIDYA BUDI PRAYOGO</v>
          </cell>
          <cell r="C23" t="str">
            <v>-</v>
          </cell>
          <cell r="D23" t="str">
            <v>-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 t="str">
            <v>-</v>
          </cell>
          <cell r="P23" t="str">
            <v>-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A24" t="str">
            <v>A0043</v>
          </cell>
          <cell r="B24" t="str">
            <v>RIYANI ARFARASARI</v>
          </cell>
          <cell r="C24">
            <v>24</v>
          </cell>
          <cell r="D24">
            <v>1202</v>
          </cell>
          <cell r="E24">
            <v>47</v>
          </cell>
          <cell r="F24">
            <v>2165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 t="str">
            <v>-</v>
          </cell>
          <cell r="P24" t="str">
            <v>-</v>
          </cell>
          <cell r="Q24">
            <v>71</v>
          </cell>
          <cell r="R24">
            <v>3367</v>
          </cell>
          <cell r="S24">
            <v>47.422535211267608</v>
          </cell>
          <cell r="T24">
            <v>3</v>
          </cell>
        </row>
        <row r="25">
          <cell r="A25">
            <v>90095</v>
          </cell>
          <cell r="B25" t="str">
            <v>INEXCELCIS DEO SURYADI</v>
          </cell>
          <cell r="C25" t="str">
            <v>-</v>
          </cell>
          <cell r="D25" t="str">
            <v>-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 t="str">
            <v>-</v>
          </cell>
          <cell r="P25" t="str">
            <v>-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A26">
            <v>92500</v>
          </cell>
          <cell r="B26" t="str">
            <v>AULIA FARAH</v>
          </cell>
          <cell r="C26">
            <v>6</v>
          </cell>
          <cell r="D26">
            <v>200</v>
          </cell>
          <cell r="E26">
            <v>0</v>
          </cell>
          <cell r="F26">
            <v>0</v>
          </cell>
          <cell r="G26">
            <v>4</v>
          </cell>
          <cell r="H26">
            <v>118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 t="str">
            <v>-</v>
          </cell>
          <cell r="P26" t="str">
            <v>-</v>
          </cell>
          <cell r="Q26">
            <v>10</v>
          </cell>
          <cell r="R26">
            <v>318</v>
          </cell>
          <cell r="S26">
            <v>31.8</v>
          </cell>
          <cell r="T26">
            <v>2</v>
          </cell>
        </row>
        <row r="27">
          <cell r="A27">
            <v>92573</v>
          </cell>
          <cell r="B27" t="str">
            <v>Fahmi Setianto</v>
          </cell>
          <cell r="C27" t="str">
            <v>-</v>
          </cell>
          <cell r="D27" t="str">
            <v>-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-</v>
          </cell>
          <cell r="P27" t="str">
            <v>-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92154</v>
          </cell>
          <cell r="B28" t="str">
            <v>BRABAT PRAMUDITO</v>
          </cell>
          <cell r="C28" t="str">
            <v>-</v>
          </cell>
          <cell r="D28" t="str">
            <v>-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 t="str">
            <v>-</v>
          </cell>
          <cell r="P28" t="str">
            <v>-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>
            <v>90733</v>
          </cell>
          <cell r="B29" t="str">
            <v>CHINTYA AMELYA PUTRI</v>
          </cell>
          <cell r="C29" t="str">
            <v>-</v>
          </cell>
          <cell r="D29" t="str">
            <v>-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 t="str">
            <v>-</v>
          </cell>
          <cell r="P29" t="str">
            <v>-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A30">
            <v>90744</v>
          </cell>
          <cell r="B30" t="str">
            <v>GABRIELLA YOVITA MARLASARI</v>
          </cell>
          <cell r="C30" t="str">
            <v>-</v>
          </cell>
          <cell r="D30" t="str">
            <v>-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-</v>
          </cell>
          <cell r="P30" t="str">
            <v>-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 t="str">
            <v>A0158</v>
          </cell>
          <cell r="B31" t="str">
            <v>Fifi Amini</v>
          </cell>
          <cell r="C31" t="str">
            <v>-</v>
          </cell>
          <cell r="D31" t="str">
            <v>-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 t="str">
            <v>-</v>
          </cell>
          <cell r="P31" t="str">
            <v>-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 t="str">
            <v>A0532</v>
          </cell>
          <cell r="B32" t="str">
            <v>DEVARA KRISNAWATI</v>
          </cell>
          <cell r="C32" t="str">
            <v>-</v>
          </cell>
          <cell r="D32" t="str">
            <v>-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 t="str">
            <v>-</v>
          </cell>
          <cell r="P32" t="str">
            <v>-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A33" t="str">
            <v>A0525</v>
          </cell>
          <cell r="B33" t="str">
            <v>ELISA BAYUSRI</v>
          </cell>
          <cell r="C33" t="str">
            <v>-</v>
          </cell>
          <cell r="D33" t="str">
            <v>-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 t="str">
            <v>-</v>
          </cell>
          <cell r="P33" t="str">
            <v>-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A34">
            <v>90495</v>
          </cell>
          <cell r="B34" t="str">
            <v>GANISH GIOVANNI SRIOYO</v>
          </cell>
          <cell r="C34" t="str">
            <v>-</v>
          </cell>
          <cell r="D34" t="str">
            <v>-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 t="str">
            <v>-</v>
          </cell>
          <cell r="P34" t="str">
            <v>-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 t="str">
            <v>A0550</v>
          </cell>
          <cell r="B35" t="str">
            <v>NINDA PRASTIWI PUTRI</v>
          </cell>
          <cell r="C35" t="str">
            <v>-</v>
          </cell>
          <cell r="D35" t="str">
            <v>-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 t="str">
            <v>-</v>
          </cell>
          <cell r="P35" t="str">
            <v>-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A36" t="str">
            <v>A1918</v>
          </cell>
          <cell r="B36" t="str">
            <v>ANTONIUS PRIMERUS KAREL B</v>
          </cell>
          <cell r="C36" t="str">
            <v>-</v>
          </cell>
          <cell r="D36" t="str">
            <v>-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 t="str">
            <v>-</v>
          </cell>
          <cell r="P36" t="str">
            <v>-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A37" t="str">
            <v>A1945</v>
          </cell>
          <cell r="B37" t="str">
            <v>MARIA CHINDRYANITA GALA</v>
          </cell>
          <cell r="C37" t="str">
            <v>-</v>
          </cell>
          <cell r="D37" t="str">
            <v>-</v>
          </cell>
          <cell r="E37">
            <v>23</v>
          </cell>
          <cell r="F37">
            <v>871</v>
          </cell>
          <cell r="G37">
            <v>28</v>
          </cell>
          <cell r="H37">
            <v>1186</v>
          </cell>
          <cell r="I37">
            <v>31</v>
          </cell>
          <cell r="J37">
            <v>1349</v>
          </cell>
          <cell r="K37">
            <v>38</v>
          </cell>
          <cell r="L37">
            <v>1360</v>
          </cell>
          <cell r="M37">
            <v>29</v>
          </cell>
          <cell r="N37">
            <v>1077</v>
          </cell>
          <cell r="O37">
            <v>17</v>
          </cell>
          <cell r="P37">
            <v>619</v>
          </cell>
          <cell r="Q37">
            <v>166</v>
          </cell>
          <cell r="R37">
            <v>6462</v>
          </cell>
          <cell r="S37">
            <v>38.927710843373497</v>
          </cell>
          <cell r="T37">
            <v>2</v>
          </cell>
        </row>
        <row r="38">
          <cell r="A38" t="str">
            <v>A0477</v>
          </cell>
          <cell r="B38" t="str">
            <v>THERESIA YUSI</v>
          </cell>
          <cell r="C38" t="str">
            <v>-</v>
          </cell>
          <cell r="D38" t="str">
            <v>-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 t="str">
            <v>-</v>
          </cell>
          <cell r="P38" t="str">
            <v>-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 t="str">
            <v>A1941</v>
          </cell>
          <cell r="B39" t="str">
            <v>HANA CHRISTINA</v>
          </cell>
          <cell r="C39" t="str">
            <v>-</v>
          </cell>
          <cell r="D39" t="str">
            <v>-</v>
          </cell>
          <cell r="E39">
            <v>8</v>
          </cell>
          <cell r="F39">
            <v>255</v>
          </cell>
          <cell r="G39">
            <v>10</v>
          </cell>
          <cell r="H39">
            <v>355</v>
          </cell>
          <cell r="I39">
            <v>5</v>
          </cell>
          <cell r="J39">
            <v>197</v>
          </cell>
          <cell r="K39">
            <v>6</v>
          </cell>
          <cell r="L39">
            <v>171</v>
          </cell>
          <cell r="M39">
            <v>5</v>
          </cell>
          <cell r="N39">
            <v>191</v>
          </cell>
          <cell r="O39">
            <v>1</v>
          </cell>
          <cell r="P39">
            <v>32</v>
          </cell>
          <cell r="Q39">
            <v>35</v>
          </cell>
          <cell r="R39">
            <v>1201</v>
          </cell>
          <cell r="S39">
            <v>34.314285714285717</v>
          </cell>
          <cell r="T39">
            <v>2</v>
          </cell>
        </row>
        <row r="40">
          <cell r="A40" t="str">
            <v>A2066</v>
          </cell>
          <cell r="B40" t="str">
            <v xml:space="preserve">YULIANT EFENDI </v>
          </cell>
          <cell r="C40">
            <v>22</v>
          </cell>
          <cell r="D40">
            <v>1075</v>
          </cell>
          <cell r="E40">
            <v>53</v>
          </cell>
          <cell r="F40">
            <v>2326</v>
          </cell>
          <cell r="G40">
            <v>51</v>
          </cell>
          <cell r="H40">
            <v>2406</v>
          </cell>
          <cell r="I40">
            <v>42</v>
          </cell>
          <cell r="J40">
            <v>1876</v>
          </cell>
          <cell r="K40">
            <v>53</v>
          </cell>
          <cell r="L40">
            <v>2222</v>
          </cell>
          <cell r="M40">
            <v>49</v>
          </cell>
          <cell r="N40">
            <v>2286</v>
          </cell>
          <cell r="O40">
            <v>23</v>
          </cell>
          <cell r="P40">
            <v>954</v>
          </cell>
          <cell r="Q40">
            <v>293</v>
          </cell>
          <cell r="R40">
            <v>13145</v>
          </cell>
          <cell r="S40">
            <v>44.863481228668945</v>
          </cell>
          <cell r="T40">
            <v>3</v>
          </cell>
        </row>
        <row r="41">
          <cell r="A41" t="str">
            <v>A2080</v>
          </cell>
          <cell r="B41" t="str">
            <v>SHABRINA DARMESTI</v>
          </cell>
          <cell r="C41" t="str">
            <v>-</v>
          </cell>
          <cell r="D41" t="str">
            <v>-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 t="str">
            <v>-</v>
          </cell>
          <cell r="P41" t="str">
            <v>-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 t="str">
            <v>A2078</v>
          </cell>
          <cell r="B42" t="str">
            <v>ANASTASIA LESTARI</v>
          </cell>
          <cell r="C42" t="str">
            <v>-</v>
          </cell>
          <cell r="D42" t="str">
            <v>-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 t="str">
            <v>-</v>
          </cell>
          <cell r="P42" t="str">
            <v>-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 t="str">
            <v>A2079</v>
          </cell>
          <cell r="B43" t="str">
            <v>IDA AYU KOMANG DINDA MAHA</v>
          </cell>
          <cell r="C43" t="str">
            <v>-</v>
          </cell>
          <cell r="D43" t="str">
            <v>-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 t="str">
            <v>-</v>
          </cell>
          <cell r="P43" t="str">
            <v>-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 t="str">
            <v>A2076</v>
          </cell>
          <cell r="B44" t="str">
            <v xml:space="preserve">KURNIA SAFITRI </v>
          </cell>
          <cell r="C44" t="str">
            <v>-</v>
          </cell>
          <cell r="D44" t="str">
            <v>-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 t="str">
            <v>-</v>
          </cell>
          <cell r="P44" t="str">
            <v>-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 t="str">
            <v>A2036</v>
          </cell>
          <cell r="B45" t="str">
            <v xml:space="preserve">LATHIFAH AINI </v>
          </cell>
          <cell r="C45" t="str">
            <v>-</v>
          </cell>
          <cell r="D45" t="str">
            <v>-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 t="str">
            <v>-</v>
          </cell>
          <cell r="P45" t="str">
            <v>-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 t="str">
            <v>A0349</v>
          </cell>
          <cell r="B46" t="str">
            <v xml:space="preserve">AHMAD ZAINAL ARIFIN </v>
          </cell>
          <cell r="C46">
            <v>24</v>
          </cell>
          <cell r="D46">
            <v>1070</v>
          </cell>
          <cell r="E46">
            <v>51</v>
          </cell>
          <cell r="F46">
            <v>2156</v>
          </cell>
          <cell r="G46">
            <v>49</v>
          </cell>
          <cell r="H46">
            <v>2268</v>
          </cell>
          <cell r="I46">
            <v>45</v>
          </cell>
          <cell r="J46">
            <v>2063</v>
          </cell>
          <cell r="K46">
            <v>55</v>
          </cell>
          <cell r="L46">
            <v>2193</v>
          </cell>
          <cell r="M46">
            <v>44</v>
          </cell>
          <cell r="N46">
            <v>1968</v>
          </cell>
          <cell r="O46">
            <v>22</v>
          </cell>
          <cell r="P46">
            <v>900</v>
          </cell>
          <cell r="Q46">
            <v>290</v>
          </cell>
          <cell r="R46">
            <v>12618</v>
          </cell>
          <cell r="S46">
            <v>43.510344827586209</v>
          </cell>
          <cell r="T46">
            <v>3</v>
          </cell>
        </row>
        <row r="47">
          <cell r="A47" t="str">
            <v>A2659</v>
          </cell>
          <cell r="B47" t="str">
            <v>FRANSISKUS ASISI</v>
          </cell>
          <cell r="C47" t="str">
            <v>-</v>
          </cell>
          <cell r="D47" t="str">
            <v>-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 t="str">
            <v>-</v>
          </cell>
          <cell r="P47" t="str">
            <v>-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A48" t="str">
            <v>A2797</v>
          </cell>
          <cell r="B48" t="str">
            <v>ISTI MULATSIH</v>
          </cell>
          <cell r="C48" t="str">
            <v>-</v>
          </cell>
          <cell r="D48" t="str">
            <v>-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 t="str">
            <v>-</v>
          </cell>
          <cell r="P48" t="str">
            <v>-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A49" t="str">
            <v>A2650</v>
          </cell>
          <cell r="B49" t="str">
            <v>TISA SASKIA</v>
          </cell>
          <cell r="C49" t="str">
            <v>-</v>
          </cell>
          <cell r="D49" t="str">
            <v>-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 t="str">
            <v>-</v>
          </cell>
          <cell r="P49" t="str">
            <v>-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A50" t="str">
            <v>A2800</v>
          </cell>
          <cell r="B50" t="str">
            <v xml:space="preserve">TSAQIF AL ADZIN IMANULLAH </v>
          </cell>
          <cell r="C50" t="str">
            <v>-</v>
          </cell>
          <cell r="D50" t="str">
            <v>-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-</v>
          </cell>
          <cell r="P50" t="str">
            <v>-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 t="str">
            <v>A2624</v>
          </cell>
          <cell r="B51" t="str">
            <v>ANISSA APRILLIA KHARISMA DEWI</v>
          </cell>
          <cell r="C51" t="str">
            <v>-</v>
          </cell>
          <cell r="D51" t="str">
            <v>-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>-</v>
          </cell>
          <cell r="P51" t="str">
            <v>-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 t="str">
            <v>A2823</v>
          </cell>
          <cell r="B52" t="str">
            <v>INE PEBRIYANTI</v>
          </cell>
          <cell r="C52">
            <v>2</v>
          </cell>
          <cell r="D52">
            <v>59</v>
          </cell>
          <cell r="E52">
            <v>15</v>
          </cell>
          <cell r="F52">
            <v>494</v>
          </cell>
          <cell r="G52">
            <v>6</v>
          </cell>
          <cell r="H52">
            <v>198</v>
          </cell>
          <cell r="I52">
            <v>9</v>
          </cell>
          <cell r="J52">
            <v>306</v>
          </cell>
          <cell r="K52">
            <v>1</v>
          </cell>
          <cell r="L52">
            <v>26</v>
          </cell>
          <cell r="M52">
            <v>0</v>
          </cell>
          <cell r="N52">
            <v>0</v>
          </cell>
          <cell r="O52" t="str">
            <v>-</v>
          </cell>
          <cell r="P52" t="str">
            <v>-</v>
          </cell>
          <cell r="Q52">
            <v>33</v>
          </cell>
          <cell r="R52">
            <v>1083</v>
          </cell>
          <cell r="S52">
            <v>32.81818181818182</v>
          </cell>
          <cell r="T52">
            <v>2</v>
          </cell>
        </row>
        <row r="53">
          <cell r="A53" t="str">
            <v>A2593</v>
          </cell>
          <cell r="B53" t="str">
            <v>GENOVEVA BUNGA</v>
          </cell>
          <cell r="C53" t="str">
            <v>-</v>
          </cell>
          <cell r="D53" t="str">
            <v>-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 t="str">
            <v>-</v>
          </cell>
          <cell r="P53" t="str">
            <v>-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 t="str">
            <v>A2663</v>
          </cell>
          <cell r="B54" t="str">
            <v>NADIA RITA APRIYANTI</v>
          </cell>
          <cell r="C54" t="str">
            <v>-</v>
          </cell>
          <cell r="D54" t="str">
            <v>-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 t="str">
            <v>-</v>
          </cell>
          <cell r="P54" t="str">
            <v>-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A55" t="str">
            <v>A2738</v>
          </cell>
          <cell r="B55" t="str">
            <v>SHAVIRA BERTI</v>
          </cell>
          <cell r="C55" t="str">
            <v>-</v>
          </cell>
          <cell r="D55" t="str">
            <v>-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 t="str">
            <v>-</v>
          </cell>
          <cell r="P55" t="str">
            <v>-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A56" t="str">
            <v>A2576</v>
          </cell>
          <cell r="B56" t="str">
            <v>MILKA GABRIELA WAY</v>
          </cell>
          <cell r="C56" t="str">
            <v>-</v>
          </cell>
          <cell r="D56" t="str">
            <v>-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 t="str">
            <v>-</v>
          </cell>
          <cell r="P56" t="str">
            <v>-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A57" t="str">
            <v>A2851</v>
          </cell>
          <cell r="B57" t="str">
            <v>ARWINA UINA RAHMA</v>
          </cell>
          <cell r="C57" t="str">
            <v>-</v>
          </cell>
          <cell r="D57" t="str">
            <v>-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-</v>
          </cell>
          <cell r="P57" t="str">
            <v>-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 t="str">
            <v>A2873</v>
          </cell>
          <cell r="B58" t="str">
            <v>CHRISTOPHER LAKSAWANA</v>
          </cell>
          <cell r="C58">
            <v>22</v>
          </cell>
          <cell r="D58">
            <v>1001</v>
          </cell>
          <cell r="E58">
            <v>53</v>
          </cell>
          <cell r="F58">
            <v>2271</v>
          </cell>
          <cell r="G58">
            <v>50</v>
          </cell>
          <cell r="H58">
            <v>2277</v>
          </cell>
          <cell r="I58">
            <v>48</v>
          </cell>
          <cell r="J58">
            <v>2175</v>
          </cell>
          <cell r="K58">
            <v>54</v>
          </cell>
          <cell r="L58">
            <v>2223</v>
          </cell>
          <cell r="M58">
            <v>47</v>
          </cell>
          <cell r="N58">
            <v>2062</v>
          </cell>
          <cell r="O58">
            <v>22</v>
          </cell>
          <cell r="P58">
            <v>850</v>
          </cell>
          <cell r="Q58">
            <v>296</v>
          </cell>
          <cell r="R58">
            <v>12859</v>
          </cell>
          <cell r="S58">
            <v>43.442567567567565</v>
          </cell>
          <cell r="T58">
            <v>3</v>
          </cell>
        </row>
        <row r="59">
          <cell r="A59" t="str">
            <v>A2874</v>
          </cell>
          <cell r="B59" t="str">
            <v>KADEK FERA APRILIA</v>
          </cell>
          <cell r="C59" t="str">
            <v>-</v>
          </cell>
          <cell r="D59" t="str">
            <v>-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 t="str">
            <v>-</v>
          </cell>
          <cell r="P59" t="str">
            <v>-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>A2879</v>
          </cell>
          <cell r="B60" t="str">
            <v>FAUZI</v>
          </cell>
          <cell r="C60">
            <v>15</v>
          </cell>
          <cell r="D60">
            <v>662</v>
          </cell>
          <cell r="E60">
            <v>27</v>
          </cell>
          <cell r="F60">
            <v>1064</v>
          </cell>
          <cell r="G60">
            <v>36</v>
          </cell>
          <cell r="H60">
            <v>1602</v>
          </cell>
          <cell r="I60">
            <v>12</v>
          </cell>
          <cell r="J60">
            <v>524</v>
          </cell>
          <cell r="K60">
            <v>27</v>
          </cell>
          <cell r="L60">
            <v>1049</v>
          </cell>
          <cell r="M60">
            <v>30</v>
          </cell>
          <cell r="N60">
            <v>1364</v>
          </cell>
          <cell r="O60">
            <v>19</v>
          </cell>
          <cell r="P60">
            <v>770</v>
          </cell>
          <cell r="Q60">
            <v>166</v>
          </cell>
          <cell r="R60">
            <v>7035</v>
          </cell>
          <cell r="S60">
            <v>42.379518072289159</v>
          </cell>
          <cell r="T60">
            <v>3</v>
          </cell>
        </row>
        <row r="61">
          <cell r="A61" t="str">
            <v>A2615</v>
          </cell>
          <cell r="B61" t="str">
            <v>NOVITA LANGKAI</v>
          </cell>
          <cell r="C61">
            <v>19</v>
          </cell>
          <cell r="D61">
            <v>842</v>
          </cell>
          <cell r="E61">
            <v>44</v>
          </cell>
          <cell r="F61">
            <v>1683</v>
          </cell>
          <cell r="G61">
            <v>48</v>
          </cell>
          <cell r="H61">
            <v>2254</v>
          </cell>
          <cell r="I61">
            <v>48</v>
          </cell>
          <cell r="J61">
            <v>2331</v>
          </cell>
          <cell r="K61">
            <v>57</v>
          </cell>
          <cell r="L61">
            <v>2289</v>
          </cell>
          <cell r="M61">
            <v>54</v>
          </cell>
          <cell r="N61">
            <v>2390</v>
          </cell>
          <cell r="O61">
            <v>23</v>
          </cell>
          <cell r="P61">
            <v>975</v>
          </cell>
          <cell r="Q61">
            <v>293</v>
          </cell>
          <cell r="R61">
            <v>12764</v>
          </cell>
          <cell r="S61">
            <v>43.563139931740615</v>
          </cell>
          <cell r="T61">
            <v>3</v>
          </cell>
        </row>
        <row r="62">
          <cell r="A62" t="str">
            <v>A2902</v>
          </cell>
          <cell r="B62" t="str">
            <v>ANGGRAENI RAHMAH PRASTIWI</v>
          </cell>
          <cell r="C62" t="str">
            <v>-</v>
          </cell>
          <cell r="D62" t="str">
            <v>-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>-</v>
          </cell>
          <cell r="P62" t="str">
            <v>-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A63" t="str">
            <v>A0948</v>
          </cell>
          <cell r="B63" t="str">
            <v>NURUL HIKMAH</v>
          </cell>
          <cell r="C63" t="str">
            <v>-</v>
          </cell>
          <cell r="D63" t="str">
            <v>-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>-</v>
          </cell>
          <cell r="P63" t="str">
            <v>-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 t="str">
            <v>A3612</v>
          </cell>
          <cell r="B64" t="str">
            <v>RINTAN MIRZA DIANI</v>
          </cell>
          <cell r="C64" t="str">
            <v>-</v>
          </cell>
          <cell r="D64" t="str">
            <v>-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>-</v>
          </cell>
          <cell r="P64" t="str">
            <v>-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A65" t="str">
            <v>A3498</v>
          </cell>
          <cell r="B65" t="str">
            <v>KIRANA AMILYA</v>
          </cell>
          <cell r="C65">
            <v>14</v>
          </cell>
          <cell r="D65">
            <v>456</v>
          </cell>
          <cell r="E65">
            <v>15</v>
          </cell>
          <cell r="F65">
            <v>449</v>
          </cell>
          <cell r="G65">
            <v>12</v>
          </cell>
          <cell r="H65">
            <v>403</v>
          </cell>
          <cell r="I65">
            <v>0</v>
          </cell>
          <cell r="J65">
            <v>0</v>
          </cell>
          <cell r="K65">
            <v>8</v>
          </cell>
          <cell r="L65">
            <v>226</v>
          </cell>
          <cell r="M65">
            <v>2</v>
          </cell>
          <cell r="N65">
            <v>66</v>
          </cell>
          <cell r="O65">
            <v>4</v>
          </cell>
          <cell r="P65">
            <v>127</v>
          </cell>
          <cell r="Q65">
            <v>55</v>
          </cell>
          <cell r="R65">
            <v>1727</v>
          </cell>
          <cell r="S65">
            <v>31.4</v>
          </cell>
          <cell r="T65">
            <v>2</v>
          </cell>
        </row>
        <row r="66">
          <cell r="A66" t="str">
            <v>A3431</v>
          </cell>
          <cell r="B66" t="str">
            <v>YULIANA DIAH AYU MITAYANI</v>
          </cell>
          <cell r="C66" t="str">
            <v>-</v>
          </cell>
          <cell r="D66" t="str">
            <v>-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>-</v>
          </cell>
          <cell r="P66" t="str">
            <v>-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A67" t="str">
            <v>A2554</v>
          </cell>
          <cell r="B67" t="str">
            <v>ALLIFYA ABIWANTARI</v>
          </cell>
          <cell r="C67" t="str">
            <v>-</v>
          </cell>
          <cell r="D67" t="str">
            <v>-</v>
          </cell>
          <cell r="E67">
            <v>12</v>
          </cell>
          <cell r="F67">
            <v>308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-</v>
          </cell>
          <cell r="P67" t="str">
            <v>-</v>
          </cell>
          <cell r="Q67">
            <v>12</v>
          </cell>
          <cell r="R67">
            <v>308</v>
          </cell>
          <cell r="S67">
            <v>25.666666666666668</v>
          </cell>
          <cell r="T67">
            <v>0</v>
          </cell>
        </row>
        <row r="68">
          <cell r="A68" t="str">
            <v>A4247</v>
          </cell>
          <cell r="B68" t="str">
            <v>WA ODE ALYA SHINTA AMALIA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19</v>
          </cell>
          <cell r="J68">
            <v>476</v>
          </cell>
          <cell r="K68">
            <v>20</v>
          </cell>
          <cell r="L68">
            <v>532</v>
          </cell>
          <cell r="M68">
            <v>17</v>
          </cell>
          <cell r="N68">
            <v>548</v>
          </cell>
          <cell r="O68">
            <v>9</v>
          </cell>
          <cell r="P68">
            <v>300</v>
          </cell>
          <cell r="Q68">
            <v>65</v>
          </cell>
          <cell r="R68">
            <v>1856</v>
          </cell>
          <cell r="S68">
            <v>28.553846153846155</v>
          </cell>
          <cell r="T68">
            <v>0</v>
          </cell>
        </row>
        <row r="69">
          <cell r="A69" t="str">
            <v>A4348</v>
          </cell>
          <cell r="B69" t="str">
            <v>RISKA WULAN NAWANGSARI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19</v>
          </cell>
          <cell r="L69">
            <v>456</v>
          </cell>
          <cell r="M69">
            <v>25</v>
          </cell>
          <cell r="N69">
            <v>756</v>
          </cell>
          <cell r="O69">
            <v>3</v>
          </cell>
          <cell r="P69">
            <v>95</v>
          </cell>
          <cell r="Q69">
            <v>47</v>
          </cell>
          <cell r="R69">
            <v>1307</v>
          </cell>
          <cell r="S69">
            <v>27.808510638297872</v>
          </cell>
          <cell r="T69">
            <v>0</v>
          </cell>
        </row>
        <row r="70">
          <cell r="A70" t="str">
            <v>A4346</v>
          </cell>
          <cell r="B70" t="str">
            <v>KIKI RIZKY ANANDA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37</v>
          </cell>
          <cell r="L70">
            <v>724</v>
          </cell>
          <cell r="M70">
            <v>16</v>
          </cell>
          <cell r="N70">
            <v>471</v>
          </cell>
          <cell r="O70" t="str">
            <v>-</v>
          </cell>
          <cell r="P70" t="str">
            <v>-</v>
          </cell>
          <cell r="Q70">
            <v>53</v>
          </cell>
          <cell r="R70">
            <v>1195</v>
          </cell>
          <cell r="S70">
            <v>22.547169811320753</v>
          </cell>
          <cell r="T70">
            <v>0</v>
          </cell>
        </row>
        <row r="71">
          <cell r="A71" t="str">
            <v>A4347</v>
          </cell>
          <cell r="B71" t="str">
            <v>CHINDI PRATIWI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7</v>
          </cell>
          <cell r="L71">
            <v>84</v>
          </cell>
          <cell r="M71">
            <v>9</v>
          </cell>
          <cell r="N71">
            <v>172</v>
          </cell>
          <cell r="O71" t="str">
            <v>-</v>
          </cell>
          <cell r="P71" t="str">
            <v>-</v>
          </cell>
          <cell r="Q71">
            <v>16</v>
          </cell>
          <cell r="R71">
            <v>256</v>
          </cell>
          <cell r="S71">
            <v>16</v>
          </cell>
          <cell r="T71">
            <v>0</v>
          </cell>
        </row>
        <row r="72">
          <cell r="A72" t="str">
            <v>A4403</v>
          </cell>
          <cell r="B72" t="str">
            <v>Deva Aryani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3</v>
          </cell>
          <cell r="L72">
            <v>43</v>
          </cell>
          <cell r="M72">
            <v>0</v>
          </cell>
          <cell r="N72">
            <v>0</v>
          </cell>
          <cell r="O72" t="str">
            <v>-</v>
          </cell>
          <cell r="P72" t="str">
            <v>-</v>
          </cell>
          <cell r="Q72">
            <v>3</v>
          </cell>
          <cell r="R72">
            <v>43</v>
          </cell>
          <cell r="S72">
            <v>14.333333333333334</v>
          </cell>
          <cell r="T72">
            <v>0</v>
          </cell>
        </row>
        <row r="73">
          <cell r="A73" t="str">
            <v>A2273</v>
          </cell>
          <cell r="B73" t="str">
            <v>Wiena Mardhina Putri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3</v>
          </cell>
          <cell r="L73">
            <v>46</v>
          </cell>
          <cell r="M73">
            <v>0</v>
          </cell>
          <cell r="N73">
            <v>0</v>
          </cell>
          <cell r="O73" t="str">
            <v>-</v>
          </cell>
          <cell r="P73" t="str">
            <v>-</v>
          </cell>
          <cell r="Q73">
            <v>3</v>
          </cell>
          <cell r="R73">
            <v>46</v>
          </cell>
          <cell r="S73">
            <v>15.333333333333334</v>
          </cell>
          <cell r="T73">
            <v>0</v>
          </cell>
        </row>
        <row r="74">
          <cell r="A74" t="str">
            <v>A4404</v>
          </cell>
          <cell r="B74" t="str">
            <v>Antonia Maria Ajeng Galuh Dewanti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3</v>
          </cell>
          <cell r="L74">
            <v>49</v>
          </cell>
          <cell r="M74">
            <v>8</v>
          </cell>
          <cell r="N74">
            <v>186</v>
          </cell>
          <cell r="O74">
            <v>12</v>
          </cell>
          <cell r="P74">
            <v>304</v>
          </cell>
          <cell r="Q74">
            <v>23</v>
          </cell>
          <cell r="R74">
            <v>539</v>
          </cell>
          <cell r="S74">
            <v>23.434782608695652</v>
          </cell>
          <cell r="T74">
            <v>0</v>
          </cell>
        </row>
        <row r="75">
          <cell r="A75" t="str">
            <v>A4429</v>
          </cell>
          <cell r="B75" t="str">
            <v>ESTER SEFANYA SULU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</v>
          </cell>
          <cell r="L75">
            <v>20</v>
          </cell>
          <cell r="M75">
            <v>1</v>
          </cell>
          <cell r="N75">
            <v>20</v>
          </cell>
          <cell r="O75" t="str">
            <v>-</v>
          </cell>
          <cell r="P75" t="str">
            <v>-</v>
          </cell>
          <cell r="Q75">
            <v>2</v>
          </cell>
          <cell r="R75">
            <v>40</v>
          </cell>
          <cell r="S75">
            <v>20</v>
          </cell>
          <cell r="T75">
            <v>0</v>
          </cell>
        </row>
        <row r="76">
          <cell r="A76" t="str">
            <v>A4428</v>
          </cell>
          <cell r="B76" t="str">
            <v>FERDIAN ANGGA RACHMADHANI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1</v>
          </cell>
          <cell r="L76">
            <v>17</v>
          </cell>
          <cell r="M76">
            <v>2</v>
          </cell>
          <cell r="N76">
            <v>49</v>
          </cell>
          <cell r="O76">
            <v>4</v>
          </cell>
          <cell r="P76">
            <v>108</v>
          </cell>
          <cell r="Q76">
            <v>7</v>
          </cell>
          <cell r="R76">
            <v>174</v>
          </cell>
          <cell r="S76">
            <v>24.857142857142858</v>
          </cell>
          <cell r="T76">
            <v>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V"/>
      <sheetName val="AAV AUTO2000"/>
      <sheetName val="GC"/>
      <sheetName val="SBPV"/>
      <sheetName val="RVO"/>
      <sheetName val="CC SK"/>
      <sheetName val="DELTA"/>
      <sheetName val="TEMA C1"/>
      <sheetName val="TEMA C2"/>
      <sheetName val="TEMA C3"/>
      <sheetName val="SUMMARY"/>
      <sheetName val="PRIO DANA"/>
      <sheetName val="TEMA HAJI"/>
      <sheetName val="DESIRE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B1" t="str">
            <v>NPK</v>
          </cell>
          <cell r="C1" t="str">
            <v>NAMA LENGKAP</v>
          </cell>
          <cell r="D1" t="str">
            <v>FUNGSI</v>
          </cell>
          <cell r="E1" t="str">
            <v>STATUS</v>
          </cell>
        </row>
        <row r="2">
          <cell r="B2">
            <v>92168</v>
          </cell>
          <cell r="C2" t="str">
            <v>Deanita Chandrasari Nur P</v>
          </cell>
          <cell r="D2" t="str">
            <v>AAV</v>
          </cell>
          <cell r="E2" t="str">
            <v>RESIGN</v>
          </cell>
        </row>
        <row r="3">
          <cell r="B3">
            <v>92256</v>
          </cell>
          <cell r="C3" t="str">
            <v>Banty Segara Bening</v>
          </cell>
          <cell r="D3" t="str">
            <v>AAV</v>
          </cell>
          <cell r="E3" t="str">
            <v>RESIGN</v>
          </cell>
        </row>
        <row r="4">
          <cell r="B4">
            <v>92258</v>
          </cell>
          <cell r="C4" t="str">
            <v>Vincentia Martha Yuliani</v>
          </cell>
          <cell r="D4" t="str">
            <v>AAV</v>
          </cell>
          <cell r="E4" t="str">
            <v>RESIGN</v>
          </cell>
        </row>
        <row r="5">
          <cell r="B5">
            <v>92408</v>
          </cell>
          <cell r="C5" t="str">
            <v>Gaudiensius Caesario Danarta Raharjo</v>
          </cell>
          <cell r="D5" t="str">
            <v>AAV</v>
          </cell>
          <cell r="E5" t="str">
            <v>RESIGN</v>
          </cell>
        </row>
        <row r="6">
          <cell r="B6">
            <v>92480</v>
          </cell>
          <cell r="C6" t="str">
            <v>Umma Putri Iman</v>
          </cell>
          <cell r="D6" t="str">
            <v>AAV</v>
          </cell>
          <cell r="E6" t="str">
            <v>RESIGN</v>
          </cell>
        </row>
        <row r="7">
          <cell r="B7">
            <v>92498</v>
          </cell>
          <cell r="C7" t="str">
            <v>Hartapriliano Ady Nugroho</v>
          </cell>
          <cell r="D7" t="str">
            <v>AAV</v>
          </cell>
          <cell r="E7" t="str">
            <v>RESIGN</v>
          </cell>
        </row>
        <row r="8">
          <cell r="B8">
            <v>92499</v>
          </cell>
          <cell r="C8" t="str">
            <v>Toni Wandono</v>
          </cell>
          <cell r="D8" t="str">
            <v>AAV</v>
          </cell>
          <cell r="E8" t="str">
            <v>RESIGN</v>
          </cell>
        </row>
        <row r="9">
          <cell r="B9">
            <v>92569</v>
          </cell>
          <cell r="C9" t="str">
            <v>Alfian Nur Muhammad</v>
          </cell>
          <cell r="D9" t="str">
            <v>AAV</v>
          </cell>
          <cell r="E9" t="str">
            <v>RESIGN</v>
          </cell>
        </row>
        <row r="10">
          <cell r="B10" t="str">
            <v>A0041</v>
          </cell>
          <cell r="C10" t="str">
            <v>YOGI ISTIFAR</v>
          </cell>
          <cell r="D10" t="str">
            <v>AAV</v>
          </cell>
          <cell r="E10" t="str">
            <v>RESIGN</v>
          </cell>
        </row>
        <row r="11">
          <cell r="B11" t="str">
            <v>A0169</v>
          </cell>
          <cell r="C11" t="str">
            <v>Rachmasari Nur Hutaminingtyas</v>
          </cell>
          <cell r="D11" t="str">
            <v>AAV</v>
          </cell>
          <cell r="E11" t="str">
            <v>RESIGN</v>
          </cell>
        </row>
        <row r="12">
          <cell r="B12" t="str">
            <v>A0166</v>
          </cell>
          <cell r="C12" t="str">
            <v>Amri Hakim</v>
          </cell>
          <cell r="D12" t="str">
            <v>AAV</v>
          </cell>
          <cell r="E12" t="str">
            <v>RESIGN</v>
          </cell>
        </row>
        <row r="13">
          <cell r="B13" t="str">
            <v>A0532</v>
          </cell>
          <cell r="C13" t="str">
            <v>Devara Krisnawati</v>
          </cell>
          <cell r="D13" t="str">
            <v>AAV</v>
          </cell>
          <cell r="E13" t="str">
            <v>RESIGN</v>
          </cell>
        </row>
        <row r="14">
          <cell r="B14" t="str">
            <v>A2079</v>
          </cell>
          <cell r="C14" t="str">
            <v>Ida Ayu Komang Dinda Mahadevi</v>
          </cell>
          <cell r="D14" t="str">
            <v>AAV</v>
          </cell>
          <cell r="E14" t="str">
            <v>RESIGN</v>
          </cell>
        </row>
        <row r="15">
          <cell r="B15" t="str">
            <v>A2798</v>
          </cell>
          <cell r="C15" t="str">
            <v>Adho Vercassa</v>
          </cell>
          <cell r="D15" t="str">
            <v>AAV</v>
          </cell>
          <cell r="E15" t="str">
            <v>RESIGN</v>
          </cell>
        </row>
        <row r="16">
          <cell r="B16" t="str">
            <v>A2624</v>
          </cell>
          <cell r="C16" t="str">
            <v>Annisa Aprillia Kharisma Dewi</v>
          </cell>
          <cell r="D16" t="str">
            <v>AAV</v>
          </cell>
          <cell r="E16" t="str">
            <v>RESIGN</v>
          </cell>
        </row>
        <row r="17">
          <cell r="B17" t="str">
            <v>A2617</v>
          </cell>
          <cell r="C17" t="str">
            <v>Holanda Respati Kiranaratri</v>
          </cell>
          <cell r="D17" t="str">
            <v>AAV</v>
          </cell>
          <cell r="E17" t="str">
            <v>RESIGN</v>
          </cell>
        </row>
        <row r="18">
          <cell r="B18" t="str">
            <v>A2591</v>
          </cell>
          <cell r="C18" t="str">
            <v>Immanuel Edi Nugroho</v>
          </cell>
          <cell r="D18" t="str">
            <v>AAV</v>
          </cell>
          <cell r="E18" t="str">
            <v>RESIGN</v>
          </cell>
        </row>
        <row r="19">
          <cell r="B19" t="str">
            <v>A2874</v>
          </cell>
          <cell r="C19" t="str">
            <v>Kadek Fera Aprilia</v>
          </cell>
          <cell r="D19" t="str">
            <v>AAV</v>
          </cell>
          <cell r="E19" t="str">
            <v>RESIGN</v>
          </cell>
        </row>
        <row r="20">
          <cell r="B20" t="str">
            <v>A2647</v>
          </cell>
          <cell r="C20" t="str">
            <v>Alfriendly Wau</v>
          </cell>
          <cell r="D20" t="str">
            <v>AAV AUTO 2000</v>
          </cell>
          <cell r="E20" t="str">
            <v>RESIGN</v>
          </cell>
        </row>
        <row r="21">
          <cell r="B21" t="str">
            <v>A2919</v>
          </cell>
          <cell r="C21" t="str">
            <v>Pingkan Annisa</v>
          </cell>
          <cell r="D21" t="str">
            <v>AAV AUTO 2000</v>
          </cell>
          <cell r="E21" t="str">
            <v>RESIGN</v>
          </cell>
        </row>
        <row r="22">
          <cell r="B22" t="str">
            <v>A2647</v>
          </cell>
          <cell r="C22" t="str">
            <v>Alfriendly Wau</v>
          </cell>
          <cell r="D22" t="str">
            <v>GREETING CALL</v>
          </cell>
          <cell r="E22" t="str">
            <v>RESIGN</v>
          </cell>
        </row>
        <row r="23">
          <cell r="B23" t="str">
            <v>A2919</v>
          </cell>
          <cell r="C23" t="str">
            <v>Pingkan Annisa</v>
          </cell>
          <cell r="D23" t="str">
            <v>GREETING CALL</v>
          </cell>
          <cell r="E23" t="str">
            <v>RESIGN</v>
          </cell>
        </row>
        <row r="24">
          <cell r="B24">
            <v>92140</v>
          </cell>
          <cell r="C24" t="str">
            <v>Deni Julio Kristianto</v>
          </cell>
          <cell r="D24" t="str">
            <v>SBPV</v>
          </cell>
          <cell r="E24" t="str">
            <v>RESIGN</v>
          </cell>
        </row>
        <row r="25">
          <cell r="B25">
            <v>92171</v>
          </cell>
          <cell r="C25" t="str">
            <v>Veri Rahmanta</v>
          </cell>
          <cell r="D25" t="str">
            <v>SBPV</v>
          </cell>
          <cell r="E25" t="str">
            <v>RESIGN</v>
          </cell>
        </row>
        <row r="26">
          <cell r="B26">
            <v>92194</v>
          </cell>
          <cell r="C26" t="str">
            <v>Windarti</v>
          </cell>
          <cell r="D26" t="str">
            <v>SBPV</v>
          </cell>
          <cell r="E26" t="str">
            <v>RESIGN</v>
          </cell>
        </row>
        <row r="27">
          <cell r="B27">
            <v>92261</v>
          </cell>
          <cell r="C27" t="str">
            <v>Uswathun Khasanah Assri Kusumaningsih</v>
          </cell>
          <cell r="D27" t="str">
            <v>SBPV</v>
          </cell>
          <cell r="E27" t="str">
            <v>RESIGN</v>
          </cell>
        </row>
        <row r="28">
          <cell r="B28">
            <v>92276</v>
          </cell>
          <cell r="C28" t="str">
            <v>B CHRISNAN YUDHA PRATAMA</v>
          </cell>
          <cell r="D28" t="str">
            <v>SBPV</v>
          </cell>
          <cell r="E28" t="str">
            <v>RESIGN</v>
          </cell>
        </row>
        <row r="29">
          <cell r="B29">
            <v>92283</v>
          </cell>
          <cell r="C29" t="str">
            <v>Rio Ananto</v>
          </cell>
          <cell r="D29" t="str">
            <v>SBPV</v>
          </cell>
          <cell r="E29" t="str">
            <v>RESIGN</v>
          </cell>
        </row>
        <row r="30">
          <cell r="B30">
            <v>92293</v>
          </cell>
          <cell r="C30" t="str">
            <v>Adelia Prili Imantika</v>
          </cell>
          <cell r="D30" t="str">
            <v>SBPV</v>
          </cell>
          <cell r="E30" t="str">
            <v>RESIGN</v>
          </cell>
        </row>
        <row r="31">
          <cell r="B31">
            <v>92383</v>
          </cell>
          <cell r="C31" t="str">
            <v>Agnes Kusmawati</v>
          </cell>
          <cell r="D31" t="str">
            <v>SBPV</v>
          </cell>
          <cell r="E31" t="str">
            <v>RESIGN</v>
          </cell>
        </row>
        <row r="32">
          <cell r="B32">
            <v>92384</v>
          </cell>
          <cell r="C32" t="str">
            <v>Febiyola Marchelina</v>
          </cell>
          <cell r="D32" t="str">
            <v>SBPV</v>
          </cell>
          <cell r="E32" t="str">
            <v>RESIGN</v>
          </cell>
        </row>
        <row r="33">
          <cell r="B33">
            <v>92404</v>
          </cell>
          <cell r="C33" t="str">
            <v>Hasni Anatasia</v>
          </cell>
          <cell r="D33" t="str">
            <v>SBPV</v>
          </cell>
          <cell r="E33" t="str">
            <v>RESIGN</v>
          </cell>
        </row>
        <row r="34">
          <cell r="B34">
            <v>92405</v>
          </cell>
          <cell r="C34" t="str">
            <v>Gracia Maria Pricilla Panjaitan</v>
          </cell>
          <cell r="D34" t="str">
            <v>SBPV</v>
          </cell>
          <cell r="E34" t="str">
            <v>RESIGN</v>
          </cell>
        </row>
        <row r="35">
          <cell r="B35">
            <v>92412</v>
          </cell>
          <cell r="C35" t="str">
            <v>Reza Maylina Butarbutar</v>
          </cell>
          <cell r="D35" t="str">
            <v>SBPV</v>
          </cell>
          <cell r="E35" t="str">
            <v>RESIGN</v>
          </cell>
        </row>
        <row r="36">
          <cell r="B36">
            <v>92490</v>
          </cell>
          <cell r="C36" t="str">
            <v>Hania Eka Farah Adila</v>
          </cell>
          <cell r="D36" t="str">
            <v>SBPV</v>
          </cell>
          <cell r="E36" t="str">
            <v>RESIGN</v>
          </cell>
        </row>
        <row r="37">
          <cell r="B37">
            <v>92497</v>
          </cell>
          <cell r="C37" t="str">
            <v>Demi Rollang Fipdanto</v>
          </cell>
          <cell r="D37" t="str">
            <v>SBPV</v>
          </cell>
          <cell r="E37" t="str">
            <v>RESIGN</v>
          </cell>
        </row>
        <row r="38">
          <cell r="B38">
            <v>92525</v>
          </cell>
          <cell r="C38" t="str">
            <v>Gigih Surya Putra</v>
          </cell>
          <cell r="D38" t="str">
            <v>SBPV</v>
          </cell>
          <cell r="E38" t="str">
            <v>RESIGN</v>
          </cell>
        </row>
        <row r="39">
          <cell r="B39">
            <v>92330</v>
          </cell>
          <cell r="C39" t="str">
            <v>DWI KARTI HANDAYANI</v>
          </cell>
          <cell r="D39" t="str">
            <v>SBPV</v>
          </cell>
          <cell r="E39" t="str">
            <v>RESIGN</v>
          </cell>
        </row>
        <row r="40">
          <cell r="B40">
            <v>92563</v>
          </cell>
          <cell r="C40" t="str">
            <v>Florencia Irena Santosa</v>
          </cell>
          <cell r="D40" t="str">
            <v>SBPV</v>
          </cell>
          <cell r="E40" t="str">
            <v>RESIGN</v>
          </cell>
        </row>
        <row r="41">
          <cell r="B41">
            <v>92566</v>
          </cell>
          <cell r="C41" t="str">
            <v>Adi Wicaksono</v>
          </cell>
          <cell r="D41" t="str">
            <v>SBPV</v>
          </cell>
          <cell r="E41" t="str">
            <v>RESIGN</v>
          </cell>
        </row>
        <row r="42">
          <cell r="B42">
            <v>92610</v>
          </cell>
          <cell r="C42" t="str">
            <v>Lara Ola Simarmata</v>
          </cell>
          <cell r="D42" t="str">
            <v>SBPV</v>
          </cell>
          <cell r="E42" t="str">
            <v>RESIGN</v>
          </cell>
        </row>
        <row r="43">
          <cell r="B43">
            <v>92346</v>
          </cell>
          <cell r="C43" t="str">
            <v>ALRIANI LINGGA</v>
          </cell>
          <cell r="D43" t="str">
            <v>SBPV</v>
          </cell>
          <cell r="E43" t="str">
            <v>RESIGN</v>
          </cell>
        </row>
        <row r="44">
          <cell r="B44">
            <v>92571</v>
          </cell>
          <cell r="C44" t="str">
            <v>DWITA RISANTI</v>
          </cell>
          <cell r="D44" t="str">
            <v>SBPV</v>
          </cell>
          <cell r="E44" t="str">
            <v>RESIGN</v>
          </cell>
        </row>
        <row r="45">
          <cell r="B45">
            <v>92687</v>
          </cell>
          <cell r="C45" t="str">
            <v>NISA FADILAH</v>
          </cell>
          <cell r="D45" t="str">
            <v>SBPV</v>
          </cell>
          <cell r="E45" t="str">
            <v>RESIGN</v>
          </cell>
        </row>
        <row r="46">
          <cell r="B46">
            <v>92672</v>
          </cell>
          <cell r="C46" t="str">
            <v>Ekklesia Christian Adiksa</v>
          </cell>
          <cell r="D46" t="str">
            <v>SBPV</v>
          </cell>
          <cell r="E46" t="str">
            <v>RESIGN</v>
          </cell>
        </row>
        <row r="47">
          <cell r="B47" t="str">
            <v>A0287</v>
          </cell>
          <cell r="C47" t="str">
            <v>Silver Nugraha</v>
          </cell>
          <cell r="D47" t="str">
            <v>SBPV</v>
          </cell>
          <cell r="E47" t="str">
            <v>RESIGN</v>
          </cell>
        </row>
        <row r="48">
          <cell r="B48" t="str">
            <v>A0285</v>
          </cell>
          <cell r="C48" t="str">
            <v>Aya Rizka Evani</v>
          </cell>
          <cell r="D48" t="str">
            <v>SBPV</v>
          </cell>
          <cell r="E48" t="str">
            <v>RESIGN</v>
          </cell>
        </row>
        <row r="49">
          <cell r="B49" t="str">
            <v>A1079</v>
          </cell>
          <cell r="C49" t="str">
            <v>Leni Rahmawati</v>
          </cell>
          <cell r="D49" t="str">
            <v>SBPV</v>
          </cell>
          <cell r="E49" t="str">
            <v>RESIGN</v>
          </cell>
        </row>
        <row r="50">
          <cell r="B50" t="str">
            <v>A1080</v>
          </cell>
          <cell r="C50" t="str">
            <v>Nurhalimah</v>
          </cell>
          <cell r="D50" t="str">
            <v>SBPV</v>
          </cell>
          <cell r="E50" t="str">
            <v>RESIGN</v>
          </cell>
        </row>
        <row r="51">
          <cell r="B51" t="str">
            <v>A1081</v>
          </cell>
          <cell r="C51" t="str">
            <v>Dzakiyya Indiffat Maitsadhifa</v>
          </cell>
          <cell r="D51" t="str">
            <v>SBPV</v>
          </cell>
          <cell r="E51" t="str">
            <v>RESIGN</v>
          </cell>
        </row>
        <row r="52">
          <cell r="B52" t="str">
            <v>A1082</v>
          </cell>
          <cell r="C52" t="str">
            <v>Yuyan Nur Feima</v>
          </cell>
          <cell r="D52" t="str">
            <v>SBPV</v>
          </cell>
          <cell r="E52" t="str">
            <v>RESIGN</v>
          </cell>
        </row>
        <row r="53">
          <cell r="B53" t="str">
            <v>A1937</v>
          </cell>
          <cell r="C53" t="str">
            <v>Niken Dwi Utari</v>
          </cell>
          <cell r="D53" t="str">
            <v>SBPV</v>
          </cell>
          <cell r="E53" t="str">
            <v>RESIGN</v>
          </cell>
        </row>
        <row r="54">
          <cell r="B54" t="str">
            <v>A1939</v>
          </cell>
          <cell r="C54" t="str">
            <v>Dwi Nurhayani</v>
          </cell>
          <cell r="D54" t="str">
            <v>SBPV</v>
          </cell>
          <cell r="E54" t="str">
            <v>RESIGN</v>
          </cell>
        </row>
        <row r="55">
          <cell r="B55" t="str">
            <v>A1951</v>
          </cell>
          <cell r="C55" t="str">
            <v>Lieska</v>
          </cell>
          <cell r="D55" t="str">
            <v>SBPV</v>
          </cell>
          <cell r="E55" t="str">
            <v>RESIGN</v>
          </cell>
        </row>
        <row r="56">
          <cell r="B56" t="str">
            <v>A2006</v>
          </cell>
          <cell r="C56" t="str">
            <v>Ngurah Satya Sudana</v>
          </cell>
          <cell r="D56" t="str">
            <v>SBPV</v>
          </cell>
          <cell r="E56" t="str">
            <v>RESIGN</v>
          </cell>
        </row>
        <row r="57">
          <cell r="B57" t="str">
            <v>A2018</v>
          </cell>
          <cell r="C57" t="str">
            <v>Steffany Audina</v>
          </cell>
          <cell r="D57" t="str">
            <v>SBPV</v>
          </cell>
          <cell r="E57" t="str">
            <v>RESIGN</v>
          </cell>
        </row>
        <row r="58">
          <cell r="B58" t="str">
            <v>A2021</v>
          </cell>
          <cell r="C58" t="str">
            <v>Marcellino Yoga Wicaksana</v>
          </cell>
          <cell r="D58" t="str">
            <v>SBPV</v>
          </cell>
          <cell r="E58" t="str">
            <v>RESIGN</v>
          </cell>
        </row>
        <row r="59">
          <cell r="B59" t="str">
            <v>A2029</v>
          </cell>
          <cell r="C59" t="str">
            <v>AGUNG PRASETYO</v>
          </cell>
          <cell r="D59" t="str">
            <v>SBPV</v>
          </cell>
          <cell r="E59" t="str">
            <v>RESIGN</v>
          </cell>
        </row>
        <row r="60">
          <cell r="B60">
            <v>90894</v>
          </cell>
          <cell r="C60" t="str">
            <v>Ristri Krisnugraheni</v>
          </cell>
          <cell r="D60" t="str">
            <v>SBPV</v>
          </cell>
          <cell r="E60" t="str">
            <v>RESIGN</v>
          </cell>
        </row>
        <row r="61">
          <cell r="B61" t="str">
            <v>A2094</v>
          </cell>
          <cell r="C61" t="str">
            <v>Sahara Hanifah</v>
          </cell>
          <cell r="D61" t="str">
            <v>SBPV</v>
          </cell>
          <cell r="E61" t="str">
            <v>RESIGN</v>
          </cell>
        </row>
        <row r="62">
          <cell r="B62" t="str">
            <v>A2132</v>
          </cell>
          <cell r="C62" t="str">
            <v>Nochi Anggana</v>
          </cell>
          <cell r="D62" t="str">
            <v>SBPV</v>
          </cell>
          <cell r="E62" t="str">
            <v>RESIGN</v>
          </cell>
        </row>
        <row r="63">
          <cell r="B63" t="str">
            <v>A3019</v>
          </cell>
          <cell r="C63" t="str">
            <v>Arfika Iffada Putri</v>
          </cell>
          <cell r="D63" t="str">
            <v>SBPV</v>
          </cell>
          <cell r="E63" t="str">
            <v>RESIGN</v>
          </cell>
        </row>
        <row r="64">
          <cell r="B64" t="str">
            <v>A3021</v>
          </cell>
          <cell r="C64" t="str">
            <v>Fita Bintary</v>
          </cell>
          <cell r="D64" t="str">
            <v>SBPV</v>
          </cell>
          <cell r="E64" t="str">
            <v>RESIGN</v>
          </cell>
        </row>
        <row r="65">
          <cell r="B65" t="str">
            <v>A3022</v>
          </cell>
          <cell r="C65" t="str">
            <v>Brigita Pramesti Novita Sari</v>
          </cell>
          <cell r="D65" t="str">
            <v>SBPV</v>
          </cell>
          <cell r="E65" t="str">
            <v>RESIGN</v>
          </cell>
        </row>
        <row r="66">
          <cell r="B66" t="str">
            <v>A3619</v>
          </cell>
          <cell r="C66" t="str">
            <v>Lusia Wikanita</v>
          </cell>
          <cell r="D66" t="str">
            <v>SBPV</v>
          </cell>
          <cell r="E66" t="str">
            <v>RESIGN</v>
          </cell>
        </row>
        <row r="67">
          <cell r="B67" t="str">
            <v>A4002</v>
          </cell>
          <cell r="C67" t="str">
            <v>Falya Ismarsanto</v>
          </cell>
          <cell r="D67" t="str">
            <v>SBPV</v>
          </cell>
          <cell r="E67" t="str">
            <v>RESIGN</v>
          </cell>
        </row>
        <row r="68">
          <cell r="B68" t="str">
            <v>A4132</v>
          </cell>
          <cell r="C68" t="str">
            <v>Renelius Rohit</v>
          </cell>
          <cell r="D68" t="str">
            <v>SBPV</v>
          </cell>
          <cell r="E68" t="str">
            <v>RESIGN</v>
          </cell>
        </row>
        <row r="69">
          <cell r="B69" t="str">
            <v>A4257</v>
          </cell>
          <cell r="C69" t="str">
            <v>Andrea Daniswara Sukardi</v>
          </cell>
          <cell r="D69" t="str">
            <v>SBPV</v>
          </cell>
          <cell r="E69" t="str">
            <v>RESIGN</v>
          </cell>
        </row>
        <row r="70">
          <cell r="B70" t="str">
            <v>A0563</v>
          </cell>
          <cell r="C70" t="str">
            <v>Natalia Noviasih Utami</v>
          </cell>
          <cell r="D70" t="str">
            <v>CC SETIR KANAN</v>
          </cell>
          <cell r="E70" t="str">
            <v>RESIGN</v>
          </cell>
        </row>
        <row r="71">
          <cell r="B71" t="str">
            <v>A0393</v>
          </cell>
          <cell r="C71" t="str">
            <v>Tabitha Septiana</v>
          </cell>
          <cell r="D71" t="str">
            <v>CC SETIR KANAN</v>
          </cell>
          <cell r="E71" t="str">
            <v>RESIGN</v>
          </cell>
        </row>
        <row r="72">
          <cell r="B72" t="str">
            <v>A0569</v>
          </cell>
          <cell r="C72" t="str">
            <v>Valentina Zevanya Setya Prahesti</v>
          </cell>
          <cell r="D72" t="str">
            <v>CC SETIR KANAN</v>
          </cell>
          <cell r="E72" t="str">
            <v>RESIGN</v>
          </cell>
        </row>
        <row r="73">
          <cell r="B73" t="str">
            <v>A0697</v>
          </cell>
          <cell r="C73" t="str">
            <v>Fidianty Pratiwi</v>
          </cell>
          <cell r="D73" t="str">
            <v>CC SETIR KANAN</v>
          </cell>
          <cell r="E73" t="str">
            <v>RESIGN</v>
          </cell>
        </row>
        <row r="74">
          <cell r="B74" t="str">
            <v>A2195</v>
          </cell>
          <cell r="C74" t="str">
            <v>Angela Yannu Permatasari</v>
          </cell>
          <cell r="D74" t="str">
            <v>CC SETIR KANAN</v>
          </cell>
          <cell r="E74" t="str">
            <v>RESIGN</v>
          </cell>
        </row>
        <row r="75">
          <cell r="B75" t="str">
            <v>A2550</v>
          </cell>
          <cell r="C75" t="str">
            <v>Dionisia Vandana Shiva Andreyanti</v>
          </cell>
          <cell r="D75" t="str">
            <v>CC SETIR KANAN</v>
          </cell>
          <cell r="E75" t="str">
            <v>RESIGN</v>
          </cell>
        </row>
        <row r="76">
          <cell r="B76" t="str">
            <v>A2891</v>
          </cell>
          <cell r="C76" t="str">
            <v>Isnaini Destyfitriana</v>
          </cell>
          <cell r="D76" t="str">
            <v>CC SETIR KANAN</v>
          </cell>
          <cell r="E76" t="str">
            <v>RESIGN</v>
          </cell>
        </row>
        <row r="77">
          <cell r="B77" t="str">
            <v>A0690</v>
          </cell>
          <cell r="C77" t="str">
            <v>Muhammad Rafy Ramadhan</v>
          </cell>
          <cell r="D77" t="str">
            <v>CC SETIR KANAN</v>
          </cell>
          <cell r="E77" t="str">
            <v>RESIGN</v>
          </cell>
        </row>
        <row r="78">
          <cell r="B78">
            <v>92110</v>
          </cell>
          <cell r="C78" t="str">
            <v>Anes Suhada</v>
          </cell>
          <cell r="D78" t="str">
            <v>RVO</v>
          </cell>
          <cell r="E78" t="str">
            <v>RESIGN</v>
          </cell>
        </row>
        <row r="79">
          <cell r="B79">
            <v>92113</v>
          </cell>
          <cell r="C79" t="str">
            <v>Latifah Nur Fidiyanti</v>
          </cell>
          <cell r="D79" t="str">
            <v>RVO</v>
          </cell>
          <cell r="E79" t="str">
            <v>RESIGN</v>
          </cell>
        </row>
        <row r="80">
          <cell r="B80">
            <v>92125</v>
          </cell>
          <cell r="C80" t="str">
            <v>Asdaqul qoilin</v>
          </cell>
          <cell r="D80" t="str">
            <v>RVO</v>
          </cell>
          <cell r="E80" t="str">
            <v>RESIGN</v>
          </cell>
        </row>
        <row r="81">
          <cell r="B81">
            <v>92136</v>
          </cell>
          <cell r="C81" t="str">
            <v>Pradityana Dewi Larasati</v>
          </cell>
          <cell r="D81" t="str">
            <v>RVO</v>
          </cell>
          <cell r="E81" t="str">
            <v>RESIGN</v>
          </cell>
        </row>
        <row r="82">
          <cell r="B82">
            <v>92138</v>
          </cell>
          <cell r="C82" t="str">
            <v>Destriandari Dinda Puryanti</v>
          </cell>
          <cell r="D82" t="str">
            <v>RVO</v>
          </cell>
          <cell r="E82" t="str">
            <v>RESIGN</v>
          </cell>
        </row>
        <row r="83">
          <cell r="B83">
            <v>92139</v>
          </cell>
          <cell r="C83" t="str">
            <v>Rusmalina Noer Laily Ayu S</v>
          </cell>
          <cell r="D83" t="str">
            <v>RVO</v>
          </cell>
          <cell r="E83" t="str">
            <v>RESIGN</v>
          </cell>
        </row>
        <row r="84">
          <cell r="B84">
            <v>92161</v>
          </cell>
          <cell r="C84" t="str">
            <v xml:space="preserve">Intan Pangestu </v>
          </cell>
          <cell r="D84" t="str">
            <v>RVO</v>
          </cell>
          <cell r="E84" t="str">
            <v>RESIGN</v>
          </cell>
        </row>
        <row r="85">
          <cell r="B85">
            <v>92188</v>
          </cell>
          <cell r="C85" t="str">
            <v>Amalina Ghaisani Putri</v>
          </cell>
          <cell r="D85" t="str">
            <v>RVO</v>
          </cell>
          <cell r="E85" t="str">
            <v>RESIGN</v>
          </cell>
        </row>
        <row r="86">
          <cell r="B86">
            <v>92289</v>
          </cell>
          <cell r="C86" t="str">
            <v>Yasmin Novita Dewi</v>
          </cell>
          <cell r="D86" t="str">
            <v>RVO</v>
          </cell>
          <cell r="E86" t="str">
            <v>RESIGN</v>
          </cell>
        </row>
        <row r="87">
          <cell r="B87">
            <v>92290</v>
          </cell>
          <cell r="C87" t="str">
            <v>Gabriella Vania</v>
          </cell>
          <cell r="D87" t="str">
            <v>RVO</v>
          </cell>
          <cell r="E87" t="str">
            <v>RESIGN</v>
          </cell>
        </row>
        <row r="88">
          <cell r="B88">
            <v>92302</v>
          </cell>
          <cell r="C88" t="str">
            <v>Ayu Nurifani Choirunnisa</v>
          </cell>
          <cell r="D88" t="str">
            <v>RVO</v>
          </cell>
          <cell r="E88" t="str">
            <v>RESIGN</v>
          </cell>
        </row>
        <row r="89">
          <cell r="B89">
            <v>92312</v>
          </cell>
          <cell r="C89" t="str">
            <v>Sylvia Candra Kurniawan</v>
          </cell>
          <cell r="D89" t="str">
            <v>RVO</v>
          </cell>
          <cell r="E89" t="str">
            <v>RESIGN</v>
          </cell>
        </row>
        <row r="90">
          <cell r="B90">
            <v>92326</v>
          </cell>
          <cell r="C90" t="str">
            <v>BENEDIKTUS BAKTI KUNCORO</v>
          </cell>
          <cell r="D90" t="str">
            <v>RVO</v>
          </cell>
          <cell r="E90" t="str">
            <v>RESIGN</v>
          </cell>
        </row>
        <row r="91">
          <cell r="B91">
            <v>92335</v>
          </cell>
          <cell r="C91" t="str">
            <v>NOVITRIANNA FAROUZIAH</v>
          </cell>
          <cell r="D91" t="str">
            <v>RVO</v>
          </cell>
          <cell r="E91" t="str">
            <v>RESIGN</v>
          </cell>
        </row>
        <row r="92">
          <cell r="B92">
            <v>92350</v>
          </cell>
          <cell r="C92" t="str">
            <v>INGGIL DEWANTORO</v>
          </cell>
          <cell r="D92" t="str">
            <v>RVO</v>
          </cell>
          <cell r="E92" t="str">
            <v>RESIGN</v>
          </cell>
        </row>
        <row r="93">
          <cell r="B93">
            <v>92354</v>
          </cell>
          <cell r="C93" t="str">
            <v>Stevanny Yosicha Putri</v>
          </cell>
          <cell r="D93" t="str">
            <v>RVO</v>
          </cell>
          <cell r="E93" t="str">
            <v>RESIGN</v>
          </cell>
        </row>
        <row r="94">
          <cell r="B94">
            <v>92367</v>
          </cell>
          <cell r="C94" t="str">
            <v>G. Natania Dhea Anriska</v>
          </cell>
          <cell r="D94" t="str">
            <v>RVO</v>
          </cell>
          <cell r="E94" t="str">
            <v>RESIGN</v>
          </cell>
        </row>
        <row r="95">
          <cell r="B95">
            <v>92379</v>
          </cell>
          <cell r="C95" t="str">
            <v>Vanny Kurnia Atmodjo</v>
          </cell>
          <cell r="D95" t="str">
            <v>RVO</v>
          </cell>
          <cell r="E95" t="str">
            <v>RESIGN</v>
          </cell>
        </row>
        <row r="96">
          <cell r="B96">
            <v>92418</v>
          </cell>
          <cell r="C96" t="str">
            <v>Ragilika Ayu Diwanti Putri</v>
          </cell>
          <cell r="D96" t="str">
            <v>RVO</v>
          </cell>
          <cell r="E96" t="str">
            <v>RESIGN</v>
          </cell>
        </row>
        <row r="97">
          <cell r="B97">
            <v>92467</v>
          </cell>
          <cell r="C97" t="str">
            <v>Vincentius Kris Sang Tri Nugroho Adi</v>
          </cell>
          <cell r="D97" t="str">
            <v>RVO</v>
          </cell>
          <cell r="E97" t="str">
            <v>RESIGN</v>
          </cell>
        </row>
        <row r="98">
          <cell r="B98">
            <v>92468</v>
          </cell>
          <cell r="C98" t="str">
            <v>Muhamad Fauzin Nur</v>
          </cell>
          <cell r="D98" t="str">
            <v>RVO</v>
          </cell>
          <cell r="E98" t="str">
            <v>RESIGN</v>
          </cell>
        </row>
        <row r="99">
          <cell r="B99">
            <v>92407</v>
          </cell>
          <cell r="C99" t="str">
            <v>Maria Subekti</v>
          </cell>
          <cell r="D99" t="str">
            <v>RVO</v>
          </cell>
          <cell r="E99" t="str">
            <v>RESIGN</v>
          </cell>
        </row>
        <row r="100">
          <cell r="B100">
            <v>92237</v>
          </cell>
          <cell r="C100" t="str">
            <v>ANDY CAESAR SHIDQI</v>
          </cell>
          <cell r="D100" t="str">
            <v>RVO</v>
          </cell>
          <cell r="E100" t="str">
            <v>RESIGN</v>
          </cell>
        </row>
        <row r="101">
          <cell r="B101">
            <v>92540</v>
          </cell>
          <cell r="C101" t="str">
            <v>SAMUEL DAMAR KUNCORO</v>
          </cell>
          <cell r="D101" t="str">
            <v>RVO</v>
          </cell>
          <cell r="E101" t="str">
            <v>RESIGN</v>
          </cell>
        </row>
        <row r="102">
          <cell r="B102">
            <v>92495</v>
          </cell>
          <cell r="C102" t="str">
            <v>Syifa Hanna Fauziah</v>
          </cell>
          <cell r="D102" t="str">
            <v>RVO</v>
          </cell>
          <cell r="E102" t="str">
            <v>RESIGN</v>
          </cell>
        </row>
        <row r="103">
          <cell r="B103">
            <v>92531</v>
          </cell>
          <cell r="C103" t="str">
            <v>Dea Rizkita</v>
          </cell>
          <cell r="D103" t="str">
            <v>RVO</v>
          </cell>
          <cell r="E103" t="str">
            <v>RESIGN</v>
          </cell>
        </row>
        <row r="104">
          <cell r="B104">
            <v>92580</v>
          </cell>
          <cell r="C104" t="str">
            <v>Ramadhanni Nanda Dirgantara</v>
          </cell>
          <cell r="D104" t="str">
            <v>RVO</v>
          </cell>
          <cell r="E104" t="str">
            <v>RESIGN</v>
          </cell>
        </row>
        <row r="105">
          <cell r="B105">
            <v>92599</v>
          </cell>
          <cell r="C105" t="str">
            <v>Gista Neli Mariskha</v>
          </cell>
          <cell r="D105" t="str">
            <v>RVO</v>
          </cell>
          <cell r="E105" t="str">
            <v>RESIGN</v>
          </cell>
        </row>
        <row r="106">
          <cell r="B106">
            <v>92596</v>
          </cell>
          <cell r="C106" t="str">
            <v>JALU NINDYO JATMIKO</v>
          </cell>
          <cell r="D106" t="str">
            <v>RVO</v>
          </cell>
          <cell r="E106" t="str">
            <v>RESIGN</v>
          </cell>
        </row>
        <row r="107">
          <cell r="B107">
            <v>92643</v>
          </cell>
          <cell r="C107" t="str">
            <v>Adham Naufal Bintoro</v>
          </cell>
          <cell r="D107" t="str">
            <v>RVO</v>
          </cell>
          <cell r="E107" t="str">
            <v>RESIGN</v>
          </cell>
        </row>
        <row r="108">
          <cell r="B108">
            <v>92648</v>
          </cell>
          <cell r="C108" t="str">
            <v>Ellen Ira</v>
          </cell>
          <cell r="D108" t="str">
            <v>RVO</v>
          </cell>
          <cell r="E108" t="str">
            <v>RESIGN</v>
          </cell>
        </row>
        <row r="109">
          <cell r="B109">
            <v>92654</v>
          </cell>
          <cell r="C109" t="str">
            <v>Aprilia Putri Candrasari</v>
          </cell>
          <cell r="D109" t="str">
            <v>RVO</v>
          </cell>
          <cell r="E109" t="str">
            <v>RESIGN</v>
          </cell>
        </row>
        <row r="110">
          <cell r="B110" t="str">
            <v>A0051</v>
          </cell>
          <cell r="C110" t="str">
            <v>FEBYOLA BERLIANA</v>
          </cell>
          <cell r="D110" t="str">
            <v>RVO</v>
          </cell>
          <cell r="E110" t="str">
            <v>RESIGN</v>
          </cell>
        </row>
        <row r="111">
          <cell r="B111" t="str">
            <v>A0079</v>
          </cell>
          <cell r="C111" t="str">
            <v>NATALIA RENNY DESTWINA SETYAWATI</v>
          </cell>
          <cell r="D111" t="str">
            <v>RVO</v>
          </cell>
          <cell r="E111" t="str">
            <v>RESIGN</v>
          </cell>
        </row>
        <row r="112">
          <cell r="B112" t="str">
            <v>A0094</v>
          </cell>
          <cell r="C112" t="str">
            <v>PRATOMO RINALDI</v>
          </cell>
          <cell r="D112" t="str">
            <v>RVO</v>
          </cell>
          <cell r="E112" t="str">
            <v>RESIGN</v>
          </cell>
        </row>
        <row r="113">
          <cell r="B113" t="str">
            <v>A0081</v>
          </cell>
          <cell r="C113" t="str">
            <v>THALISTA NASYANDHA</v>
          </cell>
          <cell r="D113" t="str">
            <v>RVO</v>
          </cell>
          <cell r="E113" t="str">
            <v>RESIGN</v>
          </cell>
        </row>
        <row r="114">
          <cell r="B114" t="str">
            <v>A0102</v>
          </cell>
          <cell r="C114" t="str">
            <v>SUNARSONO</v>
          </cell>
          <cell r="D114" t="str">
            <v>RVO</v>
          </cell>
          <cell r="E114" t="str">
            <v>RESIGN</v>
          </cell>
        </row>
        <row r="115">
          <cell r="B115" t="str">
            <v>A0097</v>
          </cell>
          <cell r="C115" t="str">
            <v>DWI HANDAYANI</v>
          </cell>
          <cell r="D115" t="str">
            <v>RVO</v>
          </cell>
          <cell r="E115" t="str">
            <v>RESIGN</v>
          </cell>
        </row>
        <row r="116">
          <cell r="B116" t="str">
            <v>A0103</v>
          </cell>
          <cell r="C116" t="str">
            <v>DANINDRA DIMAS SAKTI</v>
          </cell>
          <cell r="D116" t="str">
            <v>RVO</v>
          </cell>
          <cell r="E116" t="str">
            <v>RESIGN</v>
          </cell>
        </row>
        <row r="117">
          <cell r="B117" t="str">
            <v>A0145</v>
          </cell>
          <cell r="C117" t="str">
            <v>RESA ARUM SALINDRI</v>
          </cell>
          <cell r="D117" t="str">
            <v>RVO</v>
          </cell>
          <cell r="E117" t="str">
            <v>RESIGN</v>
          </cell>
        </row>
        <row r="118">
          <cell r="B118" t="str">
            <v>A0133</v>
          </cell>
          <cell r="C118" t="str">
            <v>CYRILLUS RAMA HENDRAWAN</v>
          </cell>
          <cell r="D118" t="str">
            <v>RVO</v>
          </cell>
          <cell r="E118" t="str">
            <v>RESIGN</v>
          </cell>
        </row>
        <row r="119">
          <cell r="B119" t="str">
            <v>A2339</v>
          </cell>
          <cell r="C119" t="str">
            <v>EVA SULIANI</v>
          </cell>
          <cell r="D119" t="str">
            <v>RVO</v>
          </cell>
          <cell r="E119" t="str">
            <v>RESIGN</v>
          </cell>
        </row>
        <row r="120">
          <cell r="B120" t="str">
            <v>A2361</v>
          </cell>
          <cell r="C120" t="str">
            <v>TISA YONANTA</v>
          </cell>
          <cell r="D120" t="str">
            <v>RVO</v>
          </cell>
          <cell r="E120" t="str">
            <v>RESIGN</v>
          </cell>
        </row>
        <row r="121">
          <cell r="B121" t="str">
            <v>A2395</v>
          </cell>
          <cell r="C121" t="str">
            <v>MAHARANY PUTRI</v>
          </cell>
          <cell r="D121" t="str">
            <v>RVO</v>
          </cell>
          <cell r="E121" t="str">
            <v>RESIGN</v>
          </cell>
        </row>
        <row r="122">
          <cell r="B122" t="str">
            <v>A2406</v>
          </cell>
          <cell r="C122" t="str">
            <v>RADEN MUHAMMAD NALINDRA POERBANINGRAT</v>
          </cell>
          <cell r="D122" t="str">
            <v>RVO</v>
          </cell>
          <cell r="E122" t="str">
            <v>RESIGN</v>
          </cell>
        </row>
        <row r="123">
          <cell r="B123" t="str">
            <v>A2857</v>
          </cell>
          <cell r="C123" t="str">
            <v>MUHAMMAD FAHRUR ROZI</v>
          </cell>
          <cell r="D123" t="str">
            <v>RVO</v>
          </cell>
          <cell r="E123" t="str">
            <v>RESIGN</v>
          </cell>
        </row>
        <row r="124">
          <cell r="B124" t="str">
            <v>A2813</v>
          </cell>
          <cell r="C124" t="str">
            <v>RANTRI DEWI IRFANIYANTI NUGRAHA</v>
          </cell>
          <cell r="D124" t="str">
            <v>RVO</v>
          </cell>
          <cell r="E124" t="str">
            <v>RESIGN</v>
          </cell>
        </row>
        <row r="125">
          <cell r="B125" t="str">
            <v>A2820</v>
          </cell>
          <cell r="C125" t="str">
            <v>OKTAVIA MARWATIN HUDANTI</v>
          </cell>
          <cell r="D125" t="str">
            <v>RVO</v>
          </cell>
          <cell r="E125" t="str">
            <v>RESIGN</v>
          </cell>
        </row>
        <row r="126">
          <cell r="B126" t="str">
            <v>A2808</v>
          </cell>
          <cell r="C126" t="str">
            <v>JERRY CHRISTOFER</v>
          </cell>
          <cell r="D126" t="str">
            <v>RVO</v>
          </cell>
          <cell r="E126" t="str">
            <v>RESIGN</v>
          </cell>
        </row>
        <row r="127">
          <cell r="B127" t="str">
            <v>A4335</v>
          </cell>
          <cell r="C127" t="str">
            <v>GREGORIUS DWIKA KUNCAHYO DEWAJI</v>
          </cell>
          <cell r="D127" t="str">
            <v>RVO</v>
          </cell>
          <cell r="E127" t="str">
            <v>RESIGN</v>
          </cell>
        </row>
        <row r="128">
          <cell r="B128">
            <v>92108</v>
          </cell>
          <cell r="C128" t="str">
            <v>Adnindya Qotrunnada Mandadewi</v>
          </cell>
          <cell r="D128" t="str">
            <v>DELTA</v>
          </cell>
          <cell r="E128" t="str">
            <v>RESIGN</v>
          </cell>
        </row>
        <row r="129">
          <cell r="B129">
            <v>92109</v>
          </cell>
          <cell r="C129" t="str">
            <v>Ridwan Suryawan</v>
          </cell>
          <cell r="D129" t="str">
            <v>DELTA</v>
          </cell>
          <cell r="E129" t="str">
            <v>RESIGN</v>
          </cell>
        </row>
        <row r="130">
          <cell r="B130">
            <v>92118</v>
          </cell>
          <cell r="C130" t="str">
            <v>AMELIA JINGGA</v>
          </cell>
          <cell r="D130" t="str">
            <v>DELTA</v>
          </cell>
          <cell r="E130" t="str">
            <v>RESIGN</v>
          </cell>
        </row>
        <row r="131">
          <cell r="B131">
            <v>92131</v>
          </cell>
          <cell r="C131" t="str">
            <v>ADELINA SEKAR PUTRI</v>
          </cell>
          <cell r="D131" t="str">
            <v>DELTA</v>
          </cell>
          <cell r="E131" t="str">
            <v>RESIGN</v>
          </cell>
        </row>
        <row r="132">
          <cell r="B132">
            <v>92151</v>
          </cell>
          <cell r="C132" t="str">
            <v>Gregorius Ardian Setyo Wicaksono</v>
          </cell>
          <cell r="D132" t="str">
            <v>DELTA</v>
          </cell>
          <cell r="E132" t="str">
            <v>RESIGN</v>
          </cell>
        </row>
        <row r="133">
          <cell r="B133">
            <v>92164</v>
          </cell>
          <cell r="C133" t="str">
            <v>Enggal wasis siyati</v>
          </cell>
          <cell r="D133" t="str">
            <v>DELTA</v>
          </cell>
          <cell r="E133" t="str">
            <v>RESIGN</v>
          </cell>
        </row>
        <row r="134">
          <cell r="B134">
            <v>92166</v>
          </cell>
          <cell r="C134" t="str">
            <v>Vira Wasistha</v>
          </cell>
          <cell r="D134" t="str">
            <v>DELTA</v>
          </cell>
          <cell r="E134" t="str">
            <v>RESIGN</v>
          </cell>
        </row>
        <row r="135">
          <cell r="B135">
            <v>92215</v>
          </cell>
          <cell r="C135" t="str">
            <v>Briantaka Dennis Kusuma</v>
          </cell>
          <cell r="D135" t="str">
            <v>DELTA</v>
          </cell>
          <cell r="E135" t="str">
            <v>RESIGN</v>
          </cell>
        </row>
        <row r="136">
          <cell r="B136">
            <v>92218</v>
          </cell>
          <cell r="C136" t="str">
            <v>Dita Cita Mulyawati</v>
          </cell>
          <cell r="D136" t="str">
            <v>DELTA</v>
          </cell>
          <cell r="E136" t="str">
            <v>RESIGN</v>
          </cell>
        </row>
        <row r="137">
          <cell r="B137">
            <v>92093</v>
          </cell>
          <cell r="C137" t="str">
            <v>Jessica Magdalena Sidabutar</v>
          </cell>
          <cell r="D137" t="str">
            <v>DELTA</v>
          </cell>
          <cell r="E137" t="str">
            <v>RESIGN</v>
          </cell>
        </row>
        <row r="138">
          <cell r="B138">
            <v>92262</v>
          </cell>
          <cell r="C138" t="str">
            <v>Marsiana Milo</v>
          </cell>
          <cell r="D138" t="str">
            <v>DELTA</v>
          </cell>
          <cell r="E138" t="str">
            <v>RESIGN</v>
          </cell>
        </row>
        <row r="139">
          <cell r="B139">
            <v>92277</v>
          </cell>
          <cell r="C139" t="str">
            <v>SEVEN RENGGAN NOVITA</v>
          </cell>
          <cell r="D139" t="str">
            <v>DELTA</v>
          </cell>
          <cell r="E139" t="str">
            <v>RESIGN</v>
          </cell>
        </row>
        <row r="140">
          <cell r="B140">
            <v>92291</v>
          </cell>
          <cell r="C140" t="str">
            <v>Ronauli Valentina Tamba</v>
          </cell>
          <cell r="D140" t="str">
            <v>DELTA</v>
          </cell>
          <cell r="E140" t="str">
            <v>RESIGN</v>
          </cell>
        </row>
        <row r="141">
          <cell r="B141">
            <v>92319</v>
          </cell>
          <cell r="C141" t="str">
            <v>Dea Natalia</v>
          </cell>
          <cell r="D141" t="str">
            <v>DELTA</v>
          </cell>
          <cell r="E141" t="str">
            <v>RESIGN</v>
          </cell>
        </row>
        <row r="142">
          <cell r="B142">
            <v>92374</v>
          </cell>
          <cell r="C142" t="str">
            <v>Tri Yuniarti Padji Kana</v>
          </cell>
          <cell r="D142" t="str">
            <v>DELTA</v>
          </cell>
          <cell r="E142" t="str">
            <v>RESIGN</v>
          </cell>
        </row>
        <row r="143">
          <cell r="B143">
            <v>92386</v>
          </cell>
          <cell r="C143" t="str">
            <v>Marieta Christy Cahyati</v>
          </cell>
          <cell r="D143" t="str">
            <v>DELTA</v>
          </cell>
          <cell r="E143" t="str">
            <v>RESIGN</v>
          </cell>
        </row>
        <row r="144">
          <cell r="B144">
            <v>92389</v>
          </cell>
          <cell r="C144" t="str">
            <v>Prabima Dipayasa</v>
          </cell>
          <cell r="D144" t="str">
            <v>DELTA</v>
          </cell>
          <cell r="E144" t="str">
            <v>RESIGN</v>
          </cell>
        </row>
        <row r="145">
          <cell r="B145">
            <v>92395</v>
          </cell>
          <cell r="C145" t="str">
            <v>Muhamad Kemal</v>
          </cell>
          <cell r="D145" t="str">
            <v>DELTA</v>
          </cell>
          <cell r="E145" t="str">
            <v>RESIGN</v>
          </cell>
        </row>
        <row r="146">
          <cell r="B146">
            <v>92437</v>
          </cell>
          <cell r="C146" t="str">
            <v>Jessica Siagian</v>
          </cell>
          <cell r="D146" t="str">
            <v>DELTA</v>
          </cell>
          <cell r="E146" t="str">
            <v>RESIGN</v>
          </cell>
        </row>
        <row r="147">
          <cell r="B147">
            <v>92445</v>
          </cell>
          <cell r="C147" t="str">
            <v>Ayu Era Wardhani</v>
          </cell>
          <cell r="D147" t="str">
            <v>DELTA</v>
          </cell>
          <cell r="E147" t="str">
            <v>RESIGN</v>
          </cell>
        </row>
        <row r="148">
          <cell r="B148">
            <v>90176</v>
          </cell>
          <cell r="C148" t="str">
            <v>Guntoro Galih Setyanto</v>
          </cell>
          <cell r="D148" t="str">
            <v>DELTA</v>
          </cell>
          <cell r="E148" t="str">
            <v>RESIGN</v>
          </cell>
        </row>
        <row r="149">
          <cell r="B149">
            <v>92487</v>
          </cell>
          <cell r="C149" t="str">
            <v>Robby Ahmadi</v>
          </cell>
          <cell r="D149" t="str">
            <v>DELTA</v>
          </cell>
          <cell r="E149" t="str">
            <v>RESIGN</v>
          </cell>
        </row>
        <row r="150">
          <cell r="B150">
            <v>92507</v>
          </cell>
          <cell r="C150" t="str">
            <v>Umbu Gauka</v>
          </cell>
          <cell r="D150" t="str">
            <v>DELTA</v>
          </cell>
          <cell r="E150" t="str">
            <v>RESIGN</v>
          </cell>
        </row>
        <row r="151">
          <cell r="B151">
            <v>92508</v>
          </cell>
          <cell r="C151" t="str">
            <v>Tari Zalma Yanthi</v>
          </cell>
          <cell r="D151" t="str">
            <v>DELTA</v>
          </cell>
          <cell r="E151" t="str">
            <v>RESIGN</v>
          </cell>
        </row>
        <row r="152">
          <cell r="B152">
            <v>92538</v>
          </cell>
          <cell r="C152" t="str">
            <v>Nur Fadilah</v>
          </cell>
          <cell r="D152" t="str">
            <v>DELTA</v>
          </cell>
          <cell r="E152" t="str">
            <v>RESIGN</v>
          </cell>
        </row>
        <row r="153">
          <cell r="B153">
            <v>92559</v>
          </cell>
          <cell r="C153" t="str">
            <v>Dwi Aufa Burhan</v>
          </cell>
          <cell r="D153" t="str">
            <v>DELTA</v>
          </cell>
          <cell r="E153" t="str">
            <v>RESIGN</v>
          </cell>
        </row>
        <row r="154">
          <cell r="B154">
            <v>92488</v>
          </cell>
          <cell r="C154" t="str">
            <v>Riko Manik</v>
          </cell>
          <cell r="D154" t="str">
            <v>DELTA</v>
          </cell>
          <cell r="E154" t="str">
            <v>RESIGN</v>
          </cell>
        </row>
        <row r="155">
          <cell r="B155">
            <v>92496</v>
          </cell>
          <cell r="C155" t="str">
            <v>Prabuangga Putra</v>
          </cell>
          <cell r="D155" t="str">
            <v>DELTA</v>
          </cell>
          <cell r="E155" t="str">
            <v>RESIGN</v>
          </cell>
        </row>
        <row r="156">
          <cell r="B156">
            <v>92501</v>
          </cell>
          <cell r="C156" t="str">
            <v>Dionisia Hilda Ngadha</v>
          </cell>
          <cell r="D156" t="str">
            <v>DELTA</v>
          </cell>
          <cell r="E156" t="str">
            <v>RESIGN</v>
          </cell>
        </row>
        <row r="157">
          <cell r="B157">
            <v>92667</v>
          </cell>
          <cell r="C157" t="str">
            <v>Fandri Ghozali</v>
          </cell>
          <cell r="D157" t="str">
            <v>DELTA</v>
          </cell>
          <cell r="E157" t="str">
            <v>RESIGN</v>
          </cell>
        </row>
        <row r="158">
          <cell r="B158">
            <v>92731</v>
          </cell>
          <cell r="C158" t="str">
            <v>NETI SETIYOWATI</v>
          </cell>
          <cell r="D158" t="str">
            <v>DELTA</v>
          </cell>
          <cell r="E158" t="str">
            <v>RESIGN</v>
          </cell>
        </row>
        <row r="159">
          <cell r="B159">
            <v>92655</v>
          </cell>
          <cell r="C159" t="str">
            <v>Irene Teresia Tasikreu</v>
          </cell>
          <cell r="D159" t="str">
            <v>DELTA</v>
          </cell>
          <cell r="E159" t="str">
            <v>RESIGN</v>
          </cell>
        </row>
        <row r="160">
          <cell r="B160" t="str">
            <v>A0063</v>
          </cell>
          <cell r="C160" t="str">
            <v>SIGIT NUGROHO DWI PUTRA</v>
          </cell>
          <cell r="D160" t="str">
            <v>DELTA</v>
          </cell>
          <cell r="E160" t="str">
            <v>RESIGN</v>
          </cell>
        </row>
        <row r="161">
          <cell r="B161" t="str">
            <v>A0028</v>
          </cell>
          <cell r="C161" t="str">
            <v>RIAN KRISTANTO</v>
          </cell>
          <cell r="D161" t="str">
            <v>DELTA</v>
          </cell>
          <cell r="E161" t="str">
            <v>RESIGN</v>
          </cell>
        </row>
        <row r="162">
          <cell r="B162" t="str">
            <v>A0257</v>
          </cell>
          <cell r="C162" t="str">
            <v>Ika Nur Atamimi</v>
          </cell>
          <cell r="D162" t="str">
            <v>DELTA</v>
          </cell>
          <cell r="E162" t="str">
            <v>RESIGN</v>
          </cell>
        </row>
        <row r="163">
          <cell r="B163" t="str">
            <v>A0263</v>
          </cell>
          <cell r="C163" t="str">
            <v>Johannes Glenneagles Limbong</v>
          </cell>
          <cell r="D163" t="str">
            <v>DELTA</v>
          </cell>
          <cell r="E163" t="str">
            <v>RESIGN</v>
          </cell>
        </row>
        <row r="164">
          <cell r="B164" t="str">
            <v>A0267</v>
          </cell>
          <cell r="C164" t="str">
            <v>DAROJI</v>
          </cell>
          <cell r="D164" t="str">
            <v>DELTA</v>
          </cell>
          <cell r="E164" t="str">
            <v>RESIGN</v>
          </cell>
        </row>
        <row r="165">
          <cell r="B165" t="str">
            <v>A0269</v>
          </cell>
          <cell r="C165" t="str">
            <v>ESTRI RUTININGSIH</v>
          </cell>
          <cell r="D165" t="str">
            <v>DELTA</v>
          </cell>
          <cell r="E165" t="str">
            <v>RESIGN</v>
          </cell>
        </row>
        <row r="166">
          <cell r="B166" t="str">
            <v>A0278</v>
          </cell>
          <cell r="C166" t="str">
            <v>Theresia Alfira Alexandra</v>
          </cell>
          <cell r="D166" t="str">
            <v>DELTA</v>
          </cell>
          <cell r="E166" t="str">
            <v>RESIGN</v>
          </cell>
        </row>
        <row r="167">
          <cell r="B167" t="str">
            <v>A0282</v>
          </cell>
          <cell r="C167" t="str">
            <v>Riany Handiana</v>
          </cell>
          <cell r="D167" t="str">
            <v>DELTA</v>
          </cell>
          <cell r="E167" t="str">
            <v>RESIGN</v>
          </cell>
        </row>
        <row r="168">
          <cell r="B168" t="str">
            <v>A0259</v>
          </cell>
          <cell r="C168" t="str">
            <v>Rachel Johana Lupano</v>
          </cell>
          <cell r="D168" t="str">
            <v>DELTA</v>
          </cell>
          <cell r="E168" t="str">
            <v>RESIGN</v>
          </cell>
        </row>
        <row r="169">
          <cell r="B169" t="str">
            <v>A0305</v>
          </cell>
          <cell r="C169" t="str">
            <v>Dea Rista Utami</v>
          </cell>
          <cell r="D169" t="str">
            <v>DELTA</v>
          </cell>
          <cell r="E169" t="str">
            <v>RESIGN</v>
          </cell>
        </row>
        <row r="170">
          <cell r="B170" t="str">
            <v>A0326</v>
          </cell>
          <cell r="C170" t="str">
            <v>Wahyudi Eka Syahputra</v>
          </cell>
          <cell r="D170" t="str">
            <v>DELTA</v>
          </cell>
          <cell r="E170" t="str">
            <v>RESIGN</v>
          </cell>
        </row>
        <row r="171">
          <cell r="B171" t="str">
            <v>A0350</v>
          </cell>
          <cell r="C171" t="str">
            <v>Luki Lisiandi</v>
          </cell>
          <cell r="D171" t="str">
            <v>DELTA</v>
          </cell>
          <cell r="E171" t="str">
            <v>RESIGN</v>
          </cell>
        </row>
        <row r="172">
          <cell r="B172" t="str">
            <v>A0387</v>
          </cell>
          <cell r="C172" t="str">
            <v>Dea Stella</v>
          </cell>
          <cell r="D172" t="str">
            <v>DELTA</v>
          </cell>
          <cell r="E172" t="str">
            <v>RESIGN</v>
          </cell>
        </row>
        <row r="173">
          <cell r="B173" t="str">
            <v>A0388</v>
          </cell>
          <cell r="C173" t="str">
            <v>Jody Wirawan</v>
          </cell>
          <cell r="D173" t="str">
            <v>DELTA</v>
          </cell>
          <cell r="E173" t="str">
            <v>RESIGN</v>
          </cell>
        </row>
        <row r="174">
          <cell r="B174" t="str">
            <v>A0386</v>
          </cell>
          <cell r="C174" t="str">
            <v>Rizqi Fathu Rahman</v>
          </cell>
          <cell r="D174" t="str">
            <v>DELTA</v>
          </cell>
          <cell r="E174" t="str">
            <v>RESIGN</v>
          </cell>
        </row>
        <row r="175">
          <cell r="B175" t="str">
            <v>A0404</v>
          </cell>
          <cell r="C175" t="str">
            <v>Prisca Widya Perwitosari</v>
          </cell>
          <cell r="D175" t="str">
            <v>DELTA</v>
          </cell>
          <cell r="E175" t="str">
            <v>RESIGN</v>
          </cell>
        </row>
        <row r="176">
          <cell r="B176" t="str">
            <v>A0400</v>
          </cell>
          <cell r="C176" t="str">
            <v>Tuti Haryanti</v>
          </cell>
          <cell r="D176" t="str">
            <v>DELTA</v>
          </cell>
          <cell r="E176" t="str">
            <v>RESIGN</v>
          </cell>
        </row>
        <row r="177">
          <cell r="B177" t="str">
            <v>A0436</v>
          </cell>
          <cell r="C177" t="str">
            <v>Evi</v>
          </cell>
          <cell r="D177" t="str">
            <v>DELTA</v>
          </cell>
          <cell r="E177" t="str">
            <v>RESIGN</v>
          </cell>
        </row>
        <row r="178">
          <cell r="B178" t="str">
            <v>A0512</v>
          </cell>
          <cell r="C178" t="str">
            <v>Rositta Laili Fajrani</v>
          </cell>
          <cell r="D178" t="str">
            <v>DELTA</v>
          </cell>
          <cell r="E178" t="str">
            <v>RESIGN</v>
          </cell>
        </row>
        <row r="179">
          <cell r="B179" t="str">
            <v>A0524</v>
          </cell>
          <cell r="C179" t="str">
            <v>Jibran Febriano</v>
          </cell>
          <cell r="D179" t="str">
            <v>DELTA</v>
          </cell>
          <cell r="E179" t="str">
            <v>RESIGN</v>
          </cell>
        </row>
        <row r="180">
          <cell r="B180" t="str">
            <v>A0617</v>
          </cell>
          <cell r="C180" t="str">
            <v>Niko Ageng Nugraha</v>
          </cell>
          <cell r="D180" t="str">
            <v>DELTA</v>
          </cell>
          <cell r="E180" t="str">
            <v>RESIGN</v>
          </cell>
        </row>
        <row r="181">
          <cell r="B181" t="str">
            <v>A0618</v>
          </cell>
          <cell r="C181" t="str">
            <v>A Dedy Setiawan</v>
          </cell>
          <cell r="D181" t="str">
            <v>DELTA</v>
          </cell>
          <cell r="E181" t="str">
            <v>RESIGN</v>
          </cell>
        </row>
        <row r="182">
          <cell r="B182" t="str">
            <v>A0631</v>
          </cell>
          <cell r="C182" t="str">
            <v>Wimbi Dwi Cahyani</v>
          </cell>
          <cell r="D182" t="str">
            <v>DELTA</v>
          </cell>
          <cell r="E182" t="str">
            <v>RESIGN</v>
          </cell>
        </row>
        <row r="183">
          <cell r="B183" t="str">
            <v>A0635</v>
          </cell>
          <cell r="C183" t="str">
            <v>Eufrasia Anindita</v>
          </cell>
          <cell r="D183" t="str">
            <v>DELTA</v>
          </cell>
          <cell r="E183" t="str">
            <v>RESIGN</v>
          </cell>
        </row>
        <row r="184">
          <cell r="B184" t="str">
            <v>A0201</v>
          </cell>
          <cell r="C184" t="str">
            <v>Natalia Tanaem</v>
          </cell>
          <cell r="D184" t="str">
            <v>DELTA</v>
          </cell>
          <cell r="E184" t="str">
            <v>RESIGN</v>
          </cell>
        </row>
        <row r="185">
          <cell r="B185" t="str">
            <v>A0673</v>
          </cell>
          <cell r="C185" t="str">
            <v>Dimas Wijayanto</v>
          </cell>
          <cell r="D185" t="str">
            <v>DELTA</v>
          </cell>
          <cell r="E185" t="str">
            <v>RESIGN</v>
          </cell>
        </row>
        <row r="186">
          <cell r="B186" t="str">
            <v>A0693</v>
          </cell>
          <cell r="C186" t="str">
            <v>Christian Nagalanjar</v>
          </cell>
          <cell r="D186" t="str">
            <v>DELTA</v>
          </cell>
          <cell r="E186" t="str">
            <v>RESIGN</v>
          </cell>
        </row>
        <row r="187">
          <cell r="B187" t="str">
            <v>A0752</v>
          </cell>
          <cell r="C187" t="str">
            <v>Grathya Nathalia Uly Simanjuntak</v>
          </cell>
          <cell r="D187" t="str">
            <v>DELTA</v>
          </cell>
          <cell r="E187" t="str">
            <v>RESIGN</v>
          </cell>
        </row>
        <row r="188">
          <cell r="B188" t="str">
            <v>A0749</v>
          </cell>
          <cell r="C188" t="str">
            <v>Nabela Kurnia Lita Lita</v>
          </cell>
          <cell r="D188" t="str">
            <v>DELTA</v>
          </cell>
          <cell r="E188" t="str">
            <v>RESIGN</v>
          </cell>
        </row>
        <row r="189">
          <cell r="B189" t="str">
            <v>A0739</v>
          </cell>
          <cell r="C189" t="str">
            <v>Grasiana Idha</v>
          </cell>
          <cell r="D189" t="str">
            <v>DELTA</v>
          </cell>
          <cell r="E189" t="str">
            <v>RESIGN</v>
          </cell>
        </row>
        <row r="190">
          <cell r="B190" t="str">
            <v>A0734</v>
          </cell>
          <cell r="C190" t="str">
            <v>Ryan Yusuf Rifai</v>
          </cell>
          <cell r="D190" t="str">
            <v>DELTA</v>
          </cell>
          <cell r="E190" t="str">
            <v>RESIGN</v>
          </cell>
        </row>
        <row r="191">
          <cell r="B191" t="str">
            <v>A0758</v>
          </cell>
          <cell r="C191" t="str">
            <v>Faiza Shafa Prasta</v>
          </cell>
          <cell r="D191" t="str">
            <v>DELTA</v>
          </cell>
          <cell r="E191" t="str">
            <v>RESIGN</v>
          </cell>
        </row>
        <row r="192">
          <cell r="B192" t="str">
            <v>A0880</v>
          </cell>
          <cell r="C192" t="str">
            <v>Theresia Arwila Utami</v>
          </cell>
          <cell r="D192" t="str">
            <v>DELTA</v>
          </cell>
          <cell r="E192" t="str">
            <v>RESIGN</v>
          </cell>
        </row>
        <row r="193">
          <cell r="B193" t="str">
            <v>A1039</v>
          </cell>
          <cell r="C193" t="str">
            <v>Septi Nugraheni</v>
          </cell>
          <cell r="D193" t="str">
            <v>DELTA</v>
          </cell>
          <cell r="E193" t="str">
            <v>RESIGN</v>
          </cell>
        </row>
        <row r="194">
          <cell r="B194" t="str">
            <v>A1111</v>
          </cell>
          <cell r="C194" t="str">
            <v>Alexia Dea</v>
          </cell>
          <cell r="D194" t="str">
            <v>DELTA</v>
          </cell>
          <cell r="E194" t="str">
            <v>RESIGN</v>
          </cell>
        </row>
        <row r="195">
          <cell r="B195" t="str">
            <v>A1171</v>
          </cell>
          <cell r="C195" t="str">
            <v>Vikiyana Haris Aditya</v>
          </cell>
          <cell r="D195" t="str">
            <v>DELTA</v>
          </cell>
          <cell r="E195" t="str">
            <v>RESIGN</v>
          </cell>
        </row>
        <row r="196">
          <cell r="B196" t="str">
            <v>A1147</v>
          </cell>
          <cell r="C196" t="str">
            <v>Meta Arkadia</v>
          </cell>
          <cell r="D196" t="str">
            <v>DELTA</v>
          </cell>
          <cell r="E196" t="str">
            <v>RESIGN</v>
          </cell>
        </row>
        <row r="197">
          <cell r="B197" t="str">
            <v>A1257</v>
          </cell>
          <cell r="C197" t="str">
            <v>Lailatul Rohmah</v>
          </cell>
          <cell r="D197" t="str">
            <v>DELTA</v>
          </cell>
          <cell r="E197" t="str">
            <v>RESIGN</v>
          </cell>
        </row>
        <row r="198">
          <cell r="B198" t="str">
            <v>A0590</v>
          </cell>
          <cell r="C198" t="str">
            <v>Atisa Ratu Valya Bungara</v>
          </cell>
          <cell r="D198" t="str">
            <v>DELTA</v>
          </cell>
          <cell r="E198" t="str">
            <v>RESIGN</v>
          </cell>
        </row>
        <row r="199">
          <cell r="B199" t="str">
            <v>A0608</v>
          </cell>
          <cell r="C199" t="str">
            <v>Eka Widiyaningsih</v>
          </cell>
          <cell r="D199" t="str">
            <v>DELTA</v>
          </cell>
          <cell r="E199" t="str">
            <v>RESIGN</v>
          </cell>
        </row>
        <row r="200">
          <cell r="B200" t="str">
            <v>A0593</v>
          </cell>
          <cell r="C200" t="str">
            <v>Eudia Melka Novitasari</v>
          </cell>
          <cell r="D200" t="str">
            <v>DELTA</v>
          </cell>
          <cell r="E200" t="str">
            <v>RESIGN</v>
          </cell>
        </row>
        <row r="201">
          <cell r="B201" t="str">
            <v>A1393</v>
          </cell>
          <cell r="C201" t="str">
            <v>Erva Lifda Ayu Rosanty</v>
          </cell>
          <cell r="D201" t="str">
            <v>DELTA</v>
          </cell>
          <cell r="E201" t="str">
            <v>RESIGN</v>
          </cell>
        </row>
        <row r="202">
          <cell r="B202" t="str">
            <v>A1435</v>
          </cell>
          <cell r="C202" t="str">
            <v>Brigitta Berlina</v>
          </cell>
          <cell r="D202" t="str">
            <v>DELTA</v>
          </cell>
          <cell r="E202" t="str">
            <v>RESIGN</v>
          </cell>
        </row>
        <row r="203">
          <cell r="B203" t="str">
            <v>A1469</v>
          </cell>
          <cell r="C203" t="str">
            <v>Vita Hartanti</v>
          </cell>
          <cell r="D203" t="str">
            <v>DELTA</v>
          </cell>
          <cell r="E203" t="str">
            <v>RESIGN</v>
          </cell>
        </row>
        <row r="204">
          <cell r="B204" t="str">
            <v>A1634</v>
          </cell>
          <cell r="C204" t="str">
            <v>Laninda Dewi Herujianti</v>
          </cell>
          <cell r="D204" t="str">
            <v>DELTA</v>
          </cell>
          <cell r="E204" t="str">
            <v>RESIGN</v>
          </cell>
        </row>
        <row r="205">
          <cell r="B205" t="str">
            <v>A1640</v>
          </cell>
          <cell r="C205" t="str">
            <v>Marintan Gultom</v>
          </cell>
          <cell r="D205" t="str">
            <v>DELTA</v>
          </cell>
          <cell r="E205" t="str">
            <v>RESIGN</v>
          </cell>
        </row>
        <row r="206">
          <cell r="B206" t="str">
            <v>A1663</v>
          </cell>
          <cell r="C206" t="str">
            <v>Feri Romadhon</v>
          </cell>
          <cell r="D206" t="str">
            <v>DELTA</v>
          </cell>
          <cell r="E206" t="str">
            <v>RESIGN</v>
          </cell>
        </row>
        <row r="207">
          <cell r="B207" t="str">
            <v>A1838</v>
          </cell>
          <cell r="C207" t="str">
            <v>Mita Listyana</v>
          </cell>
          <cell r="D207" t="str">
            <v>DELTA</v>
          </cell>
          <cell r="E207" t="str">
            <v>RESIGN</v>
          </cell>
        </row>
        <row r="208">
          <cell r="B208" t="str">
            <v>A1860</v>
          </cell>
          <cell r="C208" t="str">
            <v>Widiana Winarsih</v>
          </cell>
          <cell r="D208" t="str">
            <v>DELTA</v>
          </cell>
          <cell r="E208" t="str">
            <v>RESIGN</v>
          </cell>
        </row>
        <row r="209">
          <cell r="B209" t="str">
            <v>A1851</v>
          </cell>
          <cell r="C209" t="str">
            <v>Silvi Oktavia Sari</v>
          </cell>
          <cell r="D209" t="str">
            <v>DELTA</v>
          </cell>
          <cell r="E209" t="str">
            <v>RESIGN</v>
          </cell>
        </row>
        <row r="210">
          <cell r="B210" t="str">
            <v>A1885</v>
          </cell>
          <cell r="C210" t="str">
            <v>Resti Sukmawati</v>
          </cell>
          <cell r="D210" t="str">
            <v>DELTA</v>
          </cell>
          <cell r="E210" t="str">
            <v>RESIGN</v>
          </cell>
        </row>
        <row r="211">
          <cell r="B211" t="str">
            <v>A2184</v>
          </cell>
          <cell r="C211" t="str">
            <v>Krismonita</v>
          </cell>
          <cell r="D211" t="str">
            <v>DELTA</v>
          </cell>
          <cell r="E211" t="str">
            <v>RESIGN</v>
          </cell>
        </row>
        <row r="212">
          <cell r="B212" t="str">
            <v>A2282</v>
          </cell>
          <cell r="C212" t="str">
            <v>Latifah Silvi Parwati</v>
          </cell>
          <cell r="D212" t="str">
            <v>DELTA</v>
          </cell>
          <cell r="E212" t="str">
            <v>RESIGN</v>
          </cell>
        </row>
        <row r="213">
          <cell r="B213" t="str">
            <v>A2283</v>
          </cell>
          <cell r="C213" t="str">
            <v>Melania Kristiningsih</v>
          </cell>
          <cell r="D213" t="str">
            <v>DELTA</v>
          </cell>
          <cell r="E213" t="str">
            <v>RESIGN</v>
          </cell>
        </row>
        <row r="214">
          <cell r="B214" t="str">
            <v>A2327</v>
          </cell>
          <cell r="C214" t="str">
            <v>Annisa Maulani</v>
          </cell>
          <cell r="D214" t="str">
            <v>DELTA</v>
          </cell>
          <cell r="E214" t="str">
            <v>RESIGN</v>
          </cell>
        </row>
        <row r="215">
          <cell r="B215" t="str">
            <v>A2294</v>
          </cell>
          <cell r="C215" t="str">
            <v>Yashinta Sinuhaji</v>
          </cell>
          <cell r="D215" t="str">
            <v>DELTA</v>
          </cell>
          <cell r="E215" t="str">
            <v>RESIGN</v>
          </cell>
        </row>
        <row r="216">
          <cell r="B216" t="str">
            <v>A2350</v>
          </cell>
          <cell r="C216" t="str">
            <v>Yulia Oktaviani Vergenia</v>
          </cell>
          <cell r="D216" t="str">
            <v>DELTA</v>
          </cell>
          <cell r="E216" t="str">
            <v>RESIGN</v>
          </cell>
        </row>
        <row r="217">
          <cell r="B217" t="str">
            <v>A2285</v>
          </cell>
          <cell r="C217" t="str">
            <v>Vanessa Gunawan</v>
          </cell>
          <cell r="D217" t="str">
            <v>DELTA</v>
          </cell>
          <cell r="E217" t="str">
            <v>RESIGN</v>
          </cell>
        </row>
        <row r="218">
          <cell r="B218" t="str">
            <v>A2548</v>
          </cell>
          <cell r="C218" t="str">
            <v>Khotami Nurbaiti</v>
          </cell>
          <cell r="D218" t="str">
            <v>DELTA</v>
          </cell>
          <cell r="E218" t="str">
            <v>RESIGN</v>
          </cell>
        </row>
        <row r="219">
          <cell r="B219" t="str">
            <v>A2942</v>
          </cell>
          <cell r="C219" t="str">
            <v>Bima Ridho Pratama</v>
          </cell>
          <cell r="D219" t="str">
            <v>DELTA</v>
          </cell>
          <cell r="E219" t="str">
            <v>RESIGN</v>
          </cell>
        </row>
        <row r="220">
          <cell r="B220" t="str">
            <v>A2958</v>
          </cell>
          <cell r="C220" t="str">
            <v>Ria Anita Pratiwi</v>
          </cell>
          <cell r="D220" t="str">
            <v>DELTA</v>
          </cell>
          <cell r="E220" t="str">
            <v>RESIGN</v>
          </cell>
        </row>
        <row r="221">
          <cell r="B221" t="str">
            <v>A2950</v>
          </cell>
          <cell r="C221" t="str">
            <v>Ani Heriyanti</v>
          </cell>
          <cell r="D221" t="str">
            <v>DELTA</v>
          </cell>
          <cell r="E221" t="str">
            <v>RESIGN</v>
          </cell>
        </row>
        <row r="222">
          <cell r="B222" t="str">
            <v>A3263</v>
          </cell>
          <cell r="C222" t="str">
            <v>Lidia Vita</v>
          </cell>
          <cell r="D222" t="str">
            <v>DELTA</v>
          </cell>
          <cell r="E222" t="str">
            <v>RESIGN</v>
          </cell>
        </row>
        <row r="223">
          <cell r="B223" t="str">
            <v>A3409</v>
          </cell>
          <cell r="C223" t="str">
            <v>St Via Delarosa</v>
          </cell>
          <cell r="D223" t="str">
            <v>DELTA</v>
          </cell>
          <cell r="E223" t="str">
            <v>RESIGN</v>
          </cell>
        </row>
        <row r="224">
          <cell r="B224" t="str">
            <v>A3402</v>
          </cell>
          <cell r="C224" t="str">
            <v>Wahyu Intan Febriyanti</v>
          </cell>
          <cell r="D224" t="str">
            <v>DELTA</v>
          </cell>
          <cell r="E224" t="str">
            <v>RESIGN</v>
          </cell>
        </row>
        <row r="225">
          <cell r="B225" t="str">
            <v>A3401</v>
          </cell>
          <cell r="C225" t="str">
            <v>Monica Forolus</v>
          </cell>
          <cell r="D225" t="str">
            <v>DELTA</v>
          </cell>
          <cell r="E225" t="str">
            <v>RESIGN</v>
          </cell>
        </row>
        <row r="226">
          <cell r="B226" t="str">
            <v>A3460</v>
          </cell>
          <cell r="C226" t="str">
            <v>Rifqi Ayatullah</v>
          </cell>
          <cell r="D226" t="str">
            <v>DELTA</v>
          </cell>
          <cell r="E226" t="str">
            <v>RESIGN</v>
          </cell>
        </row>
        <row r="227">
          <cell r="B227" t="str">
            <v>A3600</v>
          </cell>
          <cell r="C227" t="str">
            <v>Arum</v>
          </cell>
          <cell r="D227" t="str">
            <v>DELTA</v>
          </cell>
          <cell r="E227" t="str">
            <v>RESIGN</v>
          </cell>
        </row>
        <row r="228">
          <cell r="B228" t="str">
            <v>A3598</v>
          </cell>
          <cell r="C228" t="str">
            <v>Deprilana Ego Prakasa</v>
          </cell>
          <cell r="D228" t="str">
            <v>DELTA</v>
          </cell>
          <cell r="E228" t="str">
            <v>RESIGN</v>
          </cell>
        </row>
        <row r="229">
          <cell r="B229" t="str">
            <v>A3613</v>
          </cell>
          <cell r="C229" t="str">
            <v>Alfi Firkhannisa</v>
          </cell>
          <cell r="D229" t="str">
            <v>DELTA</v>
          </cell>
          <cell r="E229" t="str">
            <v>RESIGN</v>
          </cell>
        </row>
        <row r="230">
          <cell r="B230" t="str">
            <v>A3614</v>
          </cell>
          <cell r="C230" t="str">
            <v>Salfa Hasna</v>
          </cell>
          <cell r="D230" t="str">
            <v>DELTA</v>
          </cell>
          <cell r="E230" t="str">
            <v>RESIGN</v>
          </cell>
        </row>
        <row r="231">
          <cell r="B231" t="str">
            <v>A3724</v>
          </cell>
          <cell r="C231" t="str">
            <v>Neneng Sri Nurfauziah</v>
          </cell>
          <cell r="D231" t="str">
            <v>DELTA</v>
          </cell>
          <cell r="E231" t="str">
            <v>RESIGN</v>
          </cell>
        </row>
        <row r="232">
          <cell r="B232" t="str">
            <v>A3901</v>
          </cell>
          <cell r="C232" t="str">
            <v>Adetia Chorisolekah</v>
          </cell>
          <cell r="D232" t="str">
            <v>DELTA</v>
          </cell>
          <cell r="E232" t="str">
            <v>RESIGN</v>
          </cell>
        </row>
        <row r="233">
          <cell r="B233" t="str">
            <v>A3906</v>
          </cell>
          <cell r="C233" t="str">
            <v>Tarisa Dea Puspita</v>
          </cell>
          <cell r="D233" t="str">
            <v>DELTA</v>
          </cell>
          <cell r="E233" t="str">
            <v>RESIGN</v>
          </cell>
        </row>
        <row r="234">
          <cell r="B234" t="str">
            <v>A3939</v>
          </cell>
          <cell r="C234" t="str">
            <v>Linda Kurnianingrum</v>
          </cell>
          <cell r="D234" t="str">
            <v>DELTA</v>
          </cell>
          <cell r="E234" t="str">
            <v>RESIGN</v>
          </cell>
        </row>
        <row r="235">
          <cell r="B235" t="str">
            <v>A3990</v>
          </cell>
          <cell r="C235" t="str">
            <v>Anisya Riyadi</v>
          </cell>
          <cell r="D235" t="str">
            <v>DELTA</v>
          </cell>
          <cell r="E235" t="str">
            <v>RESIGN</v>
          </cell>
        </row>
        <row r="236">
          <cell r="B236" t="str">
            <v>A3991</v>
          </cell>
          <cell r="C236" t="str">
            <v>Deiven Hommy</v>
          </cell>
          <cell r="D236" t="str">
            <v>DELTA</v>
          </cell>
          <cell r="E236" t="str">
            <v>RESIGN</v>
          </cell>
        </row>
        <row r="237">
          <cell r="B237" t="str">
            <v>A3995</v>
          </cell>
          <cell r="C237" t="str">
            <v>Vincentia Ferer</v>
          </cell>
          <cell r="D237" t="str">
            <v>DELTA</v>
          </cell>
          <cell r="E237" t="str">
            <v>RESIGN</v>
          </cell>
        </row>
        <row r="238">
          <cell r="B238" t="str">
            <v>A4040</v>
          </cell>
          <cell r="C238" t="str">
            <v>Andaru Riza Ayusti</v>
          </cell>
          <cell r="D238" t="str">
            <v>DELTA</v>
          </cell>
          <cell r="E238" t="str">
            <v>RESIGN</v>
          </cell>
        </row>
        <row r="239">
          <cell r="B239" t="str">
            <v>A4056</v>
          </cell>
          <cell r="C239" t="str">
            <v>Yuliska Azzahrra</v>
          </cell>
          <cell r="D239" t="str">
            <v>DELTA</v>
          </cell>
          <cell r="E239" t="str">
            <v>RESIGN</v>
          </cell>
        </row>
        <row r="240">
          <cell r="B240" t="str">
            <v>A4093</v>
          </cell>
          <cell r="C240" t="str">
            <v>Ema Cahaya Wisma</v>
          </cell>
          <cell r="D240" t="str">
            <v>DELTA</v>
          </cell>
          <cell r="E240" t="str">
            <v>RESIGN</v>
          </cell>
        </row>
        <row r="241">
          <cell r="B241" t="str">
            <v>A4144</v>
          </cell>
          <cell r="C241" t="str">
            <v>Isnaini Amanah</v>
          </cell>
          <cell r="D241" t="str">
            <v>DELTA</v>
          </cell>
          <cell r="E241" t="str">
            <v>RESIGN</v>
          </cell>
        </row>
        <row r="242">
          <cell r="B242" t="str">
            <v>A4147</v>
          </cell>
          <cell r="C242" t="str">
            <v>Sinta Wulandari</v>
          </cell>
          <cell r="D242" t="str">
            <v>DELTA</v>
          </cell>
          <cell r="E242" t="str">
            <v>RESIGN</v>
          </cell>
        </row>
        <row r="243">
          <cell r="B243" t="str">
            <v>A4179</v>
          </cell>
          <cell r="C243" t="str">
            <v>Diah Nurul Istiqomah</v>
          </cell>
          <cell r="D243" t="str">
            <v>DELTA</v>
          </cell>
          <cell r="E243" t="str">
            <v>RESIGN</v>
          </cell>
        </row>
        <row r="244">
          <cell r="B244" t="str">
            <v>A4197</v>
          </cell>
          <cell r="C244" t="str">
            <v>Oky Rangga Sukendar</v>
          </cell>
          <cell r="D244" t="str">
            <v>DELTA</v>
          </cell>
          <cell r="E244" t="str">
            <v>RESIGN</v>
          </cell>
        </row>
        <row r="245">
          <cell r="B245" t="e">
            <v>#N/A</v>
          </cell>
          <cell r="C245" t="str">
            <v>Kumalasari Prasetyawati</v>
          </cell>
          <cell r="D245" t="str">
            <v>DELTA</v>
          </cell>
          <cell r="E245" t="str">
            <v>RESIGN</v>
          </cell>
        </row>
        <row r="246">
          <cell r="B246" t="str">
            <v>A4234</v>
          </cell>
          <cell r="C246" t="str">
            <v>Anggi Novi Astuti</v>
          </cell>
          <cell r="D246" t="str">
            <v>DELTA</v>
          </cell>
          <cell r="E246" t="str">
            <v>RESIGN</v>
          </cell>
        </row>
        <row r="247">
          <cell r="B247" t="e">
            <v>#N/A</v>
          </cell>
          <cell r="C247" t="str">
            <v>Nurul Arofah Ariyanti</v>
          </cell>
          <cell r="D247" t="str">
            <v>DELTA</v>
          </cell>
          <cell r="E247" t="str">
            <v>RESIGN</v>
          </cell>
        </row>
        <row r="248">
          <cell r="B248" t="e">
            <v>#N/A</v>
          </cell>
          <cell r="C248" t="str">
            <v>Strinareswari Ardhanawikanestri</v>
          </cell>
          <cell r="D248" t="str">
            <v>DELTA</v>
          </cell>
          <cell r="E248" t="str">
            <v>RESIGN</v>
          </cell>
        </row>
        <row r="249">
          <cell r="B249" t="str">
            <v>A4189</v>
          </cell>
          <cell r="C249" t="str">
            <v>Arta Aprilia Sri Astuti</v>
          </cell>
          <cell r="D249" t="str">
            <v>DELTA</v>
          </cell>
          <cell r="E249" t="str">
            <v>RESIGN</v>
          </cell>
        </row>
        <row r="250">
          <cell r="B250" t="str">
            <v>A4476</v>
          </cell>
          <cell r="C250" t="str">
            <v>Badai Mahesa</v>
          </cell>
          <cell r="D250" t="str">
            <v>DELTA</v>
          </cell>
          <cell r="E250" t="str">
            <v>RESIGN</v>
          </cell>
        </row>
        <row r="251">
          <cell r="B251" t="str">
            <v>A4474</v>
          </cell>
          <cell r="C251" t="str">
            <v>Alfian Sapta Pradana</v>
          </cell>
          <cell r="D251" t="str">
            <v>DELTA</v>
          </cell>
          <cell r="E251" t="str">
            <v>RESIGN</v>
          </cell>
        </row>
        <row r="252">
          <cell r="B252" t="str">
            <v>A4543</v>
          </cell>
          <cell r="C252" t="str">
            <v>Siska Difa Ardillah</v>
          </cell>
          <cell r="D252" t="str">
            <v>DELTA</v>
          </cell>
          <cell r="E252" t="str">
            <v>RESIGN</v>
          </cell>
        </row>
        <row r="253">
          <cell r="B253">
            <v>92397</v>
          </cell>
          <cell r="C253" t="str">
            <v>Zanuarita Suryandani</v>
          </cell>
          <cell r="D253" t="str">
            <v>TEMA C1</v>
          </cell>
          <cell r="E253" t="str">
            <v>RESIGN</v>
          </cell>
        </row>
        <row r="254">
          <cell r="B254">
            <v>92398</v>
          </cell>
          <cell r="C254" t="str">
            <v>Sanjaya Sinaga</v>
          </cell>
          <cell r="D254" t="str">
            <v>TEMA C1</v>
          </cell>
          <cell r="E254" t="str">
            <v>RESIGN</v>
          </cell>
        </row>
        <row r="255">
          <cell r="B255">
            <v>92649</v>
          </cell>
          <cell r="C255" t="str">
            <v>Anfas Sawa</v>
          </cell>
          <cell r="D255" t="str">
            <v>TEMA C1</v>
          </cell>
          <cell r="E255" t="str">
            <v>RESIGN</v>
          </cell>
        </row>
        <row r="256">
          <cell r="B256">
            <v>92691</v>
          </cell>
          <cell r="C256" t="str">
            <v>NOVI WIDYA SISWI</v>
          </cell>
          <cell r="D256" t="str">
            <v>TEMA C1</v>
          </cell>
          <cell r="E256" t="str">
            <v>RESIGN</v>
          </cell>
        </row>
        <row r="257">
          <cell r="B257">
            <v>92708</v>
          </cell>
          <cell r="C257" t="str">
            <v>FELIX FIORENTINO</v>
          </cell>
          <cell r="D257" t="str">
            <v>TEMA C1</v>
          </cell>
          <cell r="E257" t="str">
            <v>RESIGN</v>
          </cell>
        </row>
        <row r="258">
          <cell r="B258" t="str">
            <v>A0359</v>
          </cell>
          <cell r="C258" t="str">
            <v>Ervina Eka Frigia</v>
          </cell>
          <cell r="D258" t="str">
            <v>TEMA C1</v>
          </cell>
          <cell r="E258" t="str">
            <v>RESIGN</v>
          </cell>
        </row>
        <row r="259">
          <cell r="B259" t="str">
            <v>A0410</v>
          </cell>
          <cell r="C259" t="str">
            <v>Eric Moralles</v>
          </cell>
          <cell r="D259" t="str">
            <v>TEMA C1</v>
          </cell>
          <cell r="E259" t="str">
            <v>RESIGN</v>
          </cell>
        </row>
        <row r="260">
          <cell r="B260" t="str">
            <v>A0340</v>
          </cell>
          <cell r="C260" t="str">
            <v>Cornelia Maria Radita</v>
          </cell>
          <cell r="D260" t="str">
            <v>TEMA C1</v>
          </cell>
          <cell r="E260" t="str">
            <v>RESIGN</v>
          </cell>
        </row>
        <row r="261">
          <cell r="B261" t="str">
            <v>A0363</v>
          </cell>
          <cell r="C261" t="str">
            <v>Inaka Wetimora Gandhi Samodra</v>
          </cell>
          <cell r="D261" t="str">
            <v>TEMA C1</v>
          </cell>
          <cell r="E261" t="str">
            <v>RESIGN</v>
          </cell>
        </row>
        <row r="262">
          <cell r="B262" t="str">
            <v>A0471</v>
          </cell>
          <cell r="C262" t="str">
            <v>Nadilla Evi Rahmadani</v>
          </cell>
          <cell r="D262" t="str">
            <v>TEMA C1</v>
          </cell>
          <cell r="E262" t="str">
            <v>RESIGN</v>
          </cell>
        </row>
        <row r="263">
          <cell r="B263" t="str">
            <v>A0474</v>
          </cell>
          <cell r="C263" t="str">
            <v>Riandy Muhamad Santo</v>
          </cell>
          <cell r="D263" t="str">
            <v>TEMA C1</v>
          </cell>
          <cell r="E263" t="str">
            <v>RESIGN</v>
          </cell>
        </row>
        <row r="264">
          <cell r="B264" t="str">
            <v>A0538</v>
          </cell>
          <cell r="C264" t="str">
            <v>Akhmad Rizal Adiatoro</v>
          </cell>
          <cell r="D264" t="str">
            <v>TEMA C1</v>
          </cell>
          <cell r="E264" t="str">
            <v>RESIGN</v>
          </cell>
        </row>
        <row r="265">
          <cell r="B265" t="str">
            <v>A0655</v>
          </cell>
          <cell r="C265" t="str">
            <v>Dian Setya Wibawati</v>
          </cell>
          <cell r="D265" t="str">
            <v>TEMA C1</v>
          </cell>
          <cell r="E265" t="str">
            <v>RESIGN</v>
          </cell>
        </row>
        <row r="266">
          <cell r="B266" t="str">
            <v>A0159</v>
          </cell>
          <cell r="C266" t="str">
            <v>Oscar Seno Aji Mastopan</v>
          </cell>
          <cell r="D266" t="str">
            <v>TEMA C1</v>
          </cell>
          <cell r="E266" t="str">
            <v>RESIGN</v>
          </cell>
        </row>
        <row r="267">
          <cell r="B267" t="str">
            <v>A0796</v>
          </cell>
          <cell r="C267" t="str">
            <v>Afdol Fikri Rahmat</v>
          </cell>
          <cell r="D267" t="str">
            <v>TEMA C1</v>
          </cell>
          <cell r="E267" t="str">
            <v>RESIGN</v>
          </cell>
        </row>
        <row r="268">
          <cell r="B268" t="str">
            <v>A1555</v>
          </cell>
          <cell r="C268" t="str">
            <v>Shinta Aulia Zahra</v>
          </cell>
          <cell r="D268" t="str">
            <v>TEMA C1</v>
          </cell>
          <cell r="E268" t="str">
            <v>RESIGN</v>
          </cell>
        </row>
        <row r="269">
          <cell r="B269" t="e">
            <v>#REF!</v>
          </cell>
          <cell r="C269" t="str">
            <v>Angelina Prasaedentia</v>
          </cell>
          <cell r="D269" t="str">
            <v>TEMA C1</v>
          </cell>
          <cell r="E269" t="str">
            <v>RESIGN</v>
          </cell>
        </row>
        <row r="270">
          <cell r="B270" t="str">
            <v>A4268</v>
          </cell>
          <cell r="C270" t="str">
            <v>Ahmad Azzam Adhomah</v>
          </cell>
          <cell r="D270" t="str">
            <v>TEMA C1</v>
          </cell>
          <cell r="E270" t="str">
            <v>RESIGN</v>
          </cell>
        </row>
        <row r="271">
          <cell r="B271" t="e">
            <v>#REF!</v>
          </cell>
          <cell r="C271" t="str">
            <v>Herfin Rahmawati</v>
          </cell>
          <cell r="D271" t="str">
            <v>TEMA C1</v>
          </cell>
          <cell r="E271" t="str">
            <v>RESIGN</v>
          </cell>
        </row>
        <row r="272">
          <cell r="B272">
            <v>90540</v>
          </cell>
          <cell r="C272" t="str">
            <v>Clara Frida Jagadhita</v>
          </cell>
          <cell r="D272" t="str">
            <v>TEMA C2</v>
          </cell>
          <cell r="E272" t="str">
            <v>RESIGN</v>
          </cell>
        </row>
        <row r="273">
          <cell r="B273">
            <v>90580</v>
          </cell>
          <cell r="C273" t="str">
            <v>Friska Uli Br Sinurat</v>
          </cell>
          <cell r="D273" t="str">
            <v>TEMA C2</v>
          </cell>
          <cell r="E273" t="str">
            <v>RESIGN</v>
          </cell>
        </row>
        <row r="274">
          <cell r="B274">
            <v>90476</v>
          </cell>
          <cell r="C274" t="str">
            <v>Novita Diyah Ayu Pratiwi</v>
          </cell>
          <cell r="D274" t="str">
            <v>TEMA C2</v>
          </cell>
          <cell r="E274" t="str">
            <v>RESIGN</v>
          </cell>
        </row>
        <row r="275">
          <cell r="B275">
            <v>90784</v>
          </cell>
          <cell r="C275" t="str">
            <v>Devi Rahma Dani</v>
          </cell>
          <cell r="D275" t="str">
            <v>TEMA C2</v>
          </cell>
          <cell r="E275" t="str">
            <v>RESIGN</v>
          </cell>
        </row>
        <row r="276">
          <cell r="B276">
            <v>92004</v>
          </cell>
          <cell r="C276" t="str">
            <v>Nurhaida Kusumawati</v>
          </cell>
          <cell r="D276" t="str">
            <v>TEMA C2</v>
          </cell>
          <cell r="E276" t="str">
            <v>RESIGN</v>
          </cell>
        </row>
        <row r="277">
          <cell r="B277">
            <v>92142</v>
          </cell>
          <cell r="C277" t="str">
            <v>Nandeni Tioza</v>
          </cell>
          <cell r="D277" t="str">
            <v>TEMA C2</v>
          </cell>
          <cell r="E277" t="str">
            <v>RESIGN</v>
          </cell>
        </row>
        <row r="278">
          <cell r="B278">
            <v>92228</v>
          </cell>
          <cell r="C278" t="str">
            <v>Manasena Susana Gibannebit Giban</v>
          </cell>
          <cell r="D278" t="str">
            <v>TEMA C2</v>
          </cell>
          <cell r="E278" t="str">
            <v>RESIGN</v>
          </cell>
        </row>
        <row r="279">
          <cell r="B279">
            <v>92333</v>
          </cell>
          <cell r="C279" t="str">
            <v>TH. HENRIKA KUN ANDRIANI</v>
          </cell>
          <cell r="D279" t="str">
            <v>TEMA C2</v>
          </cell>
          <cell r="E279" t="str">
            <v>RESIGN</v>
          </cell>
        </row>
        <row r="280">
          <cell r="B280">
            <v>92338</v>
          </cell>
          <cell r="C280" t="str">
            <v>APRILIA YOHANA PARWANTI</v>
          </cell>
          <cell r="D280" t="str">
            <v>TEMA C2</v>
          </cell>
          <cell r="E280" t="str">
            <v>RESIGN</v>
          </cell>
        </row>
        <row r="281">
          <cell r="B281">
            <v>92348</v>
          </cell>
          <cell r="C281" t="str">
            <v>ANTONIUS TRI WIDJANARKO</v>
          </cell>
          <cell r="D281" t="str">
            <v>TEMA C2</v>
          </cell>
          <cell r="E281" t="str">
            <v>RESIGN</v>
          </cell>
        </row>
        <row r="282">
          <cell r="B282">
            <v>92349</v>
          </cell>
          <cell r="C282" t="str">
            <v>MARGARET ALVERINA</v>
          </cell>
          <cell r="D282" t="str">
            <v>TEMA C2</v>
          </cell>
          <cell r="E282" t="str">
            <v>RESIGN</v>
          </cell>
        </row>
        <row r="283">
          <cell r="B283">
            <v>92394</v>
          </cell>
          <cell r="C283" t="str">
            <v>Anggita Purnama</v>
          </cell>
          <cell r="D283" t="str">
            <v>TEMA C2</v>
          </cell>
          <cell r="E283" t="str">
            <v>RESIGN</v>
          </cell>
        </row>
        <row r="284">
          <cell r="B284">
            <v>92402</v>
          </cell>
          <cell r="C284" t="str">
            <v>Lukman Maulana Fachreza</v>
          </cell>
          <cell r="D284" t="str">
            <v>TEMA C2</v>
          </cell>
          <cell r="E284" t="str">
            <v>RESIGN</v>
          </cell>
        </row>
        <row r="285">
          <cell r="B285">
            <v>90943</v>
          </cell>
          <cell r="C285" t="str">
            <v>Titania Lisabriyanti</v>
          </cell>
          <cell r="D285" t="str">
            <v>TEMA C2</v>
          </cell>
          <cell r="E285" t="str">
            <v>RESIGN</v>
          </cell>
        </row>
        <row r="286">
          <cell r="B286">
            <v>92550</v>
          </cell>
          <cell r="C286" t="str">
            <v>Rio Surya Pamungkas</v>
          </cell>
          <cell r="D286" t="str">
            <v>TEMA C2</v>
          </cell>
          <cell r="E286" t="str">
            <v>RESIGN</v>
          </cell>
        </row>
        <row r="287">
          <cell r="B287">
            <v>92641</v>
          </cell>
          <cell r="C287" t="str">
            <v>Kiswati</v>
          </cell>
          <cell r="D287" t="str">
            <v>TEMA C2</v>
          </cell>
          <cell r="E287" t="str">
            <v>RESIGN</v>
          </cell>
        </row>
        <row r="288">
          <cell r="B288">
            <v>92730</v>
          </cell>
          <cell r="C288" t="str">
            <v>HAPPY ASY SYIFAINI ABADIYYAH</v>
          </cell>
          <cell r="D288" t="str">
            <v>TEMA C2</v>
          </cell>
          <cell r="E288" t="str">
            <v>RESIGN</v>
          </cell>
        </row>
        <row r="289">
          <cell r="B289" t="str">
            <v>A0108</v>
          </cell>
          <cell r="C289" t="str">
            <v>PUTERI GILANG MAHARDIKA</v>
          </cell>
          <cell r="D289" t="str">
            <v>TEMA C2</v>
          </cell>
          <cell r="E289" t="str">
            <v>RESIGN</v>
          </cell>
        </row>
        <row r="290">
          <cell r="B290">
            <v>92589</v>
          </cell>
          <cell r="C290" t="str">
            <v xml:space="preserve">INTAN JULINDA SITANGGANG </v>
          </cell>
          <cell r="D290" t="str">
            <v>TEMA C2</v>
          </cell>
          <cell r="E290" t="str">
            <v>RESIGN</v>
          </cell>
        </row>
        <row r="291">
          <cell r="B291" t="str">
            <v>A0187</v>
          </cell>
          <cell r="C291" t="str">
            <v>Wikan Rizki Dewanta</v>
          </cell>
          <cell r="D291" t="str">
            <v>TEMA C2</v>
          </cell>
          <cell r="E291" t="str">
            <v>RESIGN</v>
          </cell>
        </row>
        <row r="292">
          <cell r="B292" t="str">
            <v>A0195</v>
          </cell>
          <cell r="C292" t="str">
            <v>Abdul Manan Nasution</v>
          </cell>
          <cell r="D292" t="str">
            <v>TEMA C2</v>
          </cell>
          <cell r="E292" t="str">
            <v>RESIGN</v>
          </cell>
        </row>
        <row r="293">
          <cell r="B293" t="str">
            <v>A0200</v>
          </cell>
          <cell r="C293" t="str">
            <v>Herlin Nirmalasari Rahadiani</v>
          </cell>
          <cell r="D293" t="str">
            <v>TEMA C2</v>
          </cell>
          <cell r="E293" t="str">
            <v>RESIGN</v>
          </cell>
        </row>
        <row r="294">
          <cell r="B294" t="str">
            <v>A0202</v>
          </cell>
          <cell r="C294" t="str">
            <v>Rasta Herlambang</v>
          </cell>
          <cell r="D294" t="str">
            <v>TEMA C2</v>
          </cell>
          <cell r="E294" t="str">
            <v>RESIGN</v>
          </cell>
        </row>
        <row r="295">
          <cell r="B295" t="str">
            <v>A0206</v>
          </cell>
          <cell r="C295" t="str">
            <v>Zakya Anjani</v>
          </cell>
          <cell r="D295" t="str">
            <v>TEMA C2</v>
          </cell>
          <cell r="E295" t="str">
            <v>RESIGN</v>
          </cell>
        </row>
        <row r="296">
          <cell r="B296" t="str">
            <v>A0211</v>
          </cell>
          <cell r="C296" t="str">
            <v>Rosalia Seriang</v>
          </cell>
          <cell r="D296" t="str">
            <v>TEMA C2</v>
          </cell>
          <cell r="E296" t="str">
            <v>RESIGN</v>
          </cell>
        </row>
        <row r="297">
          <cell r="B297" t="str">
            <v>A0214</v>
          </cell>
          <cell r="C297" t="str">
            <v>Arief Azizy</v>
          </cell>
          <cell r="D297" t="str">
            <v>TEMA C2</v>
          </cell>
          <cell r="E297" t="str">
            <v>RESIGN</v>
          </cell>
        </row>
        <row r="298">
          <cell r="B298" t="str">
            <v>A0222</v>
          </cell>
          <cell r="C298" t="str">
            <v>Rian Febriansyah</v>
          </cell>
          <cell r="D298" t="str">
            <v>TEMA C2</v>
          </cell>
          <cell r="E298" t="str">
            <v>RESIGN</v>
          </cell>
        </row>
        <row r="299">
          <cell r="B299" t="str">
            <v>A0224</v>
          </cell>
          <cell r="C299" t="str">
            <v>Silvia Faradella</v>
          </cell>
          <cell r="D299" t="str">
            <v>TEMA C2</v>
          </cell>
          <cell r="E299" t="str">
            <v>RESIGN</v>
          </cell>
        </row>
        <row r="300">
          <cell r="B300" t="str">
            <v>A0235</v>
          </cell>
          <cell r="C300" t="str">
            <v>Martin Parulian Zega</v>
          </cell>
          <cell r="D300" t="str">
            <v>TEMA C2</v>
          </cell>
          <cell r="E300" t="str">
            <v>RESIGN</v>
          </cell>
        </row>
        <row r="301">
          <cell r="B301" t="str">
            <v>A0242</v>
          </cell>
          <cell r="C301" t="str">
            <v>Nabila Yunita Putrie</v>
          </cell>
          <cell r="D301" t="str">
            <v>TEMA C2</v>
          </cell>
          <cell r="E301" t="str">
            <v>RESIGN</v>
          </cell>
        </row>
        <row r="302">
          <cell r="B302" t="str">
            <v>A0232</v>
          </cell>
          <cell r="C302" t="str">
            <v>Frida Mega Pratiwi</v>
          </cell>
          <cell r="D302" t="str">
            <v>TEMA C2</v>
          </cell>
          <cell r="E302" t="str">
            <v>RESIGN</v>
          </cell>
        </row>
        <row r="303">
          <cell r="B303" t="str">
            <v>A0364</v>
          </cell>
          <cell r="C303" t="str">
            <v>Alhafidz</v>
          </cell>
          <cell r="D303" t="str">
            <v>TEMA C2</v>
          </cell>
          <cell r="E303" t="str">
            <v>RESIGN</v>
          </cell>
        </row>
        <row r="304">
          <cell r="B304" t="str">
            <v>A0366</v>
          </cell>
          <cell r="C304" t="str">
            <v>Qurrotul Ayuni</v>
          </cell>
          <cell r="D304" t="str">
            <v>TEMA C2</v>
          </cell>
          <cell r="E304" t="str">
            <v>RESIGN</v>
          </cell>
        </row>
        <row r="305">
          <cell r="B305" t="str">
            <v>A0373</v>
          </cell>
          <cell r="C305" t="str">
            <v>Martha Setyati</v>
          </cell>
          <cell r="D305" t="str">
            <v>TEMA C2</v>
          </cell>
          <cell r="E305" t="str">
            <v>RESIGN</v>
          </cell>
        </row>
        <row r="306">
          <cell r="B306" t="str">
            <v>A0374</v>
          </cell>
          <cell r="C306" t="str">
            <v>Bogi Anugra Ilahi</v>
          </cell>
          <cell r="D306" t="str">
            <v>TEMA C2</v>
          </cell>
          <cell r="E306" t="str">
            <v>RESIGN</v>
          </cell>
        </row>
        <row r="307">
          <cell r="B307" t="str">
            <v>A0365</v>
          </cell>
          <cell r="C307" t="str">
            <v>Raditya Aria Ramadhani</v>
          </cell>
          <cell r="D307" t="str">
            <v>TEMA C2</v>
          </cell>
          <cell r="E307" t="str">
            <v>RESIGN</v>
          </cell>
        </row>
        <row r="308">
          <cell r="B308" t="str">
            <v>A0431</v>
          </cell>
          <cell r="C308" t="str">
            <v>Lisa Nuraini</v>
          </cell>
          <cell r="D308" t="str">
            <v>TEMA C2</v>
          </cell>
          <cell r="E308" t="str">
            <v>RESIGN</v>
          </cell>
        </row>
        <row r="309">
          <cell r="B309" t="str">
            <v>A0433</v>
          </cell>
          <cell r="C309" t="str">
            <v>Dyah Kusuma Al Afsyah</v>
          </cell>
          <cell r="D309" t="str">
            <v>TEMA C2</v>
          </cell>
          <cell r="E309" t="str">
            <v>RESIGN</v>
          </cell>
        </row>
        <row r="310">
          <cell r="B310" t="str">
            <v>A0430</v>
          </cell>
          <cell r="C310" t="str">
            <v>Ignatius Purnama</v>
          </cell>
          <cell r="D310" t="str">
            <v>TEMA C2</v>
          </cell>
          <cell r="E310" t="str">
            <v>RESIGN</v>
          </cell>
        </row>
        <row r="311">
          <cell r="B311" t="str">
            <v>A0494</v>
          </cell>
          <cell r="C311" t="str">
            <v>Elvira Mangayun Pasudi</v>
          </cell>
          <cell r="D311" t="str">
            <v>TEMA C2</v>
          </cell>
          <cell r="E311" t="str">
            <v>RESIGN</v>
          </cell>
        </row>
        <row r="312">
          <cell r="B312" t="str">
            <v>A0497</v>
          </cell>
          <cell r="C312" t="str">
            <v>Dimas Yuda Firmansyah</v>
          </cell>
          <cell r="D312" t="str">
            <v>TEMA C2</v>
          </cell>
          <cell r="E312" t="str">
            <v>RESIGN</v>
          </cell>
        </row>
        <row r="313">
          <cell r="B313" t="str">
            <v>A0493</v>
          </cell>
          <cell r="C313" t="str">
            <v>Amar Kurniadi</v>
          </cell>
          <cell r="D313" t="str">
            <v>TEMA C2</v>
          </cell>
          <cell r="E313" t="str">
            <v>RESIGN</v>
          </cell>
        </row>
        <row r="314">
          <cell r="B314" t="str">
            <v>A0545</v>
          </cell>
          <cell r="C314" t="str">
            <v>Tristanti Wardani</v>
          </cell>
          <cell r="D314" t="str">
            <v>TEMA C2</v>
          </cell>
          <cell r="E314" t="str">
            <v>RESIGN</v>
          </cell>
        </row>
        <row r="315">
          <cell r="B315" t="str">
            <v>A0604</v>
          </cell>
          <cell r="C315" t="str">
            <v>Elisabeth Noviana Veriani</v>
          </cell>
          <cell r="D315" t="str">
            <v>TEMA C2</v>
          </cell>
          <cell r="E315" t="str">
            <v>RESIGN</v>
          </cell>
        </row>
        <row r="316">
          <cell r="B316" t="str">
            <v>A0585</v>
          </cell>
          <cell r="C316" t="str">
            <v>Luciana Bertha Ananda</v>
          </cell>
          <cell r="D316" t="str">
            <v>TEMA C2</v>
          </cell>
          <cell r="E316" t="str">
            <v>RESIGN</v>
          </cell>
        </row>
        <row r="317">
          <cell r="B317">
            <v>92506</v>
          </cell>
          <cell r="C317" t="str">
            <v>Nabila Auliyah</v>
          </cell>
          <cell r="D317" t="str">
            <v>TEMA C2</v>
          </cell>
          <cell r="E317" t="str">
            <v>RESIGN</v>
          </cell>
        </row>
        <row r="318">
          <cell r="B318" t="str">
            <v>A0472</v>
          </cell>
          <cell r="C318" t="str">
            <v>Aswin Ardiningrat</v>
          </cell>
          <cell r="D318" t="str">
            <v>TEMA C2</v>
          </cell>
          <cell r="E318" t="str">
            <v>RESIGN</v>
          </cell>
        </row>
        <row r="319">
          <cell r="B319" t="str">
            <v>A0666</v>
          </cell>
          <cell r="C319" t="str">
            <v>Yosephin Jessica Alda Melaneta</v>
          </cell>
          <cell r="D319" t="str">
            <v>TEMA C2</v>
          </cell>
          <cell r="E319" t="str">
            <v>RESIGN</v>
          </cell>
        </row>
        <row r="320">
          <cell r="B320" t="str">
            <v>A0477</v>
          </cell>
          <cell r="C320" t="str">
            <v>Theresia Yusi</v>
          </cell>
          <cell r="D320" t="str">
            <v>TEMA C2</v>
          </cell>
          <cell r="E320" t="str">
            <v>RESIGN</v>
          </cell>
        </row>
        <row r="321">
          <cell r="B321" t="str">
            <v>A0664</v>
          </cell>
          <cell r="C321" t="str">
            <v>Maelannur Masithoh</v>
          </cell>
          <cell r="D321" t="str">
            <v>TEMA C2</v>
          </cell>
          <cell r="E321" t="str">
            <v>RESIGN</v>
          </cell>
        </row>
        <row r="322">
          <cell r="B322" t="str">
            <v>A0667</v>
          </cell>
          <cell r="C322" t="str">
            <v>Adila Estika Rini</v>
          </cell>
          <cell r="D322" t="str">
            <v>TEMA C2</v>
          </cell>
          <cell r="E322" t="str">
            <v>RESIGN</v>
          </cell>
        </row>
        <row r="323">
          <cell r="B323" t="str">
            <v>A0718</v>
          </cell>
          <cell r="C323" t="str">
            <v>Bagas Yusnanto</v>
          </cell>
          <cell r="D323" t="str">
            <v>TEMA C2</v>
          </cell>
          <cell r="E323" t="str">
            <v>RESIGN</v>
          </cell>
        </row>
        <row r="324">
          <cell r="B324" t="str">
            <v>A0719</v>
          </cell>
          <cell r="C324" t="str">
            <v>Aria Yudhistira Dasopang</v>
          </cell>
          <cell r="D324" t="str">
            <v>TEMA C2</v>
          </cell>
          <cell r="E324" t="str">
            <v>RESIGN</v>
          </cell>
        </row>
        <row r="325">
          <cell r="B325" t="str">
            <v>A0716</v>
          </cell>
          <cell r="C325" t="str">
            <v>Asri Meliana</v>
          </cell>
          <cell r="D325" t="str">
            <v>TEMA C2</v>
          </cell>
          <cell r="E325" t="str">
            <v>RESIGN</v>
          </cell>
        </row>
        <row r="326">
          <cell r="B326" t="str">
            <v>A0854</v>
          </cell>
          <cell r="C326" t="str">
            <v>Shandi Noryanto</v>
          </cell>
          <cell r="D326" t="str">
            <v>TEMA C2</v>
          </cell>
          <cell r="E326" t="str">
            <v>RESIGN</v>
          </cell>
        </row>
        <row r="327">
          <cell r="B327" t="str">
            <v>A0848</v>
          </cell>
          <cell r="C327" t="str">
            <v>Angga Arindra Shonta</v>
          </cell>
          <cell r="D327" t="str">
            <v>TEMA C2</v>
          </cell>
          <cell r="E327" t="str">
            <v>RESIGN</v>
          </cell>
        </row>
        <row r="328">
          <cell r="B328" t="str">
            <v>A0897</v>
          </cell>
          <cell r="C328" t="str">
            <v>Zumratul Aulia</v>
          </cell>
          <cell r="D328" t="str">
            <v>TEMA C2</v>
          </cell>
          <cell r="E328" t="str">
            <v>RESIGN</v>
          </cell>
        </row>
        <row r="329">
          <cell r="B329" t="str">
            <v>A0900</v>
          </cell>
          <cell r="C329" t="str">
            <v>Egi Rahmawati</v>
          </cell>
          <cell r="D329" t="str">
            <v>TEMA C2</v>
          </cell>
          <cell r="E329" t="str">
            <v>RESIGN</v>
          </cell>
        </row>
        <row r="330">
          <cell r="B330" t="str">
            <v>A0914</v>
          </cell>
          <cell r="C330" t="str">
            <v>Bimo Derin Setiawan</v>
          </cell>
          <cell r="D330" t="str">
            <v>TEMA C2</v>
          </cell>
          <cell r="E330" t="str">
            <v>RESIGN</v>
          </cell>
        </row>
        <row r="331">
          <cell r="B331" t="str">
            <v>A0916</v>
          </cell>
          <cell r="C331" t="str">
            <v>Shafira Laksmi Ratnadewati</v>
          </cell>
          <cell r="D331" t="str">
            <v>TEMA C2</v>
          </cell>
          <cell r="E331" t="str">
            <v>RESIGN</v>
          </cell>
        </row>
        <row r="332">
          <cell r="B332" t="str">
            <v>A0890</v>
          </cell>
          <cell r="C332" t="str">
            <v>Nika Nofya</v>
          </cell>
          <cell r="D332" t="str">
            <v>TEMA C2</v>
          </cell>
          <cell r="E332" t="str">
            <v>RESIGN</v>
          </cell>
        </row>
        <row r="333">
          <cell r="B333" t="str">
            <v>A0913</v>
          </cell>
          <cell r="C333" t="str">
            <v>Yacinta Dinda Oktafiani</v>
          </cell>
          <cell r="D333" t="str">
            <v>TEMA C2</v>
          </cell>
          <cell r="E333" t="str">
            <v>RESIGN</v>
          </cell>
        </row>
        <row r="334">
          <cell r="B334" t="str">
            <v>A0934</v>
          </cell>
          <cell r="C334" t="str">
            <v>Sindu Prathiwi</v>
          </cell>
          <cell r="D334" t="str">
            <v>TEMA C2</v>
          </cell>
          <cell r="E334" t="str">
            <v>RESIGN</v>
          </cell>
        </row>
        <row r="335">
          <cell r="B335" t="str">
            <v>A0945</v>
          </cell>
          <cell r="C335" t="str">
            <v>Laila Rachma</v>
          </cell>
          <cell r="D335" t="str">
            <v>TEMA C2</v>
          </cell>
          <cell r="E335" t="str">
            <v>RESIGN</v>
          </cell>
        </row>
        <row r="336">
          <cell r="B336" t="str">
            <v>A0950</v>
          </cell>
          <cell r="C336" t="str">
            <v>Angga Nenggolo</v>
          </cell>
          <cell r="D336" t="str">
            <v>TEMA C2</v>
          </cell>
          <cell r="E336" t="str">
            <v>RESIGN</v>
          </cell>
        </row>
        <row r="337">
          <cell r="B337" t="str">
            <v>A0961</v>
          </cell>
          <cell r="C337" t="str">
            <v>Megalova Gladys Nabila</v>
          </cell>
          <cell r="D337" t="str">
            <v>TEMA C2</v>
          </cell>
          <cell r="E337" t="str">
            <v>RESIGN</v>
          </cell>
        </row>
        <row r="338">
          <cell r="B338" t="str">
            <v>A1122</v>
          </cell>
          <cell r="C338" t="str">
            <v>Nabila Hidayati</v>
          </cell>
          <cell r="D338" t="str">
            <v>TEMA C2</v>
          </cell>
          <cell r="E338" t="str">
            <v>RESIGN</v>
          </cell>
        </row>
        <row r="339">
          <cell r="B339" t="str">
            <v>A1188</v>
          </cell>
          <cell r="C339" t="str">
            <v>Tegar Hersetyowibowo</v>
          </cell>
          <cell r="D339" t="str">
            <v>TEMA C2</v>
          </cell>
          <cell r="E339" t="str">
            <v>RESIGN</v>
          </cell>
        </row>
        <row r="340">
          <cell r="B340" t="str">
            <v>A1230</v>
          </cell>
          <cell r="C340" t="str">
            <v>Ghina Chusniatun Nafila</v>
          </cell>
          <cell r="D340" t="str">
            <v>TEMA C2</v>
          </cell>
          <cell r="E340" t="str">
            <v>RESIGN</v>
          </cell>
        </row>
        <row r="341">
          <cell r="B341" t="str">
            <v>A1236</v>
          </cell>
          <cell r="C341" t="str">
            <v>Angelia Clarissa Zandra</v>
          </cell>
          <cell r="D341" t="str">
            <v>TEMA C2</v>
          </cell>
          <cell r="E341" t="str">
            <v>RESIGN</v>
          </cell>
        </row>
        <row r="342">
          <cell r="B342" t="str">
            <v>A1242</v>
          </cell>
          <cell r="C342" t="str">
            <v>Faridah Hasnah</v>
          </cell>
          <cell r="D342" t="str">
            <v>TEMA C2</v>
          </cell>
          <cell r="E342" t="str">
            <v>RESIGN</v>
          </cell>
        </row>
        <row r="343">
          <cell r="B343" t="str">
            <v>A1247</v>
          </cell>
          <cell r="C343" t="str">
            <v>Adam Fadilla</v>
          </cell>
          <cell r="D343" t="str">
            <v>TEMA C2</v>
          </cell>
          <cell r="E343" t="str">
            <v>RESIGN</v>
          </cell>
        </row>
        <row r="344">
          <cell r="B344" t="str">
            <v>A1403</v>
          </cell>
          <cell r="C344" t="str">
            <v>Isniyati Isniyati</v>
          </cell>
          <cell r="D344" t="str">
            <v>TEMA C2</v>
          </cell>
          <cell r="E344" t="str">
            <v>RESIGN</v>
          </cell>
        </row>
        <row r="345">
          <cell r="B345" t="str">
            <v>A1462</v>
          </cell>
          <cell r="C345" t="str">
            <v>Ainunnisa Malecha</v>
          </cell>
          <cell r="D345" t="str">
            <v>TEMA C2</v>
          </cell>
          <cell r="E345" t="str">
            <v>RESIGN</v>
          </cell>
        </row>
        <row r="346">
          <cell r="B346" t="str">
            <v>A1684</v>
          </cell>
          <cell r="C346" t="str">
            <v>Yohanes Pramono</v>
          </cell>
          <cell r="D346" t="str">
            <v>TEMA C2</v>
          </cell>
          <cell r="E346" t="str">
            <v>RESIGN</v>
          </cell>
        </row>
        <row r="347">
          <cell r="B347" t="str">
            <v>A1686</v>
          </cell>
          <cell r="C347" t="str">
            <v>Aloysius Anggoro</v>
          </cell>
          <cell r="D347" t="str">
            <v>TEMA C2</v>
          </cell>
          <cell r="E347" t="str">
            <v>RESIGN</v>
          </cell>
        </row>
        <row r="348">
          <cell r="B348" t="str">
            <v>A1729</v>
          </cell>
          <cell r="C348" t="str">
            <v>Satria Kala Lembang</v>
          </cell>
          <cell r="D348" t="str">
            <v>TEMA C2</v>
          </cell>
          <cell r="E348" t="str">
            <v>RESIGN</v>
          </cell>
        </row>
        <row r="349">
          <cell r="B349" t="str">
            <v>A1866</v>
          </cell>
          <cell r="C349" t="str">
            <v>Christopher Yoga Satria Budirahardjo</v>
          </cell>
          <cell r="D349" t="str">
            <v>TEMA C2</v>
          </cell>
          <cell r="E349" t="str">
            <v>RESIGN</v>
          </cell>
        </row>
        <row r="350">
          <cell r="B350" t="str">
            <v>A1914</v>
          </cell>
          <cell r="C350" t="str">
            <v>Veraya Veraya</v>
          </cell>
          <cell r="D350" t="str">
            <v>TEMA C2</v>
          </cell>
          <cell r="E350" t="str">
            <v>RESIGN</v>
          </cell>
        </row>
        <row r="351">
          <cell r="B351" t="str">
            <v>A2093</v>
          </cell>
          <cell r="C351" t="str">
            <v>Dhea Pramesti Wardani</v>
          </cell>
          <cell r="D351" t="str">
            <v>TEMA C2</v>
          </cell>
          <cell r="E351" t="str">
            <v>RESIGN</v>
          </cell>
        </row>
        <row r="352">
          <cell r="B352" t="str">
            <v>A2092</v>
          </cell>
          <cell r="C352" t="str">
            <v>Salsabila Sapphira Kautsar</v>
          </cell>
          <cell r="D352" t="str">
            <v>TEMA C2</v>
          </cell>
          <cell r="E352" t="str">
            <v>RESIGN</v>
          </cell>
        </row>
        <row r="353">
          <cell r="B353" t="str">
            <v>A2142</v>
          </cell>
          <cell r="C353" t="str">
            <v>Novira Riski Herdian</v>
          </cell>
          <cell r="D353" t="str">
            <v>TEMA C2</v>
          </cell>
          <cell r="E353" t="str">
            <v>RESIGN</v>
          </cell>
        </row>
        <row r="354">
          <cell r="B354" t="str">
            <v>A2203</v>
          </cell>
          <cell r="C354" t="str">
            <v>Berliana Cahya Pertiwi</v>
          </cell>
          <cell r="D354" t="str">
            <v>TEMA C2</v>
          </cell>
          <cell r="E354" t="str">
            <v>RESIGN</v>
          </cell>
        </row>
        <row r="355">
          <cell r="B355" t="str">
            <v>A2334</v>
          </cell>
          <cell r="C355" t="str">
            <v>Nur Safira Susilowati Prabono</v>
          </cell>
          <cell r="D355" t="str">
            <v>TEMA C2</v>
          </cell>
          <cell r="E355" t="str">
            <v>RESIGN</v>
          </cell>
        </row>
        <row r="356">
          <cell r="B356" t="str">
            <v>A2450</v>
          </cell>
          <cell r="C356" t="str">
            <v>Tiara Liyan Kusuma</v>
          </cell>
          <cell r="D356" t="str">
            <v>TEMA C2</v>
          </cell>
          <cell r="E356" t="str">
            <v>RESIGN</v>
          </cell>
        </row>
        <row r="357">
          <cell r="B357" t="str">
            <v>A2455</v>
          </cell>
          <cell r="C357" t="str">
            <v>Imelda Nika Debora</v>
          </cell>
          <cell r="D357" t="str">
            <v>TEMA C2</v>
          </cell>
          <cell r="E357" t="str">
            <v>RESIGN</v>
          </cell>
        </row>
        <row r="358">
          <cell r="B358" t="str">
            <v>A2461</v>
          </cell>
          <cell r="C358" t="str">
            <v>Barid Lingga Noviasari Suronto</v>
          </cell>
          <cell r="D358" t="str">
            <v>TEMA C2</v>
          </cell>
          <cell r="E358" t="str">
            <v>RESIGN</v>
          </cell>
        </row>
        <row r="359">
          <cell r="B359" t="str">
            <v>A2526</v>
          </cell>
          <cell r="C359" t="str">
            <v>Yohanes Kapistrano Nana</v>
          </cell>
          <cell r="D359" t="str">
            <v>TEMA C2</v>
          </cell>
          <cell r="E359" t="str">
            <v>RESIGN</v>
          </cell>
        </row>
        <row r="360">
          <cell r="B360" t="str">
            <v>A2531</v>
          </cell>
          <cell r="C360" t="str">
            <v>Lisna Fau</v>
          </cell>
          <cell r="D360" t="str">
            <v>TEMA C2</v>
          </cell>
          <cell r="E360" t="str">
            <v>RESIGN</v>
          </cell>
        </row>
        <row r="361">
          <cell r="B361" t="str">
            <v>A2589</v>
          </cell>
          <cell r="C361" t="str">
            <v>Ahmad Ramadhansyah</v>
          </cell>
          <cell r="D361" t="str">
            <v>TEMA C2</v>
          </cell>
          <cell r="E361" t="str">
            <v>RESIGN</v>
          </cell>
        </row>
        <row r="362">
          <cell r="B362" t="str">
            <v>A2639</v>
          </cell>
          <cell r="C362" t="str">
            <v>Paulus Dasi Letto</v>
          </cell>
          <cell r="D362" t="str">
            <v>TEMA C2</v>
          </cell>
          <cell r="E362" t="str">
            <v>RESIGN</v>
          </cell>
        </row>
        <row r="363">
          <cell r="B363" t="str">
            <v>A2695</v>
          </cell>
          <cell r="C363" t="str">
            <v>Maria Rensiana Ninu</v>
          </cell>
          <cell r="D363" t="str">
            <v>TEMA C2</v>
          </cell>
          <cell r="E363" t="str">
            <v>RESIGN</v>
          </cell>
        </row>
        <row r="364">
          <cell r="B364" t="str">
            <v>A2727</v>
          </cell>
          <cell r="C364" t="str">
            <v>Fida Fariha Amatullah</v>
          </cell>
          <cell r="D364" t="str">
            <v>TEMA C2</v>
          </cell>
          <cell r="E364" t="str">
            <v>RESIGN</v>
          </cell>
        </row>
        <row r="365">
          <cell r="B365" t="str">
            <v>A2730</v>
          </cell>
          <cell r="C365" t="str">
            <v>Amalia Wahyu Wulandari</v>
          </cell>
          <cell r="D365" t="str">
            <v>TEMA C2</v>
          </cell>
          <cell r="E365" t="str">
            <v>RESIGN</v>
          </cell>
        </row>
        <row r="366">
          <cell r="B366" t="str">
            <v>A2739</v>
          </cell>
          <cell r="C366" t="str">
            <v>Franzeska Wilfrida Sudjono</v>
          </cell>
          <cell r="D366" t="str">
            <v>TEMA C2</v>
          </cell>
          <cell r="E366" t="str">
            <v>RESIGN</v>
          </cell>
        </row>
        <row r="367">
          <cell r="B367" t="str">
            <v>A2721</v>
          </cell>
          <cell r="C367" t="str">
            <v>Rima Deswanti</v>
          </cell>
          <cell r="D367" t="str">
            <v>TEMA C2</v>
          </cell>
          <cell r="E367" t="str">
            <v>RESIGN</v>
          </cell>
        </row>
        <row r="368">
          <cell r="B368" t="str">
            <v>A2769</v>
          </cell>
          <cell r="C368" t="str">
            <v>Maria Yosepha Galuh Pramesti</v>
          </cell>
          <cell r="D368" t="str">
            <v>TEMA C2</v>
          </cell>
          <cell r="E368" t="str">
            <v>RESIGN</v>
          </cell>
        </row>
        <row r="369">
          <cell r="B369" t="str">
            <v>A2568</v>
          </cell>
          <cell r="C369" t="str">
            <v>Alsya Aini</v>
          </cell>
          <cell r="D369" t="str">
            <v>TEMA C2</v>
          </cell>
          <cell r="E369" t="str">
            <v>RESIGN</v>
          </cell>
        </row>
        <row r="370">
          <cell r="B370" t="str">
            <v>A2855</v>
          </cell>
          <cell r="C370" t="str">
            <v>Jasmine Rizky</v>
          </cell>
          <cell r="D370" t="str">
            <v>TEMA C2</v>
          </cell>
          <cell r="E370" t="str">
            <v>RESIGN</v>
          </cell>
        </row>
        <row r="371">
          <cell r="B371" t="str">
            <v>A2869</v>
          </cell>
          <cell r="C371" t="str">
            <v>Lisa Kurniawati</v>
          </cell>
          <cell r="D371" t="str">
            <v>TEMA C2</v>
          </cell>
          <cell r="E371" t="str">
            <v>RESIGN</v>
          </cell>
        </row>
        <row r="372">
          <cell r="B372" t="str">
            <v>A2905</v>
          </cell>
          <cell r="C372" t="str">
            <v>Ervita Kurniasari</v>
          </cell>
          <cell r="D372" t="str">
            <v>TEMA C2</v>
          </cell>
          <cell r="E372" t="str">
            <v>RESIGN</v>
          </cell>
        </row>
        <row r="373">
          <cell r="B373" t="str">
            <v>A2970</v>
          </cell>
          <cell r="C373" t="str">
            <v>Georgius Ariyadi Nugroho</v>
          </cell>
          <cell r="D373" t="str">
            <v>TEMA C2</v>
          </cell>
          <cell r="E373" t="str">
            <v>RESIGN</v>
          </cell>
        </row>
        <row r="374">
          <cell r="B374" t="str">
            <v>A2983</v>
          </cell>
          <cell r="C374" t="str">
            <v>Tri Diana</v>
          </cell>
          <cell r="D374" t="str">
            <v>TEMA C2</v>
          </cell>
          <cell r="E374" t="str">
            <v>RESIGN</v>
          </cell>
        </row>
        <row r="375">
          <cell r="B375" t="str">
            <v>A3077</v>
          </cell>
          <cell r="C375" t="str">
            <v>Wahyuni Handayani</v>
          </cell>
          <cell r="D375" t="str">
            <v>TEMA C2</v>
          </cell>
          <cell r="E375" t="str">
            <v>RESIGN</v>
          </cell>
        </row>
        <row r="376">
          <cell r="B376" t="str">
            <v>A3178</v>
          </cell>
          <cell r="C376" t="str">
            <v>Yohana Aventi Aninditha</v>
          </cell>
          <cell r="D376" t="str">
            <v>TEMA C2</v>
          </cell>
          <cell r="E376" t="str">
            <v>RESIGN</v>
          </cell>
        </row>
        <row r="377">
          <cell r="B377" t="str">
            <v>A3230</v>
          </cell>
          <cell r="C377" t="str">
            <v>Monika Frila Abid</v>
          </cell>
          <cell r="D377" t="str">
            <v>TEMA C2</v>
          </cell>
          <cell r="E377" t="str">
            <v>RESIGN</v>
          </cell>
        </row>
        <row r="378">
          <cell r="B378" t="str">
            <v>A3232</v>
          </cell>
          <cell r="C378" t="str">
            <v>Verena Raning Krismisita</v>
          </cell>
          <cell r="D378" t="str">
            <v>TEMA C2</v>
          </cell>
          <cell r="E378" t="str">
            <v>RESIGN</v>
          </cell>
        </row>
        <row r="379">
          <cell r="B379" t="str">
            <v>A3310</v>
          </cell>
          <cell r="C379" t="str">
            <v>Ika Safitri Wicaksono</v>
          </cell>
          <cell r="D379" t="str">
            <v>TEMA C2</v>
          </cell>
          <cell r="E379" t="str">
            <v>RESIGN</v>
          </cell>
        </row>
        <row r="380">
          <cell r="B380" t="str">
            <v>A3335</v>
          </cell>
          <cell r="C380" t="str">
            <v>Salsa Nabila Safhira</v>
          </cell>
          <cell r="D380" t="str">
            <v>TEMA C2</v>
          </cell>
          <cell r="E380" t="str">
            <v>RESIGN</v>
          </cell>
        </row>
        <row r="381">
          <cell r="B381" t="str">
            <v>A3395</v>
          </cell>
          <cell r="C381" t="str">
            <v>Yeni Liani Sianipar</v>
          </cell>
          <cell r="D381" t="str">
            <v>TEMA C2</v>
          </cell>
          <cell r="E381" t="str">
            <v>RESIGN</v>
          </cell>
        </row>
        <row r="382">
          <cell r="B382" t="str">
            <v>A3428</v>
          </cell>
          <cell r="C382" t="str">
            <v>Anton Rumandi</v>
          </cell>
          <cell r="D382" t="str">
            <v>TEMA C2</v>
          </cell>
          <cell r="E382" t="str">
            <v>RESIGN</v>
          </cell>
        </row>
        <row r="383">
          <cell r="B383" t="str">
            <v>A3568</v>
          </cell>
          <cell r="C383" t="str">
            <v>Deny Alfian Novianto</v>
          </cell>
          <cell r="D383" t="str">
            <v>TEMA C2</v>
          </cell>
          <cell r="E383" t="str">
            <v>RESIGN</v>
          </cell>
        </row>
        <row r="384">
          <cell r="B384" t="str">
            <v>A3747</v>
          </cell>
          <cell r="C384" t="str">
            <v>Agatha Nias Sari</v>
          </cell>
          <cell r="D384" t="str">
            <v>TEMA C2</v>
          </cell>
          <cell r="E384" t="str">
            <v>RESIGN</v>
          </cell>
        </row>
        <row r="385">
          <cell r="B385" t="str">
            <v>A3799</v>
          </cell>
          <cell r="C385" t="str">
            <v>Muhamad Mustofainal Achyar</v>
          </cell>
          <cell r="D385" t="str">
            <v>TEMA C2</v>
          </cell>
          <cell r="E385" t="str">
            <v>RESIGN</v>
          </cell>
        </row>
        <row r="386">
          <cell r="B386" t="str">
            <v>A3890</v>
          </cell>
          <cell r="C386" t="str">
            <v>Tiur Valentina Siregar</v>
          </cell>
          <cell r="D386" t="str">
            <v>TEMA C2</v>
          </cell>
          <cell r="E386" t="str">
            <v>RESIGN</v>
          </cell>
        </row>
        <row r="387">
          <cell r="B387" t="str">
            <v>A3959</v>
          </cell>
          <cell r="C387" t="str">
            <v>Ignatius Surya Rahadi</v>
          </cell>
          <cell r="D387" t="str">
            <v>TEMA C2</v>
          </cell>
          <cell r="E387" t="str">
            <v>RESIGN</v>
          </cell>
        </row>
        <row r="388">
          <cell r="B388" t="str">
            <v>A3961</v>
          </cell>
          <cell r="C388" t="str">
            <v>Bernadus Gilang Penggalih</v>
          </cell>
          <cell r="D388" t="str">
            <v>TEMA C2</v>
          </cell>
          <cell r="E388" t="str">
            <v>RESIGN</v>
          </cell>
        </row>
        <row r="389">
          <cell r="B389" t="str">
            <v>A1302</v>
          </cell>
          <cell r="C389" t="str">
            <v>Fitria Nuraini</v>
          </cell>
          <cell r="D389" t="str">
            <v>TEMA C2</v>
          </cell>
          <cell r="E389" t="str">
            <v>RESIGN</v>
          </cell>
        </row>
        <row r="390">
          <cell r="B390" t="str">
            <v>A3982</v>
          </cell>
          <cell r="C390" t="str">
            <v>Salwa Putri Nabilah</v>
          </cell>
          <cell r="D390" t="str">
            <v>TEMA C2</v>
          </cell>
          <cell r="E390" t="str">
            <v>RESIGN</v>
          </cell>
        </row>
        <row r="391">
          <cell r="B391" t="str">
            <v>A3985</v>
          </cell>
          <cell r="C391" t="str">
            <v>Riaunaldi Nugroho Azhari</v>
          </cell>
          <cell r="D391" t="str">
            <v>TEMA C2</v>
          </cell>
          <cell r="E391" t="str">
            <v>RESIGN</v>
          </cell>
        </row>
        <row r="392">
          <cell r="B392" t="str">
            <v>A3879</v>
          </cell>
          <cell r="C392" t="str">
            <v>Charlotte Theresia Pattipeilohy</v>
          </cell>
          <cell r="D392" t="str">
            <v>TEMA C2</v>
          </cell>
          <cell r="E392" t="str">
            <v>RESIGN</v>
          </cell>
        </row>
        <row r="393">
          <cell r="B393" t="str">
            <v>A4020</v>
          </cell>
          <cell r="C393" t="str">
            <v>Yanuita Rahmasari</v>
          </cell>
          <cell r="D393" t="str">
            <v>TEMA C2</v>
          </cell>
          <cell r="E393" t="str">
            <v>RESIGN</v>
          </cell>
        </row>
        <row r="394">
          <cell r="B394" t="str">
            <v>A4032</v>
          </cell>
          <cell r="C394" t="str">
            <v>Fiky Azhari Bachruddin</v>
          </cell>
          <cell r="D394" t="str">
            <v>TEMA C2</v>
          </cell>
          <cell r="E394" t="str">
            <v>RESIGN</v>
          </cell>
        </row>
        <row r="395">
          <cell r="B395" t="str">
            <v>A4034</v>
          </cell>
          <cell r="C395" t="str">
            <v>Dini Lestari</v>
          </cell>
          <cell r="D395" t="str">
            <v>TEMA C2</v>
          </cell>
          <cell r="E395" t="str">
            <v>RESIGN</v>
          </cell>
        </row>
        <row r="396">
          <cell r="B396" t="str">
            <v>A4045</v>
          </cell>
          <cell r="C396" t="str">
            <v>Helmalia Aura</v>
          </cell>
          <cell r="D396" t="str">
            <v>TEMA C2</v>
          </cell>
          <cell r="E396" t="str">
            <v>RESIGN</v>
          </cell>
        </row>
        <row r="397">
          <cell r="B397" t="str">
            <v>A4047</v>
          </cell>
          <cell r="C397" t="str">
            <v>Zura Fajri Rahmadani</v>
          </cell>
          <cell r="D397" t="str">
            <v>TEMA C2</v>
          </cell>
          <cell r="E397" t="str">
            <v>RESIGN</v>
          </cell>
        </row>
        <row r="398">
          <cell r="B398" t="str">
            <v>A4048</v>
          </cell>
          <cell r="C398" t="str">
            <v>Bayu Nanda</v>
          </cell>
          <cell r="D398" t="str">
            <v>TEMA C2</v>
          </cell>
          <cell r="E398" t="str">
            <v>RESIGN</v>
          </cell>
        </row>
        <row r="399">
          <cell r="B399" t="str">
            <v>A4084</v>
          </cell>
          <cell r="C399" t="str">
            <v>Regina Cahyanti</v>
          </cell>
          <cell r="D399" t="str">
            <v>TEMA C2</v>
          </cell>
          <cell r="E399" t="str">
            <v>RESIGN</v>
          </cell>
        </row>
        <row r="400">
          <cell r="B400" t="str">
            <v>A4086</v>
          </cell>
          <cell r="C400" t="str">
            <v>Efa Kurniasari</v>
          </cell>
          <cell r="D400" t="str">
            <v>TEMA C2</v>
          </cell>
          <cell r="E400" t="str">
            <v>RESIGN</v>
          </cell>
        </row>
        <row r="401">
          <cell r="B401" t="str">
            <v>A4108</v>
          </cell>
          <cell r="C401" t="str">
            <v>Ira Puspita</v>
          </cell>
          <cell r="D401" t="str">
            <v>TEMA C2</v>
          </cell>
          <cell r="E401" t="str">
            <v>RESIGN</v>
          </cell>
        </row>
        <row r="402">
          <cell r="B402" t="str">
            <v>A4109</v>
          </cell>
          <cell r="C402" t="str">
            <v>Zidna Nuur Aida W</v>
          </cell>
          <cell r="D402" t="str">
            <v>TEMA C2</v>
          </cell>
          <cell r="E402" t="str">
            <v>RESIGN</v>
          </cell>
        </row>
        <row r="403">
          <cell r="B403" t="str">
            <v>A4140</v>
          </cell>
          <cell r="C403" t="str">
            <v>Fadhilla Nurul Chasanah</v>
          </cell>
          <cell r="D403" t="str">
            <v>TEMA C2</v>
          </cell>
          <cell r="E403" t="str">
            <v>RESIGN</v>
          </cell>
        </row>
        <row r="404">
          <cell r="B404" t="str">
            <v>A4190</v>
          </cell>
          <cell r="C404" t="str">
            <v>Dheva Dayat Vito Indrajaka</v>
          </cell>
          <cell r="D404" t="str">
            <v>TEMA C2</v>
          </cell>
          <cell r="E404" t="str">
            <v>RESIGN</v>
          </cell>
        </row>
        <row r="405">
          <cell r="B405" t="e">
            <v>#N/A</v>
          </cell>
          <cell r="C405" t="str">
            <v>Vella Arna Septiana</v>
          </cell>
          <cell r="D405" t="str">
            <v>TEMA C2</v>
          </cell>
          <cell r="E405" t="str">
            <v>RESIGN</v>
          </cell>
        </row>
        <row r="406">
          <cell r="B406" t="str">
            <v>A4228</v>
          </cell>
          <cell r="C406" t="str">
            <v>Oktaria Puspita</v>
          </cell>
          <cell r="D406" t="str">
            <v>TEMA C2</v>
          </cell>
          <cell r="E406" t="str">
            <v>RESIGN</v>
          </cell>
        </row>
        <row r="407">
          <cell r="B407" t="str">
            <v>A4240</v>
          </cell>
          <cell r="C407" t="str">
            <v>Alia Febrianti Yuhandari</v>
          </cell>
          <cell r="D407" t="str">
            <v>TEMA C2</v>
          </cell>
          <cell r="E407" t="str">
            <v>RESIGN</v>
          </cell>
        </row>
        <row r="408">
          <cell r="B408" t="str">
            <v>A2813</v>
          </cell>
          <cell r="C408" t="str">
            <v>Rantri Dewi Irfaniyanti Nugraha</v>
          </cell>
          <cell r="D408" t="str">
            <v>TEMA C2</v>
          </cell>
          <cell r="E408" t="str">
            <v>RESIGN</v>
          </cell>
        </row>
        <row r="409">
          <cell r="B409" t="str">
            <v>A4254</v>
          </cell>
          <cell r="C409" t="str">
            <v>Dian Indah Pratiwi</v>
          </cell>
          <cell r="D409" t="str">
            <v>TEMA C2</v>
          </cell>
          <cell r="E409" t="str">
            <v>RESIGN</v>
          </cell>
        </row>
        <row r="410">
          <cell r="B410" t="str">
            <v>A0141</v>
          </cell>
          <cell r="C410" t="str">
            <v>Rizki Rahmadita</v>
          </cell>
          <cell r="D410" t="str">
            <v>TEMA C2</v>
          </cell>
          <cell r="E410" t="str">
            <v>RESIGN</v>
          </cell>
        </row>
        <row r="411">
          <cell r="B411" t="str">
            <v>A4339</v>
          </cell>
          <cell r="C411" t="str">
            <v>Nur Sya Ban Anisa</v>
          </cell>
          <cell r="D411" t="str">
            <v>TEMA C2</v>
          </cell>
          <cell r="E411" t="str">
            <v>RESIGN</v>
          </cell>
        </row>
        <row r="412">
          <cell r="B412" t="str">
            <v>A4342</v>
          </cell>
          <cell r="C412" t="str">
            <v>Tantri Br Tarigan</v>
          </cell>
          <cell r="D412" t="str">
            <v>TEMA C2</v>
          </cell>
          <cell r="E412" t="str">
            <v>RESIGN</v>
          </cell>
        </row>
        <row r="413">
          <cell r="B413" t="str">
            <v>A4343</v>
          </cell>
          <cell r="C413" t="str">
            <v>Dinda Rizqiya</v>
          </cell>
          <cell r="D413" t="str">
            <v>TEMA C2</v>
          </cell>
          <cell r="E413" t="str">
            <v>RESIGN</v>
          </cell>
        </row>
        <row r="414">
          <cell r="B414" t="e">
            <v>#N/A</v>
          </cell>
          <cell r="C414" t="str">
            <v>Ilham David Nusa</v>
          </cell>
          <cell r="D414" t="str">
            <v>TEMA C2</v>
          </cell>
          <cell r="E414" t="str">
            <v>RESIGN</v>
          </cell>
        </row>
        <row r="415">
          <cell r="B415" t="e">
            <v>#N/A</v>
          </cell>
          <cell r="C415" t="str">
            <v>Keisha Amalia Zachrie</v>
          </cell>
          <cell r="D415" t="str">
            <v>TEMA C2</v>
          </cell>
          <cell r="E415" t="str">
            <v>RESIGN</v>
          </cell>
        </row>
        <row r="416">
          <cell r="B416" t="e">
            <v>#N/A</v>
          </cell>
          <cell r="C416" t="str">
            <v>Heni Setyaningrum</v>
          </cell>
          <cell r="D416" t="str">
            <v>TEMA C2</v>
          </cell>
          <cell r="E416" t="str">
            <v>RESIGN</v>
          </cell>
        </row>
        <row r="417">
          <cell r="B417" t="e">
            <v>#N/A</v>
          </cell>
          <cell r="C417" t="str">
            <v>Heni Wulandari</v>
          </cell>
          <cell r="D417" t="str">
            <v>TEMA C2</v>
          </cell>
          <cell r="E417" t="str">
            <v>RESIGN</v>
          </cell>
        </row>
        <row r="418">
          <cell r="B418" t="str">
            <v>A4419</v>
          </cell>
          <cell r="C418" t="str">
            <v>Michaela Yudhista</v>
          </cell>
          <cell r="D418" t="str">
            <v>TEMA C2</v>
          </cell>
          <cell r="E418" t="str">
            <v>RESIGN</v>
          </cell>
        </row>
        <row r="419">
          <cell r="B419" t="e">
            <v>#N/A</v>
          </cell>
          <cell r="C419" t="str">
            <v>Akbar Mahendrathama</v>
          </cell>
          <cell r="D419" t="str">
            <v>TEMA C2</v>
          </cell>
          <cell r="E419" t="str">
            <v>RESIGN</v>
          </cell>
        </row>
        <row r="420">
          <cell r="B420" t="e">
            <v>#N/A</v>
          </cell>
          <cell r="C420" t="str">
            <v>Muhammad Iqbal Rahman</v>
          </cell>
          <cell r="D420" t="str">
            <v>TEMA C2</v>
          </cell>
          <cell r="E420" t="str">
            <v>RESIGN</v>
          </cell>
        </row>
        <row r="421">
          <cell r="B421" t="str">
            <v>A4438</v>
          </cell>
          <cell r="C421" t="str">
            <v>Yesinta Valentina</v>
          </cell>
          <cell r="D421" t="str">
            <v>TEMA C2</v>
          </cell>
          <cell r="E421" t="str">
            <v>RESIGN</v>
          </cell>
        </row>
        <row r="422">
          <cell r="B422" t="e">
            <v>#N/A</v>
          </cell>
          <cell r="C422" t="str">
            <v>Aswin Fariansyah</v>
          </cell>
          <cell r="D422" t="str">
            <v>TEMA C2</v>
          </cell>
          <cell r="E422" t="str">
            <v>RESIGN</v>
          </cell>
        </row>
        <row r="423">
          <cell r="B423" t="str">
            <v>A4445</v>
          </cell>
          <cell r="C423" t="str">
            <v>Tiya Agustina Riyanto</v>
          </cell>
          <cell r="D423" t="str">
            <v>TEMA C2</v>
          </cell>
          <cell r="E423" t="str">
            <v>RESIGN</v>
          </cell>
        </row>
        <row r="424">
          <cell r="B424" t="str">
            <v>A4446</v>
          </cell>
          <cell r="C424" t="str">
            <v>Fitri Nur Indah Sari</v>
          </cell>
          <cell r="D424" t="str">
            <v>TEMA C2</v>
          </cell>
          <cell r="E424" t="str">
            <v>RESIGN</v>
          </cell>
        </row>
        <row r="425">
          <cell r="B425" t="str">
            <v>A4580</v>
          </cell>
          <cell r="C425" t="str">
            <v>Fadhillah Anhar</v>
          </cell>
          <cell r="D425" t="str">
            <v>TEMA C2</v>
          </cell>
          <cell r="E425" t="str">
            <v>RESIGN</v>
          </cell>
        </row>
        <row r="426">
          <cell r="B426" t="str">
            <v>A4472</v>
          </cell>
          <cell r="C426" t="str">
            <v>Putri Adella Maharani</v>
          </cell>
          <cell r="D426" t="str">
            <v>TEMA C2</v>
          </cell>
          <cell r="E426" t="str">
            <v>RESIGN</v>
          </cell>
        </row>
        <row r="427">
          <cell r="B427" t="str">
            <v>A4473</v>
          </cell>
          <cell r="C427" t="str">
            <v>Maureen Marcia</v>
          </cell>
          <cell r="D427" t="str">
            <v>TEMA C2</v>
          </cell>
          <cell r="E427" t="str">
            <v>RESIGN</v>
          </cell>
        </row>
        <row r="428">
          <cell r="B428" t="e">
            <v>#N/A</v>
          </cell>
          <cell r="C428" t="str">
            <v>Farah Maharani Yudintasari</v>
          </cell>
          <cell r="D428" t="str">
            <v>TEMA C2</v>
          </cell>
          <cell r="E428" t="str">
            <v>RESIGN</v>
          </cell>
        </row>
        <row r="429">
          <cell r="B429" t="e">
            <v>#N/A</v>
          </cell>
          <cell r="C429" t="str">
            <v>Wina Dwi Martanti</v>
          </cell>
          <cell r="D429" t="str">
            <v>TEMA C2</v>
          </cell>
          <cell r="E429" t="str">
            <v>RESIGN</v>
          </cell>
        </row>
        <row r="430">
          <cell r="B430" t="e">
            <v>#N/A</v>
          </cell>
          <cell r="C430" t="str">
            <v>Hayyi Lana</v>
          </cell>
          <cell r="D430" t="str">
            <v>TEMA C2</v>
          </cell>
          <cell r="E430" t="str">
            <v>RESIGN</v>
          </cell>
        </row>
        <row r="431">
          <cell r="B431" t="str">
            <v>A4549</v>
          </cell>
          <cell r="C431" t="str">
            <v>Maria Anggriani Jehamu</v>
          </cell>
          <cell r="D431" t="str">
            <v>TEMA C2</v>
          </cell>
          <cell r="E431" t="str">
            <v>RESIGN</v>
          </cell>
        </row>
        <row r="432">
          <cell r="B432" t="str">
            <v>A4550</v>
          </cell>
          <cell r="C432" t="str">
            <v>Anisca Orchidyta</v>
          </cell>
          <cell r="D432" t="str">
            <v>TEMA C2</v>
          </cell>
          <cell r="E432" t="str">
            <v>RESIGN</v>
          </cell>
        </row>
        <row r="433">
          <cell r="B433" t="str">
            <v>A4553</v>
          </cell>
          <cell r="C433" t="str">
            <v>Cosmeth Albertho</v>
          </cell>
          <cell r="D433" t="str">
            <v>TEMA C2</v>
          </cell>
          <cell r="E433" t="str">
            <v>RESIGN</v>
          </cell>
        </row>
        <row r="434">
          <cell r="B434" t="e">
            <v>#N/A</v>
          </cell>
          <cell r="C434" t="str">
            <v>Izah Nur Haniyah</v>
          </cell>
          <cell r="D434" t="str">
            <v>TEMA C2</v>
          </cell>
          <cell r="E434" t="str">
            <v>RESIGN</v>
          </cell>
        </row>
        <row r="435">
          <cell r="B435" t="str">
            <v>A4583</v>
          </cell>
          <cell r="C435" t="str">
            <v>Jihan Putri Ratu Sasongko</v>
          </cell>
          <cell r="D435" t="str">
            <v>TEMA C2</v>
          </cell>
          <cell r="E435" t="str">
            <v>RESIGN</v>
          </cell>
        </row>
        <row r="436">
          <cell r="B436" t="e">
            <v>#N/A</v>
          </cell>
          <cell r="C436" t="str">
            <v>Nuringsih Khusnul Khotimah</v>
          </cell>
          <cell r="D436" t="str">
            <v>TEMA C2</v>
          </cell>
          <cell r="E436" t="str">
            <v>RESIGN</v>
          </cell>
        </row>
        <row r="437">
          <cell r="B437">
            <v>90428</v>
          </cell>
          <cell r="C437" t="str">
            <v>Yosefina Safira Intan</v>
          </cell>
          <cell r="D437" t="str">
            <v>TEMA C3</v>
          </cell>
          <cell r="E437" t="str">
            <v>RESIGN</v>
          </cell>
        </row>
        <row r="438">
          <cell r="B438" t="str">
            <v>A0546</v>
          </cell>
          <cell r="C438" t="str">
            <v>Karina Dwitasari</v>
          </cell>
          <cell r="D438" t="str">
            <v>TEMA C3</v>
          </cell>
          <cell r="E438" t="str">
            <v>RESIGN</v>
          </cell>
        </row>
        <row r="439">
          <cell r="B439" t="str">
            <v>A0701</v>
          </cell>
          <cell r="C439" t="str">
            <v>Arinda Novitasari</v>
          </cell>
          <cell r="D439" t="str">
            <v>TEMA C3</v>
          </cell>
          <cell r="E439" t="str">
            <v>RESIGN</v>
          </cell>
        </row>
        <row r="440">
          <cell r="B440" t="str">
            <v>A0697</v>
          </cell>
          <cell r="C440" t="str">
            <v>Fidianty Pratiwi</v>
          </cell>
          <cell r="D440" t="str">
            <v>TEMA C3</v>
          </cell>
          <cell r="E440" t="str">
            <v>RESIGN</v>
          </cell>
        </row>
        <row r="441">
          <cell r="B441" t="str">
            <v>A0703</v>
          </cell>
          <cell r="C441" t="str">
            <v>Meizana Damayanti</v>
          </cell>
          <cell r="D441" t="str">
            <v>TEMA C3</v>
          </cell>
          <cell r="E441" t="str">
            <v>RESIGN</v>
          </cell>
        </row>
        <row r="442">
          <cell r="B442" t="str">
            <v>A0474</v>
          </cell>
          <cell r="C442" t="str">
            <v>RIANDY MUHAMAD SANTO</v>
          </cell>
          <cell r="D442" t="str">
            <v>TEMA C3</v>
          </cell>
          <cell r="E442" t="str">
            <v>RESIGN</v>
          </cell>
        </row>
        <row r="443">
          <cell r="B443" t="str">
            <v>A0720</v>
          </cell>
          <cell r="C443" t="str">
            <v>Bonifasius Nugraha Wicaksana</v>
          </cell>
          <cell r="D443" t="str">
            <v>TEMA C3</v>
          </cell>
          <cell r="E443" t="str">
            <v>RESIGN</v>
          </cell>
        </row>
        <row r="444">
          <cell r="B444" t="str">
            <v>A0782</v>
          </cell>
          <cell r="C444" t="str">
            <v>Diyah Vita Febriana</v>
          </cell>
          <cell r="D444" t="str">
            <v>TEMA C3</v>
          </cell>
          <cell r="E444" t="str">
            <v>RESIGN</v>
          </cell>
        </row>
        <row r="445">
          <cell r="B445" t="str">
            <v>A0722</v>
          </cell>
          <cell r="C445" t="str">
            <v>Arifta Sri Rizki</v>
          </cell>
          <cell r="D445" t="str">
            <v>TEMA C3</v>
          </cell>
          <cell r="E445" t="str">
            <v>RESIGN</v>
          </cell>
        </row>
        <row r="446">
          <cell r="B446" t="str">
            <v>A0783</v>
          </cell>
          <cell r="C446" t="str">
            <v>Bagas Tri Cahyo</v>
          </cell>
          <cell r="D446" t="str">
            <v>TEMA C3</v>
          </cell>
          <cell r="E446" t="str">
            <v>RESIGN</v>
          </cell>
        </row>
        <row r="447">
          <cell r="B447" t="str">
            <v>A0535</v>
          </cell>
          <cell r="C447" t="str">
            <v>N Serren Rasya Fitri</v>
          </cell>
          <cell r="D447" t="str">
            <v>TEMA C3</v>
          </cell>
          <cell r="E447" t="str">
            <v>RESIGN</v>
          </cell>
        </row>
        <row r="448">
          <cell r="B448" t="str">
            <v>A0534</v>
          </cell>
          <cell r="C448" t="str">
            <v>Tommy Samudra Ocklien Filippi</v>
          </cell>
          <cell r="D448" t="str">
            <v>TEMA C3</v>
          </cell>
          <cell r="E448" t="str">
            <v>RESIGN</v>
          </cell>
        </row>
        <row r="449">
          <cell r="B449" t="str">
            <v>A0998</v>
          </cell>
          <cell r="C449" t="str">
            <v>Tito Ardhiyanto Perdana</v>
          </cell>
          <cell r="D449" t="str">
            <v>TEMA C3</v>
          </cell>
          <cell r="E449" t="str">
            <v>RESIGN</v>
          </cell>
        </row>
        <row r="450">
          <cell r="B450" t="str">
            <v>A1038</v>
          </cell>
          <cell r="C450" t="str">
            <v>Ilmiah Sholikhah Oktafiani</v>
          </cell>
          <cell r="D450" t="str">
            <v>TEMA C3</v>
          </cell>
          <cell r="E450" t="str">
            <v>RESIGN</v>
          </cell>
        </row>
        <row r="451">
          <cell r="B451" t="str">
            <v>A1137</v>
          </cell>
          <cell r="C451" t="str">
            <v>Adyansah Fauzi Rahman</v>
          </cell>
          <cell r="D451" t="str">
            <v>TEMA C3</v>
          </cell>
          <cell r="E451" t="str">
            <v>RESIGN</v>
          </cell>
        </row>
        <row r="452">
          <cell r="B452" t="str">
            <v>A1144</v>
          </cell>
          <cell r="C452" t="str">
            <v>Herlan Wibisono</v>
          </cell>
          <cell r="D452" t="str">
            <v>TEMA C3</v>
          </cell>
          <cell r="E452" t="str">
            <v>RESIGN</v>
          </cell>
        </row>
        <row r="453">
          <cell r="B453" t="str">
            <v>A1149</v>
          </cell>
          <cell r="C453" t="str">
            <v>Dany Wijaya</v>
          </cell>
          <cell r="D453" t="str">
            <v>TEMA C3</v>
          </cell>
          <cell r="E453" t="str">
            <v>RESIGN</v>
          </cell>
        </row>
        <row r="454">
          <cell r="B454" t="str">
            <v>A1196</v>
          </cell>
          <cell r="C454" t="str">
            <v>Vebri Aldiansyah</v>
          </cell>
          <cell r="D454" t="str">
            <v>TEMA C3</v>
          </cell>
          <cell r="E454" t="str">
            <v>RESIGN</v>
          </cell>
        </row>
        <row r="455">
          <cell r="B455" t="str">
            <v>A1200</v>
          </cell>
          <cell r="C455" t="str">
            <v>Tahta Akbar</v>
          </cell>
          <cell r="D455" t="str">
            <v>TEMA C3</v>
          </cell>
          <cell r="E455" t="str">
            <v>RESIGN</v>
          </cell>
        </row>
        <row r="456">
          <cell r="B456" t="str">
            <v>A1319</v>
          </cell>
          <cell r="C456" t="str">
            <v xml:space="preserve">Mardianto Tiro </v>
          </cell>
          <cell r="D456" t="str">
            <v>TEMA C3</v>
          </cell>
          <cell r="E456" t="str">
            <v>RESIGN</v>
          </cell>
        </row>
        <row r="457">
          <cell r="B457">
            <v>90762</v>
          </cell>
          <cell r="C457" t="str">
            <v>KRISTIANI ANUGRAH</v>
          </cell>
          <cell r="D457" t="str">
            <v>TEMA C3</v>
          </cell>
          <cell r="E457" t="str">
            <v>RESIGN</v>
          </cell>
        </row>
        <row r="458">
          <cell r="B458" t="str">
            <v>A1376</v>
          </cell>
          <cell r="C458" t="str">
            <v>Nuzul Hariyanti Nurjanah</v>
          </cell>
          <cell r="D458" t="str">
            <v>TEMA C3</v>
          </cell>
          <cell r="E458" t="str">
            <v>RESIGN</v>
          </cell>
        </row>
        <row r="459">
          <cell r="B459" t="str">
            <v>A1501</v>
          </cell>
          <cell r="C459" t="str">
            <v>Kezia Prasetya Christvidya</v>
          </cell>
          <cell r="D459" t="str">
            <v>TEMA C3</v>
          </cell>
          <cell r="E459" t="str">
            <v>RESIGN</v>
          </cell>
        </row>
        <row r="460">
          <cell r="B460" t="str">
            <v>A1504</v>
          </cell>
          <cell r="C460" t="str">
            <v>Santi Febri</v>
          </cell>
          <cell r="D460" t="str">
            <v>TEMA C3</v>
          </cell>
          <cell r="E460" t="str">
            <v>RESIGN</v>
          </cell>
        </row>
        <row r="461">
          <cell r="B461" t="str">
            <v>A1873</v>
          </cell>
          <cell r="C461" t="str">
            <v>Yuli Widyastuti Gunawan</v>
          </cell>
          <cell r="D461" t="str">
            <v>TEMA C3</v>
          </cell>
          <cell r="E461" t="str">
            <v>RESIGN</v>
          </cell>
        </row>
        <row r="462">
          <cell r="B462" t="str">
            <v>A1982</v>
          </cell>
          <cell r="C462" t="str">
            <v>Muhammad Ilham Firmansyah</v>
          </cell>
          <cell r="D462" t="str">
            <v>TEMA C3</v>
          </cell>
          <cell r="E462" t="str">
            <v>RESIGN</v>
          </cell>
        </row>
        <row r="463">
          <cell r="B463" t="str">
            <v>A1990</v>
          </cell>
          <cell r="C463" t="str">
            <v>Alexander Ardiyanto</v>
          </cell>
          <cell r="D463" t="str">
            <v>TEMA C3</v>
          </cell>
          <cell r="E463" t="str">
            <v>RESIGN</v>
          </cell>
        </row>
        <row r="464">
          <cell r="B464" t="str">
            <v>A2098</v>
          </cell>
          <cell r="C464" t="str">
            <v>Fauzan Radiansyah</v>
          </cell>
          <cell r="D464" t="str">
            <v>TEMA C3</v>
          </cell>
          <cell r="E464" t="str">
            <v>RESIGN</v>
          </cell>
        </row>
        <row r="465">
          <cell r="B465" t="str">
            <v>A2156</v>
          </cell>
          <cell r="C465" t="str">
            <v>Nariswari Lutfiah Pramesti</v>
          </cell>
          <cell r="D465" t="str">
            <v>TEMA C3</v>
          </cell>
          <cell r="E465" t="str">
            <v>RESIGN</v>
          </cell>
        </row>
        <row r="466">
          <cell r="B466" t="str">
            <v>A2123</v>
          </cell>
          <cell r="C466" t="str">
            <v>Erliana</v>
          </cell>
          <cell r="D466" t="str">
            <v>TEMA C3</v>
          </cell>
          <cell r="E466" t="str">
            <v>RESIGN</v>
          </cell>
        </row>
        <row r="467">
          <cell r="B467" t="str">
            <v>A2516</v>
          </cell>
          <cell r="C467" t="str">
            <v>Cindy Grace Queen</v>
          </cell>
          <cell r="D467" t="str">
            <v>TEMA C3</v>
          </cell>
          <cell r="E467" t="str">
            <v>RESIGN</v>
          </cell>
        </row>
        <row r="468">
          <cell r="B468" t="str">
            <v>A2563</v>
          </cell>
          <cell r="C468" t="str">
            <v>Anta Maulana</v>
          </cell>
          <cell r="D468" t="str">
            <v>TEMA C3</v>
          </cell>
          <cell r="E468" t="str">
            <v>RESIGN</v>
          </cell>
        </row>
        <row r="469">
          <cell r="B469" t="str">
            <v>A2747</v>
          </cell>
          <cell r="C469" t="str">
            <v>Muhammad Abdurrahman Rofieq</v>
          </cell>
          <cell r="D469" t="str">
            <v>TEMA C3</v>
          </cell>
          <cell r="E469" t="str">
            <v>RESIGN</v>
          </cell>
        </row>
        <row r="470">
          <cell r="B470" t="str">
            <v>A2298</v>
          </cell>
          <cell r="C470" t="str">
            <v>Riang Anugraha Putri</v>
          </cell>
          <cell r="D470" t="str">
            <v>TEMA C3</v>
          </cell>
          <cell r="E470" t="str">
            <v>RESIGN</v>
          </cell>
        </row>
        <row r="471">
          <cell r="B471" t="str">
            <v>A3005</v>
          </cell>
          <cell r="C471" t="str">
            <v>Apri Fajar Muharom</v>
          </cell>
          <cell r="D471" t="str">
            <v>TEMA C3</v>
          </cell>
          <cell r="E471" t="str">
            <v>RESIGN</v>
          </cell>
        </row>
        <row r="472">
          <cell r="B472" t="str">
            <v>A3748</v>
          </cell>
          <cell r="C472" t="str">
            <v>Margie Andiny Rafael</v>
          </cell>
          <cell r="D472" t="str">
            <v>TEMA C3</v>
          </cell>
          <cell r="E472" t="str">
            <v>RESIGN</v>
          </cell>
        </row>
        <row r="473">
          <cell r="B473" t="str">
            <v>A3928</v>
          </cell>
          <cell r="C473" t="str">
            <v>Dicka Johan Agustina</v>
          </cell>
          <cell r="D473" t="str">
            <v>TEMA C3</v>
          </cell>
          <cell r="E473" t="str">
            <v>RESIGN</v>
          </cell>
        </row>
        <row r="474">
          <cell r="B474" t="str">
            <v>A4130</v>
          </cell>
          <cell r="C474" t="str">
            <v>Nur Achmadi</v>
          </cell>
          <cell r="D474" t="str">
            <v>TEMA C3</v>
          </cell>
          <cell r="E474" t="str">
            <v>RESIGN</v>
          </cell>
        </row>
        <row r="475">
          <cell r="B475" t="str">
            <v>A3278</v>
          </cell>
          <cell r="C475" t="str">
            <v>Zainal Buyung</v>
          </cell>
          <cell r="D475" t="str">
            <v>TEMA C3</v>
          </cell>
          <cell r="E475" t="str">
            <v>RESIGN</v>
          </cell>
        </row>
        <row r="476">
          <cell r="B476" t="str">
            <v>A4356</v>
          </cell>
          <cell r="C476" t="str">
            <v>Novita Dwi Handayani</v>
          </cell>
          <cell r="D476" t="str">
            <v>TEMA C3</v>
          </cell>
          <cell r="E476" t="str">
            <v>RESIGN</v>
          </cell>
        </row>
        <row r="477">
          <cell r="B477" t="e">
            <v>#N/A</v>
          </cell>
          <cell r="C477" t="str">
            <v>Maysa Dwi</v>
          </cell>
          <cell r="D477" t="str">
            <v>TEMA C3</v>
          </cell>
          <cell r="E477" t="str">
            <v>RESIGN</v>
          </cell>
        </row>
        <row r="478">
          <cell r="B478" t="str">
            <v>A4355</v>
          </cell>
          <cell r="C478" t="str">
            <v>Yufita Anggraini</v>
          </cell>
          <cell r="D478" t="str">
            <v>TEMA C3</v>
          </cell>
          <cell r="E478" t="str">
            <v>RESIGN</v>
          </cell>
        </row>
        <row r="479">
          <cell r="B479" t="str">
            <v>A4387</v>
          </cell>
          <cell r="C479" t="str">
            <v>Lara Niscia Sembiring</v>
          </cell>
          <cell r="D479" t="str">
            <v>TEMA C3</v>
          </cell>
          <cell r="E479" t="str">
            <v>RESIGN</v>
          </cell>
        </row>
        <row r="480">
          <cell r="B480" t="str">
            <v>A0726</v>
          </cell>
          <cell r="C480" t="str">
            <v>Andy Lie</v>
          </cell>
          <cell r="D480" t="str">
            <v>PRIORITAS DANA</v>
          </cell>
          <cell r="E480" t="str">
            <v>RESIGN</v>
          </cell>
        </row>
        <row r="481">
          <cell r="B481" t="str">
            <v>A0729</v>
          </cell>
          <cell r="C481" t="str">
            <v>Fitri Ayu Kristyanti</v>
          </cell>
          <cell r="D481" t="str">
            <v>PRIORITAS DANA</v>
          </cell>
          <cell r="E481" t="str">
            <v>RESIGN</v>
          </cell>
        </row>
        <row r="482">
          <cell r="B482" t="str">
            <v>A1070</v>
          </cell>
          <cell r="C482" t="str">
            <v>Jihan Pratiwi Anwar</v>
          </cell>
          <cell r="D482" t="str">
            <v>PRIORITAS DANA</v>
          </cell>
          <cell r="E482" t="str">
            <v>RESIGN</v>
          </cell>
        </row>
        <row r="483">
          <cell r="B483" t="str">
            <v>A1072</v>
          </cell>
          <cell r="C483" t="str">
            <v>Rahma Hasanah</v>
          </cell>
          <cell r="D483" t="str">
            <v>PRIORITAS DANA</v>
          </cell>
          <cell r="E483" t="str">
            <v>RESIGN</v>
          </cell>
        </row>
        <row r="484">
          <cell r="B484" t="str">
            <v>A1153</v>
          </cell>
          <cell r="C484" t="str">
            <v>Adryn Ivanna Toban</v>
          </cell>
          <cell r="D484" t="str">
            <v>PRIORITAS DANA</v>
          </cell>
          <cell r="E484" t="str">
            <v>RESIGN</v>
          </cell>
        </row>
        <row r="485">
          <cell r="B485" t="str">
            <v>A4258</v>
          </cell>
          <cell r="C485" t="str">
            <v>Achmad Dekriawan Gata</v>
          </cell>
          <cell r="D485" t="str">
            <v>PRIORITAS DANA</v>
          </cell>
          <cell r="E485" t="str">
            <v>RESIGN</v>
          </cell>
        </row>
        <row r="486">
          <cell r="B486" t="str">
            <v>A4259</v>
          </cell>
          <cell r="C486" t="str">
            <v>Andin Rahma Aulia</v>
          </cell>
          <cell r="D486" t="str">
            <v>PRIORITAS DANA</v>
          </cell>
          <cell r="E486" t="str">
            <v>RESIGN</v>
          </cell>
        </row>
        <row r="487">
          <cell r="B487" t="e">
            <v>#REF!</v>
          </cell>
          <cell r="C487" t="str">
            <v>Adinda Ayu Nafitri</v>
          </cell>
          <cell r="D487" t="str">
            <v>PRIORITAS DANA</v>
          </cell>
          <cell r="E487" t="str">
            <v>RESIGN</v>
          </cell>
        </row>
        <row r="488">
          <cell r="B488" t="e">
            <v>#REF!</v>
          </cell>
          <cell r="C488" t="str">
            <v>Friska Sari Zai</v>
          </cell>
          <cell r="D488" t="str">
            <v>PRIORITAS DANA</v>
          </cell>
          <cell r="E488" t="str">
            <v>RESIGN</v>
          </cell>
        </row>
        <row r="489">
          <cell r="B489" t="e">
            <v>#REF!</v>
          </cell>
          <cell r="C489" t="str">
            <v>Zalfaa Fadhilla</v>
          </cell>
          <cell r="D489" t="str">
            <v>PRIORITAS DANA</v>
          </cell>
          <cell r="E489" t="str">
            <v>RESIGN</v>
          </cell>
        </row>
        <row r="490">
          <cell r="B490" t="str">
            <v>A3520</v>
          </cell>
          <cell r="C490" t="str">
            <v>Lovita Dhira Prameswari</v>
          </cell>
          <cell r="D490" t="str">
            <v>TEMA HAJI</v>
          </cell>
          <cell r="E490" t="str">
            <v>RESIGN</v>
          </cell>
        </row>
        <row r="491">
          <cell r="B491" t="str">
            <v>A3535</v>
          </cell>
          <cell r="C491" t="str">
            <v>Rusmiyati</v>
          </cell>
          <cell r="D491" t="str">
            <v>TEMA HAJI</v>
          </cell>
          <cell r="E491" t="str">
            <v>RESIGN</v>
          </cell>
        </row>
        <row r="492">
          <cell r="B492" t="str">
            <v>A3687</v>
          </cell>
          <cell r="C492" t="str">
            <v>Rangga Maulana Arrazy</v>
          </cell>
          <cell r="D492" t="str">
            <v>TEMA HAJI</v>
          </cell>
          <cell r="E492" t="str">
            <v>RESIGN</v>
          </cell>
        </row>
        <row r="493">
          <cell r="B493" t="str">
            <v>A3701</v>
          </cell>
          <cell r="C493" t="str">
            <v>Aurelia Trimaris Salakkau</v>
          </cell>
          <cell r="D493" t="str">
            <v>TEMA HAJI</v>
          </cell>
          <cell r="E493" t="str">
            <v>RESIGN</v>
          </cell>
        </row>
        <row r="494">
          <cell r="B494" t="str">
            <v>A3703</v>
          </cell>
          <cell r="C494" t="str">
            <v>Eduardus Jerry Kurniadi</v>
          </cell>
          <cell r="D494" t="str">
            <v>TEMA HAJI</v>
          </cell>
          <cell r="E494" t="str">
            <v>RESIGN</v>
          </cell>
        </row>
        <row r="495">
          <cell r="B495" t="str">
            <v>A3954</v>
          </cell>
          <cell r="C495" t="str">
            <v>Justian Pilar Prambar Galaphuri</v>
          </cell>
          <cell r="D495" t="str">
            <v>TEMA HAJI</v>
          </cell>
          <cell r="E495" t="str">
            <v>RESIGN</v>
          </cell>
        </row>
        <row r="496">
          <cell r="B496" t="str">
            <v>A3638</v>
          </cell>
          <cell r="C496" t="str">
            <v>Dhito Maharsa</v>
          </cell>
          <cell r="D496" t="str">
            <v>TEMA HAJI</v>
          </cell>
          <cell r="E496" t="str">
            <v>RESIGN</v>
          </cell>
        </row>
        <row r="497">
          <cell r="B497" t="str">
            <v>A4124</v>
          </cell>
          <cell r="C497" t="str">
            <v>Maulana Ihsan Santoso</v>
          </cell>
          <cell r="D497" t="str">
            <v>TEMA HAJI</v>
          </cell>
          <cell r="E497" t="str">
            <v>RESIGN</v>
          </cell>
        </row>
        <row r="498">
          <cell r="B498" t="e">
            <v>#N/A</v>
          </cell>
          <cell r="C498" t="str">
            <v>Siti Hartina</v>
          </cell>
          <cell r="D498" t="str">
            <v>TEMA HAJI</v>
          </cell>
          <cell r="E498" t="str">
            <v>RESIGN</v>
          </cell>
        </row>
        <row r="499">
          <cell r="B499" t="str">
            <v>A4403</v>
          </cell>
          <cell r="C499" t="str">
            <v>Deva Aryani</v>
          </cell>
          <cell r="D499" t="str">
            <v>TEMA HAJI</v>
          </cell>
          <cell r="E499" t="str">
            <v>RESIGN</v>
          </cell>
        </row>
        <row r="500">
          <cell r="B500" t="str">
            <v>A4430</v>
          </cell>
          <cell r="C500" t="str">
            <v>Muhammad Fahri</v>
          </cell>
          <cell r="D500" t="str">
            <v>TEMA HAJI</v>
          </cell>
          <cell r="E500" t="str">
            <v>RESIGN</v>
          </cell>
        </row>
        <row r="501">
          <cell r="B501" t="str">
            <v>A4440</v>
          </cell>
          <cell r="C501" t="str">
            <v>Dandy Kurniawan</v>
          </cell>
          <cell r="D501" t="str">
            <v>TEMA HAJI</v>
          </cell>
          <cell r="E501" t="str">
            <v>RESIGN</v>
          </cell>
        </row>
        <row r="502">
          <cell r="B502" t="e">
            <v>#REF!</v>
          </cell>
          <cell r="C502" t="str">
            <v>Nadia Priski Dheanasti</v>
          </cell>
          <cell r="D502" t="str">
            <v>DESIRE</v>
          </cell>
          <cell r="E502" t="str">
            <v>RESIGN</v>
          </cell>
        </row>
        <row r="503">
          <cell r="B503" t="e">
            <v>#REF!</v>
          </cell>
          <cell r="C503" t="str">
            <v>Sephia Nurhwan Azizha</v>
          </cell>
          <cell r="D503" t="str">
            <v>DESIRE</v>
          </cell>
          <cell r="E503" t="str">
            <v>RESIGN</v>
          </cell>
        </row>
        <row r="504">
          <cell r="B504" t="e">
            <v>#REF!</v>
          </cell>
          <cell r="C504" t="str">
            <v>Yohanes Wahyu Indra Prasetyo</v>
          </cell>
          <cell r="D504" t="str">
            <v>DESIRE</v>
          </cell>
          <cell r="E504" t="str">
            <v>RESIGN</v>
          </cell>
        </row>
        <row r="505">
          <cell r="B505" t="e">
            <v>#REF!</v>
          </cell>
          <cell r="C505" t="str">
            <v>Azza Nur Zubaidah</v>
          </cell>
          <cell r="D505" t="str">
            <v>DESIRE</v>
          </cell>
          <cell r="E505" t="str">
            <v>RESIGN</v>
          </cell>
        </row>
        <row r="506">
          <cell r="B506" t="e">
            <v>#REF!</v>
          </cell>
          <cell r="C506" t="str">
            <v>Felicia Adventa Andjani Susilo</v>
          </cell>
          <cell r="D506" t="str">
            <v>DESIRE</v>
          </cell>
          <cell r="E506" t="str">
            <v>RESIGN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 REDEEM P2 - v2 (2)"/>
      <sheetName val="Form Responses 1"/>
      <sheetName val="OLAH PERIODE 1 - 2024"/>
      <sheetName val="RECAP REDEEM P2 - v2"/>
      <sheetName val="RECAP REDEEM P2"/>
      <sheetName val="MASTER TOKEN P2"/>
      <sheetName val="ATURAN"/>
      <sheetName val="RECAP REDEEM P2 - unupdated v2"/>
      <sheetName val="P1 2024 - REPORT"/>
      <sheetName val="CO - AUG P2 2024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NPK</v>
          </cell>
          <cell r="B1" t="str">
            <v>NAMA LENGKAP</v>
          </cell>
          <cell r="C1" t="str">
            <v xml:space="preserve">TOKEN </v>
          </cell>
          <cell r="D1" t="str">
            <v>JENIS MEMBERSHIP</v>
          </cell>
          <cell r="E1" t="str">
            <v>JUMLAH TOKEN YANG DITUKAR</v>
          </cell>
          <cell r="F1" t="str">
            <v>GAP</v>
          </cell>
          <cell r="G1" t="str">
            <v>MELEBIHI TOKEN?</v>
          </cell>
          <cell r="H1" t="str">
            <v>BISA REEDEM</v>
          </cell>
          <cell r="I1" t="str">
            <v>FUNGSI</v>
          </cell>
        </row>
        <row r="2">
          <cell r="A2" t="str">
            <v>Jumlah Token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90557</v>
          </cell>
          <cell r="B3" t="str">
            <v xml:space="preserve">Tifani eka Alcisha </v>
          </cell>
          <cell r="C3">
            <v>387</v>
          </cell>
          <cell r="D3" t="str">
            <v>SAPHIRE</v>
          </cell>
          <cell r="E3">
            <v>325</v>
          </cell>
          <cell r="F3">
            <v>62</v>
          </cell>
          <cell r="G3" t="str">
            <v>TIDAK</v>
          </cell>
          <cell r="H3" t="str">
            <v>BISA</v>
          </cell>
          <cell r="I3" t="str">
            <v>AAV</v>
          </cell>
        </row>
        <row r="4">
          <cell r="A4" t="str">
            <v>A2879</v>
          </cell>
          <cell r="B4" t="str">
            <v xml:space="preserve">Fauzi </v>
          </cell>
          <cell r="C4">
            <v>235</v>
          </cell>
          <cell r="D4" t="str">
            <v>SAPHIRE</v>
          </cell>
          <cell r="E4">
            <v>65</v>
          </cell>
          <cell r="F4">
            <v>170</v>
          </cell>
          <cell r="G4" t="str">
            <v>TIDAK</v>
          </cell>
          <cell r="H4" t="str">
            <v>BISA</v>
          </cell>
          <cell r="I4" t="str">
            <v>AAV</v>
          </cell>
        </row>
        <row r="5">
          <cell r="A5">
            <v>90716</v>
          </cell>
          <cell r="B5" t="str">
            <v>nikita swastika paramita</v>
          </cell>
          <cell r="C5">
            <v>274</v>
          </cell>
          <cell r="D5" t="str">
            <v>SAPHIRE</v>
          </cell>
          <cell r="E5">
            <v>265</v>
          </cell>
          <cell r="F5">
            <v>9</v>
          </cell>
          <cell r="G5" t="str">
            <v>TIDAK</v>
          </cell>
          <cell r="H5" t="str">
            <v>BISA</v>
          </cell>
          <cell r="I5" t="str">
            <v>AAV</v>
          </cell>
        </row>
        <row r="6">
          <cell r="A6" t="str">
            <v>A3946</v>
          </cell>
          <cell r="B6" t="str">
            <v>Alfina Fairuzah</v>
          </cell>
          <cell r="C6">
            <v>114</v>
          </cell>
          <cell r="D6" t="str">
            <v>SAPHIRE</v>
          </cell>
          <cell r="E6">
            <v>65</v>
          </cell>
          <cell r="F6">
            <v>49</v>
          </cell>
          <cell r="G6" t="str">
            <v>TIDAK</v>
          </cell>
          <cell r="H6" t="str">
            <v>BISA</v>
          </cell>
          <cell r="I6" t="str">
            <v>CC SETIR KANAN</v>
          </cell>
        </row>
        <row r="7">
          <cell r="A7" t="str">
            <v>A3870</v>
          </cell>
          <cell r="B7" t="str">
            <v>Rizki Fernanda</v>
          </cell>
          <cell r="C7">
            <v>133</v>
          </cell>
          <cell r="D7" t="str">
            <v>SAPHIRE</v>
          </cell>
          <cell r="E7">
            <v>130</v>
          </cell>
          <cell r="F7">
            <v>3</v>
          </cell>
          <cell r="G7" t="str">
            <v>TIDAK</v>
          </cell>
          <cell r="H7" t="str">
            <v>BISA</v>
          </cell>
          <cell r="I7" t="str">
            <v>CC SETIR KANAN</v>
          </cell>
        </row>
        <row r="8">
          <cell r="A8" t="str">
            <v>A3041</v>
          </cell>
          <cell r="B8" t="str">
            <v>ANISA FITRIANINGSIH</v>
          </cell>
          <cell r="C8">
            <v>272</v>
          </cell>
          <cell r="D8" t="str">
            <v>SAPHIRE</v>
          </cell>
          <cell r="E8">
            <v>260</v>
          </cell>
          <cell r="F8">
            <v>12</v>
          </cell>
          <cell r="G8" t="str">
            <v>TIDAK</v>
          </cell>
          <cell r="H8" t="str">
            <v>BISA</v>
          </cell>
          <cell r="I8" t="str">
            <v>CC SETIR KANAN</v>
          </cell>
        </row>
        <row r="9">
          <cell r="A9" t="str">
            <v>A4317</v>
          </cell>
          <cell r="B9" t="str">
            <v>Annisa Shofi Rofifah</v>
          </cell>
          <cell r="C9">
            <v>92</v>
          </cell>
          <cell r="D9" t="str">
            <v>SAPHIRE</v>
          </cell>
          <cell r="E9">
            <v>65</v>
          </cell>
          <cell r="F9">
            <v>27</v>
          </cell>
          <cell r="G9" t="str">
            <v>TIDAK</v>
          </cell>
          <cell r="H9" t="str">
            <v>BISA</v>
          </cell>
          <cell r="I9" t="str">
            <v>CC SETIR KANAN</v>
          </cell>
        </row>
        <row r="10">
          <cell r="A10" t="str">
            <v>A2342</v>
          </cell>
          <cell r="B10" t="str">
            <v>Naufal Ikbar</v>
          </cell>
          <cell r="C10">
            <v>283</v>
          </cell>
          <cell r="D10" t="str">
            <v>SAPHIRE</v>
          </cell>
          <cell r="E10">
            <v>265</v>
          </cell>
          <cell r="F10">
            <v>18</v>
          </cell>
          <cell r="G10" t="str">
            <v>TIDAK</v>
          </cell>
          <cell r="H10" t="str">
            <v>BISA</v>
          </cell>
          <cell r="I10" t="str">
            <v>CC SETIR KANAN</v>
          </cell>
        </row>
        <row r="11">
          <cell r="A11" t="str">
            <v>A4036</v>
          </cell>
          <cell r="B11" t="str">
            <v>Dwika Eltanjung</v>
          </cell>
          <cell r="C11">
            <v>104</v>
          </cell>
          <cell r="D11" t="str">
            <v>SAPHIRE</v>
          </cell>
          <cell r="E11">
            <v>65</v>
          </cell>
          <cell r="F11">
            <v>39</v>
          </cell>
          <cell r="G11" t="str">
            <v>TIDAK</v>
          </cell>
          <cell r="H11" t="str">
            <v>BISA</v>
          </cell>
          <cell r="I11" t="str">
            <v>DELTA</v>
          </cell>
        </row>
        <row r="12">
          <cell r="A12" t="str">
            <v>A2255</v>
          </cell>
          <cell r="B12" t="str">
            <v>Eli Santi Sitohang</v>
          </cell>
          <cell r="C12">
            <v>72</v>
          </cell>
          <cell r="D12" t="str">
            <v>SAPHIRE</v>
          </cell>
          <cell r="E12">
            <v>65</v>
          </cell>
          <cell r="F12">
            <v>7</v>
          </cell>
          <cell r="G12" t="str">
            <v>TIDAK</v>
          </cell>
          <cell r="H12" t="str">
            <v>BISA</v>
          </cell>
          <cell r="I12" t="str">
            <v>DELTA</v>
          </cell>
        </row>
        <row r="13">
          <cell r="A13" t="str">
            <v>A3664</v>
          </cell>
          <cell r="B13" t="str">
            <v xml:space="preserve">Viona Ambarita </v>
          </cell>
          <cell r="C13">
            <v>162</v>
          </cell>
          <cell r="D13" t="str">
            <v>SAPHIRE</v>
          </cell>
          <cell r="E13">
            <v>130</v>
          </cell>
          <cell r="F13">
            <v>32</v>
          </cell>
          <cell r="G13" t="str">
            <v>TIDAK</v>
          </cell>
          <cell r="H13" t="str">
            <v>BISA</v>
          </cell>
          <cell r="I13" t="str">
            <v>DELTA</v>
          </cell>
        </row>
        <row r="14">
          <cell r="A14" t="str">
            <v>A3406</v>
          </cell>
          <cell r="B14" t="str">
            <v>Septi Munte</v>
          </cell>
          <cell r="C14">
            <v>148</v>
          </cell>
          <cell r="D14" t="str">
            <v>SAPHIRE</v>
          </cell>
          <cell r="E14">
            <v>135</v>
          </cell>
          <cell r="F14">
            <v>13</v>
          </cell>
          <cell r="G14" t="str">
            <v>TIDAK</v>
          </cell>
          <cell r="H14" t="str">
            <v>BISA</v>
          </cell>
          <cell r="I14" t="str">
            <v>DELTA</v>
          </cell>
        </row>
        <row r="15">
          <cell r="A15" t="str">
            <v>A0519</v>
          </cell>
          <cell r="B15" t="str">
            <v>Anastacia Juliana</v>
          </cell>
          <cell r="C15">
            <v>159</v>
          </cell>
          <cell r="D15" t="str">
            <v>SAPHIRE</v>
          </cell>
          <cell r="E15">
            <v>130</v>
          </cell>
          <cell r="F15">
            <v>29</v>
          </cell>
          <cell r="G15" t="str">
            <v>TIDAK</v>
          </cell>
          <cell r="H15" t="str">
            <v>BISA</v>
          </cell>
          <cell r="I15" t="str">
            <v>DELTA</v>
          </cell>
        </row>
        <row r="16">
          <cell r="A16" t="str">
            <v>A0934</v>
          </cell>
          <cell r="B16" t="str">
            <v>SINDU PRATHIWI</v>
          </cell>
          <cell r="C16">
            <v>352</v>
          </cell>
          <cell r="D16" t="str">
            <v>SAPHIRE</v>
          </cell>
          <cell r="E16">
            <v>330</v>
          </cell>
          <cell r="F16">
            <v>22</v>
          </cell>
          <cell r="G16" t="str">
            <v>TIDAK</v>
          </cell>
          <cell r="H16" t="str">
            <v>BISA</v>
          </cell>
          <cell r="I16" t="str">
            <v>DELTA</v>
          </cell>
        </row>
        <row r="17">
          <cell r="A17" t="str">
            <v>A0886</v>
          </cell>
          <cell r="B17" t="str">
            <v>Astutri Puji Rahayu</v>
          </cell>
          <cell r="C17">
            <v>319</v>
          </cell>
          <cell r="D17" t="str">
            <v>SAPHIRE</v>
          </cell>
          <cell r="E17">
            <v>265</v>
          </cell>
          <cell r="F17">
            <v>54</v>
          </cell>
          <cell r="G17" t="str">
            <v>TIDAK</v>
          </cell>
          <cell r="H17" t="str">
            <v>BISA</v>
          </cell>
          <cell r="I17" t="str">
            <v>DELTA</v>
          </cell>
        </row>
        <row r="18">
          <cell r="A18">
            <v>92135</v>
          </cell>
          <cell r="B18" t="str">
            <v>Ernawati Nofia Rindiani</v>
          </cell>
          <cell r="C18">
            <v>350</v>
          </cell>
          <cell r="D18" t="str">
            <v>SAPHIRE</v>
          </cell>
          <cell r="E18">
            <v>65</v>
          </cell>
          <cell r="F18">
            <v>285</v>
          </cell>
          <cell r="G18" t="str">
            <v>TIDAK</v>
          </cell>
          <cell r="H18" t="str">
            <v>BISA</v>
          </cell>
          <cell r="I18" t="str">
            <v>DELTA</v>
          </cell>
        </row>
        <row r="19">
          <cell r="A19" t="str">
            <v>A1465</v>
          </cell>
          <cell r="B19" t="str">
            <v>Aldy ciptha primanda</v>
          </cell>
          <cell r="C19">
            <v>247</v>
          </cell>
          <cell r="D19" t="str">
            <v>SAPHIRE</v>
          </cell>
          <cell r="E19">
            <v>195</v>
          </cell>
          <cell r="F19">
            <v>52</v>
          </cell>
          <cell r="G19" t="str">
            <v>TIDAK</v>
          </cell>
          <cell r="H19" t="str">
            <v>BISA</v>
          </cell>
          <cell r="I19" t="str">
            <v>DELTA</v>
          </cell>
        </row>
        <row r="20">
          <cell r="A20" t="str">
            <v>A1118</v>
          </cell>
          <cell r="B20" t="str">
            <v>Oksa Andriardina</v>
          </cell>
          <cell r="C20">
            <v>102</v>
          </cell>
          <cell r="D20" t="str">
            <v>SAPHIRE</v>
          </cell>
          <cell r="E20">
            <v>65</v>
          </cell>
          <cell r="F20">
            <v>37</v>
          </cell>
          <cell r="G20" t="str">
            <v>TIDAK</v>
          </cell>
          <cell r="H20" t="str">
            <v>BISA</v>
          </cell>
          <cell r="I20" t="str">
            <v>DELTA</v>
          </cell>
        </row>
        <row r="21">
          <cell r="A21" t="str">
            <v>A3752</v>
          </cell>
          <cell r="B21" t="str">
            <v>Meyta Andira</v>
          </cell>
          <cell r="C21">
            <v>125</v>
          </cell>
          <cell r="D21" t="str">
            <v>SAPHIRE</v>
          </cell>
          <cell r="E21">
            <v>65</v>
          </cell>
          <cell r="F21">
            <v>60</v>
          </cell>
          <cell r="G21" t="str">
            <v>TIDAK</v>
          </cell>
          <cell r="H21" t="str">
            <v>BISA</v>
          </cell>
          <cell r="I21" t="str">
            <v>DELTA</v>
          </cell>
        </row>
        <row r="22">
          <cell r="A22" t="str">
            <v>A2145</v>
          </cell>
          <cell r="B22" t="str">
            <v>LAILY FAJRIYANTI</v>
          </cell>
          <cell r="C22">
            <v>446</v>
          </cell>
          <cell r="D22" t="str">
            <v>EMERALD</v>
          </cell>
          <cell r="E22">
            <v>390</v>
          </cell>
          <cell r="F22">
            <v>56</v>
          </cell>
          <cell r="G22" t="str">
            <v>TIDAK</v>
          </cell>
          <cell r="H22" t="str">
            <v>BISA</v>
          </cell>
          <cell r="I22" t="str">
            <v>DELTA</v>
          </cell>
        </row>
        <row r="23">
          <cell r="A23" t="str">
            <v>A1030</v>
          </cell>
          <cell r="B23" t="str">
            <v>Eni Rachmi M</v>
          </cell>
          <cell r="C23">
            <v>345</v>
          </cell>
          <cell r="D23" t="str">
            <v>SAPHIRE</v>
          </cell>
          <cell r="E23">
            <v>265</v>
          </cell>
          <cell r="F23">
            <v>80</v>
          </cell>
          <cell r="G23" t="str">
            <v>TIDAK</v>
          </cell>
          <cell r="H23" t="str">
            <v>BISA</v>
          </cell>
          <cell r="I23" t="str">
            <v>DELTA</v>
          </cell>
        </row>
        <row r="24">
          <cell r="A24" t="str">
            <v>A1360</v>
          </cell>
          <cell r="B24" t="str">
            <v>Nurputranto Laksono</v>
          </cell>
          <cell r="C24">
            <v>321</v>
          </cell>
          <cell r="D24" t="str">
            <v>SAPHIRE</v>
          </cell>
          <cell r="E24">
            <v>260</v>
          </cell>
          <cell r="F24">
            <v>61</v>
          </cell>
          <cell r="G24" t="str">
            <v>TIDAK</v>
          </cell>
          <cell r="H24" t="str">
            <v>BISA</v>
          </cell>
          <cell r="I24" t="str">
            <v>DELTA</v>
          </cell>
        </row>
        <row r="25">
          <cell r="A25" t="str">
            <v>A2462</v>
          </cell>
          <cell r="B25" t="str">
            <v>Khusnul Khatimah</v>
          </cell>
          <cell r="C25">
            <v>161</v>
          </cell>
          <cell r="D25" t="str">
            <v>SAPHIRE</v>
          </cell>
          <cell r="E25">
            <v>130</v>
          </cell>
          <cell r="F25">
            <v>31</v>
          </cell>
          <cell r="G25" t="str">
            <v>TIDAK</v>
          </cell>
          <cell r="H25" t="str">
            <v>BISA</v>
          </cell>
          <cell r="I25" t="str">
            <v>DELTA</v>
          </cell>
        </row>
        <row r="26">
          <cell r="A26" t="str">
            <v>A4039</v>
          </cell>
          <cell r="B26" t="str">
            <v>Ibrahim feba naufalindo</v>
          </cell>
          <cell r="C26">
            <v>152</v>
          </cell>
          <cell r="D26" t="str">
            <v>SAPHIRE</v>
          </cell>
          <cell r="E26">
            <v>130</v>
          </cell>
          <cell r="F26">
            <v>22</v>
          </cell>
          <cell r="G26" t="str">
            <v>TIDAK</v>
          </cell>
          <cell r="H26" t="str">
            <v>BISA</v>
          </cell>
          <cell r="I26" t="str">
            <v>DELTA</v>
          </cell>
        </row>
        <row r="27">
          <cell r="A27" t="str">
            <v>A3404</v>
          </cell>
          <cell r="B27" t="str">
            <v>Ayu Sukmawati</v>
          </cell>
          <cell r="C27">
            <v>130</v>
          </cell>
          <cell r="D27" t="str">
            <v>SAPHIRE</v>
          </cell>
          <cell r="E27">
            <v>130</v>
          </cell>
          <cell r="F27">
            <v>0</v>
          </cell>
          <cell r="G27" t="str">
            <v>TIDAK</v>
          </cell>
          <cell r="H27" t="str">
            <v>BISA</v>
          </cell>
          <cell r="I27" t="str">
            <v>DELTA</v>
          </cell>
        </row>
        <row r="28">
          <cell r="A28" t="str">
            <v>A3456</v>
          </cell>
          <cell r="B28" t="str">
            <v>Feby kurnia</v>
          </cell>
          <cell r="C28">
            <v>135</v>
          </cell>
          <cell r="D28" t="str">
            <v>SAPHIRE</v>
          </cell>
          <cell r="E28">
            <v>130</v>
          </cell>
          <cell r="F28">
            <v>5</v>
          </cell>
          <cell r="G28" t="str">
            <v>TIDAK</v>
          </cell>
          <cell r="H28" t="str">
            <v>BISA</v>
          </cell>
          <cell r="I28" t="str">
            <v>DELTA</v>
          </cell>
        </row>
        <row r="29">
          <cell r="A29" t="str">
            <v>A3840</v>
          </cell>
          <cell r="B29" t="str">
            <v>Nathania Putri</v>
          </cell>
          <cell r="C29">
            <v>87</v>
          </cell>
          <cell r="D29" t="str">
            <v>SAPHIRE</v>
          </cell>
          <cell r="E29">
            <v>65</v>
          </cell>
          <cell r="F29">
            <v>22</v>
          </cell>
          <cell r="G29" t="str">
            <v>TIDAK</v>
          </cell>
          <cell r="H29" t="str">
            <v>BISA</v>
          </cell>
          <cell r="I29" t="str">
            <v>DELTA</v>
          </cell>
        </row>
        <row r="30">
          <cell r="A30" t="str">
            <v>A0680</v>
          </cell>
          <cell r="B30" t="str">
            <v xml:space="preserve">Euis Yunike Windyaningrum </v>
          </cell>
          <cell r="C30">
            <v>349</v>
          </cell>
          <cell r="D30" t="str">
            <v>SAPHIRE</v>
          </cell>
          <cell r="E30">
            <v>330</v>
          </cell>
          <cell r="F30">
            <v>19</v>
          </cell>
          <cell r="G30" t="str">
            <v>TIDAK</v>
          </cell>
          <cell r="H30" t="str">
            <v>BISA</v>
          </cell>
          <cell r="I30" t="str">
            <v>DELTA</v>
          </cell>
        </row>
        <row r="31">
          <cell r="A31" t="str">
            <v>A3258</v>
          </cell>
          <cell r="B31" t="str">
            <v xml:space="preserve">Clara Devi Maharani </v>
          </cell>
          <cell r="C31">
            <v>385</v>
          </cell>
          <cell r="D31" t="str">
            <v>SAPHIRE</v>
          </cell>
          <cell r="E31">
            <v>330</v>
          </cell>
          <cell r="F31">
            <v>55</v>
          </cell>
          <cell r="G31" t="str">
            <v>TIDAK</v>
          </cell>
          <cell r="H31" t="str">
            <v>BISA</v>
          </cell>
          <cell r="I31" t="str">
            <v>DELTA</v>
          </cell>
        </row>
        <row r="32">
          <cell r="A32" t="str">
            <v>A1669</v>
          </cell>
          <cell r="B32" t="str">
            <v>Cintia Aninda Heka Shafira</v>
          </cell>
          <cell r="C32">
            <v>420</v>
          </cell>
          <cell r="D32" t="str">
            <v>SAPHIRE</v>
          </cell>
          <cell r="E32">
            <v>395</v>
          </cell>
          <cell r="F32">
            <v>25</v>
          </cell>
          <cell r="G32" t="str">
            <v>TIDAK</v>
          </cell>
          <cell r="H32" t="str">
            <v>BISA</v>
          </cell>
          <cell r="I32" t="str">
            <v>DELTA</v>
          </cell>
        </row>
        <row r="33">
          <cell r="A33" t="str">
            <v>A4152</v>
          </cell>
          <cell r="B33" t="str">
            <v>Kamal Maulana Ramadhan</v>
          </cell>
          <cell r="C33">
            <v>202</v>
          </cell>
          <cell r="D33" t="str">
            <v>SAPHIRE</v>
          </cell>
          <cell r="E33">
            <v>135</v>
          </cell>
          <cell r="F33">
            <v>67</v>
          </cell>
          <cell r="G33" t="str">
            <v>TIDAK</v>
          </cell>
          <cell r="H33" t="str">
            <v>BISA</v>
          </cell>
          <cell r="I33" t="str">
            <v>DELTA</v>
          </cell>
        </row>
        <row r="34">
          <cell r="A34" t="str">
            <v>A0964</v>
          </cell>
          <cell r="B34" t="str">
            <v>Anisa Desianti Ramadhani</v>
          </cell>
          <cell r="C34">
            <v>259</v>
          </cell>
          <cell r="D34" t="str">
            <v>SAPHIRE</v>
          </cell>
          <cell r="E34">
            <v>200</v>
          </cell>
          <cell r="F34">
            <v>59</v>
          </cell>
          <cell r="G34" t="str">
            <v>TIDAK</v>
          </cell>
          <cell r="H34" t="str">
            <v>BISA</v>
          </cell>
          <cell r="I34" t="str">
            <v>DELTA</v>
          </cell>
        </row>
        <row r="35">
          <cell r="A35" t="str">
            <v>A3601</v>
          </cell>
          <cell r="B35" t="str">
            <v>Virginia Lorensa Nugraha</v>
          </cell>
          <cell r="C35">
            <v>387</v>
          </cell>
          <cell r="D35" t="str">
            <v>SAPHIRE</v>
          </cell>
          <cell r="E35">
            <v>330</v>
          </cell>
          <cell r="F35">
            <v>57</v>
          </cell>
          <cell r="G35" t="str">
            <v>TIDAK</v>
          </cell>
          <cell r="H35" t="str">
            <v>BISA</v>
          </cell>
          <cell r="I35" t="str">
            <v>DELTA</v>
          </cell>
        </row>
        <row r="36">
          <cell r="A36" t="str">
            <v>A3785</v>
          </cell>
          <cell r="B36" t="str">
            <v>Muhammad Dafa Febriansyah</v>
          </cell>
          <cell r="C36">
            <v>220</v>
          </cell>
          <cell r="D36" t="str">
            <v>SAPHIRE</v>
          </cell>
          <cell r="E36">
            <v>195</v>
          </cell>
          <cell r="F36">
            <v>25</v>
          </cell>
          <cell r="G36" t="str">
            <v>TIDAK</v>
          </cell>
          <cell r="H36" t="str">
            <v>BISA</v>
          </cell>
          <cell r="I36" t="str">
            <v>DELTA</v>
          </cell>
        </row>
        <row r="37">
          <cell r="A37" t="str">
            <v>A2961</v>
          </cell>
          <cell r="B37" t="str">
            <v>Agung Prasetyadi</v>
          </cell>
          <cell r="C37">
            <v>251</v>
          </cell>
          <cell r="D37" t="str">
            <v>SAPHIRE</v>
          </cell>
          <cell r="E37">
            <v>200</v>
          </cell>
          <cell r="F37">
            <v>51</v>
          </cell>
          <cell r="G37" t="str">
            <v>TIDAK</v>
          </cell>
          <cell r="H37" t="str">
            <v>BISA</v>
          </cell>
          <cell r="I37" t="str">
            <v>DELTA</v>
          </cell>
        </row>
        <row r="38">
          <cell r="A38" t="str">
            <v>A2944</v>
          </cell>
          <cell r="B38" t="str">
            <v>I luh laksmi eka dewi</v>
          </cell>
          <cell r="C38">
            <v>343</v>
          </cell>
          <cell r="D38" t="str">
            <v>SAPHIRE</v>
          </cell>
          <cell r="E38">
            <v>325</v>
          </cell>
          <cell r="F38">
            <v>18</v>
          </cell>
          <cell r="G38" t="str">
            <v>TIDAK</v>
          </cell>
          <cell r="H38" t="str">
            <v>BISA</v>
          </cell>
          <cell r="I38" t="str">
            <v>DELTA</v>
          </cell>
        </row>
        <row r="39">
          <cell r="A39" t="str">
            <v>A1342</v>
          </cell>
          <cell r="B39" t="str">
            <v>Enzellena</v>
          </cell>
          <cell r="C39">
            <v>162</v>
          </cell>
          <cell r="D39" t="str">
            <v>SAPHIRE</v>
          </cell>
          <cell r="E39">
            <v>135</v>
          </cell>
          <cell r="F39">
            <v>27</v>
          </cell>
          <cell r="G39" t="str">
            <v>TIDAK</v>
          </cell>
          <cell r="H39" t="str">
            <v>BISA</v>
          </cell>
          <cell r="I39" t="str">
            <v>DELTA</v>
          </cell>
        </row>
        <row r="40">
          <cell r="A40" t="str">
            <v>A0440</v>
          </cell>
          <cell r="B40" t="str">
            <v xml:space="preserve">Muhammad Hamzah Alfarisi </v>
          </cell>
          <cell r="C40">
            <v>160</v>
          </cell>
          <cell r="D40" t="str">
            <v>SAPHIRE</v>
          </cell>
          <cell r="E40">
            <v>130</v>
          </cell>
          <cell r="F40">
            <v>30</v>
          </cell>
          <cell r="G40" t="str">
            <v>TIDAK</v>
          </cell>
          <cell r="H40" t="str">
            <v>BISA</v>
          </cell>
          <cell r="I40" t="str">
            <v>DELTA</v>
          </cell>
        </row>
        <row r="41">
          <cell r="A41" t="str">
            <v>A3826</v>
          </cell>
          <cell r="B41" t="str">
            <v>Irene Intan Pradista</v>
          </cell>
          <cell r="C41">
            <v>266</v>
          </cell>
          <cell r="D41" t="str">
            <v>SAPHIRE</v>
          </cell>
          <cell r="E41">
            <v>65</v>
          </cell>
          <cell r="F41">
            <v>201</v>
          </cell>
          <cell r="G41" t="str">
            <v>TIDAK</v>
          </cell>
          <cell r="H41" t="str">
            <v>BISA</v>
          </cell>
          <cell r="I41" t="str">
            <v>DELTA</v>
          </cell>
        </row>
        <row r="42">
          <cell r="A42" t="str">
            <v>A3273</v>
          </cell>
          <cell r="B42" t="str">
            <v>Bintang Mutiarajati</v>
          </cell>
          <cell r="C42">
            <v>434</v>
          </cell>
          <cell r="D42" t="str">
            <v>EMERALD</v>
          </cell>
          <cell r="E42">
            <v>395</v>
          </cell>
          <cell r="F42">
            <v>39</v>
          </cell>
          <cell r="G42" t="str">
            <v>TIDAK</v>
          </cell>
          <cell r="H42" t="str">
            <v>BISA</v>
          </cell>
          <cell r="I42" t="str">
            <v>DELTA</v>
          </cell>
        </row>
        <row r="43">
          <cell r="A43" t="str">
            <v>A3358</v>
          </cell>
          <cell r="B43" t="str">
            <v xml:space="preserve">Novia Putriana Kusumawati </v>
          </cell>
          <cell r="C43">
            <v>232</v>
          </cell>
          <cell r="D43" t="str">
            <v>SAPHIRE</v>
          </cell>
          <cell r="E43">
            <v>195</v>
          </cell>
          <cell r="F43">
            <v>37</v>
          </cell>
          <cell r="G43" t="str">
            <v>TIDAK</v>
          </cell>
          <cell r="H43" t="str">
            <v>BISA</v>
          </cell>
          <cell r="I43" t="str">
            <v>DELTA</v>
          </cell>
        </row>
        <row r="44">
          <cell r="A44" t="str">
            <v>A0812</v>
          </cell>
          <cell r="B44" t="str">
            <v xml:space="preserve">Herlini Nur Azizah </v>
          </cell>
          <cell r="C44">
            <v>269</v>
          </cell>
          <cell r="D44" t="str">
            <v>SAPHIRE</v>
          </cell>
          <cell r="E44">
            <v>260</v>
          </cell>
          <cell r="F44">
            <v>9</v>
          </cell>
          <cell r="G44" t="str">
            <v>TIDAK</v>
          </cell>
          <cell r="H44" t="str">
            <v>BISA</v>
          </cell>
          <cell r="I44" t="str">
            <v>DELTA</v>
          </cell>
        </row>
        <row r="45">
          <cell r="A45" t="str">
            <v>A1651</v>
          </cell>
          <cell r="B45" t="str">
            <v xml:space="preserve">Nur Romadani Fitriana </v>
          </cell>
          <cell r="C45">
            <v>122</v>
          </cell>
          <cell r="D45" t="str">
            <v>SAPHIRE</v>
          </cell>
          <cell r="E45">
            <v>65</v>
          </cell>
          <cell r="F45">
            <v>57</v>
          </cell>
          <cell r="G45" t="str">
            <v>TIDAK</v>
          </cell>
          <cell r="H45" t="str">
            <v>BISA</v>
          </cell>
          <cell r="I45" t="str">
            <v>DELTA</v>
          </cell>
        </row>
        <row r="46">
          <cell r="A46" t="str">
            <v>A3558</v>
          </cell>
          <cell r="B46" t="str">
            <v>Andi Sofie Febrina Salshabila</v>
          </cell>
          <cell r="C46">
            <v>239</v>
          </cell>
          <cell r="D46" t="str">
            <v>SAPHIRE</v>
          </cell>
          <cell r="E46">
            <v>195</v>
          </cell>
          <cell r="F46">
            <v>44</v>
          </cell>
          <cell r="G46" t="str">
            <v>TIDAK</v>
          </cell>
          <cell r="H46" t="str">
            <v>BISA</v>
          </cell>
          <cell r="I46" t="str">
            <v>DELTA</v>
          </cell>
        </row>
        <row r="47">
          <cell r="A47" t="str">
            <v>A3403</v>
          </cell>
          <cell r="B47" t="str">
            <v>Pinkan Ndaru Dewantari</v>
          </cell>
          <cell r="C47">
            <v>401</v>
          </cell>
          <cell r="D47" t="str">
            <v>SAPHIRE</v>
          </cell>
          <cell r="E47">
            <v>390</v>
          </cell>
          <cell r="F47">
            <v>11</v>
          </cell>
          <cell r="G47" t="str">
            <v>TIDAK</v>
          </cell>
          <cell r="H47" t="str">
            <v>BISA</v>
          </cell>
          <cell r="I47" t="str">
            <v>DELTA</v>
          </cell>
        </row>
        <row r="48">
          <cell r="A48" t="str">
            <v>A1777</v>
          </cell>
          <cell r="B48" t="str">
            <v>Mutiani Wulandari</v>
          </cell>
          <cell r="C48">
            <v>241</v>
          </cell>
          <cell r="D48" t="str">
            <v>SAPHIRE</v>
          </cell>
          <cell r="E48">
            <v>200</v>
          </cell>
          <cell r="F48">
            <v>41</v>
          </cell>
          <cell r="G48" t="str">
            <v>TIDAK</v>
          </cell>
          <cell r="H48" t="str">
            <v>BISA</v>
          </cell>
          <cell r="I48" t="str">
            <v>DELTA</v>
          </cell>
        </row>
        <row r="49">
          <cell r="A49" t="str">
            <v>A1025</v>
          </cell>
          <cell r="B49" t="str">
            <v>Wafa sinta rian kusuma</v>
          </cell>
          <cell r="C49">
            <v>228</v>
          </cell>
          <cell r="D49" t="str">
            <v>SAPHIRE</v>
          </cell>
          <cell r="E49">
            <v>200</v>
          </cell>
          <cell r="F49">
            <v>28</v>
          </cell>
          <cell r="G49" t="str">
            <v>TIDAK</v>
          </cell>
          <cell r="H49" t="str">
            <v>BISA</v>
          </cell>
          <cell r="I49" t="str">
            <v>DELTA</v>
          </cell>
        </row>
        <row r="50">
          <cell r="A50" t="str">
            <v>A3451</v>
          </cell>
          <cell r="B50" t="str">
            <v>Marcellina</v>
          </cell>
          <cell r="C50">
            <v>214</v>
          </cell>
          <cell r="D50" t="str">
            <v>SAPHIRE</v>
          </cell>
          <cell r="E50">
            <v>200</v>
          </cell>
          <cell r="F50">
            <v>14</v>
          </cell>
          <cell r="G50" t="str">
            <v>TIDAK</v>
          </cell>
          <cell r="H50" t="str">
            <v>BISA</v>
          </cell>
          <cell r="I50" t="str">
            <v>DELTA</v>
          </cell>
        </row>
        <row r="51">
          <cell r="A51" t="str">
            <v>A3218</v>
          </cell>
          <cell r="B51" t="str">
            <v xml:space="preserve">Irma Sembiring </v>
          </cell>
          <cell r="C51">
            <v>305</v>
          </cell>
          <cell r="D51" t="str">
            <v>SAPHIRE</v>
          </cell>
          <cell r="E51">
            <v>265</v>
          </cell>
          <cell r="F51">
            <v>40</v>
          </cell>
          <cell r="G51" t="str">
            <v>TIDAK</v>
          </cell>
          <cell r="H51" t="str">
            <v>BISA</v>
          </cell>
          <cell r="I51" t="str">
            <v>DELTA</v>
          </cell>
        </row>
        <row r="52">
          <cell r="A52">
            <v>92504</v>
          </cell>
          <cell r="B52" t="str">
            <v>Artika Yunita Ardi</v>
          </cell>
          <cell r="C52">
            <v>173</v>
          </cell>
          <cell r="D52" t="str">
            <v>SAPHIRE</v>
          </cell>
          <cell r="E52">
            <v>130</v>
          </cell>
          <cell r="F52">
            <v>43</v>
          </cell>
          <cell r="G52" t="str">
            <v>TIDAK</v>
          </cell>
          <cell r="H52" t="str">
            <v>BISA</v>
          </cell>
          <cell r="I52" t="str">
            <v>DELTA</v>
          </cell>
        </row>
        <row r="53">
          <cell r="A53" t="str">
            <v>A3547</v>
          </cell>
          <cell r="B53" t="str">
            <v>Sheravina Nadanti</v>
          </cell>
          <cell r="C53">
            <v>326</v>
          </cell>
          <cell r="D53" t="str">
            <v>SAPHIRE</v>
          </cell>
          <cell r="E53">
            <v>325</v>
          </cell>
          <cell r="F53">
            <v>1</v>
          </cell>
          <cell r="G53" t="str">
            <v>TIDAK</v>
          </cell>
          <cell r="H53" t="str">
            <v>BISA</v>
          </cell>
          <cell r="I53" t="str">
            <v>DELTA</v>
          </cell>
        </row>
        <row r="54">
          <cell r="A54" t="str">
            <v>a3599</v>
          </cell>
          <cell r="B54" t="str">
            <v>Hanifah Rahmadhani</v>
          </cell>
          <cell r="C54">
            <v>120</v>
          </cell>
          <cell r="D54" t="str">
            <v>SAPHIRE</v>
          </cell>
          <cell r="E54">
            <v>65</v>
          </cell>
          <cell r="F54">
            <v>55</v>
          </cell>
          <cell r="G54" t="str">
            <v>TIDAK</v>
          </cell>
          <cell r="H54" t="str">
            <v>BISA</v>
          </cell>
          <cell r="I54" t="str">
            <v>DELTA</v>
          </cell>
        </row>
        <row r="55">
          <cell r="A55" t="str">
            <v>A3475</v>
          </cell>
          <cell r="B55" t="str">
            <v>Septiana Dwi Lestari Purbaningrum</v>
          </cell>
          <cell r="C55">
            <v>262</v>
          </cell>
          <cell r="D55" t="str">
            <v>SAPHIRE</v>
          </cell>
          <cell r="E55">
            <v>260</v>
          </cell>
          <cell r="F55">
            <v>2</v>
          </cell>
          <cell r="G55" t="str">
            <v>TIDAK</v>
          </cell>
          <cell r="H55" t="str">
            <v>BISA</v>
          </cell>
          <cell r="I55" t="str">
            <v>DELTA</v>
          </cell>
        </row>
        <row r="56">
          <cell r="A56" t="str">
            <v>A3408</v>
          </cell>
          <cell r="B56" t="str">
            <v>Agista Wigi Nuroini</v>
          </cell>
          <cell r="C56">
            <v>378</v>
          </cell>
          <cell r="D56" t="str">
            <v>SAPHIRE</v>
          </cell>
          <cell r="E56">
            <v>325</v>
          </cell>
          <cell r="F56">
            <v>53</v>
          </cell>
          <cell r="G56" t="str">
            <v>TIDAK</v>
          </cell>
          <cell r="H56" t="str">
            <v>BISA</v>
          </cell>
          <cell r="I56" t="str">
            <v>DELTA</v>
          </cell>
        </row>
        <row r="57">
          <cell r="A57">
            <v>92485</v>
          </cell>
          <cell r="B57" t="str">
            <v>YULISA ERI ARVIDAYANI</v>
          </cell>
          <cell r="C57">
            <v>389</v>
          </cell>
          <cell r="D57" t="str">
            <v>SAPHIRE</v>
          </cell>
          <cell r="E57">
            <v>325</v>
          </cell>
          <cell r="F57">
            <v>64</v>
          </cell>
          <cell r="G57" t="str">
            <v>TIDAK</v>
          </cell>
          <cell r="H57" t="str">
            <v>BISA</v>
          </cell>
          <cell r="I57" t="str">
            <v>DELTA</v>
          </cell>
        </row>
        <row r="58">
          <cell r="A58" t="str">
            <v>A3301</v>
          </cell>
          <cell r="B58" t="str">
            <v>Maria shinta</v>
          </cell>
          <cell r="C58">
            <v>260</v>
          </cell>
          <cell r="D58" t="str">
            <v>SAPHIRE</v>
          </cell>
          <cell r="E58">
            <v>65</v>
          </cell>
          <cell r="F58">
            <v>195</v>
          </cell>
          <cell r="G58" t="str">
            <v>TIDAK</v>
          </cell>
          <cell r="H58" t="str">
            <v>BISA</v>
          </cell>
          <cell r="I58" t="str">
            <v>DELTA</v>
          </cell>
        </row>
        <row r="59">
          <cell r="A59" t="str">
            <v>A1766</v>
          </cell>
          <cell r="B59" t="str">
            <v>Elizabeth Paramita</v>
          </cell>
          <cell r="C59">
            <v>109</v>
          </cell>
          <cell r="D59" t="str">
            <v>SAPHIRE</v>
          </cell>
          <cell r="E59">
            <v>65</v>
          </cell>
          <cell r="F59">
            <v>44</v>
          </cell>
          <cell r="G59" t="str">
            <v>TIDAK</v>
          </cell>
          <cell r="H59" t="str">
            <v>BISA</v>
          </cell>
          <cell r="I59" t="str">
            <v>DELTA</v>
          </cell>
        </row>
        <row r="60">
          <cell r="A60" t="str">
            <v>a1825</v>
          </cell>
          <cell r="B60" t="str">
            <v>marliana</v>
          </cell>
          <cell r="C60">
            <v>78</v>
          </cell>
          <cell r="D60" t="str">
            <v>SAPHIRE</v>
          </cell>
          <cell r="E60">
            <v>65</v>
          </cell>
          <cell r="F60">
            <v>13</v>
          </cell>
          <cell r="G60" t="str">
            <v>TIDAK</v>
          </cell>
          <cell r="H60" t="str">
            <v>BISA</v>
          </cell>
          <cell r="I60" t="str">
            <v>DELTA</v>
          </cell>
        </row>
        <row r="61">
          <cell r="A61" t="str">
            <v>A1531</v>
          </cell>
          <cell r="B61" t="str">
            <v>Erin Alfinata</v>
          </cell>
          <cell r="C61">
            <v>271</v>
          </cell>
          <cell r="D61" t="str">
            <v>SAPHIRE</v>
          </cell>
          <cell r="E61">
            <v>260</v>
          </cell>
          <cell r="F61">
            <v>11</v>
          </cell>
          <cell r="G61" t="str">
            <v>TIDAK</v>
          </cell>
          <cell r="H61" t="str">
            <v>BISA</v>
          </cell>
          <cell r="I61" t="str">
            <v>DELTA</v>
          </cell>
        </row>
        <row r="62">
          <cell r="A62" t="str">
            <v>A2886</v>
          </cell>
          <cell r="B62" t="str">
            <v>ASA HIRASNA SEPTIANI</v>
          </cell>
          <cell r="C62">
            <v>193</v>
          </cell>
          <cell r="D62" t="str">
            <v>SAPHIRE</v>
          </cell>
          <cell r="E62">
            <v>130</v>
          </cell>
          <cell r="F62">
            <v>63</v>
          </cell>
          <cell r="G62" t="str">
            <v>TIDAK</v>
          </cell>
          <cell r="H62" t="str">
            <v>BISA</v>
          </cell>
          <cell r="I62" t="str">
            <v>DELTA</v>
          </cell>
        </row>
        <row r="63">
          <cell r="A63" t="str">
            <v>A0986</v>
          </cell>
          <cell r="B63" t="str">
            <v>Dimas adam jordan</v>
          </cell>
          <cell r="C63">
            <v>308</v>
          </cell>
          <cell r="D63" t="str">
            <v>SAPHIRE</v>
          </cell>
          <cell r="E63">
            <v>265</v>
          </cell>
          <cell r="F63">
            <v>43</v>
          </cell>
          <cell r="G63" t="str">
            <v>TIDAK</v>
          </cell>
          <cell r="H63" t="str">
            <v>BISA</v>
          </cell>
          <cell r="I63" t="str">
            <v>DELTA</v>
          </cell>
        </row>
        <row r="64">
          <cell r="A64" t="str">
            <v>A2442</v>
          </cell>
          <cell r="B64" t="str">
            <v>Fayi Salsabila</v>
          </cell>
          <cell r="C64">
            <v>249</v>
          </cell>
          <cell r="D64" t="str">
            <v>SAPHIRE</v>
          </cell>
          <cell r="E64">
            <v>130</v>
          </cell>
          <cell r="F64">
            <v>119</v>
          </cell>
          <cell r="G64" t="str">
            <v>TIDAK</v>
          </cell>
          <cell r="H64" t="str">
            <v>BISA</v>
          </cell>
          <cell r="I64" t="str">
            <v>DELTA</v>
          </cell>
        </row>
        <row r="65">
          <cell r="A65" t="str">
            <v>A3999</v>
          </cell>
          <cell r="B65" t="str">
            <v>Mikha Mamoru</v>
          </cell>
          <cell r="C65">
            <v>211</v>
          </cell>
          <cell r="D65" t="str">
            <v>SAPHIRE</v>
          </cell>
          <cell r="E65">
            <v>200</v>
          </cell>
          <cell r="F65">
            <v>11</v>
          </cell>
          <cell r="G65" t="str">
            <v>TIDAK</v>
          </cell>
          <cell r="H65" t="str">
            <v>BISA</v>
          </cell>
          <cell r="I65" t="str">
            <v>DELTA</v>
          </cell>
        </row>
        <row r="66">
          <cell r="A66" t="str">
            <v>A3321</v>
          </cell>
          <cell r="B66" t="str">
            <v>Desti Rahmawati</v>
          </cell>
          <cell r="C66">
            <v>83</v>
          </cell>
          <cell r="D66" t="str">
            <v>SAPHIRE</v>
          </cell>
          <cell r="E66">
            <v>65</v>
          </cell>
          <cell r="F66">
            <v>18</v>
          </cell>
          <cell r="G66" t="str">
            <v>TIDAK</v>
          </cell>
          <cell r="H66" t="str">
            <v>BISA</v>
          </cell>
          <cell r="I66" t="str">
            <v>DELTA</v>
          </cell>
        </row>
        <row r="67">
          <cell r="A67" t="str">
            <v>A3145</v>
          </cell>
          <cell r="B67" t="str">
            <v xml:space="preserve">Sri Gusmiarti </v>
          </cell>
          <cell r="C67">
            <v>75</v>
          </cell>
          <cell r="D67" t="str">
            <v>SAPHIRE</v>
          </cell>
          <cell r="E67">
            <v>65</v>
          </cell>
          <cell r="F67">
            <v>10</v>
          </cell>
          <cell r="G67" t="str">
            <v>TIDAK</v>
          </cell>
          <cell r="H67" t="str">
            <v>BISA</v>
          </cell>
          <cell r="I67" t="str">
            <v>GC</v>
          </cell>
        </row>
        <row r="68">
          <cell r="A68" t="str">
            <v>A2646</v>
          </cell>
          <cell r="B68" t="str">
            <v>Anisa Putri Erawati</v>
          </cell>
          <cell r="C68">
            <v>359</v>
          </cell>
          <cell r="D68" t="str">
            <v>SAPHIRE</v>
          </cell>
          <cell r="E68">
            <v>330</v>
          </cell>
          <cell r="F68">
            <v>29</v>
          </cell>
          <cell r="G68" t="str">
            <v>TIDAK</v>
          </cell>
          <cell r="H68" t="str">
            <v>BISA</v>
          </cell>
          <cell r="I68" t="str">
            <v>GC</v>
          </cell>
        </row>
        <row r="69">
          <cell r="A69" t="str">
            <v>A3126</v>
          </cell>
          <cell r="B69" t="str">
            <v xml:space="preserve">Cindy Felicia Picauly </v>
          </cell>
          <cell r="C69">
            <v>399</v>
          </cell>
          <cell r="D69" t="str">
            <v>SAPHIRE</v>
          </cell>
          <cell r="E69">
            <v>330</v>
          </cell>
          <cell r="F69">
            <v>69</v>
          </cell>
          <cell r="G69" t="str">
            <v>TIDAK</v>
          </cell>
          <cell r="H69" t="str">
            <v>BISA</v>
          </cell>
          <cell r="I69" t="str">
            <v>GC</v>
          </cell>
        </row>
        <row r="70">
          <cell r="A70" t="str">
            <v>A4127</v>
          </cell>
          <cell r="B70" t="str">
            <v>Ilham Setya Dharmawan</v>
          </cell>
          <cell r="C70">
            <v>153</v>
          </cell>
          <cell r="D70" t="str">
            <v>SAPHIRE</v>
          </cell>
          <cell r="E70">
            <v>135</v>
          </cell>
          <cell r="F70">
            <v>18</v>
          </cell>
          <cell r="G70" t="str">
            <v>TIDAK</v>
          </cell>
          <cell r="H70" t="str">
            <v>BISA</v>
          </cell>
          <cell r="I70" t="str">
            <v>PRIORITAS DANA</v>
          </cell>
        </row>
        <row r="71">
          <cell r="A71">
            <v>92582</v>
          </cell>
          <cell r="B71" t="str">
            <v xml:space="preserve">Agnes Ruwintyas Putri </v>
          </cell>
          <cell r="C71">
            <v>164</v>
          </cell>
          <cell r="D71" t="str">
            <v>SAPHIRE</v>
          </cell>
          <cell r="E71">
            <v>130</v>
          </cell>
          <cell r="F71">
            <v>34</v>
          </cell>
          <cell r="G71" t="str">
            <v>TIDAK</v>
          </cell>
          <cell r="H71" t="str">
            <v>BISA</v>
          </cell>
          <cell r="I71" t="str">
            <v>RVO</v>
          </cell>
        </row>
        <row r="72">
          <cell r="A72" t="str">
            <v>A0799</v>
          </cell>
          <cell r="B72" t="str">
            <v xml:space="preserve">Vivi Rizqi Hapsari </v>
          </cell>
          <cell r="C72">
            <v>246</v>
          </cell>
          <cell r="D72" t="str">
            <v>SAPHIRE</v>
          </cell>
          <cell r="E72">
            <v>195</v>
          </cell>
          <cell r="F72">
            <v>51</v>
          </cell>
          <cell r="G72" t="str">
            <v>TIDAK</v>
          </cell>
          <cell r="H72" t="str">
            <v>BISA</v>
          </cell>
          <cell r="I72" t="str">
            <v>RVO</v>
          </cell>
        </row>
        <row r="73">
          <cell r="A73" t="str">
            <v>A0061</v>
          </cell>
          <cell r="B73" t="str">
            <v>RIZKI HERMANSYAH</v>
          </cell>
          <cell r="C73">
            <v>358</v>
          </cell>
          <cell r="D73" t="str">
            <v>SAPHIRE</v>
          </cell>
          <cell r="E73">
            <v>330</v>
          </cell>
          <cell r="F73">
            <v>28</v>
          </cell>
          <cell r="G73" t="str">
            <v>TIDAK</v>
          </cell>
          <cell r="H73" t="str">
            <v>BISA</v>
          </cell>
          <cell r="I73" t="str">
            <v>RVO</v>
          </cell>
        </row>
        <row r="74">
          <cell r="A74">
            <v>92112</v>
          </cell>
          <cell r="B74" t="str">
            <v>Yudha Dwi Yulianto</v>
          </cell>
          <cell r="C74">
            <v>242</v>
          </cell>
          <cell r="D74" t="str">
            <v>SAPHIRE</v>
          </cell>
          <cell r="E74">
            <v>195</v>
          </cell>
          <cell r="F74">
            <v>47</v>
          </cell>
          <cell r="G74" t="str">
            <v>TIDAK</v>
          </cell>
          <cell r="H74" t="str">
            <v>BISA</v>
          </cell>
          <cell r="I74" t="str">
            <v>RVO</v>
          </cell>
        </row>
        <row r="75">
          <cell r="A75" t="str">
            <v>A3776</v>
          </cell>
          <cell r="B75" t="str">
            <v>Owena Zaneta Yogaswari</v>
          </cell>
          <cell r="C75">
            <v>307</v>
          </cell>
          <cell r="D75" t="str">
            <v>SAPHIRE</v>
          </cell>
          <cell r="E75">
            <v>265</v>
          </cell>
          <cell r="F75">
            <v>42</v>
          </cell>
          <cell r="G75" t="str">
            <v>TIDAK</v>
          </cell>
          <cell r="H75" t="str">
            <v>BISA</v>
          </cell>
          <cell r="I75" t="str">
            <v>RVO</v>
          </cell>
        </row>
        <row r="76">
          <cell r="A76">
            <v>92403</v>
          </cell>
          <cell r="B76" t="str">
            <v>Aulia Ashfahani</v>
          </cell>
          <cell r="C76">
            <v>382</v>
          </cell>
          <cell r="D76" t="str">
            <v>SAPHIRE</v>
          </cell>
          <cell r="E76">
            <v>330</v>
          </cell>
          <cell r="F76">
            <v>52</v>
          </cell>
          <cell r="G76" t="str">
            <v>TIDAK</v>
          </cell>
          <cell r="H76" t="str">
            <v>BISA</v>
          </cell>
          <cell r="I76" t="str">
            <v>RVO</v>
          </cell>
        </row>
        <row r="77">
          <cell r="A77" t="str">
            <v>A3437</v>
          </cell>
          <cell r="B77" t="str">
            <v>Yohana Claudia</v>
          </cell>
          <cell r="C77">
            <v>71</v>
          </cell>
          <cell r="D77" t="str">
            <v>SAPHIRE</v>
          </cell>
          <cell r="E77">
            <v>65</v>
          </cell>
          <cell r="F77">
            <v>6</v>
          </cell>
          <cell r="G77" t="str">
            <v>TIDAK</v>
          </cell>
          <cell r="H77" t="str">
            <v>BISA</v>
          </cell>
          <cell r="I77" t="str">
            <v>RVO</v>
          </cell>
        </row>
        <row r="78">
          <cell r="A78" t="str">
            <v>A2289</v>
          </cell>
          <cell r="B78" t="str">
            <v>Fijar Sintata</v>
          </cell>
          <cell r="C78">
            <v>118</v>
          </cell>
          <cell r="D78" t="str">
            <v>SAPHIRE</v>
          </cell>
          <cell r="E78">
            <v>65</v>
          </cell>
          <cell r="F78">
            <v>53</v>
          </cell>
          <cell r="G78" t="str">
            <v>TIDAK</v>
          </cell>
          <cell r="H78" t="str">
            <v>BISA</v>
          </cell>
          <cell r="I78" t="str">
            <v>RVO</v>
          </cell>
        </row>
        <row r="79">
          <cell r="A79">
            <v>92213</v>
          </cell>
          <cell r="B79" t="str">
            <v>Agung Pambudi</v>
          </cell>
          <cell r="C79">
            <v>115</v>
          </cell>
          <cell r="D79" t="str">
            <v>SAPHIRE</v>
          </cell>
          <cell r="E79">
            <v>65</v>
          </cell>
          <cell r="F79">
            <v>50</v>
          </cell>
          <cell r="G79" t="str">
            <v>TIDAK</v>
          </cell>
          <cell r="H79" t="str">
            <v>BISA</v>
          </cell>
          <cell r="I79" t="str">
            <v>RVO</v>
          </cell>
        </row>
        <row r="80">
          <cell r="A80" t="str">
            <v>A2447</v>
          </cell>
          <cell r="B80" t="str">
            <v>Sufyan Hanif A</v>
          </cell>
          <cell r="C80">
            <v>329</v>
          </cell>
          <cell r="D80" t="str">
            <v>SAPHIRE</v>
          </cell>
          <cell r="E80">
            <v>265</v>
          </cell>
          <cell r="F80">
            <v>64</v>
          </cell>
          <cell r="G80" t="str">
            <v>TIDAK</v>
          </cell>
          <cell r="H80" t="str">
            <v>BISA</v>
          </cell>
          <cell r="I80" t="str">
            <v>RVO</v>
          </cell>
        </row>
        <row r="81">
          <cell r="A81" t="str">
            <v>A4333</v>
          </cell>
          <cell r="B81" t="str">
            <v>Galuh Safitri</v>
          </cell>
          <cell r="C81">
            <v>76</v>
          </cell>
          <cell r="D81" t="str">
            <v>SAPHIRE</v>
          </cell>
          <cell r="E81">
            <v>65</v>
          </cell>
          <cell r="F81">
            <v>11</v>
          </cell>
          <cell r="G81" t="str">
            <v>TIDAK</v>
          </cell>
          <cell r="H81" t="str">
            <v>BISA</v>
          </cell>
          <cell r="I81" t="str">
            <v>RVO</v>
          </cell>
        </row>
        <row r="82">
          <cell r="A82">
            <v>90374</v>
          </cell>
          <cell r="B82" t="str">
            <v>AISYAH DINDA WAHYUNINGSIH</v>
          </cell>
          <cell r="C82">
            <v>445</v>
          </cell>
          <cell r="D82" t="str">
            <v>EMERALD</v>
          </cell>
          <cell r="E82">
            <v>395</v>
          </cell>
          <cell r="F82">
            <v>50</v>
          </cell>
          <cell r="G82" t="str">
            <v>TIDAK</v>
          </cell>
          <cell r="H82" t="str">
            <v>BISA</v>
          </cell>
          <cell r="I82" t="str">
            <v>RVO</v>
          </cell>
        </row>
        <row r="83">
          <cell r="A83">
            <v>92600</v>
          </cell>
          <cell r="B83" t="str">
            <v>EVELINA WIDODO</v>
          </cell>
          <cell r="C83">
            <v>443</v>
          </cell>
          <cell r="D83" t="str">
            <v>EMERALD</v>
          </cell>
          <cell r="E83">
            <v>390</v>
          </cell>
          <cell r="F83">
            <v>53</v>
          </cell>
          <cell r="G83" t="str">
            <v>TIDAK</v>
          </cell>
          <cell r="H83" t="str">
            <v>BISA</v>
          </cell>
          <cell r="I83" t="str">
            <v>RVO</v>
          </cell>
        </row>
        <row r="84">
          <cell r="A84">
            <v>92511</v>
          </cell>
          <cell r="B84" t="str">
            <v>Jeni Brian Pratiwi</v>
          </cell>
          <cell r="C84">
            <v>225</v>
          </cell>
          <cell r="D84" t="str">
            <v>SAPHIRE</v>
          </cell>
          <cell r="E84">
            <v>200</v>
          </cell>
          <cell r="F84">
            <v>25</v>
          </cell>
          <cell r="G84" t="str">
            <v>TIDAK</v>
          </cell>
          <cell r="H84" t="str">
            <v>BISA</v>
          </cell>
          <cell r="I84" t="str">
            <v>RVO</v>
          </cell>
        </row>
        <row r="85">
          <cell r="A85">
            <v>92356</v>
          </cell>
          <cell r="B85" t="str">
            <v>LIA FIRLIANA</v>
          </cell>
          <cell r="C85">
            <v>241</v>
          </cell>
          <cell r="D85" t="str">
            <v>SAPHIRE</v>
          </cell>
          <cell r="E85">
            <v>195</v>
          </cell>
          <cell r="F85">
            <v>46</v>
          </cell>
          <cell r="G85" t="str">
            <v>TIDAK</v>
          </cell>
          <cell r="H85" t="str">
            <v>BISA</v>
          </cell>
          <cell r="I85" t="str">
            <v>RVO</v>
          </cell>
        </row>
        <row r="86">
          <cell r="A86">
            <v>92699</v>
          </cell>
          <cell r="B86" t="str">
            <v>AHMAD IRFAI</v>
          </cell>
          <cell r="C86">
            <v>181</v>
          </cell>
          <cell r="D86" t="str">
            <v>SAPHIRE</v>
          </cell>
          <cell r="E86">
            <v>130</v>
          </cell>
          <cell r="F86">
            <v>51</v>
          </cell>
          <cell r="G86" t="str">
            <v>TIDAK</v>
          </cell>
          <cell r="H86" t="str">
            <v>BISA</v>
          </cell>
          <cell r="I86" t="str">
            <v>RVO</v>
          </cell>
        </row>
        <row r="87">
          <cell r="A87" t="str">
            <v>A0046</v>
          </cell>
          <cell r="B87" t="str">
            <v>ALI WAFA</v>
          </cell>
          <cell r="C87">
            <v>302</v>
          </cell>
          <cell r="D87" t="str">
            <v>SAPHIRE</v>
          </cell>
          <cell r="E87">
            <v>260</v>
          </cell>
          <cell r="F87">
            <v>42</v>
          </cell>
          <cell r="G87" t="str">
            <v>TIDAK</v>
          </cell>
          <cell r="H87" t="str">
            <v>BISA</v>
          </cell>
          <cell r="I87" t="str">
            <v>RVO</v>
          </cell>
        </row>
        <row r="88">
          <cell r="A88" t="str">
            <v>A0045</v>
          </cell>
          <cell r="B88" t="str">
            <v>Muhammad Afif Naufal Fadhilah</v>
          </cell>
          <cell r="C88">
            <v>351</v>
          </cell>
          <cell r="D88" t="str">
            <v>SAPHIRE</v>
          </cell>
          <cell r="E88">
            <v>330</v>
          </cell>
          <cell r="F88">
            <v>21</v>
          </cell>
          <cell r="G88" t="str">
            <v>TIDAK</v>
          </cell>
          <cell r="H88" t="str">
            <v>BISA</v>
          </cell>
          <cell r="I88" t="str">
            <v>RVO</v>
          </cell>
        </row>
        <row r="89">
          <cell r="A89">
            <v>92737</v>
          </cell>
          <cell r="B89" t="str">
            <v xml:space="preserve">Tiara Sonya Pitaloka </v>
          </cell>
          <cell r="C89">
            <v>303</v>
          </cell>
          <cell r="D89" t="str">
            <v>SAPHIRE</v>
          </cell>
          <cell r="E89">
            <v>260</v>
          </cell>
          <cell r="F89">
            <v>43</v>
          </cell>
          <cell r="G89" t="str">
            <v>TIDAK</v>
          </cell>
          <cell r="H89" t="str">
            <v>BISA</v>
          </cell>
          <cell r="I89" t="str">
            <v>RVO</v>
          </cell>
        </row>
        <row r="90">
          <cell r="A90" t="str">
            <v>A3576</v>
          </cell>
          <cell r="B90" t="str">
            <v>Yonatan Adi Saputro</v>
          </cell>
          <cell r="C90">
            <v>219</v>
          </cell>
          <cell r="D90" t="str">
            <v>SAPHIRE</v>
          </cell>
          <cell r="E90">
            <v>200</v>
          </cell>
          <cell r="F90">
            <v>19</v>
          </cell>
          <cell r="G90" t="str">
            <v>TIDAK</v>
          </cell>
          <cell r="H90" t="str">
            <v>BISA</v>
          </cell>
          <cell r="I90" t="str">
            <v>RVO</v>
          </cell>
        </row>
        <row r="91">
          <cell r="A91">
            <v>92740</v>
          </cell>
          <cell r="B91" t="str">
            <v>Fani Rahmawati</v>
          </cell>
          <cell r="C91">
            <v>123</v>
          </cell>
          <cell r="D91" t="str">
            <v>SAPHIRE</v>
          </cell>
          <cell r="E91">
            <v>65</v>
          </cell>
          <cell r="F91">
            <v>58</v>
          </cell>
          <cell r="G91" t="str">
            <v>TIDAK</v>
          </cell>
          <cell r="H91" t="str">
            <v>BISA</v>
          </cell>
          <cell r="I91" t="str">
            <v>RVO</v>
          </cell>
        </row>
        <row r="92">
          <cell r="A92" t="str">
            <v>A0088</v>
          </cell>
          <cell r="B92" t="str">
            <v>OGI SHOFIA EKA ANISIA</v>
          </cell>
          <cell r="C92">
            <v>257</v>
          </cell>
          <cell r="D92" t="str">
            <v>SAPHIRE</v>
          </cell>
          <cell r="E92">
            <v>195</v>
          </cell>
          <cell r="F92">
            <v>62</v>
          </cell>
          <cell r="G92" t="str">
            <v>TIDAK</v>
          </cell>
          <cell r="H92" t="str">
            <v>BISA</v>
          </cell>
          <cell r="I92" t="str">
            <v>RVO</v>
          </cell>
        </row>
        <row r="93">
          <cell r="A93">
            <v>92436</v>
          </cell>
          <cell r="B93" t="str">
            <v>Gilang Wiradana</v>
          </cell>
          <cell r="C93">
            <v>317</v>
          </cell>
          <cell r="D93" t="str">
            <v>SAPHIRE</v>
          </cell>
          <cell r="E93">
            <v>260</v>
          </cell>
          <cell r="F93">
            <v>57</v>
          </cell>
          <cell r="G93" t="str">
            <v>TIDAK</v>
          </cell>
          <cell r="H93" t="str">
            <v>BISA</v>
          </cell>
          <cell r="I93" t="str">
            <v>RVO</v>
          </cell>
        </row>
        <row r="94">
          <cell r="A94">
            <v>92594</v>
          </cell>
          <cell r="B94" t="str">
            <v>Bryan Juliano Imantaka</v>
          </cell>
          <cell r="C94">
            <v>374</v>
          </cell>
          <cell r="D94" t="str">
            <v>SAPHIRE</v>
          </cell>
          <cell r="E94">
            <v>325</v>
          </cell>
          <cell r="F94">
            <v>49</v>
          </cell>
          <cell r="G94" t="str">
            <v>TIDAK</v>
          </cell>
          <cell r="H94" t="str">
            <v>BISA</v>
          </cell>
          <cell r="I94" t="str">
            <v>RVO</v>
          </cell>
        </row>
        <row r="95">
          <cell r="A95" t="str">
            <v>A2976</v>
          </cell>
          <cell r="B95" t="str">
            <v>INTAN FIFIANA</v>
          </cell>
          <cell r="C95">
            <v>601</v>
          </cell>
          <cell r="D95" t="str">
            <v>EMERALD</v>
          </cell>
          <cell r="E95">
            <v>595</v>
          </cell>
          <cell r="F95">
            <v>6</v>
          </cell>
          <cell r="G95" t="str">
            <v>TIDAK</v>
          </cell>
          <cell r="H95" t="str">
            <v>BISA</v>
          </cell>
          <cell r="I95" t="str">
            <v>SBPV</v>
          </cell>
        </row>
        <row r="96">
          <cell r="A96" t="str">
            <v>A4315</v>
          </cell>
          <cell r="B96" t="str">
            <v>Widia Sijabat</v>
          </cell>
          <cell r="C96">
            <v>83</v>
          </cell>
          <cell r="D96" t="str">
            <v>SAPHIRE</v>
          </cell>
          <cell r="E96">
            <v>65</v>
          </cell>
          <cell r="F96">
            <v>18</v>
          </cell>
          <cell r="G96" t="str">
            <v>TIDAK</v>
          </cell>
          <cell r="H96" t="str">
            <v>BISA</v>
          </cell>
          <cell r="I96" t="str">
            <v>SBPV</v>
          </cell>
        </row>
        <row r="97">
          <cell r="A97" t="str">
            <v>a4313</v>
          </cell>
          <cell r="B97" t="str">
            <v>Vidya Kalingga Murti</v>
          </cell>
          <cell r="C97">
            <v>103</v>
          </cell>
          <cell r="D97" t="str">
            <v>SAPHIRE</v>
          </cell>
          <cell r="E97">
            <v>65</v>
          </cell>
          <cell r="F97">
            <v>38</v>
          </cell>
          <cell r="G97" t="str">
            <v>TIDAK</v>
          </cell>
          <cell r="H97" t="str">
            <v>BISA</v>
          </cell>
          <cell r="I97" t="str">
            <v>SBPV</v>
          </cell>
        </row>
        <row r="98">
          <cell r="A98" t="str">
            <v>A0177</v>
          </cell>
          <cell r="B98" t="str">
            <v>YUNITA NUSWANTARI WIRATNA</v>
          </cell>
          <cell r="C98">
            <v>245</v>
          </cell>
          <cell r="D98" t="str">
            <v>SAPHIRE</v>
          </cell>
          <cell r="E98">
            <v>195</v>
          </cell>
          <cell r="F98">
            <v>50</v>
          </cell>
          <cell r="G98" t="str">
            <v>TIDAK</v>
          </cell>
          <cell r="H98" t="str">
            <v>BISA</v>
          </cell>
          <cell r="I98" t="str">
            <v>SBPV</v>
          </cell>
        </row>
        <row r="99">
          <cell r="A99" t="str">
            <v>A2385</v>
          </cell>
          <cell r="B99" t="str">
            <v>Pungki irawan</v>
          </cell>
          <cell r="C99">
            <v>347</v>
          </cell>
          <cell r="D99" t="str">
            <v>SAPHIRE</v>
          </cell>
          <cell r="E99">
            <v>330</v>
          </cell>
          <cell r="F99">
            <v>17</v>
          </cell>
          <cell r="G99" t="str">
            <v>TIDAK</v>
          </cell>
          <cell r="H99" t="str">
            <v>BISA</v>
          </cell>
          <cell r="I99" t="str">
            <v>SBPV</v>
          </cell>
        </row>
        <row r="100">
          <cell r="A100" t="str">
            <v>A1400</v>
          </cell>
          <cell r="B100" t="str">
            <v>Puji Setyo Hari</v>
          </cell>
          <cell r="C100">
            <v>144</v>
          </cell>
          <cell r="D100" t="str">
            <v>SAPHIRE</v>
          </cell>
          <cell r="E100">
            <v>135</v>
          </cell>
          <cell r="F100">
            <v>9</v>
          </cell>
          <cell r="G100" t="str">
            <v>TIDAK</v>
          </cell>
          <cell r="H100" t="str">
            <v>BISA</v>
          </cell>
          <cell r="I100" t="str">
            <v>TECHNO CENTER</v>
          </cell>
        </row>
        <row r="101">
          <cell r="A101" t="str">
            <v>A3864</v>
          </cell>
          <cell r="B101" t="str">
            <v>William Christian Santoso</v>
          </cell>
          <cell r="C101">
            <v>78</v>
          </cell>
          <cell r="D101" t="str">
            <v>SAPHIRE</v>
          </cell>
          <cell r="E101">
            <v>65</v>
          </cell>
          <cell r="F101">
            <v>13</v>
          </cell>
          <cell r="G101" t="str">
            <v>TIDAK</v>
          </cell>
          <cell r="H101" t="str">
            <v>BISA</v>
          </cell>
          <cell r="I101" t="str">
            <v>TECHNO CENTER</v>
          </cell>
        </row>
        <row r="102">
          <cell r="A102" t="str">
            <v>A2852</v>
          </cell>
          <cell r="B102" t="str">
            <v xml:space="preserve">Surya Aji Pratama </v>
          </cell>
          <cell r="C102">
            <v>168</v>
          </cell>
          <cell r="D102" t="str">
            <v>SAPHIRE</v>
          </cell>
          <cell r="E102">
            <v>130</v>
          </cell>
          <cell r="F102">
            <v>38</v>
          </cell>
          <cell r="G102" t="str">
            <v>TIDAK</v>
          </cell>
          <cell r="H102" t="str">
            <v>BISA</v>
          </cell>
          <cell r="I102" t="str">
            <v>TECHNO CENTER</v>
          </cell>
        </row>
        <row r="103">
          <cell r="A103">
            <v>90987</v>
          </cell>
          <cell r="B103" t="str">
            <v>Putri Sri Prikustyowati</v>
          </cell>
          <cell r="C103">
            <v>66</v>
          </cell>
          <cell r="D103" t="str">
            <v>SAPHIRE</v>
          </cell>
          <cell r="E103">
            <v>65</v>
          </cell>
          <cell r="F103">
            <v>1</v>
          </cell>
          <cell r="G103" t="str">
            <v>TIDAK</v>
          </cell>
          <cell r="H103" t="str">
            <v>BISA</v>
          </cell>
          <cell r="I103" t="str">
            <v>TECHNO CENTER</v>
          </cell>
        </row>
        <row r="104">
          <cell r="A104" t="str">
            <v>A1573</v>
          </cell>
          <cell r="B104" t="str">
            <v>Niken Regina Yojana</v>
          </cell>
          <cell r="C104">
            <v>104</v>
          </cell>
          <cell r="D104" t="str">
            <v>SAPHIRE</v>
          </cell>
          <cell r="E104">
            <v>65</v>
          </cell>
          <cell r="F104">
            <v>39</v>
          </cell>
          <cell r="G104" t="str">
            <v>TIDAK</v>
          </cell>
          <cell r="H104" t="str">
            <v>BISA</v>
          </cell>
          <cell r="I104" t="str">
            <v>TECHNO CENTER</v>
          </cell>
        </row>
        <row r="105">
          <cell r="A105" t="str">
            <v>A3850</v>
          </cell>
          <cell r="B105" t="str">
            <v>Edwin Mahendra</v>
          </cell>
          <cell r="C105">
            <v>110</v>
          </cell>
          <cell r="D105" t="str">
            <v>SAPHIRE</v>
          </cell>
          <cell r="E105">
            <v>65</v>
          </cell>
          <cell r="F105">
            <v>45</v>
          </cell>
          <cell r="G105" t="str">
            <v>TIDAK</v>
          </cell>
          <cell r="H105" t="str">
            <v>BISA</v>
          </cell>
          <cell r="I105" t="str">
            <v>TECHNO CENTER</v>
          </cell>
        </row>
        <row r="106">
          <cell r="A106" t="str">
            <v>A3848</v>
          </cell>
          <cell r="B106" t="str">
            <v>Bagas Adytia Budianto</v>
          </cell>
          <cell r="C106">
            <v>168</v>
          </cell>
          <cell r="D106" t="str">
            <v>SAPHIRE</v>
          </cell>
          <cell r="E106">
            <v>130</v>
          </cell>
          <cell r="F106">
            <v>38</v>
          </cell>
          <cell r="G106" t="str">
            <v>TIDAK</v>
          </cell>
          <cell r="H106" t="str">
            <v>BISA</v>
          </cell>
          <cell r="I106" t="str">
            <v>TECHNO CENTER</v>
          </cell>
        </row>
        <row r="107">
          <cell r="A107">
            <v>91896</v>
          </cell>
          <cell r="B107" t="str">
            <v>Ruben Coda Sofiq Indonesiawan</v>
          </cell>
          <cell r="C107">
            <v>238</v>
          </cell>
          <cell r="D107" t="str">
            <v>SAPHIRE</v>
          </cell>
          <cell r="E107">
            <v>195</v>
          </cell>
          <cell r="F107">
            <v>43</v>
          </cell>
          <cell r="G107" t="str">
            <v>TIDAK</v>
          </cell>
          <cell r="H107" t="str">
            <v>BISA</v>
          </cell>
          <cell r="I107" t="str">
            <v>TECHNO CENTER</v>
          </cell>
        </row>
        <row r="108">
          <cell r="A108" t="str">
            <v>A3507</v>
          </cell>
          <cell r="B108" t="str">
            <v>Gilang Irfansyah</v>
          </cell>
          <cell r="C108">
            <v>336</v>
          </cell>
          <cell r="D108" t="str">
            <v>SAPHIRE</v>
          </cell>
          <cell r="E108">
            <v>325</v>
          </cell>
          <cell r="F108">
            <v>11</v>
          </cell>
          <cell r="G108" t="str">
            <v>TIDAK</v>
          </cell>
          <cell r="H108" t="str">
            <v>BISA</v>
          </cell>
          <cell r="I108" t="str">
            <v>TECHNO CENTER</v>
          </cell>
        </row>
        <row r="109">
          <cell r="A109" t="str">
            <v>A2848</v>
          </cell>
          <cell r="B109" t="str">
            <v>Patricia Meta Pudya Astari</v>
          </cell>
          <cell r="C109">
            <v>236</v>
          </cell>
          <cell r="D109" t="str">
            <v>SAPHIRE</v>
          </cell>
          <cell r="E109">
            <v>200</v>
          </cell>
          <cell r="F109">
            <v>36</v>
          </cell>
          <cell r="G109" t="str">
            <v>TIDAK</v>
          </cell>
          <cell r="H109" t="str">
            <v>BISA</v>
          </cell>
          <cell r="I109" t="str">
            <v>TECHNO CENTER</v>
          </cell>
        </row>
        <row r="110">
          <cell r="A110" t="str">
            <v>A3853</v>
          </cell>
          <cell r="B110" t="str">
            <v>Imanuel Vicky Sanjaya</v>
          </cell>
          <cell r="C110">
            <v>90</v>
          </cell>
          <cell r="D110" t="str">
            <v>SAPHIRE</v>
          </cell>
          <cell r="E110">
            <v>65</v>
          </cell>
          <cell r="F110">
            <v>25</v>
          </cell>
          <cell r="G110" t="str">
            <v>TIDAK</v>
          </cell>
          <cell r="H110" t="str">
            <v>BISA</v>
          </cell>
          <cell r="I110" t="str">
            <v>TECHNO CENTER</v>
          </cell>
        </row>
        <row r="111">
          <cell r="A111">
            <v>91934</v>
          </cell>
          <cell r="B111" t="str">
            <v>Putu Yogie Ayu Nirmala</v>
          </cell>
          <cell r="C111">
            <v>220</v>
          </cell>
          <cell r="D111" t="str">
            <v>SAPHIRE</v>
          </cell>
          <cell r="E111">
            <v>130</v>
          </cell>
          <cell r="F111">
            <v>90</v>
          </cell>
          <cell r="G111" t="str">
            <v>TIDAK</v>
          </cell>
          <cell r="H111" t="str">
            <v>BISA</v>
          </cell>
          <cell r="I111" t="str">
            <v>TECHNO CENTER</v>
          </cell>
        </row>
        <row r="112">
          <cell r="A112" t="str">
            <v>A2838</v>
          </cell>
          <cell r="B112" t="str">
            <v>Daniel Renato Marlen</v>
          </cell>
          <cell r="C112">
            <v>246</v>
          </cell>
          <cell r="D112" t="str">
            <v>SAPHIRE</v>
          </cell>
          <cell r="E112">
            <v>195</v>
          </cell>
          <cell r="F112">
            <v>51</v>
          </cell>
          <cell r="G112" t="str">
            <v>TIDAK</v>
          </cell>
          <cell r="H112" t="str">
            <v>BISA</v>
          </cell>
          <cell r="I112" t="str">
            <v>TECHNO CENTER</v>
          </cell>
        </row>
        <row r="113">
          <cell r="A113" t="str">
            <v>A3682</v>
          </cell>
          <cell r="B113" t="str">
            <v>Jessica Maharani Ananda Putri</v>
          </cell>
          <cell r="C113">
            <v>421</v>
          </cell>
          <cell r="D113" t="str">
            <v>SAPHIRE</v>
          </cell>
          <cell r="E113">
            <v>390</v>
          </cell>
          <cell r="F113">
            <v>31</v>
          </cell>
          <cell r="G113" t="str">
            <v>TIDAK</v>
          </cell>
          <cell r="H113" t="str">
            <v>BISA</v>
          </cell>
          <cell r="I113" t="str">
            <v>TEMA C1</v>
          </cell>
        </row>
        <row r="114">
          <cell r="A114" t="str">
            <v>A4138</v>
          </cell>
          <cell r="B114" t="str">
            <v>DIAN KRISTINA</v>
          </cell>
          <cell r="C114">
            <v>194</v>
          </cell>
          <cell r="D114" t="str">
            <v>SAPHIRE</v>
          </cell>
          <cell r="E114">
            <v>130</v>
          </cell>
          <cell r="F114">
            <v>64</v>
          </cell>
          <cell r="G114" t="str">
            <v>TIDAK</v>
          </cell>
          <cell r="H114" t="str">
            <v>BISA</v>
          </cell>
          <cell r="I114" t="str">
            <v>TEMA C1</v>
          </cell>
        </row>
        <row r="115">
          <cell r="A115" t="str">
            <v>A3742</v>
          </cell>
          <cell r="B115" t="str">
            <v xml:space="preserve">IRENE KIREN KESYA MAGANG </v>
          </cell>
          <cell r="C115">
            <v>302</v>
          </cell>
          <cell r="D115" t="str">
            <v>SAPHIRE</v>
          </cell>
          <cell r="E115">
            <v>260</v>
          </cell>
          <cell r="F115">
            <v>42</v>
          </cell>
          <cell r="G115" t="str">
            <v>TIDAK</v>
          </cell>
          <cell r="H115" t="str">
            <v>BISA</v>
          </cell>
          <cell r="I115" t="str">
            <v>TEMA C1</v>
          </cell>
        </row>
        <row r="116">
          <cell r="A116" t="str">
            <v>A0417</v>
          </cell>
          <cell r="B116" t="str">
            <v xml:space="preserve">Nur afifah </v>
          </cell>
          <cell r="C116">
            <v>442</v>
          </cell>
          <cell r="D116" t="str">
            <v>EMERALD</v>
          </cell>
          <cell r="E116">
            <v>390</v>
          </cell>
          <cell r="F116">
            <v>52</v>
          </cell>
          <cell r="G116" t="str">
            <v>TIDAK</v>
          </cell>
          <cell r="H116" t="str">
            <v>BISA</v>
          </cell>
          <cell r="I116" t="str">
            <v>TEMA C1</v>
          </cell>
        </row>
        <row r="117">
          <cell r="A117" t="str">
            <v>A3736</v>
          </cell>
          <cell r="B117" t="str">
            <v>WAHYU VANCE VELLY BRIAN MARGARETTA</v>
          </cell>
          <cell r="C117">
            <v>153</v>
          </cell>
          <cell r="D117" t="str">
            <v>SAPHIRE</v>
          </cell>
          <cell r="E117">
            <v>130</v>
          </cell>
          <cell r="F117">
            <v>23</v>
          </cell>
          <cell r="G117" t="str">
            <v>TIDAK</v>
          </cell>
          <cell r="H117" t="str">
            <v>BISA</v>
          </cell>
          <cell r="I117" t="str">
            <v>TEMA C1</v>
          </cell>
        </row>
        <row r="118">
          <cell r="A118" t="str">
            <v>A4137</v>
          </cell>
          <cell r="B118" t="str">
            <v>Misyella Fanny Christiani</v>
          </cell>
          <cell r="C118">
            <v>147</v>
          </cell>
          <cell r="D118" t="str">
            <v>SAPHIRE</v>
          </cell>
          <cell r="E118">
            <v>130</v>
          </cell>
          <cell r="F118">
            <v>17</v>
          </cell>
          <cell r="G118" t="str">
            <v>TIDAK</v>
          </cell>
          <cell r="H118" t="str">
            <v>BISA</v>
          </cell>
          <cell r="I118" t="str">
            <v>TEMA C1</v>
          </cell>
        </row>
        <row r="119">
          <cell r="A119" t="str">
            <v>A3823</v>
          </cell>
          <cell r="B119" t="str">
            <v xml:space="preserve">Ayu Enjelina Sitompul </v>
          </cell>
          <cell r="C119">
            <v>169</v>
          </cell>
          <cell r="D119" t="str">
            <v>SAPHIRE</v>
          </cell>
          <cell r="E119">
            <v>130</v>
          </cell>
          <cell r="F119">
            <v>39</v>
          </cell>
          <cell r="G119" t="str">
            <v>TIDAK</v>
          </cell>
          <cell r="H119" t="str">
            <v>BISA</v>
          </cell>
          <cell r="I119" t="str">
            <v>TEMA C1</v>
          </cell>
        </row>
        <row r="120">
          <cell r="A120" t="str">
            <v>A1305</v>
          </cell>
          <cell r="B120" t="str">
            <v xml:space="preserve">Hanifah Duwi Amalia </v>
          </cell>
          <cell r="C120">
            <v>194</v>
          </cell>
          <cell r="D120" t="str">
            <v>SAPHIRE</v>
          </cell>
          <cell r="E120">
            <v>135</v>
          </cell>
          <cell r="F120">
            <v>59</v>
          </cell>
          <cell r="G120" t="str">
            <v>TIDAK</v>
          </cell>
          <cell r="H120" t="str">
            <v>BISA</v>
          </cell>
          <cell r="I120" t="str">
            <v>TEMA C2</v>
          </cell>
        </row>
        <row r="121">
          <cell r="A121" t="str">
            <v>A4320</v>
          </cell>
          <cell r="B121" t="str">
            <v>Carina Moniq Anadella</v>
          </cell>
          <cell r="C121">
            <v>113</v>
          </cell>
          <cell r="D121" t="str">
            <v>SAPHIRE</v>
          </cell>
          <cell r="E121">
            <v>65</v>
          </cell>
          <cell r="F121">
            <v>48</v>
          </cell>
          <cell r="G121" t="str">
            <v>TIDAK</v>
          </cell>
          <cell r="H121" t="str">
            <v>BISA</v>
          </cell>
          <cell r="I121" t="str">
            <v>TEMA C2</v>
          </cell>
        </row>
        <row r="122">
          <cell r="A122" t="str">
            <v>A3514</v>
          </cell>
          <cell r="B122" t="str">
            <v xml:space="preserve">Alexsandre Dede </v>
          </cell>
          <cell r="C122">
            <v>411</v>
          </cell>
          <cell r="D122" t="str">
            <v>SAPHIRE</v>
          </cell>
          <cell r="E122">
            <v>395</v>
          </cell>
          <cell r="F122">
            <v>16</v>
          </cell>
          <cell r="G122" t="str">
            <v>TIDAK</v>
          </cell>
          <cell r="H122" t="str">
            <v>BISA</v>
          </cell>
          <cell r="I122" t="str">
            <v>TEMA C2</v>
          </cell>
        </row>
        <row r="123">
          <cell r="A123" t="str">
            <v>A3333</v>
          </cell>
          <cell r="B123" t="str">
            <v>Zefanya Noviana H</v>
          </cell>
          <cell r="C123">
            <v>368</v>
          </cell>
          <cell r="D123" t="str">
            <v>SAPHIRE</v>
          </cell>
          <cell r="E123">
            <v>325</v>
          </cell>
          <cell r="F123">
            <v>43</v>
          </cell>
          <cell r="G123" t="str">
            <v>TIDAK</v>
          </cell>
          <cell r="H123" t="str">
            <v>BISA</v>
          </cell>
          <cell r="I123" t="str">
            <v>TEMA C2</v>
          </cell>
        </row>
        <row r="124">
          <cell r="A124" t="str">
            <v>A4369</v>
          </cell>
          <cell r="B124" t="str">
            <v>Aulia Putri Wulandari</v>
          </cell>
          <cell r="C124">
            <v>67</v>
          </cell>
          <cell r="D124" t="str">
            <v>SAPHIRE</v>
          </cell>
          <cell r="E124">
            <v>65</v>
          </cell>
          <cell r="F124">
            <v>2</v>
          </cell>
          <cell r="G124" t="str">
            <v>TIDAK</v>
          </cell>
          <cell r="H124" t="str">
            <v>BISA</v>
          </cell>
          <cell r="I124" t="str">
            <v>TEMA C2</v>
          </cell>
        </row>
        <row r="125">
          <cell r="A125" t="str">
            <v>A4363</v>
          </cell>
          <cell r="B125" t="str">
            <v xml:space="preserve">Rina Ika Lestari </v>
          </cell>
          <cell r="C125">
            <v>79</v>
          </cell>
          <cell r="D125" t="str">
            <v>SAPHIRE</v>
          </cell>
          <cell r="E125">
            <v>65</v>
          </cell>
          <cell r="F125">
            <v>14</v>
          </cell>
          <cell r="G125" t="str">
            <v>TIDAK</v>
          </cell>
          <cell r="H125" t="str">
            <v>BISA</v>
          </cell>
          <cell r="I125" t="str">
            <v>TEMA C2</v>
          </cell>
        </row>
        <row r="126">
          <cell r="A126" t="str">
            <v>A1428</v>
          </cell>
          <cell r="B126" t="str">
            <v>Rifka Ayu Pradita</v>
          </cell>
          <cell r="C126">
            <v>110</v>
          </cell>
          <cell r="D126" t="str">
            <v>SAPHIRE</v>
          </cell>
          <cell r="E126">
            <v>65</v>
          </cell>
          <cell r="F126">
            <v>45</v>
          </cell>
          <cell r="G126" t="str">
            <v>TIDAK</v>
          </cell>
          <cell r="H126" t="str">
            <v>BISA</v>
          </cell>
          <cell r="I126" t="str">
            <v>TEMA C2</v>
          </cell>
        </row>
        <row r="127">
          <cell r="A127" t="str">
            <v>A0707</v>
          </cell>
          <cell r="B127" t="str">
            <v>Naili Azka</v>
          </cell>
          <cell r="C127">
            <v>276</v>
          </cell>
          <cell r="D127" t="str">
            <v>SAPHIRE</v>
          </cell>
          <cell r="E127">
            <v>260</v>
          </cell>
          <cell r="F127">
            <v>16</v>
          </cell>
          <cell r="G127" t="str">
            <v>TIDAK</v>
          </cell>
          <cell r="H127" t="str">
            <v>BISA</v>
          </cell>
          <cell r="I127" t="str">
            <v>TEMA C2</v>
          </cell>
        </row>
        <row r="128">
          <cell r="A128" t="str">
            <v>A1117</v>
          </cell>
          <cell r="B128" t="str">
            <v xml:space="preserve">Ninda Rizqi Safitri </v>
          </cell>
          <cell r="C128">
            <v>273</v>
          </cell>
          <cell r="D128" t="str">
            <v>SAPHIRE</v>
          </cell>
          <cell r="E128">
            <v>265</v>
          </cell>
          <cell r="F128">
            <v>8</v>
          </cell>
          <cell r="G128" t="str">
            <v>TIDAK</v>
          </cell>
          <cell r="H128" t="str">
            <v>BISA</v>
          </cell>
          <cell r="I128" t="str">
            <v>TEMA C2</v>
          </cell>
        </row>
        <row r="129">
          <cell r="A129" t="str">
            <v>A0855</v>
          </cell>
          <cell r="B129" t="str">
            <v xml:space="preserve">Dwike Mutiara Rahmadani </v>
          </cell>
          <cell r="C129">
            <v>141</v>
          </cell>
          <cell r="D129" t="str">
            <v>SAPHIRE</v>
          </cell>
          <cell r="E129">
            <v>135</v>
          </cell>
          <cell r="F129">
            <v>6</v>
          </cell>
          <cell r="G129" t="str">
            <v>TIDAK</v>
          </cell>
          <cell r="H129" t="str">
            <v>BISA</v>
          </cell>
          <cell r="I129" t="str">
            <v>TEMA C2</v>
          </cell>
        </row>
        <row r="130">
          <cell r="A130" t="str">
            <v>A4273</v>
          </cell>
          <cell r="B130" t="str">
            <v>Ruth Tris Kristianti</v>
          </cell>
          <cell r="C130">
            <v>89</v>
          </cell>
          <cell r="D130" t="str">
            <v>SAPHIRE</v>
          </cell>
          <cell r="E130">
            <v>65</v>
          </cell>
          <cell r="F130">
            <v>24</v>
          </cell>
          <cell r="G130" t="str">
            <v>TIDAK</v>
          </cell>
          <cell r="H130" t="str">
            <v>BISA</v>
          </cell>
          <cell r="I130" t="str">
            <v>TEMA C2</v>
          </cell>
        </row>
        <row r="131">
          <cell r="A131">
            <v>92303</v>
          </cell>
          <cell r="B131" t="str">
            <v>KELVIN REVIDO HAFIDH SYAHPUTRA</v>
          </cell>
          <cell r="C131">
            <v>269</v>
          </cell>
          <cell r="D131" t="str">
            <v>SAPHIRE</v>
          </cell>
          <cell r="E131">
            <v>265</v>
          </cell>
          <cell r="F131">
            <v>4</v>
          </cell>
          <cell r="G131" t="str">
            <v>TIDAK</v>
          </cell>
          <cell r="H131" t="str">
            <v>BISA</v>
          </cell>
          <cell r="I131" t="str">
            <v>TEMA C2</v>
          </cell>
        </row>
        <row r="132">
          <cell r="A132" t="str">
            <v>A4326</v>
          </cell>
          <cell r="B132" t="str">
            <v>Astira Novantara</v>
          </cell>
          <cell r="C132">
            <v>129</v>
          </cell>
          <cell r="D132" t="str">
            <v>SAPHIRE</v>
          </cell>
          <cell r="E132">
            <v>65</v>
          </cell>
          <cell r="F132">
            <v>64</v>
          </cell>
          <cell r="G132" t="str">
            <v>TIDAK</v>
          </cell>
          <cell r="H132" t="str">
            <v>BISA</v>
          </cell>
          <cell r="I132" t="str">
            <v>TEMA C2</v>
          </cell>
        </row>
        <row r="133">
          <cell r="A133" t="str">
            <v>A2619</v>
          </cell>
          <cell r="B133" t="str">
            <v>Tedi Afriyanto</v>
          </cell>
          <cell r="C133">
            <v>131</v>
          </cell>
          <cell r="D133" t="str">
            <v>SAPHIRE</v>
          </cell>
          <cell r="E133">
            <v>130</v>
          </cell>
          <cell r="F133">
            <v>1</v>
          </cell>
          <cell r="G133" t="str">
            <v>TIDAK</v>
          </cell>
          <cell r="H133" t="str">
            <v>BISA</v>
          </cell>
          <cell r="I133" t="str">
            <v>TEMA C2</v>
          </cell>
        </row>
        <row r="134">
          <cell r="A134" t="str">
            <v>A4364</v>
          </cell>
          <cell r="B134" t="str">
            <v xml:space="preserve">Muhammad Raihandra </v>
          </cell>
          <cell r="C134">
            <v>96</v>
          </cell>
          <cell r="D134" t="str">
            <v>SAPHIRE</v>
          </cell>
          <cell r="E134">
            <v>65</v>
          </cell>
          <cell r="F134">
            <v>31</v>
          </cell>
          <cell r="G134" t="str">
            <v>TIDAK</v>
          </cell>
          <cell r="H134" t="str">
            <v>BISA</v>
          </cell>
          <cell r="I134" t="str">
            <v>TEMA C2</v>
          </cell>
        </row>
        <row r="135">
          <cell r="A135" t="str">
            <v>A1366</v>
          </cell>
          <cell r="B135" t="str">
            <v>Mifta Ul Ulum</v>
          </cell>
          <cell r="C135">
            <v>203</v>
          </cell>
          <cell r="D135" t="str">
            <v>SAPHIRE</v>
          </cell>
          <cell r="E135">
            <v>200</v>
          </cell>
          <cell r="F135">
            <v>3</v>
          </cell>
          <cell r="G135" t="str">
            <v>TIDAK</v>
          </cell>
          <cell r="H135" t="str">
            <v>BISA</v>
          </cell>
          <cell r="I135" t="str">
            <v>TEMA C2</v>
          </cell>
        </row>
        <row r="136">
          <cell r="A136" t="str">
            <v>A4024</v>
          </cell>
          <cell r="B136" t="str">
            <v xml:space="preserve">Fitria Nurul Anggraeni </v>
          </cell>
          <cell r="C136">
            <v>117</v>
          </cell>
          <cell r="D136" t="str">
            <v>SAPHIRE</v>
          </cell>
          <cell r="E136">
            <v>65</v>
          </cell>
          <cell r="F136">
            <v>52</v>
          </cell>
          <cell r="G136" t="str">
            <v>TIDAK</v>
          </cell>
          <cell r="H136" t="str">
            <v>BISA</v>
          </cell>
          <cell r="I136" t="str">
            <v>TEMA C2</v>
          </cell>
        </row>
        <row r="137">
          <cell r="A137" t="str">
            <v>A2604</v>
          </cell>
          <cell r="B137" t="str">
            <v>Yusridah Lubis</v>
          </cell>
          <cell r="C137">
            <v>169</v>
          </cell>
          <cell r="D137" t="str">
            <v>SAPHIRE</v>
          </cell>
          <cell r="E137">
            <v>130</v>
          </cell>
          <cell r="F137">
            <v>39</v>
          </cell>
          <cell r="G137" t="str">
            <v>TIDAK</v>
          </cell>
          <cell r="H137" t="str">
            <v>BISA</v>
          </cell>
          <cell r="I137" t="str">
            <v>TEMA C2</v>
          </cell>
        </row>
        <row r="138">
          <cell r="A138" t="str">
            <v>A2684</v>
          </cell>
          <cell r="B138" t="str">
            <v>DIMAS VERGIAWAN AFIAT</v>
          </cell>
          <cell r="C138">
            <v>157</v>
          </cell>
          <cell r="D138" t="str">
            <v>SAPHIRE</v>
          </cell>
          <cell r="E138">
            <v>130</v>
          </cell>
          <cell r="F138">
            <v>27</v>
          </cell>
          <cell r="G138" t="str">
            <v>TIDAK</v>
          </cell>
          <cell r="H138" t="str">
            <v>BISA</v>
          </cell>
          <cell r="I138" t="str">
            <v>TEMA C2</v>
          </cell>
        </row>
        <row r="139">
          <cell r="A139" t="str">
            <v>A1409</v>
          </cell>
          <cell r="B139" t="str">
            <v>Yuliana</v>
          </cell>
          <cell r="C139">
            <v>88</v>
          </cell>
          <cell r="D139" t="str">
            <v>SAPHIRE</v>
          </cell>
          <cell r="E139">
            <v>65</v>
          </cell>
          <cell r="F139">
            <v>23</v>
          </cell>
          <cell r="G139" t="str">
            <v>TIDAK</v>
          </cell>
          <cell r="H139" t="str">
            <v>BISA</v>
          </cell>
          <cell r="I139" t="str">
            <v>TEMA C2</v>
          </cell>
        </row>
        <row r="140">
          <cell r="A140" t="str">
            <v>A4324</v>
          </cell>
          <cell r="B140" t="str">
            <v>Maria Cesha Putriawan</v>
          </cell>
          <cell r="C140">
            <v>120</v>
          </cell>
          <cell r="D140" t="str">
            <v>SAPHIRE</v>
          </cell>
          <cell r="E140">
            <v>65</v>
          </cell>
          <cell r="F140">
            <v>55</v>
          </cell>
          <cell r="G140" t="str">
            <v>TIDAK</v>
          </cell>
          <cell r="H140" t="str">
            <v>BISA</v>
          </cell>
          <cell r="I140" t="str">
            <v>TEMA C2</v>
          </cell>
        </row>
        <row r="141">
          <cell r="A141" t="str">
            <v>A2014</v>
          </cell>
          <cell r="B141" t="str">
            <v xml:space="preserve">Nur Anisa Ayu Eka Putri </v>
          </cell>
          <cell r="C141">
            <v>259</v>
          </cell>
          <cell r="D141" t="str">
            <v>SAPHIRE</v>
          </cell>
          <cell r="E141">
            <v>195</v>
          </cell>
          <cell r="F141">
            <v>64</v>
          </cell>
          <cell r="G141" t="str">
            <v>TIDAK</v>
          </cell>
          <cell r="H141" t="str">
            <v>BISA</v>
          </cell>
          <cell r="I141" t="str">
            <v>TEMA C2</v>
          </cell>
        </row>
        <row r="142">
          <cell r="A142" t="str">
            <v>A4323</v>
          </cell>
          <cell r="B142" t="str">
            <v>Rohedi Annisa Wijayanti</v>
          </cell>
          <cell r="C142">
            <v>116</v>
          </cell>
          <cell r="D142" t="str">
            <v>SAPHIRE</v>
          </cell>
          <cell r="E142">
            <v>65</v>
          </cell>
          <cell r="F142">
            <v>51</v>
          </cell>
          <cell r="G142" t="str">
            <v>TIDAK</v>
          </cell>
          <cell r="H142" t="str">
            <v>BISA</v>
          </cell>
          <cell r="I142" t="str">
            <v>TEMA C2</v>
          </cell>
        </row>
        <row r="143">
          <cell r="A143" t="str">
            <v>A1362</v>
          </cell>
          <cell r="B143" t="str">
            <v>Natalia Elpina Simamora</v>
          </cell>
          <cell r="C143">
            <v>97</v>
          </cell>
          <cell r="D143" t="str">
            <v>SAPHIRE</v>
          </cell>
          <cell r="E143">
            <v>65</v>
          </cell>
          <cell r="F143">
            <v>32</v>
          </cell>
          <cell r="G143" t="str">
            <v>TIDAK</v>
          </cell>
          <cell r="H143" t="str">
            <v>BISA</v>
          </cell>
          <cell r="I143" t="str">
            <v>TEMA C2</v>
          </cell>
        </row>
        <row r="144">
          <cell r="A144" t="str">
            <v>A4270</v>
          </cell>
          <cell r="B144" t="str">
            <v>DELLA OXZA</v>
          </cell>
          <cell r="C144">
            <v>146</v>
          </cell>
          <cell r="D144" t="str">
            <v>SAPHIRE</v>
          </cell>
          <cell r="E144">
            <v>130</v>
          </cell>
          <cell r="F144">
            <v>16</v>
          </cell>
          <cell r="G144" t="str">
            <v>TIDAK</v>
          </cell>
          <cell r="H144" t="str">
            <v>BISA</v>
          </cell>
          <cell r="I144" t="str">
            <v>TEMA C2</v>
          </cell>
        </row>
        <row r="145">
          <cell r="A145" t="str">
            <v>A4321</v>
          </cell>
          <cell r="B145" t="str">
            <v>Aulia Nur Azizah</v>
          </cell>
          <cell r="C145">
            <v>135</v>
          </cell>
          <cell r="D145" t="str">
            <v>SAPHIRE</v>
          </cell>
          <cell r="E145">
            <v>130</v>
          </cell>
          <cell r="F145">
            <v>5</v>
          </cell>
          <cell r="G145" t="str">
            <v>TIDAK</v>
          </cell>
          <cell r="H145" t="str">
            <v>BISA</v>
          </cell>
          <cell r="I145" t="str">
            <v>TEMA C2</v>
          </cell>
        </row>
        <row r="146">
          <cell r="A146" t="str">
            <v>A0919</v>
          </cell>
          <cell r="B146" t="str">
            <v>Nabila Yudistya Pratiwi</v>
          </cell>
          <cell r="C146">
            <v>262</v>
          </cell>
          <cell r="D146" t="str">
            <v>SAPHIRE</v>
          </cell>
          <cell r="E146">
            <v>200</v>
          </cell>
          <cell r="F146">
            <v>62</v>
          </cell>
          <cell r="G146" t="str">
            <v>TIDAK</v>
          </cell>
          <cell r="H146" t="str">
            <v>BISA</v>
          </cell>
          <cell r="I146" t="str">
            <v>TEMA C2</v>
          </cell>
        </row>
        <row r="147">
          <cell r="A147" t="str">
            <v>A2495</v>
          </cell>
          <cell r="B147" t="str">
            <v xml:space="preserve">Fadlin Rohmawati </v>
          </cell>
          <cell r="C147">
            <v>368</v>
          </cell>
          <cell r="D147" t="str">
            <v>SAPHIRE</v>
          </cell>
          <cell r="E147">
            <v>330</v>
          </cell>
          <cell r="F147">
            <v>38</v>
          </cell>
          <cell r="G147" t="str">
            <v>TIDAK</v>
          </cell>
          <cell r="H147" t="str">
            <v>BISA</v>
          </cell>
          <cell r="I147" t="str">
            <v>TEMA C2</v>
          </cell>
        </row>
        <row r="148">
          <cell r="A148" t="str">
            <v>A4287</v>
          </cell>
          <cell r="B148" t="str">
            <v>Fara dhiya hasfana</v>
          </cell>
          <cell r="C148">
            <v>73</v>
          </cell>
          <cell r="D148" t="str">
            <v>SAPHIRE</v>
          </cell>
          <cell r="E148">
            <v>65</v>
          </cell>
          <cell r="F148">
            <v>8</v>
          </cell>
          <cell r="G148" t="str">
            <v>TIDAK</v>
          </cell>
          <cell r="H148" t="str">
            <v>BISA</v>
          </cell>
          <cell r="I148" t="str">
            <v>TEMA C2</v>
          </cell>
        </row>
        <row r="149">
          <cell r="A149" t="str">
            <v>A2985</v>
          </cell>
          <cell r="B149" t="str">
            <v>Regina Michelle Tansaya Pramono</v>
          </cell>
          <cell r="C149">
            <v>102</v>
          </cell>
          <cell r="D149" t="str">
            <v>SAPHIRE</v>
          </cell>
          <cell r="E149">
            <v>65</v>
          </cell>
          <cell r="F149">
            <v>37</v>
          </cell>
          <cell r="G149" t="str">
            <v>TIDAK</v>
          </cell>
          <cell r="H149" t="str">
            <v>BISA</v>
          </cell>
          <cell r="I149" t="str">
            <v>TEMA C2</v>
          </cell>
        </row>
        <row r="150">
          <cell r="A150">
            <v>92192</v>
          </cell>
          <cell r="B150" t="str">
            <v>BIMA BAGASKARA</v>
          </cell>
          <cell r="C150">
            <v>261</v>
          </cell>
          <cell r="D150" t="str">
            <v>SAPHIRE</v>
          </cell>
          <cell r="E150">
            <v>260</v>
          </cell>
          <cell r="F150">
            <v>1</v>
          </cell>
          <cell r="G150" t="str">
            <v>TIDAK</v>
          </cell>
          <cell r="H150" t="str">
            <v>BISA</v>
          </cell>
          <cell r="I150" t="str">
            <v>TEMA C2</v>
          </cell>
        </row>
        <row r="151">
          <cell r="A151">
            <v>92265</v>
          </cell>
          <cell r="B151" t="str">
            <v>Ika Muzainatul Khasanah</v>
          </cell>
          <cell r="C151">
            <v>242</v>
          </cell>
          <cell r="D151" t="str">
            <v>SAPHIRE</v>
          </cell>
          <cell r="E151">
            <v>195</v>
          </cell>
          <cell r="F151">
            <v>47</v>
          </cell>
          <cell r="G151" t="str">
            <v>TIDAK</v>
          </cell>
          <cell r="H151" t="str">
            <v>BISA</v>
          </cell>
          <cell r="I151" t="str">
            <v>TEMA C2</v>
          </cell>
        </row>
        <row r="152">
          <cell r="A152" t="str">
            <v>A4276</v>
          </cell>
          <cell r="B152" t="str">
            <v xml:space="preserve">Ummi Aisyatul Latifah Asaro </v>
          </cell>
          <cell r="C152">
            <v>124</v>
          </cell>
          <cell r="D152" t="str">
            <v>SAPHIRE</v>
          </cell>
          <cell r="E152">
            <v>65</v>
          </cell>
          <cell r="F152">
            <v>59</v>
          </cell>
          <cell r="G152" t="str">
            <v>TIDAK</v>
          </cell>
          <cell r="H152" t="str">
            <v>BISA</v>
          </cell>
          <cell r="I152" t="str">
            <v>TEMA C2</v>
          </cell>
        </row>
        <row r="153">
          <cell r="A153" t="str">
            <v>A4422</v>
          </cell>
          <cell r="B153" t="str">
            <v>Nur sabila</v>
          </cell>
          <cell r="C153">
            <v>68</v>
          </cell>
          <cell r="D153" t="str">
            <v>SAPHIRE</v>
          </cell>
          <cell r="E153">
            <v>65</v>
          </cell>
          <cell r="F153">
            <v>3</v>
          </cell>
          <cell r="G153" t="str">
            <v>TIDAK</v>
          </cell>
          <cell r="H153" t="str">
            <v>BISA</v>
          </cell>
          <cell r="I153" t="str">
            <v>TEMA C2</v>
          </cell>
        </row>
        <row r="154">
          <cell r="A154" t="str">
            <v>A3034</v>
          </cell>
          <cell r="B154" t="str">
            <v>Meytia eka putri</v>
          </cell>
          <cell r="C154">
            <v>126</v>
          </cell>
          <cell r="D154" t="str">
            <v>SAPHIRE</v>
          </cell>
          <cell r="E154">
            <v>65</v>
          </cell>
          <cell r="F154">
            <v>61</v>
          </cell>
          <cell r="G154" t="str">
            <v>TIDAK</v>
          </cell>
          <cell r="H154" t="str">
            <v>BISA</v>
          </cell>
          <cell r="I154" t="str">
            <v>TEMA C2</v>
          </cell>
        </row>
        <row r="155">
          <cell r="A155" t="str">
            <v>A3680</v>
          </cell>
          <cell r="B155" t="str">
            <v>Farah Nadhifah</v>
          </cell>
          <cell r="C155">
            <v>192</v>
          </cell>
          <cell r="D155" t="str">
            <v>SAPHIRE</v>
          </cell>
          <cell r="E155">
            <v>135</v>
          </cell>
          <cell r="F155">
            <v>57</v>
          </cell>
          <cell r="G155" t="str">
            <v>TIDAK</v>
          </cell>
          <cell r="H155" t="str">
            <v>BISA</v>
          </cell>
          <cell r="I155" t="str">
            <v>TEMA C2</v>
          </cell>
        </row>
        <row r="156">
          <cell r="A156" t="str">
            <v>A3188</v>
          </cell>
          <cell r="B156" t="str">
            <v>Fauziyati Khairul Latifah</v>
          </cell>
          <cell r="C156">
            <v>447</v>
          </cell>
          <cell r="D156" t="str">
            <v>EMERALD</v>
          </cell>
          <cell r="E156">
            <v>400</v>
          </cell>
          <cell r="F156">
            <v>47</v>
          </cell>
          <cell r="G156" t="str">
            <v>TIDAK</v>
          </cell>
          <cell r="H156" t="str">
            <v>BISA</v>
          </cell>
          <cell r="I156" t="str">
            <v>TEMA C2</v>
          </cell>
        </row>
        <row r="157">
          <cell r="A157" t="str">
            <v>A1566</v>
          </cell>
          <cell r="B157" t="str">
            <v>Andita Hermawanto</v>
          </cell>
          <cell r="C157">
            <v>236</v>
          </cell>
          <cell r="D157" t="str">
            <v>SAPHIRE</v>
          </cell>
          <cell r="E157">
            <v>200</v>
          </cell>
          <cell r="F157">
            <v>36</v>
          </cell>
          <cell r="G157" t="str">
            <v>TIDAK</v>
          </cell>
          <cell r="H157" t="str">
            <v>BISA</v>
          </cell>
          <cell r="I157" t="str">
            <v>TEMA C2</v>
          </cell>
        </row>
        <row r="158">
          <cell r="A158" t="str">
            <v>A0216</v>
          </cell>
          <cell r="B158" t="str">
            <v>Devi Prastika</v>
          </cell>
          <cell r="C158">
            <v>429</v>
          </cell>
          <cell r="D158" t="str">
            <v>SAPHIRE</v>
          </cell>
          <cell r="E158">
            <v>395</v>
          </cell>
          <cell r="F158">
            <v>34</v>
          </cell>
          <cell r="G158" t="str">
            <v>TIDAK</v>
          </cell>
          <cell r="H158" t="str">
            <v>BISA</v>
          </cell>
          <cell r="I158" t="str">
            <v>TEMA C2</v>
          </cell>
        </row>
        <row r="159">
          <cell r="A159" t="str">
            <v>A1135</v>
          </cell>
          <cell r="B159" t="str">
            <v xml:space="preserve">Fanni Melia Alvionaliza </v>
          </cell>
          <cell r="C159">
            <v>123</v>
          </cell>
          <cell r="D159" t="str">
            <v>SAPHIRE</v>
          </cell>
          <cell r="E159">
            <v>65</v>
          </cell>
          <cell r="F159">
            <v>58</v>
          </cell>
          <cell r="G159" t="str">
            <v>TIDAK</v>
          </cell>
          <cell r="H159" t="str">
            <v>BISA</v>
          </cell>
          <cell r="I159" t="str">
            <v>TEMA C2</v>
          </cell>
        </row>
        <row r="160">
          <cell r="A160" t="str">
            <v>A2705</v>
          </cell>
          <cell r="B160" t="str">
            <v>Antonia Desi Endah Kristiyanti</v>
          </cell>
          <cell r="C160">
            <v>274</v>
          </cell>
          <cell r="D160" t="str">
            <v>SAPHIRE</v>
          </cell>
          <cell r="E160">
            <v>265</v>
          </cell>
          <cell r="F160">
            <v>9</v>
          </cell>
          <cell r="G160" t="str">
            <v>TIDAK</v>
          </cell>
          <cell r="H160" t="str">
            <v>BISA</v>
          </cell>
          <cell r="I160" t="str">
            <v>TEMA C2</v>
          </cell>
        </row>
        <row r="161">
          <cell r="A161" t="str">
            <v>A0244</v>
          </cell>
          <cell r="B161" t="str">
            <v>Setyaningyas Trinovitasari</v>
          </cell>
          <cell r="C161">
            <v>283</v>
          </cell>
          <cell r="D161" t="str">
            <v>SAPHIRE</v>
          </cell>
          <cell r="E161">
            <v>265</v>
          </cell>
          <cell r="F161">
            <v>18</v>
          </cell>
          <cell r="G161" t="str">
            <v>TIDAK</v>
          </cell>
          <cell r="H161" t="str">
            <v>BISA</v>
          </cell>
          <cell r="I161" t="str">
            <v>TEMA C2</v>
          </cell>
        </row>
        <row r="162">
          <cell r="A162" t="str">
            <v>A0565</v>
          </cell>
          <cell r="B162" t="str">
            <v>Pradipta Niwayani</v>
          </cell>
          <cell r="C162">
            <v>239</v>
          </cell>
          <cell r="D162" t="str">
            <v>SAPHIRE</v>
          </cell>
          <cell r="E162">
            <v>200</v>
          </cell>
          <cell r="F162">
            <v>39</v>
          </cell>
          <cell r="G162" t="str">
            <v>TIDAK</v>
          </cell>
          <cell r="H162" t="str">
            <v>BISA</v>
          </cell>
          <cell r="I162" t="str">
            <v>TEMA C2</v>
          </cell>
        </row>
        <row r="163">
          <cell r="A163" t="str">
            <v>A3305</v>
          </cell>
          <cell r="B163" t="str">
            <v>Arif Novianto</v>
          </cell>
          <cell r="C163">
            <v>302</v>
          </cell>
          <cell r="D163" t="str">
            <v>SAPHIRE</v>
          </cell>
          <cell r="E163">
            <v>265</v>
          </cell>
          <cell r="F163">
            <v>37</v>
          </cell>
          <cell r="G163" t="str">
            <v>TIDAK</v>
          </cell>
          <cell r="H163" t="str">
            <v>BISA</v>
          </cell>
          <cell r="I163" t="str">
            <v>TEMA C2</v>
          </cell>
        </row>
        <row r="164">
          <cell r="A164" t="str">
            <v>A3766</v>
          </cell>
          <cell r="B164" t="str">
            <v>Bestfebri Christy Dameria P</v>
          </cell>
          <cell r="C164">
            <v>264</v>
          </cell>
          <cell r="D164" t="str">
            <v>SAPHIRE</v>
          </cell>
          <cell r="E164">
            <v>200</v>
          </cell>
          <cell r="F164">
            <v>64</v>
          </cell>
          <cell r="G164" t="str">
            <v>TIDAK</v>
          </cell>
          <cell r="H164" t="str">
            <v>BISA</v>
          </cell>
          <cell r="I164" t="str">
            <v>TEMA C2</v>
          </cell>
        </row>
        <row r="165">
          <cell r="A165" t="str">
            <v>A4285</v>
          </cell>
          <cell r="B165" t="str">
            <v xml:space="preserve">Vino mujahidin </v>
          </cell>
          <cell r="C165">
            <v>70</v>
          </cell>
          <cell r="D165" t="str">
            <v>SAPHIRE</v>
          </cell>
          <cell r="E165">
            <v>65</v>
          </cell>
          <cell r="F165">
            <v>5</v>
          </cell>
          <cell r="G165" t="str">
            <v>TIDAK</v>
          </cell>
          <cell r="H165" t="str">
            <v>BISA</v>
          </cell>
          <cell r="I165" t="str">
            <v>TEMA C2</v>
          </cell>
        </row>
        <row r="166">
          <cell r="A166" t="str">
            <v>A3693</v>
          </cell>
          <cell r="B166" t="str">
            <v>Lense maria sitompul</v>
          </cell>
          <cell r="C166">
            <v>97</v>
          </cell>
          <cell r="D166" t="str">
            <v>SAPHIRE</v>
          </cell>
          <cell r="E166">
            <v>65</v>
          </cell>
          <cell r="F166">
            <v>32</v>
          </cell>
          <cell r="G166" t="str">
            <v>TIDAK</v>
          </cell>
          <cell r="H166" t="str">
            <v>BISA</v>
          </cell>
          <cell r="I166" t="str">
            <v>TEMA C2</v>
          </cell>
        </row>
        <row r="167">
          <cell r="A167" t="str">
            <v>A3815</v>
          </cell>
          <cell r="B167" t="str">
            <v>Andreane Amarissa</v>
          </cell>
          <cell r="C167">
            <v>236</v>
          </cell>
          <cell r="D167" t="str">
            <v>SAPHIRE</v>
          </cell>
          <cell r="E167">
            <v>200</v>
          </cell>
          <cell r="F167">
            <v>36</v>
          </cell>
          <cell r="G167" t="str">
            <v>TIDAK</v>
          </cell>
          <cell r="H167" t="str">
            <v>BISA</v>
          </cell>
          <cell r="I167" t="str">
            <v>TEMA C2</v>
          </cell>
        </row>
        <row r="168">
          <cell r="A168" t="str">
            <v>A0486</v>
          </cell>
          <cell r="B168" t="str">
            <v xml:space="preserve">Yacinta Puspitasari </v>
          </cell>
          <cell r="C168">
            <v>195</v>
          </cell>
          <cell r="D168" t="str">
            <v>SAPHIRE</v>
          </cell>
          <cell r="E168">
            <v>195</v>
          </cell>
          <cell r="F168">
            <v>0</v>
          </cell>
          <cell r="G168" t="str">
            <v>TIDAK</v>
          </cell>
          <cell r="H168" t="str">
            <v>BISA</v>
          </cell>
          <cell r="I168" t="str">
            <v>TEMA C2</v>
          </cell>
        </row>
        <row r="169">
          <cell r="A169" t="str">
            <v>A3892</v>
          </cell>
          <cell r="B169" t="str">
            <v>Raden Bonaventura Gendra Igambimata</v>
          </cell>
          <cell r="C169">
            <v>149</v>
          </cell>
          <cell r="D169" t="str">
            <v>SAPHIRE</v>
          </cell>
          <cell r="E169">
            <v>130</v>
          </cell>
          <cell r="F169">
            <v>19</v>
          </cell>
          <cell r="G169" t="str">
            <v>TIDAK</v>
          </cell>
          <cell r="H169" t="str">
            <v>BISA</v>
          </cell>
          <cell r="I169" t="str">
            <v>TEMA C2</v>
          </cell>
        </row>
        <row r="170">
          <cell r="A170" t="str">
            <v>A1089</v>
          </cell>
          <cell r="B170" t="str">
            <v xml:space="preserve">Dina Rohmatika </v>
          </cell>
          <cell r="C170">
            <v>373</v>
          </cell>
          <cell r="D170" t="str">
            <v>SAPHIRE</v>
          </cell>
          <cell r="E170">
            <v>330</v>
          </cell>
          <cell r="F170">
            <v>43</v>
          </cell>
          <cell r="G170" t="str">
            <v>TIDAK</v>
          </cell>
          <cell r="H170" t="str">
            <v>BISA</v>
          </cell>
          <cell r="I170" t="str">
            <v>TEMA C2</v>
          </cell>
        </row>
        <row r="171">
          <cell r="A171" t="str">
            <v>A3216</v>
          </cell>
          <cell r="B171" t="str">
            <v xml:space="preserve">Intan Khoirunisa Febiliana </v>
          </cell>
          <cell r="C171">
            <v>157</v>
          </cell>
          <cell r="D171" t="str">
            <v>SAPHIRE</v>
          </cell>
          <cell r="E171">
            <v>135</v>
          </cell>
          <cell r="F171">
            <v>22</v>
          </cell>
          <cell r="G171" t="str">
            <v>TIDAK</v>
          </cell>
          <cell r="H171" t="str">
            <v>BISA</v>
          </cell>
          <cell r="I171" t="str">
            <v>TEMA C2</v>
          </cell>
        </row>
        <row r="172">
          <cell r="A172" t="str">
            <v>A2300</v>
          </cell>
          <cell r="B172" t="str">
            <v>GRACE SIFRA</v>
          </cell>
          <cell r="C172">
            <v>156</v>
          </cell>
          <cell r="D172" t="str">
            <v>SAPHIRE</v>
          </cell>
          <cell r="E172">
            <v>135</v>
          </cell>
          <cell r="F172">
            <v>21</v>
          </cell>
          <cell r="G172" t="str">
            <v>TIDAK</v>
          </cell>
          <cell r="H172" t="str">
            <v>BISA</v>
          </cell>
          <cell r="I172" t="str">
            <v>TEMA C2</v>
          </cell>
        </row>
        <row r="173">
          <cell r="A173" t="str">
            <v>A4050</v>
          </cell>
          <cell r="B173" t="str">
            <v>Dita Puspita Sari</v>
          </cell>
          <cell r="C173">
            <v>132</v>
          </cell>
          <cell r="D173" t="str">
            <v>SAPHIRE</v>
          </cell>
          <cell r="E173">
            <v>130</v>
          </cell>
          <cell r="F173">
            <v>2</v>
          </cell>
          <cell r="G173" t="str">
            <v>TIDAK</v>
          </cell>
          <cell r="H173" t="str">
            <v>BISA</v>
          </cell>
          <cell r="I173" t="str">
            <v>TEMA C2</v>
          </cell>
        </row>
        <row r="174">
          <cell r="A174" t="str">
            <v>A4087</v>
          </cell>
          <cell r="B174" t="str">
            <v>Arif teguh wicaksono</v>
          </cell>
          <cell r="C174">
            <v>140</v>
          </cell>
          <cell r="D174" t="str">
            <v>SAPHIRE</v>
          </cell>
          <cell r="E174">
            <v>135</v>
          </cell>
          <cell r="F174">
            <v>5</v>
          </cell>
          <cell r="G174" t="str">
            <v>TIDAK</v>
          </cell>
          <cell r="H174" t="str">
            <v>BISA</v>
          </cell>
          <cell r="I174" t="str">
            <v>TEMA C2</v>
          </cell>
        </row>
        <row r="175">
          <cell r="A175" t="str">
            <v>A4405</v>
          </cell>
          <cell r="B175" t="str">
            <v>Salwa Ayu Wigati</v>
          </cell>
          <cell r="C175">
            <v>81</v>
          </cell>
          <cell r="D175" t="str">
            <v>SAPHIRE</v>
          </cell>
          <cell r="E175">
            <v>65</v>
          </cell>
          <cell r="F175">
            <v>16</v>
          </cell>
          <cell r="G175" t="str">
            <v>TIDAK</v>
          </cell>
          <cell r="H175" t="str">
            <v>BISA</v>
          </cell>
          <cell r="I175" t="str">
            <v>TEMA C2</v>
          </cell>
        </row>
        <row r="176">
          <cell r="A176" t="str">
            <v>A4112</v>
          </cell>
          <cell r="B176" t="str">
            <v>Veny Angelia sipayung</v>
          </cell>
          <cell r="C176">
            <v>146</v>
          </cell>
          <cell r="D176" t="str">
            <v>SAPHIRE</v>
          </cell>
          <cell r="E176">
            <v>135</v>
          </cell>
          <cell r="F176">
            <v>11</v>
          </cell>
          <cell r="G176" t="str">
            <v>TIDAK</v>
          </cell>
          <cell r="H176" t="str">
            <v>BISA</v>
          </cell>
          <cell r="I176" t="str">
            <v>TEMA C2</v>
          </cell>
        </row>
        <row r="177">
          <cell r="A177" t="str">
            <v>A2964</v>
          </cell>
          <cell r="B177" t="str">
            <v xml:space="preserve">Akhaya Arsyoga </v>
          </cell>
          <cell r="C177">
            <v>296</v>
          </cell>
          <cell r="D177" t="str">
            <v>SAPHIRE</v>
          </cell>
          <cell r="E177">
            <v>265</v>
          </cell>
          <cell r="F177">
            <v>31</v>
          </cell>
          <cell r="G177" t="str">
            <v>TIDAK</v>
          </cell>
          <cell r="H177" t="str">
            <v>BISA</v>
          </cell>
          <cell r="I177" t="str">
            <v>TEMA C2</v>
          </cell>
        </row>
        <row r="178">
          <cell r="A178" t="str">
            <v>A4322</v>
          </cell>
          <cell r="B178" t="str">
            <v>Aico Jusu</v>
          </cell>
          <cell r="C178">
            <v>135</v>
          </cell>
          <cell r="D178" t="str">
            <v>SAPHIRE</v>
          </cell>
          <cell r="E178">
            <v>130</v>
          </cell>
          <cell r="F178">
            <v>5</v>
          </cell>
          <cell r="G178" t="str">
            <v>TIDAK</v>
          </cell>
          <cell r="H178" t="str">
            <v>BISA</v>
          </cell>
          <cell r="I178" t="str">
            <v>TEMA C2</v>
          </cell>
        </row>
        <row r="179">
          <cell r="A179" t="str">
            <v>A4035</v>
          </cell>
          <cell r="B179" t="str">
            <v>Rizki Mulyawan</v>
          </cell>
          <cell r="C179">
            <v>70</v>
          </cell>
          <cell r="D179" t="str">
            <v>SAPHIRE</v>
          </cell>
          <cell r="E179">
            <v>65</v>
          </cell>
          <cell r="F179">
            <v>5</v>
          </cell>
          <cell r="G179" t="str">
            <v>TIDAK</v>
          </cell>
          <cell r="H179" t="str">
            <v>BISA</v>
          </cell>
          <cell r="I179" t="str">
            <v>TEMA C2</v>
          </cell>
        </row>
        <row r="180">
          <cell r="A180">
            <v>92259</v>
          </cell>
          <cell r="B180" t="str">
            <v xml:space="preserve">Novi Anggraini </v>
          </cell>
          <cell r="C180">
            <v>111</v>
          </cell>
          <cell r="D180" t="str">
            <v>SAPHIRE</v>
          </cell>
          <cell r="E180">
            <v>65</v>
          </cell>
          <cell r="F180">
            <v>46</v>
          </cell>
          <cell r="G180" t="str">
            <v>TIDAK</v>
          </cell>
          <cell r="H180" t="str">
            <v>BISA</v>
          </cell>
          <cell r="I180" t="str">
            <v>TEMA C2</v>
          </cell>
        </row>
        <row r="181">
          <cell r="A181" t="str">
            <v>A2899</v>
          </cell>
          <cell r="B181" t="str">
            <v>Alfath Rainey</v>
          </cell>
          <cell r="C181">
            <v>244</v>
          </cell>
          <cell r="D181" t="str">
            <v>SAPHIRE</v>
          </cell>
          <cell r="E181">
            <v>195</v>
          </cell>
          <cell r="F181">
            <v>49</v>
          </cell>
          <cell r="G181" t="str">
            <v>TIDAK</v>
          </cell>
          <cell r="H181" t="str">
            <v>BISA</v>
          </cell>
          <cell r="I181" t="str">
            <v>TEMA C2</v>
          </cell>
        </row>
        <row r="182">
          <cell r="A182" t="str">
            <v>A3265</v>
          </cell>
          <cell r="B182" t="str">
            <v>Yolanda Putri Andaresta</v>
          </cell>
          <cell r="C182">
            <v>287</v>
          </cell>
          <cell r="D182" t="str">
            <v>SAPHIRE</v>
          </cell>
          <cell r="E182">
            <v>265</v>
          </cell>
          <cell r="F182">
            <v>22</v>
          </cell>
          <cell r="G182" t="str">
            <v>TIDAK</v>
          </cell>
          <cell r="H182" t="str">
            <v>BISA</v>
          </cell>
          <cell r="I182" t="str">
            <v>TEMA C3</v>
          </cell>
        </row>
        <row r="183">
          <cell r="A183" t="str">
            <v>A2308</v>
          </cell>
          <cell r="B183" t="str">
            <v>Ayu Tri Astutik</v>
          </cell>
          <cell r="C183">
            <v>217</v>
          </cell>
          <cell r="D183" t="str">
            <v>SAPHIRE</v>
          </cell>
          <cell r="E183">
            <v>200</v>
          </cell>
          <cell r="F183">
            <v>17</v>
          </cell>
          <cell r="G183" t="str">
            <v>TIDAK</v>
          </cell>
          <cell r="H183" t="str">
            <v>BISA</v>
          </cell>
          <cell r="I183" t="str">
            <v>TEMA C3</v>
          </cell>
        </row>
        <row r="184">
          <cell r="A184" t="str">
            <v>A4129</v>
          </cell>
          <cell r="B184" t="str">
            <v xml:space="preserve">Merlinda Astuti </v>
          </cell>
          <cell r="C184">
            <v>202</v>
          </cell>
          <cell r="D184" t="str">
            <v>SAPHIRE</v>
          </cell>
          <cell r="E184">
            <v>195</v>
          </cell>
          <cell r="F184">
            <v>7</v>
          </cell>
          <cell r="G184" t="str">
            <v>TIDAK</v>
          </cell>
          <cell r="H184" t="str">
            <v>BISA</v>
          </cell>
          <cell r="I184" t="str">
            <v>TEMA C3</v>
          </cell>
        </row>
        <row r="185">
          <cell r="A185" t="str">
            <v>A3686</v>
          </cell>
          <cell r="B185" t="str">
            <v xml:space="preserve">Yuliyanti Nur Hasanah </v>
          </cell>
          <cell r="C185">
            <v>132</v>
          </cell>
          <cell r="D185" t="str">
            <v>SAPHIRE</v>
          </cell>
          <cell r="E185">
            <v>130</v>
          </cell>
          <cell r="F185">
            <v>2</v>
          </cell>
          <cell r="G185" t="str">
            <v>TIDAK</v>
          </cell>
          <cell r="H185" t="str">
            <v>BISA</v>
          </cell>
          <cell r="I185" t="str">
            <v>TEMA HAJI</v>
          </cell>
        </row>
        <row r="186">
          <cell r="A186" t="str">
            <v>A4043</v>
          </cell>
          <cell r="B186" t="str">
            <v>Tabita Kristin Lintangingtyas</v>
          </cell>
          <cell r="C186">
            <v>266</v>
          </cell>
          <cell r="D186" t="str">
            <v>SAPHIRE</v>
          </cell>
          <cell r="E186">
            <v>265</v>
          </cell>
          <cell r="F186">
            <v>1</v>
          </cell>
          <cell r="G186" t="str">
            <v>TIDAK</v>
          </cell>
          <cell r="H186" t="str">
            <v>BISA</v>
          </cell>
          <cell r="I186" t="str">
            <v>TEMA HAJI</v>
          </cell>
        </row>
        <row r="187">
          <cell r="A187" t="str">
            <v>A3654</v>
          </cell>
          <cell r="B187" t="str">
            <v>Muhamad Saifurrahman Wahid</v>
          </cell>
          <cell r="C187">
            <v>263</v>
          </cell>
          <cell r="D187" t="str">
            <v>SAPHIRE</v>
          </cell>
          <cell r="E187">
            <v>260</v>
          </cell>
          <cell r="F187">
            <v>3</v>
          </cell>
          <cell r="G187" t="str">
            <v>TIDAK</v>
          </cell>
          <cell r="H187" t="str">
            <v>BISA</v>
          </cell>
          <cell r="I187" t="str">
            <v>TEMA HAJI</v>
          </cell>
        </row>
        <row r="188">
          <cell r="A188" t="str">
            <v>A3685</v>
          </cell>
          <cell r="B188" t="str">
            <v>Henok Christovel Valentino Mewengkang</v>
          </cell>
          <cell r="C188">
            <v>390</v>
          </cell>
          <cell r="D188" t="str">
            <v>SAPHIRE</v>
          </cell>
          <cell r="E188">
            <v>265</v>
          </cell>
          <cell r="F188">
            <v>125</v>
          </cell>
          <cell r="G188" t="str">
            <v>TIDAK</v>
          </cell>
          <cell r="H188" t="str">
            <v>BISA</v>
          </cell>
          <cell r="I188" t="str">
            <v>TEMA HAJI</v>
          </cell>
        </row>
        <row r="189">
          <cell r="A189" t="str">
            <v>A4027</v>
          </cell>
          <cell r="B189" t="str">
            <v>Farhan Adrian</v>
          </cell>
          <cell r="C189">
            <v>115</v>
          </cell>
          <cell r="D189" t="str">
            <v>SAPHIRE</v>
          </cell>
          <cell r="E189">
            <v>65</v>
          </cell>
          <cell r="F189">
            <v>50</v>
          </cell>
          <cell r="G189" t="str">
            <v>TIDAK</v>
          </cell>
          <cell r="H189" t="str">
            <v>BISA</v>
          </cell>
          <cell r="I189" t="str">
            <v>TEMA HAJI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</row>
        <row r="194">
          <cell r="B194" t="str">
            <v>optel</v>
          </cell>
          <cell r="C194">
            <v>390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</row>
        <row r="195">
          <cell r="B195" t="str">
            <v>techno</v>
          </cell>
          <cell r="C195">
            <v>102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C196">
            <v>492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</row>
        <row r="197">
          <cell r="C197">
            <v>187</v>
          </cell>
          <cell r="D197">
            <v>0.38008130081300812</v>
          </cell>
          <cell r="E197">
            <v>0</v>
          </cell>
          <cell r="F197">
            <v>0</v>
          </cell>
          <cell r="G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A200" t="str">
            <v>A1400</v>
          </cell>
          <cell r="B200" t="str">
            <v>A1400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</row>
        <row r="201">
          <cell r="A201" t="str">
            <v>A2852</v>
          </cell>
          <cell r="B201" t="str">
            <v>A2852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</row>
        <row r="202">
          <cell r="A202" t="str">
            <v>A1573</v>
          </cell>
          <cell r="B202" t="str">
            <v>Niken Regina Yojana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</row>
        <row r="203">
          <cell r="A203">
            <v>91896</v>
          </cell>
          <cell r="B203" t="str">
            <v>Ruben Coda Sofiq Indonesiawan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</row>
        <row r="204">
          <cell r="A204" t="str">
            <v>A3507</v>
          </cell>
          <cell r="B204" t="str">
            <v>Gilang Irfansyah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</row>
        <row r="205">
          <cell r="A205" t="str">
            <v>A3599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</row>
        <row r="206">
          <cell r="A206" t="str">
            <v>A3301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A207" t="str">
            <v>A3752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</row>
        <row r="208">
          <cell r="A208" t="str">
            <v>A3358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</row>
        <row r="209">
          <cell r="A209" t="str">
            <v>A1651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</row>
        <row r="210">
          <cell r="A210" t="str">
            <v>A3547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</row>
        <row r="211">
          <cell r="A211" t="str">
            <v>A3664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</row>
        <row r="212">
          <cell r="A212" t="str">
            <v>A1025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A4036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A4152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A3145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  <row r="216">
          <cell r="A216" t="str">
            <v>A2385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</row>
        <row r="217">
          <cell r="A217" t="str">
            <v>A4138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</row>
        <row r="218">
          <cell r="A218" t="str">
            <v>A2899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</row>
        <row r="219">
          <cell r="A219" t="str">
            <v>A1366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A220" t="str">
            <v>A1362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</row>
        <row r="221">
          <cell r="A221" t="str">
            <v>A2985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</row>
        <row r="222">
          <cell r="A222" t="str">
            <v>A4112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</row>
        <row r="223">
          <cell r="A223" t="str">
            <v>A4364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</row>
        <row r="224">
          <cell r="A224" t="str">
            <v>A4422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</row>
        <row r="235"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</row>
        <row r="248"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</row>
        <row r="251"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</row>
        <row r="252"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</row>
        <row r="272"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</row>
        <row r="283"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</row>
        <row r="284"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</row>
        <row r="290">
          <cell r="C290">
            <v>0</v>
          </cell>
          <cell r="D290">
            <v>0</v>
          </cell>
          <cell r="F290">
            <v>0</v>
          </cell>
          <cell r="G290">
            <v>0</v>
          </cell>
        </row>
        <row r="291">
          <cell r="C291">
            <v>0</v>
          </cell>
          <cell r="D291">
            <v>0</v>
          </cell>
          <cell r="F291">
            <v>0</v>
          </cell>
          <cell r="G291">
            <v>0</v>
          </cell>
        </row>
        <row r="292">
          <cell r="C292">
            <v>0</v>
          </cell>
          <cell r="D292">
            <v>0</v>
          </cell>
          <cell r="F292">
            <v>0</v>
          </cell>
          <cell r="G292">
            <v>0</v>
          </cell>
        </row>
        <row r="293">
          <cell r="C293">
            <v>0</v>
          </cell>
          <cell r="D293">
            <v>0</v>
          </cell>
          <cell r="F293">
            <v>0</v>
          </cell>
          <cell r="G293">
            <v>0</v>
          </cell>
        </row>
        <row r="294">
          <cell r="C294">
            <v>0</v>
          </cell>
          <cell r="D294">
            <v>0</v>
          </cell>
          <cell r="F294">
            <v>0</v>
          </cell>
          <cell r="G294">
            <v>0</v>
          </cell>
        </row>
        <row r="295">
          <cell r="C295">
            <v>0</v>
          </cell>
          <cell r="D295">
            <v>0</v>
          </cell>
          <cell r="F295">
            <v>0</v>
          </cell>
          <cell r="G295">
            <v>0</v>
          </cell>
        </row>
        <row r="296">
          <cell r="C296">
            <v>0</v>
          </cell>
          <cell r="D296">
            <v>0</v>
          </cell>
          <cell r="F296">
            <v>0</v>
          </cell>
          <cell r="G296">
            <v>0</v>
          </cell>
        </row>
        <row r="297">
          <cell r="C297">
            <v>0</v>
          </cell>
          <cell r="D297">
            <v>0</v>
          </cell>
          <cell r="F297">
            <v>0</v>
          </cell>
          <cell r="G297">
            <v>0</v>
          </cell>
        </row>
        <row r="298">
          <cell r="C298">
            <v>0</v>
          </cell>
          <cell r="D298">
            <v>0</v>
          </cell>
          <cell r="F298">
            <v>0</v>
          </cell>
          <cell r="G298">
            <v>0</v>
          </cell>
        </row>
        <row r="299">
          <cell r="C299">
            <v>0</v>
          </cell>
          <cell r="D299">
            <v>0</v>
          </cell>
          <cell r="F299">
            <v>0</v>
          </cell>
          <cell r="G299">
            <v>0</v>
          </cell>
        </row>
        <row r="300">
          <cell r="C300">
            <v>0</v>
          </cell>
          <cell r="D300">
            <v>0</v>
          </cell>
          <cell r="F300">
            <v>0</v>
          </cell>
          <cell r="G300">
            <v>0</v>
          </cell>
        </row>
        <row r="301">
          <cell r="C301">
            <v>0</v>
          </cell>
          <cell r="D301">
            <v>0</v>
          </cell>
          <cell r="F301">
            <v>0</v>
          </cell>
          <cell r="G301">
            <v>0</v>
          </cell>
        </row>
        <row r="302">
          <cell r="C302">
            <v>0</v>
          </cell>
          <cell r="D302">
            <v>0</v>
          </cell>
          <cell r="F302">
            <v>0</v>
          </cell>
          <cell r="G302">
            <v>0</v>
          </cell>
        </row>
        <row r="303">
          <cell r="C303">
            <v>0</v>
          </cell>
          <cell r="D303">
            <v>0</v>
          </cell>
          <cell r="F303">
            <v>0</v>
          </cell>
          <cell r="G303">
            <v>0</v>
          </cell>
        </row>
        <row r="304">
          <cell r="C304">
            <v>0</v>
          </cell>
          <cell r="D304">
            <v>0</v>
          </cell>
          <cell r="F304">
            <v>0</v>
          </cell>
          <cell r="G304">
            <v>0</v>
          </cell>
        </row>
        <row r="305">
          <cell r="C305">
            <v>0</v>
          </cell>
          <cell r="D305">
            <v>0</v>
          </cell>
          <cell r="F305">
            <v>0</v>
          </cell>
          <cell r="G305">
            <v>0</v>
          </cell>
        </row>
        <row r="306">
          <cell r="C306">
            <v>0</v>
          </cell>
          <cell r="D306">
            <v>0</v>
          </cell>
          <cell r="F306">
            <v>0</v>
          </cell>
          <cell r="G306">
            <v>0</v>
          </cell>
        </row>
        <row r="307">
          <cell r="C307">
            <v>0</v>
          </cell>
          <cell r="D307">
            <v>0</v>
          </cell>
          <cell r="F307">
            <v>0</v>
          </cell>
          <cell r="G307">
            <v>0</v>
          </cell>
        </row>
        <row r="308">
          <cell r="C308">
            <v>0</v>
          </cell>
          <cell r="D308">
            <v>0</v>
          </cell>
          <cell r="F308">
            <v>0</v>
          </cell>
          <cell r="G308">
            <v>0</v>
          </cell>
        </row>
        <row r="309">
          <cell r="C309">
            <v>0</v>
          </cell>
          <cell r="D309">
            <v>0</v>
          </cell>
          <cell r="F309">
            <v>0</v>
          </cell>
          <cell r="G309">
            <v>0</v>
          </cell>
        </row>
        <row r="310">
          <cell r="C310">
            <v>0</v>
          </cell>
          <cell r="D310">
            <v>0</v>
          </cell>
          <cell r="F310">
            <v>0</v>
          </cell>
          <cell r="G310">
            <v>0</v>
          </cell>
        </row>
        <row r="311">
          <cell r="C311">
            <v>0</v>
          </cell>
          <cell r="D311">
            <v>0</v>
          </cell>
          <cell r="F311">
            <v>0</v>
          </cell>
          <cell r="G311">
            <v>0</v>
          </cell>
        </row>
        <row r="312">
          <cell r="C312">
            <v>0</v>
          </cell>
          <cell r="D312">
            <v>0</v>
          </cell>
          <cell r="F312">
            <v>0</v>
          </cell>
          <cell r="G312">
            <v>0</v>
          </cell>
        </row>
        <row r="313">
          <cell r="C313">
            <v>0</v>
          </cell>
          <cell r="D313">
            <v>0</v>
          </cell>
          <cell r="F313">
            <v>0</v>
          </cell>
          <cell r="G313">
            <v>0</v>
          </cell>
        </row>
        <row r="314">
          <cell r="C314">
            <v>0</v>
          </cell>
          <cell r="D314">
            <v>0</v>
          </cell>
          <cell r="F314">
            <v>0</v>
          </cell>
          <cell r="G314">
            <v>0</v>
          </cell>
        </row>
        <row r="315">
          <cell r="C315">
            <v>0</v>
          </cell>
          <cell r="D315">
            <v>0</v>
          </cell>
          <cell r="F315">
            <v>0</v>
          </cell>
          <cell r="G315">
            <v>0</v>
          </cell>
        </row>
        <row r="316">
          <cell r="C316">
            <v>0</v>
          </cell>
          <cell r="D316">
            <v>0</v>
          </cell>
          <cell r="F316">
            <v>0</v>
          </cell>
          <cell r="G316">
            <v>0</v>
          </cell>
        </row>
        <row r="317">
          <cell r="C317">
            <v>0</v>
          </cell>
          <cell r="D317">
            <v>0</v>
          </cell>
          <cell r="F317">
            <v>0</v>
          </cell>
          <cell r="G317">
            <v>0</v>
          </cell>
        </row>
        <row r="318">
          <cell r="C318">
            <v>0</v>
          </cell>
          <cell r="D318">
            <v>0</v>
          </cell>
          <cell r="F318">
            <v>0</v>
          </cell>
          <cell r="G318">
            <v>0</v>
          </cell>
        </row>
        <row r="319">
          <cell r="C319">
            <v>0</v>
          </cell>
          <cell r="D319">
            <v>0</v>
          </cell>
          <cell r="F319">
            <v>0</v>
          </cell>
          <cell r="G319">
            <v>0</v>
          </cell>
        </row>
        <row r="320">
          <cell r="C320">
            <v>0</v>
          </cell>
          <cell r="D320">
            <v>0</v>
          </cell>
          <cell r="F320">
            <v>0</v>
          </cell>
          <cell r="G320">
            <v>0</v>
          </cell>
        </row>
        <row r="321">
          <cell r="C321">
            <v>0</v>
          </cell>
          <cell r="D321">
            <v>0</v>
          </cell>
          <cell r="F321">
            <v>0</v>
          </cell>
          <cell r="G321">
            <v>0</v>
          </cell>
        </row>
        <row r="322">
          <cell r="C322">
            <v>0</v>
          </cell>
          <cell r="D322">
            <v>0</v>
          </cell>
          <cell r="F322">
            <v>0</v>
          </cell>
          <cell r="G322">
            <v>0</v>
          </cell>
        </row>
        <row r="323">
          <cell r="C323">
            <v>0</v>
          </cell>
          <cell r="D323">
            <v>0</v>
          </cell>
          <cell r="F323">
            <v>0</v>
          </cell>
          <cell r="G323">
            <v>0</v>
          </cell>
        </row>
        <row r="324">
          <cell r="C324">
            <v>0</v>
          </cell>
          <cell r="D324">
            <v>0</v>
          </cell>
          <cell r="F324">
            <v>0</v>
          </cell>
          <cell r="G324">
            <v>0</v>
          </cell>
        </row>
        <row r="325">
          <cell r="C325">
            <v>0</v>
          </cell>
          <cell r="D325">
            <v>0</v>
          </cell>
          <cell r="F325">
            <v>0</v>
          </cell>
          <cell r="G325">
            <v>0</v>
          </cell>
        </row>
        <row r="326">
          <cell r="C326">
            <v>0</v>
          </cell>
          <cell r="D326">
            <v>0</v>
          </cell>
          <cell r="F326">
            <v>0</v>
          </cell>
          <cell r="G326">
            <v>0</v>
          </cell>
        </row>
        <row r="327">
          <cell r="C327">
            <v>0</v>
          </cell>
          <cell r="D327">
            <v>0</v>
          </cell>
          <cell r="F327">
            <v>0</v>
          </cell>
          <cell r="G327">
            <v>0</v>
          </cell>
        </row>
        <row r="328">
          <cell r="C328">
            <v>0</v>
          </cell>
          <cell r="D328">
            <v>0</v>
          </cell>
          <cell r="F328">
            <v>0</v>
          </cell>
          <cell r="G328">
            <v>0</v>
          </cell>
        </row>
        <row r="329">
          <cell r="C329">
            <v>0</v>
          </cell>
          <cell r="D329">
            <v>0</v>
          </cell>
          <cell r="F329">
            <v>0</v>
          </cell>
          <cell r="G329">
            <v>0</v>
          </cell>
        </row>
        <row r="330">
          <cell r="C330">
            <v>0</v>
          </cell>
          <cell r="D330">
            <v>0</v>
          </cell>
          <cell r="F330">
            <v>0</v>
          </cell>
          <cell r="G330">
            <v>0</v>
          </cell>
        </row>
        <row r="331">
          <cell r="C331">
            <v>0</v>
          </cell>
          <cell r="D331">
            <v>0</v>
          </cell>
          <cell r="F331">
            <v>0</v>
          </cell>
          <cell r="G331">
            <v>0</v>
          </cell>
        </row>
        <row r="332">
          <cell r="C332">
            <v>0</v>
          </cell>
          <cell r="D332">
            <v>0</v>
          </cell>
          <cell r="F332">
            <v>0</v>
          </cell>
          <cell r="G332">
            <v>0</v>
          </cell>
        </row>
        <row r="333">
          <cell r="C333">
            <v>0</v>
          </cell>
          <cell r="D333">
            <v>0</v>
          </cell>
          <cell r="F333">
            <v>0</v>
          </cell>
          <cell r="G333">
            <v>0</v>
          </cell>
        </row>
        <row r="334">
          <cell r="C334">
            <v>0</v>
          </cell>
          <cell r="D334">
            <v>0</v>
          </cell>
          <cell r="F334">
            <v>0</v>
          </cell>
          <cell r="G334">
            <v>0</v>
          </cell>
        </row>
        <row r="335">
          <cell r="C335">
            <v>0</v>
          </cell>
          <cell r="D335">
            <v>0</v>
          </cell>
          <cell r="F335">
            <v>0</v>
          </cell>
          <cell r="G335">
            <v>0</v>
          </cell>
        </row>
        <row r="336">
          <cell r="C336">
            <v>0</v>
          </cell>
          <cell r="D336">
            <v>0</v>
          </cell>
          <cell r="F336">
            <v>0</v>
          </cell>
          <cell r="G336">
            <v>0</v>
          </cell>
        </row>
        <row r="337">
          <cell r="C337">
            <v>0</v>
          </cell>
          <cell r="D337">
            <v>0</v>
          </cell>
          <cell r="F337">
            <v>0</v>
          </cell>
          <cell r="G337">
            <v>0</v>
          </cell>
        </row>
        <row r="338">
          <cell r="C338">
            <v>0</v>
          </cell>
          <cell r="D338">
            <v>0</v>
          </cell>
          <cell r="F338">
            <v>0</v>
          </cell>
          <cell r="G338">
            <v>0</v>
          </cell>
        </row>
        <row r="339">
          <cell r="C339">
            <v>0</v>
          </cell>
          <cell r="D339">
            <v>0</v>
          </cell>
          <cell r="F339">
            <v>0</v>
          </cell>
          <cell r="G339">
            <v>0</v>
          </cell>
        </row>
        <row r="340">
          <cell r="C340">
            <v>0</v>
          </cell>
          <cell r="D340">
            <v>0</v>
          </cell>
          <cell r="F340">
            <v>0</v>
          </cell>
          <cell r="G340">
            <v>0</v>
          </cell>
        </row>
        <row r="341">
          <cell r="C341">
            <v>0</v>
          </cell>
          <cell r="D341">
            <v>0</v>
          </cell>
          <cell r="F341">
            <v>0</v>
          </cell>
          <cell r="G341">
            <v>0</v>
          </cell>
        </row>
        <row r="342">
          <cell r="C342">
            <v>0</v>
          </cell>
          <cell r="D342">
            <v>0</v>
          </cell>
          <cell r="F342">
            <v>0</v>
          </cell>
          <cell r="G342">
            <v>0</v>
          </cell>
        </row>
        <row r="343">
          <cell r="C343">
            <v>0</v>
          </cell>
          <cell r="D343">
            <v>0</v>
          </cell>
          <cell r="F343">
            <v>0</v>
          </cell>
          <cell r="G343">
            <v>0</v>
          </cell>
        </row>
        <row r="344">
          <cell r="C344">
            <v>0</v>
          </cell>
          <cell r="D344">
            <v>0</v>
          </cell>
          <cell r="F344">
            <v>0</v>
          </cell>
          <cell r="G344">
            <v>0</v>
          </cell>
        </row>
        <row r="345">
          <cell r="C345">
            <v>0</v>
          </cell>
          <cell r="D345">
            <v>0</v>
          </cell>
          <cell r="F345">
            <v>0</v>
          </cell>
          <cell r="G345">
            <v>0</v>
          </cell>
        </row>
        <row r="346">
          <cell r="C346">
            <v>0</v>
          </cell>
          <cell r="D346">
            <v>0</v>
          </cell>
          <cell r="F346">
            <v>0</v>
          </cell>
          <cell r="G346">
            <v>0</v>
          </cell>
        </row>
        <row r="347">
          <cell r="C347">
            <v>0</v>
          </cell>
          <cell r="D347">
            <v>0</v>
          </cell>
          <cell r="F347">
            <v>0</v>
          </cell>
          <cell r="G347">
            <v>0</v>
          </cell>
        </row>
        <row r="348">
          <cell r="C348">
            <v>0</v>
          </cell>
          <cell r="D348">
            <v>0</v>
          </cell>
          <cell r="F348">
            <v>0</v>
          </cell>
          <cell r="G348">
            <v>0</v>
          </cell>
        </row>
        <row r="349">
          <cell r="C349">
            <v>0</v>
          </cell>
          <cell r="D349">
            <v>0</v>
          </cell>
          <cell r="F349">
            <v>0</v>
          </cell>
          <cell r="G349">
            <v>0</v>
          </cell>
        </row>
        <row r="350">
          <cell r="C350">
            <v>0</v>
          </cell>
          <cell r="D350">
            <v>0</v>
          </cell>
          <cell r="F350">
            <v>0</v>
          </cell>
          <cell r="G350">
            <v>0</v>
          </cell>
        </row>
        <row r="351">
          <cell r="C351">
            <v>0</v>
          </cell>
          <cell r="D351">
            <v>0</v>
          </cell>
          <cell r="F351">
            <v>0</v>
          </cell>
          <cell r="G351">
            <v>0</v>
          </cell>
        </row>
        <row r="352">
          <cell r="C352">
            <v>0</v>
          </cell>
          <cell r="D352">
            <v>0</v>
          </cell>
          <cell r="F352">
            <v>0</v>
          </cell>
          <cell r="G352">
            <v>0</v>
          </cell>
        </row>
        <row r="353">
          <cell r="C353">
            <v>0</v>
          </cell>
          <cell r="D353">
            <v>0</v>
          </cell>
          <cell r="F353">
            <v>0</v>
          </cell>
          <cell r="G353">
            <v>0</v>
          </cell>
        </row>
        <row r="354">
          <cell r="C354">
            <v>0</v>
          </cell>
          <cell r="D354">
            <v>0</v>
          </cell>
          <cell r="F354">
            <v>0</v>
          </cell>
          <cell r="G354">
            <v>0</v>
          </cell>
        </row>
        <row r="355">
          <cell r="C355">
            <v>0</v>
          </cell>
          <cell r="D355">
            <v>0</v>
          </cell>
          <cell r="F355">
            <v>0</v>
          </cell>
          <cell r="G355">
            <v>0</v>
          </cell>
        </row>
        <row r="356">
          <cell r="C356">
            <v>0</v>
          </cell>
          <cell r="D356">
            <v>0</v>
          </cell>
          <cell r="F356">
            <v>0</v>
          </cell>
          <cell r="G356">
            <v>0</v>
          </cell>
        </row>
        <row r="357">
          <cell r="C357">
            <v>0</v>
          </cell>
          <cell r="D357">
            <v>0</v>
          </cell>
          <cell r="F357">
            <v>0</v>
          </cell>
          <cell r="G357">
            <v>0</v>
          </cell>
        </row>
        <row r="358">
          <cell r="C358">
            <v>0</v>
          </cell>
          <cell r="D358">
            <v>0</v>
          </cell>
          <cell r="F358">
            <v>0</v>
          </cell>
          <cell r="G358">
            <v>0</v>
          </cell>
        </row>
        <row r="359">
          <cell r="C359">
            <v>0</v>
          </cell>
          <cell r="D359">
            <v>0</v>
          </cell>
          <cell r="F359">
            <v>0</v>
          </cell>
          <cell r="G359">
            <v>0</v>
          </cell>
        </row>
        <row r="360">
          <cell r="C360">
            <v>0</v>
          </cell>
          <cell r="D360">
            <v>0</v>
          </cell>
          <cell r="F360">
            <v>0</v>
          </cell>
          <cell r="G360">
            <v>0</v>
          </cell>
        </row>
        <row r="361">
          <cell r="C361">
            <v>0</v>
          </cell>
          <cell r="D361">
            <v>0</v>
          </cell>
          <cell r="F361">
            <v>0</v>
          </cell>
          <cell r="G361">
            <v>0</v>
          </cell>
        </row>
        <row r="362">
          <cell r="C362">
            <v>0</v>
          </cell>
          <cell r="D362">
            <v>0</v>
          </cell>
          <cell r="F362">
            <v>0</v>
          </cell>
          <cell r="G362">
            <v>0</v>
          </cell>
        </row>
        <row r="363">
          <cell r="C363">
            <v>0</v>
          </cell>
          <cell r="D363">
            <v>0</v>
          </cell>
          <cell r="F363">
            <v>0</v>
          </cell>
          <cell r="G363">
            <v>0</v>
          </cell>
        </row>
        <row r="364">
          <cell r="C364">
            <v>0</v>
          </cell>
          <cell r="D364">
            <v>0</v>
          </cell>
          <cell r="F364">
            <v>0</v>
          </cell>
          <cell r="G364">
            <v>0</v>
          </cell>
        </row>
        <row r="365">
          <cell r="C365">
            <v>0</v>
          </cell>
          <cell r="D365">
            <v>0</v>
          </cell>
          <cell r="F365">
            <v>0</v>
          </cell>
          <cell r="G365">
            <v>0</v>
          </cell>
        </row>
        <row r="366">
          <cell r="C366">
            <v>0</v>
          </cell>
          <cell r="D366">
            <v>0</v>
          </cell>
          <cell r="F366">
            <v>0</v>
          </cell>
          <cell r="G366">
            <v>0</v>
          </cell>
        </row>
        <row r="367">
          <cell r="C367">
            <v>0</v>
          </cell>
          <cell r="D367">
            <v>0</v>
          </cell>
          <cell r="F367">
            <v>0</v>
          </cell>
          <cell r="G367">
            <v>0</v>
          </cell>
        </row>
        <row r="368">
          <cell r="C368">
            <v>0</v>
          </cell>
          <cell r="D368">
            <v>0</v>
          </cell>
          <cell r="F368">
            <v>0</v>
          </cell>
          <cell r="G368">
            <v>0</v>
          </cell>
        </row>
        <row r="369">
          <cell r="C369">
            <v>0</v>
          </cell>
          <cell r="D369">
            <v>0</v>
          </cell>
          <cell r="F369">
            <v>0</v>
          </cell>
          <cell r="G369">
            <v>0</v>
          </cell>
        </row>
        <row r="370">
          <cell r="C370">
            <v>0</v>
          </cell>
          <cell r="D370">
            <v>0</v>
          </cell>
          <cell r="F370">
            <v>0</v>
          </cell>
          <cell r="G370">
            <v>0</v>
          </cell>
        </row>
        <row r="371">
          <cell r="C371">
            <v>0</v>
          </cell>
          <cell r="D371">
            <v>0</v>
          </cell>
          <cell r="F371">
            <v>0</v>
          </cell>
          <cell r="G371">
            <v>0</v>
          </cell>
        </row>
        <row r="372">
          <cell r="C372">
            <v>0</v>
          </cell>
          <cell r="D372">
            <v>0</v>
          </cell>
          <cell r="F372">
            <v>0</v>
          </cell>
          <cell r="G372">
            <v>0</v>
          </cell>
        </row>
        <row r="373">
          <cell r="C373">
            <v>0</v>
          </cell>
          <cell r="D373">
            <v>0</v>
          </cell>
          <cell r="F373">
            <v>0</v>
          </cell>
          <cell r="G373">
            <v>0</v>
          </cell>
        </row>
        <row r="374">
          <cell r="C374">
            <v>0</v>
          </cell>
          <cell r="D374">
            <v>0</v>
          </cell>
          <cell r="F374">
            <v>0</v>
          </cell>
          <cell r="G374">
            <v>0</v>
          </cell>
        </row>
        <row r="375">
          <cell r="C375">
            <v>0</v>
          </cell>
          <cell r="D375">
            <v>0</v>
          </cell>
          <cell r="F375">
            <v>0</v>
          </cell>
          <cell r="G375">
            <v>0</v>
          </cell>
        </row>
        <row r="376">
          <cell r="C376">
            <v>0</v>
          </cell>
          <cell r="D376">
            <v>0</v>
          </cell>
          <cell r="F376">
            <v>0</v>
          </cell>
          <cell r="G376">
            <v>0</v>
          </cell>
        </row>
        <row r="377">
          <cell r="C377">
            <v>0</v>
          </cell>
          <cell r="D377">
            <v>0</v>
          </cell>
          <cell r="F377">
            <v>0</v>
          </cell>
          <cell r="G377">
            <v>0</v>
          </cell>
        </row>
        <row r="378">
          <cell r="C378">
            <v>0</v>
          </cell>
          <cell r="D378">
            <v>0</v>
          </cell>
          <cell r="F378">
            <v>0</v>
          </cell>
          <cell r="G378">
            <v>0</v>
          </cell>
        </row>
        <row r="379">
          <cell r="C379">
            <v>0</v>
          </cell>
          <cell r="D379">
            <v>0</v>
          </cell>
          <cell r="F379">
            <v>0</v>
          </cell>
          <cell r="G379">
            <v>0</v>
          </cell>
        </row>
        <row r="380">
          <cell r="C380">
            <v>0</v>
          </cell>
          <cell r="D380">
            <v>0</v>
          </cell>
          <cell r="F380">
            <v>0</v>
          </cell>
          <cell r="G380">
            <v>0</v>
          </cell>
        </row>
        <row r="381">
          <cell r="C381">
            <v>0</v>
          </cell>
          <cell r="D381">
            <v>0</v>
          </cell>
          <cell r="F381">
            <v>0</v>
          </cell>
          <cell r="G381">
            <v>0</v>
          </cell>
        </row>
        <row r="382">
          <cell r="C382">
            <v>0</v>
          </cell>
          <cell r="D382">
            <v>0</v>
          </cell>
          <cell r="F382">
            <v>0</v>
          </cell>
          <cell r="G382">
            <v>0</v>
          </cell>
        </row>
        <row r="383">
          <cell r="C383">
            <v>0</v>
          </cell>
          <cell r="D383">
            <v>0</v>
          </cell>
          <cell r="F383">
            <v>0</v>
          </cell>
          <cell r="G383">
            <v>0</v>
          </cell>
        </row>
        <row r="384">
          <cell r="C384">
            <v>0</v>
          </cell>
          <cell r="D384">
            <v>0</v>
          </cell>
          <cell r="F384">
            <v>0</v>
          </cell>
          <cell r="G384">
            <v>0</v>
          </cell>
        </row>
        <row r="385">
          <cell r="C385">
            <v>0</v>
          </cell>
          <cell r="D385">
            <v>0</v>
          </cell>
          <cell r="F385">
            <v>0</v>
          </cell>
          <cell r="G385">
            <v>0</v>
          </cell>
        </row>
        <row r="386">
          <cell r="C386">
            <v>0</v>
          </cell>
          <cell r="D386">
            <v>0</v>
          </cell>
          <cell r="F386">
            <v>0</v>
          </cell>
          <cell r="G386">
            <v>0</v>
          </cell>
        </row>
        <row r="387">
          <cell r="C387">
            <v>0</v>
          </cell>
          <cell r="D387">
            <v>0</v>
          </cell>
          <cell r="F387">
            <v>0</v>
          </cell>
          <cell r="G387">
            <v>0</v>
          </cell>
        </row>
        <row r="388">
          <cell r="C388">
            <v>0</v>
          </cell>
          <cell r="D388">
            <v>0</v>
          </cell>
          <cell r="F388">
            <v>0</v>
          </cell>
          <cell r="G388">
            <v>0</v>
          </cell>
        </row>
        <row r="389">
          <cell r="C389">
            <v>0</v>
          </cell>
          <cell r="D389">
            <v>0</v>
          </cell>
          <cell r="F389">
            <v>0</v>
          </cell>
          <cell r="G389">
            <v>0</v>
          </cell>
        </row>
        <row r="390">
          <cell r="C390">
            <v>0</v>
          </cell>
          <cell r="D390">
            <v>0</v>
          </cell>
          <cell r="F390">
            <v>0</v>
          </cell>
          <cell r="G390">
            <v>0</v>
          </cell>
        </row>
        <row r="391">
          <cell r="C391">
            <v>0</v>
          </cell>
          <cell r="D391">
            <v>0</v>
          </cell>
          <cell r="F391">
            <v>0</v>
          </cell>
          <cell r="G391">
            <v>0</v>
          </cell>
        </row>
        <row r="392">
          <cell r="C392">
            <v>0</v>
          </cell>
          <cell r="D392">
            <v>0</v>
          </cell>
          <cell r="F392">
            <v>0</v>
          </cell>
          <cell r="G392">
            <v>0</v>
          </cell>
        </row>
        <row r="393">
          <cell r="C393">
            <v>0</v>
          </cell>
          <cell r="D393">
            <v>0</v>
          </cell>
          <cell r="F393">
            <v>0</v>
          </cell>
          <cell r="G393">
            <v>0</v>
          </cell>
        </row>
        <row r="394">
          <cell r="C394">
            <v>0</v>
          </cell>
          <cell r="D394">
            <v>0</v>
          </cell>
          <cell r="F394">
            <v>0</v>
          </cell>
          <cell r="G394">
            <v>0</v>
          </cell>
        </row>
        <row r="395">
          <cell r="C395">
            <v>0</v>
          </cell>
          <cell r="D395">
            <v>0</v>
          </cell>
          <cell r="F395">
            <v>0</v>
          </cell>
          <cell r="G395">
            <v>0</v>
          </cell>
        </row>
        <row r="396">
          <cell r="C396">
            <v>0</v>
          </cell>
          <cell r="D396">
            <v>0</v>
          </cell>
          <cell r="F396">
            <v>0</v>
          </cell>
          <cell r="G396">
            <v>0</v>
          </cell>
        </row>
        <row r="397">
          <cell r="C397">
            <v>0</v>
          </cell>
          <cell r="D397">
            <v>0</v>
          </cell>
          <cell r="F397">
            <v>0</v>
          </cell>
          <cell r="G397">
            <v>0</v>
          </cell>
        </row>
        <row r="398">
          <cell r="C398">
            <v>0</v>
          </cell>
          <cell r="D398">
            <v>0</v>
          </cell>
          <cell r="F398">
            <v>0</v>
          </cell>
          <cell r="G398">
            <v>0</v>
          </cell>
        </row>
        <row r="399">
          <cell r="C399">
            <v>0</v>
          </cell>
          <cell r="D399">
            <v>0</v>
          </cell>
          <cell r="F399">
            <v>0</v>
          </cell>
          <cell r="G399">
            <v>0</v>
          </cell>
        </row>
        <row r="400">
          <cell r="C400">
            <v>0</v>
          </cell>
          <cell r="D400">
            <v>0</v>
          </cell>
          <cell r="F400">
            <v>0</v>
          </cell>
          <cell r="G400">
            <v>0</v>
          </cell>
        </row>
        <row r="401">
          <cell r="C401">
            <v>0</v>
          </cell>
          <cell r="D401">
            <v>0</v>
          </cell>
          <cell r="F401">
            <v>0</v>
          </cell>
          <cell r="G401">
            <v>0</v>
          </cell>
        </row>
        <row r="402">
          <cell r="C402">
            <v>0</v>
          </cell>
          <cell r="D402">
            <v>0</v>
          </cell>
          <cell r="F402">
            <v>0</v>
          </cell>
          <cell r="G402">
            <v>0</v>
          </cell>
        </row>
        <row r="403">
          <cell r="C403">
            <v>0</v>
          </cell>
          <cell r="D403">
            <v>0</v>
          </cell>
          <cell r="F403">
            <v>0</v>
          </cell>
          <cell r="G403">
            <v>0</v>
          </cell>
        </row>
        <row r="404">
          <cell r="C404">
            <v>0</v>
          </cell>
          <cell r="D404">
            <v>0</v>
          </cell>
          <cell r="F404">
            <v>0</v>
          </cell>
          <cell r="G404">
            <v>0</v>
          </cell>
        </row>
        <row r="405">
          <cell r="C405">
            <v>0</v>
          </cell>
          <cell r="D405">
            <v>0</v>
          </cell>
          <cell r="F405">
            <v>0</v>
          </cell>
          <cell r="G405">
            <v>0</v>
          </cell>
        </row>
        <row r="406">
          <cell r="C406">
            <v>0</v>
          </cell>
          <cell r="D406">
            <v>0</v>
          </cell>
          <cell r="F406">
            <v>0</v>
          </cell>
          <cell r="G406">
            <v>0</v>
          </cell>
        </row>
        <row r="407">
          <cell r="C407">
            <v>0</v>
          </cell>
          <cell r="D407">
            <v>0</v>
          </cell>
          <cell r="F407">
            <v>0</v>
          </cell>
          <cell r="G407">
            <v>0</v>
          </cell>
        </row>
        <row r="408">
          <cell r="C408">
            <v>0</v>
          </cell>
          <cell r="D408">
            <v>0</v>
          </cell>
          <cell r="F408">
            <v>0</v>
          </cell>
          <cell r="G408">
            <v>0</v>
          </cell>
        </row>
        <row r="409">
          <cell r="C409">
            <v>0</v>
          </cell>
          <cell r="D409">
            <v>0</v>
          </cell>
          <cell r="F409">
            <v>0</v>
          </cell>
          <cell r="G409">
            <v>0</v>
          </cell>
        </row>
        <row r="410">
          <cell r="C410">
            <v>0</v>
          </cell>
          <cell r="D410">
            <v>0</v>
          </cell>
          <cell r="F410">
            <v>0</v>
          </cell>
          <cell r="G410">
            <v>0</v>
          </cell>
        </row>
        <row r="411">
          <cell r="C411">
            <v>0</v>
          </cell>
          <cell r="D411">
            <v>0</v>
          </cell>
          <cell r="F411">
            <v>0</v>
          </cell>
          <cell r="G411">
            <v>0</v>
          </cell>
        </row>
        <row r="412">
          <cell r="C412">
            <v>0</v>
          </cell>
          <cell r="D412">
            <v>0</v>
          </cell>
          <cell r="F412">
            <v>0</v>
          </cell>
          <cell r="G412">
            <v>0</v>
          </cell>
        </row>
        <row r="413">
          <cell r="C413">
            <v>0</v>
          </cell>
          <cell r="D413">
            <v>0</v>
          </cell>
          <cell r="F413">
            <v>0</v>
          </cell>
          <cell r="G413">
            <v>0</v>
          </cell>
        </row>
        <row r="414">
          <cell r="C414">
            <v>0</v>
          </cell>
          <cell r="D414">
            <v>0</v>
          </cell>
          <cell r="F414">
            <v>0</v>
          </cell>
          <cell r="G414">
            <v>0</v>
          </cell>
        </row>
        <row r="415">
          <cell r="C415">
            <v>0</v>
          </cell>
          <cell r="D415">
            <v>0</v>
          </cell>
          <cell r="F415">
            <v>0</v>
          </cell>
          <cell r="G415">
            <v>0</v>
          </cell>
        </row>
        <row r="416">
          <cell r="C416">
            <v>0</v>
          </cell>
          <cell r="D416">
            <v>0</v>
          </cell>
          <cell r="F416">
            <v>0</v>
          </cell>
          <cell r="G416">
            <v>0</v>
          </cell>
        </row>
        <row r="417">
          <cell r="C417">
            <v>0</v>
          </cell>
          <cell r="D417">
            <v>0</v>
          </cell>
          <cell r="F417">
            <v>0</v>
          </cell>
          <cell r="G417">
            <v>0</v>
          </cell>
        </row>
        <row r="418">
          <cell r="C418">
            <v>0</v>
          </cell>
          <cell r="D418">
            <v>0</v>
          </cell>
          <cell r="F418">
            <v>0</v>
          </cell>
          <cell r="G418">
            <v>0</v>
          </cell>
        </row>
        <row r="419">
          <cell r="C419">
            <v>0</v>
          </cell>
          <cell r="D419">
            <v>0</v>
          </cell>
          <cell r="F419">
            <v>0</v>
          </cell>
          <cell r="G419">
            <v>0</v>
          </cell>
        </row>
        <row r="420">
          <cell r="C420">
            <v>0</v>
          </cell>
          <cell r="D420">
            <v>0</v>
          </cell>
          <cell r="F420">
            <v>0</v>
          </cell>
          <cell r="G420">
            <v>0</v>
          </cell>
        </row>
        <row r="421">
          <cell r="C421">
            <v>0</v>
          </cell>
          <cell r="D421">
            <v>0</v>
          </cell>
          <cell r="F421">
            <v>0</v>
          </cell>
          <cell r="G421">
            <v>0</v>
          </cell>
        </row>
        <row r="422">
          <cell r="C422">
            <v>0</v>
          </cell>
          <cell r="D422">
            <v>0</v>
          </cell>
          <cell r="F422">
            <v>0</v>
          </cell>
          <cell r="G422">
            <v>0</v>
          </cell>
        </row>
        <row r="423">
          <cell r="C423">
            <v>0</v>
          </cell>
          <cell r="D423">
            <v>0</v>
          </cell>
          <cell r="F423">
            <v>0</v>
          </cell>
          <cell r="G423">
            <v>0</v>
          </cell>
        </row>
        <row r="424">
          <cell r="C424">
            <v>0</v>
          </cell>
          <cell r="D424">
            <v>0</v>
          </cell>
          <cell r="F424">
            <v>0</v>
          </cell>
          <cell r="G424">
            <v>0</v>
          </cell>
        </row>
        <row r="425">
          <cell r="C425">
            <v>0</v>
          </cell>
          <cell r="D425">
            <v>0</v>
          </cell>
          <cell r="F425">
            <v>0</v>
          </cell>
          <cell r="G425">
            <v>0</v>
          </cell>
        </row>
        <row r="426">
          <cell r="C426">
            <v>0</v>
          </cell>
          <cell r="D426">
            <v>0</v>
          </cell>
          <cell r="F426">
            <v>0</v>
          </cell>
          <cell r="G426">
            <v>0</v>
          </cell>
        </row>
        <row r="427">
          <cell r="C427">
            <v>0</v>
          </cell>
          <cell r="D427">
            <v>0</v>
          </cell>
          <cell r="F427">
            <v>0</v>
          </cell>
          <cell r="G427">
            <v>0</v>
          </cell>
        </row>
        <row r="428">
          <cell r="C428">
            <v>0</v>
          </cell>
          <cell r="D428">
            <v>0</v>
          </cell>
          <cell r="F428">
            <v>0</v>
          </cell>
          <cell r="G428">
            <v>0</v>
          </cell>
        </row>
        <row r="429">
          <cell r="C429">
            <v>0</v>
          </cell>
          <cell r="D429">
            <v>0</v>
          </cell>
          <cell r="F429">
            <v>0</v>
          </cell>
          <cell r="G429">
            <v>0</v>
          </cell>
        </row>
        <row r="430">
          <cell r="C430">
            <v>0</v>
          </cell>
          <cell r="D430">
            <v>0</v>
          </cell>
          <cell r="F430">
            <v>0</v>
          </cell>
          <cell r="G430">
            <v>0</v>
          </cell>
        </row>
        <row r="431">
          <cell r="C431">
            <v>0</v>
          </cell>
          <cell r="D431">
            <v>0</v>
          </cell>
          <cell r="F431">
            <v>0</v>
          </cell>
          <cell r="G431">
            <v>0</v>
          </cell>
        </row>
        <row r="432">
          <cell r="C432">
            <v>0</v>
          </cell>
          <cell r="D432">
            <v>0</v>
          </cell>
          <cell r="F432">
            <v>0</v>
          </cell>
          <cell r="G432">
            <v>0</v>
          </cell>
        </row>
        <row r="433">
          <cell r="C433">
            <v>0</v>
          </cell>
          <cell r="D433">
            <v>0</v>
          </cell>
          <cell r="F433">
            <v>0</v>
          </cell>
          <cell r="G433">
            <v>0</v>
          </cell>
        </row>
        <row r="434">
          <cell r="C434">
            <v>0</v>
          </cell>
          <cell r="D434">
            <v>0</v>
          </cell>
          <cell r="F434">
            <v>0</v>
          </cell>
          <cell r="G434">
            <v>0</v>
          </cell>
        </row>
        <row r="435">
          <cell r="C435">
            <v>0</v>
          </cell>
          <cell r="D435">
            <v>0</v>
          </cell>
          <cell r="F435">
            <v>0</v>
          </cell>
          <cell r="G435">
            <v>0</v>
          </cell>
        </row>
        <row r="436">
          <cell r="C436">
            <v>0</v>
          </cell>
          <cell r="D436">
            <v>0</v>
          </cell>
          <cell r="F436">
            <v>0</v>
          </cell>
          <cell r="G436">
            <v>0</v>
          </cell>
        </row>
        <row r="437">
          <cell r="C437">
            <v>0</v>
          </cell>
          <cell r="D437">
            <v>0</v>
          </cell>
          <cell r="F437">
            <v>0</v>
          </cell>
          <cell r="G437">
            <v>0</v>
          </cell>
        </row>
        <row r="438">
          <cell r="C438">
            <v>0</v>
          </cell>
          <cell r="D438">
            <v>0</v>
          </cell>
          <cell r="F438">
            <v>0</v>
          </cell>
          <cell r="G438">
            <v>0</v>
          </cell>
        </row>
        <row r="439">
          <cell r="C439">
            <v>0</v>
          </cell>
          <cell r="D439">
            <v>0</v>
          </cell>
          <cell r="F439">
            <v>0</v>
          </cell>
          <cell r="G439">
            <v>0</v>
          </cell>
        </row>
        <row r="440">
          <cell r="C440">
            <v>0</v>
          </cell>
          <cell r="D440">
            <v>0</v>
          </cell>
          <cell r="F440">
            <v>0</v>
          </cell>
          <cell r="G440">
            <v>0</v>
          </cell>
        </row>
        <row r="441">
          <cell r="C441">
            <v>0</v>
          </cell>
          <cell r="D441">
            <v>0</v>
          </cell>
          <cell r="F441">
            <v>0</v>
          </cell>
          <cell r="G441">
            <v>0</v>
          </cell>
        </row>
        <row r="442">
          <cell r="C442">
            <v>0</v>
          </cell>
          <cell r="D442">
            <v>0</v>
          </cell>
          <cell r="F442">
            <v>0</v>
          </cell>
          <cell r="G442">
            <v>0</v>
          </cell>
        </row>
        <row r="443">
          <cell r="C443">
            <v>0</v>
          </cell>
          <cell r="D443">
            <v>0</v>
          </cell>
          <cell r="F443">
            <v>0</v>
          </cell>
          <cell r="G443">
            <v>0</v>
          </cell>
        </row>
        <row r="444">
          <cell r="C444">
            <v>0</v>
          </cell>
          <cell r="D444">
            <v>0</v>
          </cell>
          <cell r="F444">
            <v>0</v>
          </cell>
          <cell r="G444">
            <v>0</v>
          </cell>
        </row>
        <row r="445">
          <cell r="C445">
            <v>0</v>
          </cell>
          <cell r="D445">
            <v>0</v>
          </cell>
          <cell r="F445">
            <v>0</v>
          </cell>
          <cell r="G445">
            <v>0</v>
          </cell>
        </row>
        <row r="446">
          <cell r="C446">
            <v>0</v>
          </cell>
          <cell r="D446">
            <v>0</v>
          </cell>
          <cell r="F446">
            <v>0</v>
          </cell>
          <cell r="G446">
            <v>0</v>
          </cell>
        </row>
        <row r="447">
          <cell r="C447">
            <v>0</v>
          </cell>
          <cell r="D447">
            <v>0</v>
          </cell>
          <cell r="F447">
            <v>0</v>
          </cell>
          <cell r="G447">
            <v>0</v>
          </cell>
        </row>
        <row r="448">
          <cell r="C448">
            <v>0</v>
          </cell>
          <cell r="D448">
            <v>0</v>
          </cell>
          <cell r="F448">
            <v>0</v>
          </cell>
          <cell r="G448">
            <v>0</v>
          </cell>
        </row>
        <row r="449">
          <cell r="C449">
            <v>0</v>
          </cell>
          <cell r="D449">
            <v>0</v>
          </cell>
          <cell r="F449">
            <v>0</v>
          </cell>
          <cell r="G449">
            <v>0</v>
          </cell>
        </row>
        <row r="450">
          <cell r="C450">
            <v>0</v>
          </cell>
          <cell r="D450">
            <v>0</v>
          </cell>
          <cell r="F450">
            <v>0</v>
          </cell>
          <cell r="G450">
            <v>0</v>
          </cell>
        </row>
        <row r="451">
          <cell r="C451">
            <v>0</v>
          </cell>
          <cell r="D451">
            <v>0</v>
          </cell>
          <cell r="F451">
            <v>0</v>
          </cell>
          <cell r="G451">
            <v>0</v>
          </cell>
        </row>
        <row r="452">
          <cell r="C452">
            <v>0</v>
          </cell>
          <cell r="D452">
            <v>0</v>
          </cell>
          <cell r="F452">
            <v>0</v>
          </cell>
          <cell r="G452">
            <v>0</v>
          </cell>
        </row>
        <row r="453">
          <cell r="C453">
            <v>0</v>
          </cell>
          <cell r="D453">
            <v>0</v>
          </cell>
          <cell r="F453">
            <v>0</v>
          </cell>
          <cell r="G453">
            <v>0</v>
          </cell>
        </row>
        <row r="454">
          <cell r="C454">
            <v>0</v>
          </cell>
          <cell r="D454">
            <v>0</v>
          </cell>
          <cell r="F454">
            <v>0</v>
          </cell>
          <cell r="G454">
            <v>0</v>
          </cell>
        </row>
        <row r="455">
          <cell r="C455">
            <v>0</v>
          </cell>
          <cell r="D455">
            <v>0</v>
          </cell>
          <cell r="F455">
            <v>0</v>
          </cell>
          <cell r="G455">
            <v>0</v>
          </cell>
        </row>
        <row r="456">
          <cell r="C456">
            <v>0</v>
          </cell>
          <cell r="D456">
            <v>0</v>
          </cell>
          <cell r="F456">
            <v>0</v>
          </cell>
          <cell r="G456">
            <v>0</v>
          </cell>
        </row>
        <row r="457">
          <cell r="C457">
            <v>0</v>
          </cell>
          <cell r="D457">
            <v>0</v>
          </cell>
          <cell r="F457">
            <v>0</v>
          </cell>
          <cell r="G457">
            <v>0</v>
          </cell>
        </row>
        <row r="458">
          <cell r="C458">
            <v>0</v>
          </cell>
          <cell r="D458">
            <v>0</v>
          </cell>
          <cell r="F458">
            <v>0</v>
          </cell>
          <cell r="G458">
            <v>0</v>
          </cell>
        </row>
        <row r="459">
          <cell r="C459">
            <v>0</v>
          </cell>
          <cell r="D459">
            <v>0</v>
          </cell>
          <cell r="F459">
            <v>0</v>
          </cell>
          <cell r="G459">
            <v>0</v>
          </cell>
        </row>
        <row r="460">
          <cell r="C460">
            <v>0</v>
          </cell>
          <cell r="D460">
            <v>0</v>
          </cell>
          <cell r="F460">
            <v>0</v>
          </cell>
          <cell r="G460">
            <v>0</v>
          </cell>
        </row>
        <row r="461">
          <cell r="C461">
            <v>0</v>
          </cell>
          <cell r="D461">
            <v>0</v>
          </cell>
          <cell r="F461">
            <v>0</v>
          </cell>
          <cell r="G461">
            <v>0</v>
          </cell>
        </row>
        <row r="462">
          <cell r="C462">
            <v>0</v>
          </cell>
          <cell r="D462">
            <v>0</v>
          </cell>
          <cell r="F462">
            <v>0</v>
          </cell>
          <cell r="G462">
            <v>0</v>
          </cell>
        </row>
        <row r="463">
          <cell r="C463">
            <v>0</v>
          </cell>
          <cell r="D463">
            <v>0</v>
          </cell>
          <cell r="F463">
            <v>0</v>
          </cell>
          <cell r="G463">
            <v>0</v>
          </cell>
        </row>
        <row r="464">
          <cell r="C464">
            <v>0</v>
          </cell>
          <cell r="D464">
            <v>0</v>
          </cell>
          <cell r="F464">
            <v>0</v>
          </cell>
          <cell r="G464">
            <v>0</v>
          </cell>
        </row>
        <row r="465">
          <cell r="C465">
            <v>0</v>
          </cell>
          <cell r="D465">
            <v>0</v>
          </cell>
          <cell r="F465">
            <v>0</v>
          </cell>
          <cell r="G465">
            <v>0</v>
          </cell>
        </row>
        <row r="466">
          <cell r="C466">
            <v>0</v>
          </cell>
          <cell r="D466">
            <v>0</v>
          </cell>
          <cell r="F466">
            <v>0</v>
          </cell>
          <cell r="G466">
            <v>0</v>
          </cell>
        </row>
        <row r="467">
          <cell r="C467">
            <v>0</v>
          </cell>
          <cell r="D467">
            <v>0</v>
          </cell>
          <cell r="F467">
            <v>0</v>
          </cell>
          <cell r="G467">
            <v>0</v>
          </cell>
        </row>
        <row r="468">
          <cell r="C468">
            <v>0</v>
          </cell>
          <cell r="D468">
            <v>0</v>
          </cell>
          <cell r="F468">
            <v>0</v>
          </cell>
          <cell r="G468">
            <v>0</v>
          </cell>
        </row>
        <row r="469">
          <cell r="C469">
            <v>0</v>
          </cell>
          <cell r="D469">
            <v>0</v>
          </cell>
          <cell r="F469">
            <v>0</v>
          </cell>
          <cell r="G469">
            <v>0</v>
          </cell>
        </row>
        <row r="470">
          <cell r="C470">
            <v>0</v>
          </cell>
          <cell r="D470">
            <v>0</v>
          </cell>
          <cell r="F470">
            <v>0</v>
          </cell>
          <cell r="G470">
            <v>0</v>
          </cell>
        </row>
        <row r="471">
          <cell r="C471">
            <v>0</v>
          </cell>
          <cell r="D471">
            <v>0</v>
          </cell>
          <cell r="F471">
            <v>0</v>
          </cell>
          <cell r="G471">
            <v>0</v>
          </cell>
        </row>
        <row r="472">
          <cell r="C472">
            <v>0</v>
          </cell>
          <cell r="D472">
            <v>0</v>
          </cell>
          <cell r="F472">
            <v>0</v>
          </cell>
          <cell r="G472">
            <v>0</v>
          </cell>
        </row>
        <row r="473">
          <cell r="C473">
            <v>0</v>
          </cell>
          <cell r="D473">
            <v>0</v>
          </cell>
          <cell r="F473">
            <v>0</v>
          </cell>
          <cell r="G473">
            <v>0</v>
          </cell>
        </row>
        <row r="474">
          <cell r="C474">
            <v>0</v>
          </cell>
          <cell r="D474">
            <v>0</v>
          </cell>
          <cell r="F474">
            <v>0</v>
          </cell>
          <cell r="G474">
            <v>0</v>
          </cell>
        </row>
        <row r="475">
          <cell r="C475">
            <v>0</v>
          </cell>
          <cell r="D475">
            <v>0</v>
          </cell>
          <cell r="F475">
            <v>0</v>
          </cell>
          <cell r="G475">
            <v>0</v>
          </cell>
        </row>
        <row r="476">
          <cell r="C476">
            <v>0</v>
          </cell>
          <cell r="D476">
            <v>0</v>
          </cell>
          <cell r="F476">
            <v>0</v>
          </cell>
          <cell r="G476">
            <v>0</v>
          </cell>
        </row>
        <row r="477">
          <cell r="C477">
            <v>0</v>
          </cell>
          <cell r="D477">
            <v>0</v>
          </cell>
          <cell r="F477">
            <v>0</v>
          </cell>
          <cell r="G477">
            <v>0</v>
          </cell>
        </row>
        <row r="478">
          <cell r="C478">
            <v>0</v>
          </cell>
          <cell r="D478">
            <v>0</v>
          </cell>
          <cell r="F478">
            <v>0</v>
          </cell>
          <cell r="G478">
            <v>0</v>
          </cell>
        </row>
        <row r="479">
          <cell r="C479">
            <v>0</v>
          </cell>
          <cell r="D479">
            <v>0</v>
          </cell>
          <cell r="F479">
            <v>0</v>
          </cell>
          <cell r="G479">
            <v>0</v>
          </cell>
        </row>
        <row r="480">
          <cell r="C480">
            <v>0</v>
          </cell>
          <cell r="D480">
            <v>0</v>
          </cell>
          <cell r="F480">
            <v>0</v>
          </cell>
          <cell r="G480">
            <v>0</v>
          </cell>
        </row>
        <row r="481">
          <cell r="C481">
            <v>0</v>
          </cell>
          <cell r="D481">
            <v>0</v>
          </cell>
          <cell r="F481">
            <v>0</v>
          </cell>
          <cell r="G481">
            <v>0</v>
          </cell>
        </row>
        <row r="482">
          <cell r="C482">
            <v>0</v>
          </cell>
          <cell r="D482">
            <v>0</v>
          </cell>
          <cell r="F482">
            <v>0</v>
          </cell>
          <cell r="G482">
            <v>0</v>
          </cell>
        </row>
        <row r="483">
          <cell r="C483">
            <v>0</v>
          </cell>
          <cell r="D483">
            <v>0</v>
          </cell>
          <cell r="F483">
            <v>0</v>
          </cell>
          <cell r="G483">
            <v>0</v>
          </cell>
        </row>
        <row r="484">
          <cell r="C484">
            <v>0</v>
          </cell>
          <cell r="D484">
            <v>0</v>
          </cell>
          <cell r="F484">
            <v>0</v>
          </cell>
          <cell r="G484">
            <v>0</v>
          </cell>
        </row>
        <row r="485">
          <cell r="C485">
            <v>0</v>
          </cell>
          <cell r="D485">
            <v>0</v>
          </cell>
          <cell r="F485">
            <v>0</v>
          </cell>
          <cell r="G485">
            <v>0</v>
          </cell>
        </row>
        <row r="486">
          <cell r="C486">
            <v>0</v>
          </cell>
          <cell r="D486">
            <v>0</v>
          </cell>
          <cell r="F486">
            <v>0</v>
          </cell>
          <cell r="G486">
            <v>0</v>
          </cell>
        </row>
        <row r="487">
          <cell r="C487">
            <v>0</v>
          </cell>
          <cell r="D487">
            <v>0</v>
          </cell>
          <cell r="F487">
            <v>0</v>
          </cell>
          <cell r="G487">
            <v>0</v>
          </cell>
        </row>
        <row r="488">
          <cell r="C488">
            <v>0</v>
          </cell>
          <cell r="D488">
            <v>0</v>
          </cell>
          <cell r="F488">
            <v>0</v>
          </cell>
          <cell r="G488">
            <v>0</v>
          </cell>
        </row>
        <row r="489">
          <cell r="C489">
            <v>0</v>
          </cell>
          <cell r="D489">
            <v>0</v>
          </cell>
          <cell r="F489">
            <v>0</v>
          </cell>
          <cell r="G489">
            <v>0</v>
          </cell>
        </row>
        <row r="490">
          <cell r="C490">
            <v>0</v>
          </cell>
          <cell r="D490">
            <v>0</v>
          </cell>
          <cell r="F490">
            <v>0</v>
          </cell>
          <cell r="G490">
            <v>0</v>
          </cell>
        </row>
        <row r="491">
          <cell r="C491">
            <v>0</v>
          </cell>
          <cell r="D491">
            <v>0</v>
          </cell>
          <cell r="F491">
            <v>0</v>
          </cell>
          <cell r="G491">
            <v>0</v>
          </cell>
        </row>
        <row r="492">
          <cell r="C492">
            <v>0</v>
          </cell>
          <cell r="D492">
            <v>0</v>
          </cell>
          <cell r="F492">
            <v>0</v>
          </cell>
          <cell r="G492">
            <v>0</v>
          </cell>
        </row>
        <row r="493">
          <cell r="C493">
            <v>0</v>
          </cell>
          <cell r="D493">
            <v>0</v>
          </cell>
          <cell r="F493">
            <v>0</v>
          </cell>
          <cell r="G493">
            <v>0</v>
          </cell>
        </row>
        <row r="494">
          <cell r="C494">
            <v>0</v>
          </cell>
          <cell r="D494">
            <v>0</v>
          </cell>
          <cell r="F494">
            <v>0</v>
          </cell>
          <cell r="G494">
            <v>0</v>
          </cell>
        </row>
        <row r="495">
          <cell r="C495">
            <v>0</v>
          </cell>
          <cell r="D495">
            <v>0</v>
          </cell>
          <cell r="F495">
            <v>0</v>
          </cell>
          <cell r="G495">
            <v>0</v>
          </cell>
        </row>
        <row r="496">
          <cell r="C496">
            <v>0</v>
          </cell>
          <cell r="D496">
            <v>0</v>
          </cell>
          <cell r="F496">
            <v>0</v>
          </cell>
          <cell r="G496">
            <v>0</v>
          </cell>
        </row>
        <row r="497">
          <cell r="C497">
            <v>0</v>
          </cell>
          <cell r="D497">
            <v>0</v>
          </cell>
          <cell r="F497">
            <v>0</v>
          </cell>
          <cell r="G497">
            <v>0</v>
          </cell>
        </row>
        <row r="498">
          <cell r="C498">
            <v>0</v>
          </cell>
          <cell r="D498">
            <v>0</v>
          </cell>
          <cell r="F498">
            <v>0</v>
          </cell>
          <cell r="G498">
            <v>0</v>
          </cell>
        </row>
        <row r="499">
          <cell r="C499">
            <v>0</v>
          </cell>
          <cell r="D499">
            <v>0</v>
          </cell>
          <cell r="F499">
            <v>0</v>
          </cell>
          <cell r="G499">
            <v>0</v>
          </cell>
        </row>
        <row r="500">
          <cell r="C500">
            <v>0</v>
          </cell>
          <cell r="D500">
            <v>0</v>
          </cell>
          <cell r="F500">
            <v>0</v>
          </cell>
          <cell r="G500">
            <v>0</v>
          </cell>
        </row>
        <row r="501">
          <cell r="C501">
            <v>0</v>
          </cell>
          <cell r="D501">
            <v>0</v>
          </cell>
          <cell r="F501">
            <v>0</v>
          </cell>
          <cell r="G501">
            <v>0</v>
          </cell>
        </row>
        <row r="502">
          <cell r="C502">
            <v>0</v>
          </cell>
          <cell r="D502">
            <v>0</v>
          </cell>
          <cell r="F502">
            <v>0</v>
          </cell>
          <cell r="G502">
            <v>0</v>
          </cell>
        </row>
        <row r="503">
          <cell r="C503">
            <v>0</v>
          </cell>
          <cell r="D503">
            <v>0</v>
          </cell>
          <cell r="F503">
            <v>0</v>
          </cell>
          <cell r="G503">
            <v>0</v>
          </cell>
        </row>
        <row r="504">
          <cell r="C504">
            <v>0</v>
          </cell>
          <cell r="D504">
            <v>0</v>
          </cell>
          <cell r="F504">
            <v>0</v>
          </cell>
          <cell r="G504">
            <v>0</v>
          </cell>
        </row>
        <row r="505">
          <cell r="C505">
            <v>0</v>
          </cell>
          <cell r="D505">
            <v>0</v>
          </cell>
          <cell r="F505">
            <v>0</v>
          </cell>
          <cell r="G505">
            <v>0</v>
          </cell>
        </row>
        <row r="506">
          <cell r="C506">
            <v>0</v>
          </cell>
          <cell r="D506">
            <v>0</v>
          </cell>
          <cell r="F506">
            <v>0</v>
          </cell>
          <cell r="G506">
            <v>0</v>
          </cell>
        </row>
        <row r="507">
          <cell r="C507">
            <v>0</v>
          </cell>
          <cell r="D507">
            <v>0</v>
          </cell>
          <cell r="F507">
            <v>0</v>
          </cell>
          <cell r="G507">
            <v>0</v>
          </cell>
        </row>
        <row r="508">
          <cell r="C508">
            <v>0</v>
          </cell>
          <cell r="D508">
            <v>0</v>
          </cell>
          <cell r="F508">
            <v>0</v>
          </cell>
          <cell r="G508">
            <v>0</v>
          </cell>
        </row>
        <row r="509">
          <cell r="C509">
            <v>0</v>
          </cell>
          <cell r="D509">
            <v>0</v>
          </cell>
          <cell r="F509">
            <v>0</v>
          </cell>
          <cell r="G509">
            <v>0</v>
          </cell>
        </row>
        <row r="510">
          <cell r="C510">
            <v>0</v>
          </cell>
          <cell r="D510">
            <v>0</v>
          </cell>
          <cell r="F510">
            <v>0</v>
          </cell>
          <cell r="G510">
            <v>0</v>
          </cell>
        </row>
        <row r="511">
          <cell r="C511">
            <v>0</v>
          </cell>
          <cell r="D511">
            <v>0</v>
          </cell>
          <cell r="F511">
            <v>0</v>
          </cell>
          <cell r="G511">
            <v>0</v>
          </cell>
        </row>
        <row r="512">
          <cell r="C512">
            <v>0</v>
          </cell>
          <cell r="D512">
            <v>0</v>
          </cell>
          <cell r="F512">
            <v>0</v>
          </cell>
          <cell r="G512">
            <v>0</v>
          </cell>
        </row>
        <row r="513">
          <cell r="C513">
            <v>0</v>
          </cell>
          <cell r="D513">
            <v>0</v>
          </cell>
          <cell r="F513">
            <v>0</v>
          </cell>
          <cell r="G513">
            <v>0</v>
          </cell>
        </row>
        <row r="514">
          <cell r="C514">
            <v>0</v>
          </cell>
          <cell r="D514">
            <v>0</v>
          </cell>
          <cell r="F514">
            <v>0</v>
          </cell>
          <cell r="G514">
            <v>0</v>
          </cell>
        </row>
        <row r="515">
          <cell r="C515">
            <v>0</v>
          </cell>
          <cell r="D515">
            <v>0</v>
          </cell>
          <cell r="F515">
            <v>0</v>
          </cell>
          <cell r="G515">
            <v>0</v>
          </cell>
        </row>
        <row r="516">
          <cell r="C516">
            <v>0</v>
          </cell>
          <cell r="D516">
            <v>0</v>
          </cell>
          <cell r="F516">
            <v>0</v>
          </cell>
          <cell r="G516">
            <v>0</v>
          </cell>
        </row>
        <row r="517">
          <cell r="C517">
            <v>0</v>
          </cell>
          <cell r="D517">
            <v>0</v>
          </cell>
          <cell r="F517">
            <v>0</v>
          </cell>
          <cell r="G517">
            <v>0</v>
          </cell>
        </row>
        <row r="518">
          <cell r="C518">
            <v>0</v>
          </cell>
          <cell r="D518">
            <v>0</v>
          </cell>
          <cell r="F518">
            <v>0</v>
          </cell>
          <cell r="G518">
            <v>0</v>
          </cell>
        </row>
        <row r="519">
          <cell r="C519">
            <v>0</v>
          </cell>
          <cell r="D519">
            <v>0</v>
          </cell>
          <cell r="F519">
            <v>0</v>
          </cell>
          <cell r="G519">
            <v>0</v>
          </cell>
        </row>
        <row r="520">
          <cell r="C520">
            <v>0</v>
          </cell>
          <cell r="D520">
            <v>0</v>
          </cell>
          <cell r="F520">
            <v>0</v>
          </cell>
          <cell r="G520">
            <v>0</v>
          </cell>
        </row>
        <row r="521">
          <cell r="C521">
            <v>0</v>
          </cell>
          <cell r="D521">
            <v>0</v>
          </cell>
          <cell r="F521">
            <v>0</v>
          </cell>
          <cell r="G521">
            <v>0</v>
          </cell>
        </row>
        <row r="522">
          <cell r="C522">
            <v>0</v>
          </cell>
          <cell r="D522">
            <v>0</v>
          </cell>
          <cell r="F522">
            <v>0</v>
          </cell>
          <cell r="G522">
            <v>0</v>
          </cell>
        </row>
        <row r="523">
          <cell r="C523">
            <v>0</v>
          </cell>
          <cell r="D523">
            <v>0</v>
          </cell>
          <cell r="F523">
            <v>0</v>
          </cell>
          <cell r="G523">
            <v>0</v>
          </cell>
        </row>
        <row r="524">
          <cell r="C524">
            <v>0</v>
          </cell>
          <cell r="D524">
            <v>0</v>
          </cell>
          <cell r="F524">
            <v>0</v>
          </cell>
          <cell r="G524">
            <v>0</v>
          </cell>
        </row>
        <row r="525">
          <cell r="C525">
            <v>0</v>
          </cell>
          <cell r="D525">
            <v>0</v>
          </cell>
          <cell r="F525">
            <v>0</v>
          </cell>
          <cell r="G525">
            <v>0</v>
          </cell>
        </row>
        <row r="526">
          <cell r="C526">
            <v>0</v>
          </cell>
          <cell r="D526">
            <v>0</v>
          </cell>
          <cell r="F526">
            <v>0</v>
          </cell>
          <cell r="G526">
            <v>0</v>
          </cell>
        </row>
        <row r="527">
          <cell r="C527">
            <v>0</v>
          </cell>
          <cell r="D527">
            <v>0</v>
          </cell>
          <cell r="F527">
            <v>0</v>
          </cell>
          <cell r="G527">
            <v>0</v>
          </cell>
        </row>
        <row r="528">
          <cell r="C528">
            <v>0</v>
          </cell>
          <cell r="D528">
            <v>0</v>
          </cell>
          <cell r="F528">
            <v>0</v>
          </cell>
          <cell r="G528">
            <v>0</v>
          </cell>
        </row>
        <row r="529">
          <cell r="C529">
            <v>0</v>
          </cell>
          <cell r="D529">
            <v>0</v>
          </cell>
          <cell r="F529">
            <v>0</v>
          </cell>
          <cell r="G529">
            <v>0</v>
          </cell>
        </row>
        <row r="530">
          <cell r="C530">
            <v>0</v>
          </cell>
          <cell r="D530">
            <v>0</v>
          </cell>
          <cell r="F530">
            <v>0</v>
          </cell>
          <cell r="G530">
            <v>0</v>
          </cell>
        </row>
        <row r="531">
          <cell r="C531">
            <v>0</v>
          </cell>
          <cell r="D531">
            <v>0</v>
          </cell>
          <cell r="F531">
            <v>0</v>
          </cell>
          <cell r="G531">
            <v>0</v>
          </cell>
        </row>
        <row r="532">
          <cell r="C532">
            <v>0</v>
          </cell>
          <cell r="D532">
            <v>0</v>
          </cell>
          <cell r="F532">
            <v>0</v>
          </cell>
          <cell r="G532">
            <v>0</v>
          </cell>
        </row>
        <row r="533">
          <cell r="C533">
            <v>0</v>
          </cell>
          <cell r="D533">
            <v>0</v>
          </cell>
          <cell r="F533">
            <v>0</v>
          </cell>
          <cell r="G533">
            <v>0</v>
          </cell>
        </row>
        <row r="534">
          <cell r="C534">
            <v>0</v>
          </cell>
          <cell r="D534">
            <v>0</v>
          </cell>
          <cell r="F534">
            <v>0</v>
          </cell>
          <cell r="G534">
            <v>0</v>
          </cell>
        </row>
        <row r="535">
          <cell r="C535">
            <v>0</v>
          </cell>
          <cell r="D535">
            <v>0</v>
          </cell>
          <cell r="F535">
            <v>0</v>
          </cell>
          <cell r="G535">
            <v>0</v>
          </cell>
        </row>
        <row r="536">
          <cell r="C536">
            <v>0</v>
          </cell>
          <cell r="D536">
            <v>0</v>
          </cell>
          <cell r="F536">
            <v>0</v>
          </cell>
          <cell r="G536">
            <v>0</v>
          </cell>
        </row>
        <row r="537">
          <cell r="C537">
            <v>0</v>
          </cell>
          <cell r="D537">
            <v>0</v>
          </cell>
          <cell r="F537">
            <v>0</v>
          </cell>
          <cell r="G537">
            <v>0</v>
          </cell>
        </row>
        <row r="538">
          <cell r="C538">
            <v>0</v>
          </cell>
          <cell r="D538">
            <v>0</v>
          </cell>
          <cell r="F538">
            <v>0</v>
          </cell>
          <cell r="G538">
            <v>0</v>
          </cell>
        </row>
        <row r="539">
          <cell r="C539">
            <v>0</v>
          </cell>
          <cell r="D539">
            <v>0</v>
          </cell>
          <cell r="F539">
            <v>0</v>
          </cell>
          <cell r="G539">
            <v>0</v>
          </cell>
        </row>
        <row r="540">
          <cell r="C540">
            <v>0</v>
          </cell>
          <cell r="D540">
            <v>0</v>
          </cell>
          <cell r="F540">
            <v>0</v>
          </cell>
          <cell r="G540">
            <v>0</v>
          </cell>
        </row>
        <row r="541">
          <cell r="C541">
            <v>0</v>
          </cell>
          <cell r="D541">
            <v>0</v>
          </cell>
          <cell r="F541">
            <v>0</v>
          </cell>
          <cell r="G541">
            <v>0</v>
          </cell>
        </row>
        <row r="542">
          <cell r="C542">
            <v>0</v>
          </cell>
          <cell r="D542">
            <v>0</v>
          </cell>
          <cell r="F542">
            <v>0</v>
          </cell>
          <cell r="G542">
            <v>0</v>
          </cell>
        </row>
        <row r="543">
          <cell r="C543">
            <v>0</v>
          </cell>
          <cell r="D543">
            <v>0</v>
          </cell>
          <cell r="F543">
            <v>0</v>
          </cell>
          <cell r="G543">
            <v>0</v>
          </cell>
        </row>
        <row r="544">
          <cell r="C544">
            <v>0</v>
          </cell>
          <cell r="D544">
            <v>0</v>
          </cell>
          <cell r="F544">
            <v>0</v>
          </cell>
          <cell r="G544">
            <v>0</v>
          </cell>
        </row>
        <row r="545">
          <cell r="C545">
            <v>0</v>
          </cell>
          <cell r="D545">
            <v>0</v>
          </cell>
          <cell r="F545">
            <v>0</v>
          </cell>
          <cell r="G545">
            <v>0</v>
          </cell>
        </row>
        <row r="546">
          <cell r="C546">
            <v>0</v>
          </cell>
          <cell r="D546">
            <v>0</v>
          </cell>
          <cell r="F546">
            <v>0</v>
          </cell>
          <cell r="G546">
            <v>0</v>
          </cell>
        </row>
        <row r="547">
          <cell r="C547">
            <v>0</v>
          </cell>
          <cell r="D547">
            <v>0</v>
          </cell>
          <cell r="F547">
            <v>0</v>
          </cell>
          <cell r="G547">
            <v>0</v>
          </cell>
        </row>
        <row r="548">
          <cell r="C548">
            <v>0</v>
          </cell>
          <cell r="D548">
            <v>0</v>
          </cell>
          <cell r="F548">
            <v>0</v>
          </cell>
          <cell r="G548">
            <v>0</v>
          </cell>
        </row>
        <row r="549">
          <cell r="C549">
            <v>0</v>
          </cell>
          <cell r="D549">
            <v>0</v>
          </cell>
          <cell r="F549">
            <v>0</v>
          </cell>
          <cell r="G549">
            <v>0</v>
          </cell>
        </row>
        <row r="550">
          <cell r="C550">
            <v>0</v>
          </cell>
          <cell r="D550">
            <v>0</v>
          </cell>
          <cell r="F550">
            <v>0</v>
          </cell>
          <cell r="G550">
            <v>0</v>
          </cell>
        </row>
        <row r="551">
          <cell r="C551">
            <v>0</v>
          </cell>
          <cell r="D551">
            <v>0</v>
          </cell>
          <cell r="F551">
            <v>0</v>
          </cell>
          <cell r="G551">
            <v>0</v>
          </cell>
        </row>
        <row r="552">
          <cell r="C552">
            <v>0</v>
          </cell>
          <cell r="D552">
            <v>0</v>
          </cell>
          <cell r="F552">
            <v>0</v>
          </cell>
          <cell r="G552">
            <v>0</v>
          </cell>
        </row>
        <row r="553">
          <cell r="C553">
            <v>0</v>
          </cell>
          <cell r="D553">
            <v>0</v>
          </cell>
          <cell r="F553">
            <v>0</v>
          </cell>
          <cell r="G553">
            <v>0</v>
          </cell>
        </row>
        <row r="554">
          <cell r="C554">
            <v>0</v>
          </cell>
          <cell r="D554">
            <v>0</v>
          </cell>
          <cell r="F554">
            <v>0</v>
          </cell>
          <cell r="G554">
            <v>0</v>
          </cell>
        </row>
        <row r="555">
          <cell r="C555">
            <v>0</v>
          </cell>
          <cell r="D555">
            <v>0</v>
          </cell>
          <cell r="F555">
            <v>0</v>
          </cell>
          <cell r="G555">
            <v>0</v>
          </cell>
        </row>
        <row r="556">
          <cell r="C556">
            <v>0</v>
          </cell>
          <cell r="D556">
            <v>0</v>
          </cell>
          <cell r="F556">
            <v>0</v>
          </cell>
          <cell r="G556">
            <v>0</v>
          </cell>
        </row>
        <row r="557">
          <cell r="C557">
            <v>0</v>
          </cell>
          <cell r="D557">
            <v>0</v>
          </cell>
          <cell r="F557">
            <v>0</v>
          </cell>
          <cell r="G557">
            <v>0</v>
          </cell>
        </row>
        <row r="558">
          <cell r="C558">
            <v>0</v>
          </cell>
          <cell r="D558">
            <v>0</v>
          </cell>
          <cell r="F558">
            <v>0</v>
          </cell>
          <cell r="G558">
            <v>0</v>
          </cell>
        </row>
        <row r="559">
          <cell r="C559">
            <v>0</v>
          </cell>
          <cell r="D559">
            <v>0</v>
          </cell>
          <cell r="F559">
            <v>0</v>
          </cell>
          <cell r="G559">
            <v>0</v>
          </cell>
        </row>
        <row r="560">
          <cell r="C560">
            <v>0</v>
          </cell>
          <cell r="D560">
            <v>0</v>
          </cell>
          <cell r="F560">
            <v>0</v>
          </cell>
          <cell r="G560">
            <v>0</v>
          </cell>
        </row>
        <row r="561">
          <cell r="C561">
            <v>0</v>
          </cell>
          <cell r="D561">
            <v>0</v>
          </cell>
          <cell r="F561">
            <v>0</v>
          </cell>
          <cell r="G561">
            <v>0</v>
          </cell>
        </row>
        <row r="562">
          <cell r="C562">
            <v>0</v>
          </cell>
          <cell r="D562">
            <v>0</v>
          </cell>
          <cell r="F562">
            <v>0</v>
          </cell>
          <cell r="G562">
            <v>0</v>
          </cell>
        </row>
        <row r="563">
          <cell r="C563">
            <v>0</v>
          </cell>
          <cell r="D563">
            <v>0</v>
          </cell>
          <cell r="F563">
            <v>0</v>
          </cell>
          <cell r="G563">
            <v>0</v>
          </cell>
        </row>
        <row r="564">
          <cell r="C564">
            <v>0</v>
          </cell>
          <cell r="D564">
            <v>0</v>
          </cell>
          <cell r="F564">
            <v>0</v>
          </cell>
          <cell r="G564">
            <v>0</v>
          </cell>
        </row>
        <row r="565">
          <cell r="C565">
            <v>0</v>
          </cell>
          <cell r="D565">
            <v>0</v>
          </cell>
          <cell r="F565">
            <v>0</v>
          </cell>
          <cell r="G565">
            <v>0</v>
          </cell>
        </row>
        <row r="566">
          <cell r="C566">
            <v>0</v>
          </cell>
          <cell r="D566">
            <v>0</v>
          </cell>
          <cell r="F566">
            <v>0</v>
          </cell>
          <cell r="G566">
            <v>0</v>
          </cell>
        </row>
        <row r="567">
          <cell r="C567">
            <v>0</v>
          </cell>
          <cell r="D567">
            <v>0</v>
          </cell>
          <cell r="F567">
            <v>0</v>
          </cell>
          <cell r="G567">
            <v>0</v>
          </cell>
        </row>
        <row r="568">
          <cell r="C568">
            <v>0</v>
          </cell>
          <cell r="D568">
            <v>0</v>
          </cell>
          <cell r="F568">
            <v>0</v>
          </cell>
          <cell r="G568">
            <v>0</v>
          </cell>
        </row>
        <row r="569">
          <cell r="C569">
            <v>0</v>
          </cell>
          <cell r="D569">
            <v>0</v>
          </cell>
          <cell r="F569">
            <v>0</v>
          </cell>
          <cell r="G569">
            <v>0</v>
          </cell>
        </row>
        <row r="570">
          <cell r="C570">
            <v>0</v>
          </cell>
          <cell r="D570">
            <v>0</v>
          </cell>
          <cell r="F570">
            <v>0</v>
          </cell>
          <cell r="G570">
            <v>0</v>
          </cell>
        </row>
        <row r="571">
          <cell r="C571">
            <v>0</v>
          </cell>
          <cell r="D571">
            <v>0</v>
          </cell>
          <cell r="F571">
            <v>0</v>
          </cell>
          <cell r="G571">
            <v>0</v>
          </cell>
        </row>
        <row r="572">
          <cell r="C572">
            <v>0</v>
          </cell>
          <cell r="D572">
            <v>0</v>
          </cell>
          <cell r="F572">
            <v>0</v>
          </cell>
          <cell r="G572">
            <v>0</v>
          </cell>
        </row>
        <row r="573">
          <cell r="C573">
            <v>0</v>
          </cell>
          <cell r="D573">
            <v>0</v>
          </cell>
          <cell r="F573">
            <v>0</v>
          </cell>
          <cell r="G573">
            <v>0</v>
          </cell>
        </row>
        <row r="574">
          <cell r="C574">
            <v>0</v>
          </cell>
          <cell r="D574">
            <v>0</v>
          </cell>
          <cell r="F574">
            <v>0</v>
          </cell>
          <cell r="G574">
            <v>0</v>
          </cell>
        </row>
        <row r="575">
          <cell r="C575">
            <v>0</v>
          </cell>
          <cell r="D575">
            <v>0</v>
          </cell>
          <cell r="F575">
            <v>0</v>
          </cell>
          <cell r="G575">
            <v>0</v>
          </cell>
        </row>
        <row r="576">
          <cell r="C576">
            <v>0</v>
          </cell>
          <cell r="D576">
            <v>0</v>
          </cell>
          <cell r="F576">
            <v>0</v>
          </cell>
          <cell r="G576">
            <v>0</v>
          </cell>
        </row>
        <row r="577">
          <cell r="C577">
            <v>0</v>
          </cell>
          <cell r="D577">
            <v>0</v>
          </cell>
          <cell r="F577">
            <v>0</v>
          </cell>
          <cell r="G577">
            <v>0</v>
          </cell>
        </row>
        <row r="578">
          <cell r="C578">
            <v>0</v>
          </cell>
          <cell r="D578">
            <v>0</v>
          </cell>
          <cell r="F578">
            <v>0</v>
          </cell>
          <cell r="G578">
            <v>0</v>
          </cell>
        </row>
        <row r="579">
          <cell r="C579">
            <v>0</v>
          </cell>
          <cell r="D579">
            <v>0</v>
          </cell>
          <cell r="F579">
            <v>0</v>
          </cell>
          <cell r="G579">
            <v>0</v>
          </cell>
        </row>
        <row r="580">
          <cell r="C580">
            <v>0</v>
          </cell>
          <cell r="D580">
            <v>0</v>
          </cell>
          <cell r="F580">
            <v>0</v>
          </cell>
          <cell r="G580">
            <v>0</v>
          </cell>
        </row>
        <row r="581">
          <cell r="C581">
            <v>0</v>
          </cell>
          <cell r="D581">
            <v>0</v>
          </cell>
          <cell r="F581">
            <v>0</v>
          </cell>
          <cell r="G581">
            <v>0</v>
          </cell>
        </row>
        <row r="582">
          <cell r="C582">
            <v>0</v>
          </cell>
          <cell r="D582">
            <v>0</v>
          </cell>
          <cell r="F582">
            <v>0</v>
          </cell>
          <cell r="G582">
            <v>0</v>
          </cell>
        </row>
        <row r="583">
          <cell r="C583">
            <v>0</v>
          </cell>
          <cell r="D583">
            <v>0</v>
          </cell>
          <cell r="F583">
            <v>0</v>
          </cell>
          <cell r="G583">
            <v>0</v>
          </cell>
        </row>
        <row r="584">
          <cell r="C584">
            <v>0</v>
          </cell>
          <cell r="D584">
            <v>0</v>
          </cell>
          <cell r="F584">
            <v>0</v>
          </cell>
          <cell r="G584">
            <v>0</v>
          </cell>
        </row>
        <row r="585">
          <cell r="C585">
            <v>0</v>
          </cell>
          <cell r="D585">
            <v>0</v>
          </cell>
          <cell r="F585">
            <v>0</v>
          </cell>
          <cell r="G585">
            <v>0</v>
          </cell>
        </row>
        <row r="586">
          <cell r="C586">
            <v>0</v>
          </cell>
          <cell r="D586">
            <v>0</v>
          </cell>
          <cell r="F586">
            <v>0</v>
          </cell>
          <cell r="G586">
            <v>0</v>
          </cell>
        </row>
        <row r="587">
          <cell r="C587">
            <v>0</v>
          </cell>
          <cell r="D587">
            <v>0</v>
          </cell>
          <cell r="F587">
            <v>0</v>
          </cell>
          <cell r="G587">
            <v>0</v>
          </cell>
        </row>
        <row r="588">
          <cell r="C588">
            <v>0</v>
          </cell>
          <cell r="D588">
            <v>0</v>
          </cell>
          <cell r="F588">
            <v>0</v>
          </cell>
          <cell r="G588">
            <v>0</v>
          </cell>
        </row>
        <row r="589">
          <cell r="C589">
            <v>0</v>
          </cell>
          <cell r="D589">
            <v>0</v>
          </cell>
          <cell r="F589">
            <v>0</v>
          </cell>
          <cell r="G589">
            <v>0</v>
          </cell>
        </row>
        <row r="590">
          <cell r="C590">
            <v>0</v>
          </cell>
          <cell r="D590">
            <v>0</v>
          </cell>
          <cell r="F590">
            <v>0</v>
          </cell>
          <cell r="G590">
            <v>0</v>
          </cell>
        </row>
        <row r="591">
          <cell r="C591">
            <v>0</v>
          </cell>
          <cell r="D591">
            <v>0</v>
          </cell>
          <cell r="F591">
            <v>0</v>
          </cell>
          <cell r="G591">
            <v>0</v>
          </cell>
        </row>
        <row r="592">
          <cell r="C592">
            <v>0</v>
          </cell>
          <cell r="D592">
            <v>0</v>
          </cell>
          <cell r="F592">
            <v>0</v>
          </cell>
          <cell r="G592">
            <v>0</v>
          </cell>
        </row>
        <row r="593">
          <cell r="C593">
            <v>0</v>
          </cell>
          <cell r="D593">
            <v>0</v>
          </cell>
          <cell r="F593">
            <v>0</v>
          </cell>
          <cell r="G593">
            <v>0</v>
          </cell>
        </row>
        <row r="594">
          <cell r="C594">
            <v>0</v>
          </cell>
          <cell r="D594">
            <v>0</v>
          </cell>
          <cell r="F594">
            <v>0</v>
          </cell>
          <cell r="G594">
            <v>0</v>
          </cell>
        </row>
        <row r="595">
          <cell r="C595">
            <v>0</v>
          </cell>
          <cell r="D595">
            <v>0</v>
          </cell>
          <cell r="F595">
            <v>0</v>
          </cell>
          <cell r="G595">
            <v>0</v>
          </cell>
        </row>
        <row r="596">
          <cell r="C596">
            <v>0</v>
          </cell>
          <cell r="D596">
            <v>0</v>
          </cell>
          <cell r="F596">
            <v>0</v>
          </cell>
          <cell r="G596">
            <v>0</v>
          </cell>
        </row>
        <row r="597">
          <cell r="C597">
            <v>0</v>
          </cell>
          <cell r="D597">
            <v>0</v>
          </cell>
          <cell r="F597">
            <v>0</v>
          </cell>
          <cell r="G597">
            <v>0</v>
          </cell>
        </row>
        <row r="598">
          <cell r="C598">
            <v>0</v>
          </cell>
          <cell r="D598">
            <v>0</v>
          </cell>
          <cell r="F598">
            <v>0</v>
          </cell>
          <cell r="G598">
            <v>0</v>
          </cell>
        </row>
        <row r="599">
          <cell r="C599">
            <v>0</v>
          </cell>
          <cell r="D599">
            <v>0</v>
          </cell>
          <cell r="F599">
            <v>0</v>
          </cell>
          <cell r="G599">
            <v>0</v>
          </cell>
        </row>
        <row r="600">
          <cell r="C600">
            <v>0</v>
          </cell>
          <cell r="D600">
            <v>0</v>
          </cell>
          <cell r="F600">
            <v>0</v>
          </cell>
          <cell r="G600">
            <v>0</v>
          </cell>
        </row>
        <row r="601">
          <cell r="C601">
            <v>0</v>
          </cell>
          <cell r="D601">
            <v>0</v>
          </cell>
          <cell r="F601">
            <v>0</v>
          </cell>
          <cell r="G601">
            <v>0</v>
          </cell>
        </row>
        <row r="602">
          <cell r="C602">
            <v>0</v>
          </cell>
          <cell r="D602">
            <v>0</v>
          </cell>
          <cell r="F602">
            <v>0</v>
          </cell>
          <cell r="G602">
            <v>0</v>
          </cell>
        </row>
        <row r="603">
          <cell r="C603">
            <v>0</v>
          </cell>
          <cell r="D603">
            <v>0</v>
          </cell>
          <cell r="F603">
            <v>0</v>
          </cell>
          <cell r="G603">
            <v>0</v>
          </cell>
        </row>
        <row r="604">
          <cell r="C604">
            <v>0</v>
          </cell>
          <cell r="D604">
            <v>0</v>
          </cell>
          <cell r="F604">
            <v>0</v>
          </cell>
          <cell r="G604">
            <v>0</v>
          </cell>
        </row>
        <row r="605">
          <cell r="C605">
            <v>0</v>
          </cell>
          <cell r="D605">
            <v>0</v>
          </cell>
          <cell r="F605">
            <v>0</v>
          </cell>
          <cell r="G605">
            <v>0</v>
          </cell>
        </row>
        <row r="606">
          <cell r="C606">
            <v>0</v>
          </cell>
          <cell r="D606">
            <v>0</v>
          </cell>
          <cell r="F606">
            <v>0</v>
          </cell>
          <cell r="G606">
            <v>0</v>
          </cell>
        </row>
        <row r="607">
          <cell r="C607">
            <v>0</v>
          </cell>
          <cell r="D607">
            <v>0</v>
          </cell>
          <cell r="F607">
            <v>0</v>
          </cell>
          <cell r="G607">
            <v>0</v>
          </cell>
        </row>
        <row r="608">
          <cell r="C608">
            <v>0</v>
          </cell>
          <cell r="D608">
            <v>0</v>
          </cell>
          <cell r="F608">
            <v>0</v>
          </cell>
          <cell r="G608">
            <v>0</v>
          </cell>
        </row>
        <row r="609">
          <cell r="C609">
            <v>0</v>
          </cell>
          <cell r="D609">
            <v>0</v>
          </cell>
          <cell r="F609">
            <v>0</v>
          </cell>
          <cell r="G609">
            <v>0</v>
          </cell>
        </row>
        <row r="610">
          <cell r="C610">
            <v>0</v>
          </cell>
          <cell r="D610">
            <v>0</v>
          </cell>
          <cell r="F610">
            <v>0</v>
          </cell>
          <cell r="G610">
            <v>0</v>
          </cell>
        </row>
        <row r="611">
          <cell r="C611">
            <v>0</v>
          </cell>
          <cell r="D611">
            <v>0</v>
          </cell>
          <cell r="F611">
            <v>0</v>
          </cell>
          <cell r="G611">
            <v>0</v>
          </cell>
        </row>
        <row r="612">
          <cell r="C612">
            <v>0</v>
          </cell>
          <cell r="D612">
            <v>0</v>
          </cell>
          <cell r="F612">
            <v>0</v>
          </cell>
          <cell r="G612">
            <v>0</v>
          </cell>
        </row>
        <row r="613">
          <cell r="C613">
            <v>0</v>
          </cell>
          <cell r="D613">
            <v>0</v>
          </cell>
          <cell r="F613">
            <v>0</v>
          </cell>
          <cell r="G613">
            <v>0</v>
          </cell>
        </row>
        <row r="614">
          <cell r="C614">
            <v>0</v>
          </cell>
          <cell r="D614">
            <v>0</v>
          </cell>
          <cell r="F614">
            <v>0</v>
          </cell>
          <cell r="G614">
            <v>0</v>
          </cell>
        </row>
        <row r="615">
          <cell r="C615">
            <v>0</v>
          </cell>
          <cell r="D615">
            <v>0</v>
          </cell>
          <cell r="F615">
            <v>0</v>
          </cell>
          <cell r="G615">
            <v>0</v>
          </cell>
        </row>
        <row r="616">
          <cell r="C616">
            <v>0</v>
          </cell>
          <cell r="D616">
            <v>0</v>
          </cell>
          <cell r="F616">
            <v>0</v>
          </cell>
          <cell r="G616">
            <v>0</v>
          </cell>
        </row>
        <row r="617">
          <cell r="C617">
            <v>0</v>
          </cell>
          <cell r="D617">
            <v>0</v>
          </cell>
          <cell r="F617">
            <v>0</v>
          </cell>
          <cell r="G617">
            <v>0</v>
          </cell>
        </row>
        <row r="618">
          <cell r="C618">
            <v>0</v>
          </cell>
          <cell r="D618">
            <v>0</v>
          </cell>
          <cell r="F618">
            <v>0</v>
          </cell>
          <cell r="G618">
            <v>0</v>
          </cell>
        </row>
        <row r="619">
          <cell r="C619">
            <v>0</v>
          </cell>
          <cell r="D619">
            <v>0</v>
          </cell>
          <cell r="F619">
            <v>0</v>
          </cell>
          <cell r="G619">
            <v>0</v>
          </cell>
        </row>
        <row r="620">
          <cell r="C620">
            <v>0</v>
          </cell>
          <cell r="D620">
            <v>0</v>
          </cell>
          <cell r="F620">
            <v>0</v>
          </cell>
          <cell r="G620">
            <v>0</v>
          </cell>
        </row>
        <row r="621">
          <cell r="C621">
            <v>0</v>
          </cell>
          <cell r="D621">
            <v>0</v>
          </cell>
          <cell r="F621">
            <v>0</v>
          </cell>
          <cell r="G621">
            <v>0</v>
          </cell>
        </row>
        <row r="622">
          <cell r="C622">
            <v>0</v>
          </cell>
          <cell r="D622">
            <v>0</v>
          </cell>
          <cell r="F622">
            <v>0</v>
          </cell>
          <cell r="G622">
            <v>0</v>
          </cell>
        </row>
        <row r="623">
          <cell r="C623">
            <v>0</v>
          </cell>
          <cell r="D623">
            <v>0</v>
          </cell>
          <cell r="F623">
            <v>0</v>
          </cell>
          <cell r="G623">
            <v>0</v>
          </cell>
        </row>
        <row r="624">
          <cell r="C624">
            <v>0</v>
          </cell>
          <cell r="D624">
            <v>0</v>
          </cell>
          <cell r="F624">
            <v>0</v>
          </cell>
          <cell r="G624">
            <v>0</v>
          </cell>
        </row>
        <row r="625">
          <cell r="C625">
            <v>0</v>
          </cell>
          <cell r="D625">
            <v>0</v>
          </cell>
          <cell r="F625">
            <v>0</v>
          </cell>
          <cell r="G625">
            <v>0</v>
          </cell>
        </row>
        <row r="626">
          <cell r="C626">
            <v>0</v>
          </cell>
          <cell r="D626">
            <v>0</v>
          </cell>
          <cell r="F626">
            <v>0</v>
          </cell>
          <cell r="G626">
            <v>0</v>
          </cell>
        </row>
        <row r="627">
          <cell r="C627">
            <v>0</v>
          </cell>
          <cell r="D627">
            <v>0</v>
          </cell>
          <cell r="F627">
            <v>0</v>
          </cell>
          <cell r="G627">
            <v>0</v>
          </cell>
        </row>
        <row r="628">
          <cell r="C628">
            <v>0</v>
          </cell>
          <cell r="D628">
            <v>0</v>
          </cell>
          <cell r="F628">
            <v>0</v>
          </cell>
          <cell r="G628">
            <v>0</v>
          </cell>
        </row>
        <row r="629">
          <cell r="C629">
            <v>0</v>
          </cell>
          <cell r="D629">
            <v>0</v>
          </cell>
          <cell r="F629">
            <v>0</v>
          </cell>
          <cell r="G629">
            <v>0</v>
          </cell>
        </row>
        <row r="630">
          <cell r="C630">
            <v>0</v>
          </cell>
          <cell r="D630">
            <v>0</v>
          </cell>
          <cell r="F630">
            <v>0</v>
          </cell>
          <cell r="G630">
            <v>0</v>
          </cell>
        </row>
        <row r="631">
          <cell r="C631">
            <v>0</v>
          </cell>
          <cell r="D631">
            <v>0</v>
          </cell>
          <cell r="F631">
            <v>0</v>
          </cell>
          <cell r="G631">
            <v>0</v>
          </cell>
        </row>
        <row r="632">
          <cell r="C632">
            <v>0</v>
          </cell>
          <cell r="D632">
            <v>0</v>
          </cell>
          <cell r="F632">
            <v>0</v>
          </cell>
          <cell r="G632">
            <v>0</v>
          </cell>
        </row>
        <row r="633">
          <cell r="C633">
            <v>0</v>
          </cell>
          <cell r="D633">
            <v>0</v>
          </cell>
          <cell r="F633">
            <v>0</v>
          </cell>
          <cell r="G633">
            <v>0</v>
          </cell>
        </row>
        <row r="634">
          <cell r="C634">
            <v>0</v>
          </cell>
          <cell r="D634">
            <v>0</v>
          </cell>
          <cell r="F634">
            <v>0</v>
          </cell>
          <cell r="G634">
            <v>0</v>
          </cell>
        </row>
        <row r="635">
          <cell r="C635">
            <v>0</v>
          </cell>
          <cell r="D635">
            <v>0</v>
          </cell>
          <cell r="F635">
            <v>0</v>
          </cell>
          <cell r="G635">
            <v>0</v>
          </cell>
        </row>
        <row r="636">
          <cell r="C636">
            <v>0</v>
          </cell>
          <cell r="D636">
            <v>0</v>
          </cell>
          <cell r="F636">
            <v>0</v>
          </cell>
          <cell r="G636">
            <v>0</v>
          </cell>
        </row>
        <row r="637">
          <cell r="C637">
            <v>0</v>
          </cell>
          <cell r="D637">
            <v>0</v>
          </cell>
          <cell r="F637">
            <v>0</v>
          </cell>
          <cell r="G637">
            <v>0</v>
          </cell>
        </row>
        <row r="638">
          <cell r="C638">
            <v>0</v>
          </cell>
          <cell r="D638">
            <v>0</v>
          </cell>
          <cell r="F638">
            <v>0</v>
          </cell>
          <cell r="G638">
            <v>0</v>
          </cell>
        </row>
        <row r="639">
          <cell r="C639">
            <v>0</v>
          </cell>
          <cell r="D639">
            <v>0</v>
          </cell>
          <cell r="F639">
            <v>0</v>
          </cell>
          <cell r="G639">
            <v>0</v>
          </cell>
        </row>
        <row r="640">
          <cell r="C640">
            <v>0</v>
          </cell>
          <cell r="D640">
            <v>0</v>
          </cell>
          <cell r="F640">
            <v>0</v>
          </cell>
          <cell r="G640">
            <v>0</v>
          </cell>
        </row>
        <row r="641">
          <cell r="C641">
            <v>0</v>
          </cell>
          <cell r="D641">
            <v>0</v>
          </cell>
          <cell r="F641">
            <v>0</v>
          </cell>
          <cell r="G641">
            <v>0</v>
          </cell>
        </row>
        <row r="642">
          <cell r="C642">
            <v>0</v>
          </cell>
          <cell r="D642">
            <v>0</v>
          </cell>
          <cell r="F642">
            <v>0</v>
          </cell>
          <cell r="G642">
            <v>0</v>
          </cell>
        </row>
        <row r="643">
          <cell r="C643">
            <v>0</v>
          </cell>
          <cell r="D643">
            <v>0</v>
          </cell>
          <cell r="F643">
            <v>0</v>
          </cell>
          <cell r="G643">
            <v>0</v>
          </cell>
        </row>
        <row r="644">
          <cell r="C644">
            <v>0</v>
          </cell>
          <cell r="D644">
            <v>0</v>
          </cell>
          <cell r="F644">
            <v>0</v>
          </cell>
          <cell r="G644">
            <v>0</v>
          </cell>
        </row>
        <row r="645">
          <cell r="C645">
            <v>0</v>
          </cell>
          <cell r="D645">
            <v>0</v>
          </cell>
          <cell r="F645">
            <v>0</v>
          </cell>
          <cell r="G645">
            <v>0</v>
          </cell>
        </row>
        <row r="646">
          <cell r="C646">
            <v>0</v>
          </cell>
          <cell r="D646">
            <v>0</v>
          </cell>
          <cell r="F646">
            <v>0</v>
          </cell>
          <cell r="G646">
            <v>0</v>
          </cell>
        </row>
        <row r="647">
          <cell r="C647">
            <v>0</v>
          </cell>
          <cell r="D647">
            <v>0</v>
          </cell>
          <cell r="F647">
            <v>0</v>
          </cell>
          <cell r="G647">
            <v>0</v>
          </cell>
        </row>
        <row r="648">
          <cell r="C648">
            <v>0</v>
          </cell>
          <cell r="D648">
            <v>0</v>
          </cell>
          <cell r="F648">
            <v>0</v>
          </cell>
          <cell r="G648">
            <v>0</v>
          </cell>
        </row>
        <row r="649">
          <cell r="C649">
            <v>0</v>
          </cell>
          <cell r="D649">
            <v>0</v>
          </cell>
          <cell r="F649">
            <v>0</v>
          </cell>
          <cell r="G649">
            <v>0</v>
          </cell>
        </row>
        <row r="650">
          <cell r="C650">
            <v>0</v>
          </cell>
          <cell r="D650">
            <v>0</v>
          </cell>
          <cell r="F650">
            <v>0</v>
          </cell>
          <cell r="G650">
            <v>0</v>
          </cell>
        </row>
        <row r="651">
          <cell r="C651">
            <v>0</v>
          </cell>
          <cell r="D651">
            <v>0</v>
          </cell>
          <cell r="F651">
            <v>0</v>
          </cell>
          <cell r="G651">
            <v>0</v>
          </cell>
        </row>
        <row r="652">
          <cell r="C652">
            <v>0</v>
          </cell>
          <cell r="D652">
            <v>0</v>
          </cell>
          <cell r="F652">
            <v>0</v>
          </cell>
          <cell r="G652">
            <v>0</v>
          </cell>
        </row>
        <row r="653">
          <cell r="C653">
            <v>0</v>
          </cell>
          <cell r="D653">
            <v>0</v>
          </cell>
          <cell r="F653">
            <v>0</v>
          </cell>
          <cell r="G653">
            <v>0</v>
          </cell>
        </row>
        <row r="654">
          <cell r="C654">
            <v>0</v>
          </cell>
          <cell r="D654">
            <v>0</v>
          </cell>
          <cell r="F654">
            <v>0</v>
          </cell>
          <cell r="G654">
            <v>0</v>
          </cell>
        </row>
        <row r="655">
          <cell r="C655">
            <v>0</v>
          </cell>
          <cell r="D655">
            <v>0</v>
          </cell>
          <cell r="F655">
            <v>0</v>
          </cell>
          <cell r="G655">
            <v>0</v>
          </cell>
        </row>
        <row r="656">
          <cell r="C656">
            <v>0</v>
          </cell>
          <cell r="D656">
            <v>0</v>
          </cell>
          <cell r="F656">
            <v>0</v>
          </cell>
          <cell r="G656">
            <v>0</v>
          </cell>
        </row>
        <row r="657">
          <cell r="C657">
            <v>0</v>
          </cell>
          <cell r="D657">
            <v>0</v>
          </cell>
          <cell r="F657">
            <v>0</v>
          </cell>
          <cell r="G657">
            <v>0</v>
          </cell>
        </row>
        <row r="658">
          <cell r="C658">
            <v>0</v>
          </cell>
          <cell r="D658">
            <v>0</v>
          </cell>
          <cell r="F658">
            <v>0</v>
          </cell>
          <cell r="G658">
            <v>0</v>
          </cell>
        </row>
        <row r="659">
          <cell r="C659">
            <v>0</v>
          </cell>
          <cell r="D659">
            <v>0</v>
          </cell>
          <cell r="F659">
            <v>0</v>
          </cell>
          <cell r="G659">
            <v>0</v>
          </cell>
        </row>
        <row r="660">
          <cell r="C660">
            <v>0</v>
          </cell>
          <cell r="D660">
            <v>0</v>
          </cell>
          <cell r="F660">
            <v>0</v>
          </cell>
          <cell r="G660">
            <v>0</v>
          </cell>
        </row>
        <row r="661">
          <cell r="C661">
            <v>0</v>
          </cell>
          <cell r="D661">
            <v>0</v>
          </cell>
          <cell r="F661">
            <v>0</v>
          </cell>
          <cell r="G661">
            <v>0</v>
          </cell>
        </row>
        <row r="662">
          <cell r="C662">
            <v>0</v>
          </cell>
          <cell r="D662">
            <v>0</v>
          </cell>
          <cell r="F662">
            <v>0</v>
          </cell>
          <cell r="G662">
            <v>0</v>
          </cell>
        </row>
        <row r="663">
          <cell r="C663">
            <v>0</v>
          </cell>
          <cell r="D663">
            <v>0</v>
          </cell>
          <cell r="F663">
            <v>0</v>
          </cell>
          <cell r="G663">
            <v>0</v>
          </cell>
        </row>
        <row r="664">
          <cell r="C664">
            <v>0</v>
          </cell>
          <cell r="D664">
            <v>0</v>
          </cell>
          <cell r="F664">
            <v>0</v>
          </cell>
          <cell r="G664">
            <v>0</v>
          </cell>
        </row>
        <row r="665">
          <cell r="C665">
            <v>0</v>
          </cell>
          <cell r="D665">
            <v>0</v>
          </cell>
          <cell r="F665">
            <v>0</v>
          </cell>
          <cell r="G665">
            <v>0</v>
          </cell>
        </row>
        <row r="666">
          <cell r="C666">
            <v>0</v>
          </cell>
          <cell r="D666">
            <v>0</v>
          </cell>
          <cell r="F666">
            <v>0</v>
          </cell>
          <cell r="G666">
            <v>0</v>
          </cell>
        </row>
        <row r="667">
          <cell r="C667">
            <v>0</v>
          </cell>
          <cell r="D667">
            <v>0</v>
          </cell>
          <cell r="F667">
            <v>0</v>
          </cell>
          <cell r="G667">
            <v>0</v>
          </cell>
        </row>
        <row r="668">
          <cell r="C668">
            <v>0</v>
          </cell>
          <cell r="D668">
            <v>0</v>
          </cell>
          <cell r="F668">
            <v>0</v>
          </cell>
          <cell r="G668">
            <v>0</v>
          </cell>
        </row>
        <row r="669">
          <cell r="C669">
            <v>0</v>
          </cell>
          <cell r="D669">
            <v>0</v>
          </cell>
          <cell r="F669">
            <v>0</v>
          </cell>
          <cell r="G669">
            <v>0</v>
          </cell>
        </row>
        <row r="670">
          <cell r="C670">
            <v>0</v>
          </cell>
          <cell r="D670">
            <v>0</v>
          </cell>
          <cell r="F670">
            <v>0</v>
          </cell>
          <cell r="G670">
            <v>0</v>
          </cell>
        </row>
        <row r="671">
          <cell r="C671">
            <v>0</v>
          </cell>
          <cell r="D671">
            <v>0</v>
          </cell>
          <cell r="F671">
            <v>0</v>
          </cell>
          <cell r="G671">
            <v>0</v>
          </cell>
        </row>
        <row r="672">
          <cell r="C672">
            <v>0</v>
          </cell>
          <cell r="D672">
            <v>0</v>
          </cell>
          <cell r="F672">
            <v>0</v>
          </cell>
          <cell r="G672">
            <v>0</v>
          </cell>
        </row>
        <row r="673">
          <cell r="C673">
            <v>0</v>
          </cell>
          <cell r="D673">
            <v>0</v>
          </cell>
          <cell r="F673">
            <v>0</v>
          </cell>
          <cell r="G673">
            <v>0</v>
          </cell>
        </row>
        <row r="674">
          <cell r="C674">
            <v>0</v>
          </cell>
          <cell r="D674">
            <v>0</v>
          </cell>
          <cell r="F674">
            <v>0</v>
          </cell>
          <cell r="G674">
            <v>0</v>
          </cell>
        </row>
        <row r="675">
          <cell r="C675">
            <v>0</v>
          </cell>
          <cell r="D675">
            <v>0</v>
          </cell>
          <cell r="F675">
            <v>0</v>
          </cell>
          <cell r="G675">
            <v>0</v>
          </cell>
        </row>
        <row r="676">
          <cell r="C676">
            <v>0</v>
          </cell>
          <cell r="D676">
            <v>0</v>
          </cell>
          <cell r="F676">
            <v>0</v>
          </cell>
          <cell r="G676">
            <v>0</v>
          </cell>
        </row>
        <row r="677">
          <cell r="C677">
            <v>0</v>
          </cell>
          <cell r="D677">
            <v>0</v>
          </cell>
          <cell r="F677">
            <v>0</v>
          </cell>
          <cell r="G677">
            <v>0</v>
          </cell>
        </row>
        <row r="678">
          <cell r="C678">
            <v>0</v>
          </cell>
          <cell r="D678">
            <v>0</v>
          </cell>
          <cell r="F678">
            <v>0</v>
          </cell>
          <cell r="G678">
            <v>0</v>
          </cell>
        </row>
        <row r="679">
          <cell r="C679">
            <v>0</v>
          </cell>
          <cell r="D679">
            <v>0</v>
          </cell>
          <cell r="F679">
            <v>0</v>
          </cell>
          <cell r="G679">
            <v>0</v>
          </cell>
        </row>
        <row r="680">
          <cell r="C680">
            <v>0</v>
          </cell>
          <cell r="D680">
            <v>0</v>
          </cell>
          <cell r="F680">
            <v>0</v>
          </cell>
          <cell r="G680">
            <v>0</v>
          </cell>
        </row>
        <row r="681">
          <cell r="C681">
            <v>0</v>
          </cell>
          <cell r="D681">
            <v>0</v>
          </cell>
          <cell r="F681">
            <v>0</v>
          </cell>
          <cell r="G681">
            <v>0</v>
          </cell>
        </row>
        <row r="682">
          <cell r="C682">
            <v>0</v>
          </cell>
          <cell r="D682">
            <v>0</v>
          </cell>
          <cell r="F682">
            <v>0</v>
          </cell>
          <cell r="G682">
            <v>0</v>
          </cell>
        </row>
        <row r="683">
          <cell r="C683">
            <v>0</v>
          </cell>
          <cell r="D683">
            <v>0</v>
          </cell>
          <cell r="F683">
            <v>0</v>
          </cell>
          <cell r="G683">
            <v>0</v>
          </cell>
        </row>
        <row r="684">
          <cell r="C684">
            <v>0</v>
          </cell>
          <cell r="D684">
            <v>0</v>
          </cell>
          <cell r="F684">
            <v>0</v>
          </cell>
          <cell r="G684">
            <v>0</v>
          </cell>
        </row>
        <row r="685">
          <cell r="C685">
            <v>0</v>
          </cell>
          <cell r="D685">
            <v>0</v>
          </cell>
          <cell r="F685">
            <v>0</v>
          </cell>
          <cell r="G685">
            <v>0</v>
          </cell>
        </row>
        <row r="686">
          <cell r="C686">
            <v>0</v>
          </cell>
          <cell r="D686">
            <v>0</v>
          </cell>
          <cell r="F686">
            <v>0</v>
          </cell>
          <cell r="G686">
            <v>0</v>
          </cell>
        </row>
        <row r="687">
          <cell r="C687">
            <v>0</v>
          </cell>
          <cell r="D687">
            <v>0</v>
          </cell>
          <cell r="F687">
            <v>0</v>
          </cell>
          <cell r="G687">
            <v>0</v>
          </cell>
        </row>
        <row r="688">
          <cell r="C688">
            <v>0</v>
          </cell>
          <cell r="D688">
            <v>0</v>
          </cell>
          <cell r="F688">
            <v>0</v>
          </cell>
          <cell r="G688">
            <v>0</v>
          </cell>
        </row>
        <row r="689">
          <cell r="C689">
            <v>0</v>
          </cell>
          <cell r="D689">
            <v>0</v>
          </cell>
          <cell r="F689">
            <v>0</v>
          </cell>
          <cell r="G689">
            <v>0</v>
          </cell>
        </row>
        <row r="690">
          <cell r="C690">
            <v>0</v>
          </cell>
          <cell r="D690">
            <v>0</v>
          </cell>
          <cell r="F690">
            <v>0</v>
          </cell>
          <cell r="G690">
            <v>0</v>
          </cell>
        </row>
        <row r="691">
          <cell r="C691">
            <v>0</v>
          </cell>
          <cell r="D691">
            <v>0</v>
          </cell>
          <cell r="F691">
            <v>0</v>
          </cell>
          <cell r="G691">
            <v>0</v>
          </cell>
        </row>
        <row r="692">
          <cell r="C692">
            <v>0</v>
          </cell>
          <cell r="D692">
            <v>0</v>
          </cell>
          <cell r="F692">
            <v>0</v>
          </cell>
          <cell r="G692">
            <v>0</v>
          </cell>
        </row>
        <row r="693">
          <cell r="C693">
            <v>0</v>
          </cell>
          <cell r="D693">
            <v>0</v>
          </cell>
          <cell r="F693">
            <v>0</v>
          </cell>
          <cell r="G693">
            <v>0</v>
          </cell>
        </row>
        <row r="694">
          <cell r="C694">
            <v>0</v>
          </cell>
          <cell r="D694">
            <v>0</v>
          </cell>
          <cell r="F694">
            <v>0</v>
          </cell>
          <cell r="G694">
            <v>0</v>
          </cell>
        </row>
        <row r="695">
          <cell r="C695">
            <v>0</v>
          </cell>
          <cell r="D695">
            <v>0</v>
          </cell>
          <cell r="F695">
            <v>0</v>
          </cell>
          <cell r="G695">
            <v>0</v>
          </cell>
        </row>
        <row r="696">
          <cell r="C696">
            <v>0</v>
          </cell>
          <cell r="D696">
            <v>0</v>
          </cell>
          <cell r="F696">
            <v>0</v>
          </cell>
          <cell r="G696">
            <v>0</v>
          </cell>
        </row>
        <row r="697">
          <cell r="C697">
            <v>0</v>
          </cell>
          <cell r="D697">
            <v>0</v>
          </cell>
          <cell r="F697">
            <v>0</v>
          </cell>
          <cell r="G697">
            <v>0</v>
          </cell>
        </row>
        <row r="698">
          <cell r="C698">
            <v>0</v>
          </cell>
          <cell r="D698">
            <v>0</v>
          </cell>
          <cell r="F698">
            <v>0</v>
          </cell>
          <cell r="G698">
            <v>0</v>
          </cell>
        </row>
        <row r="699">
          <cell r="C699">
            <v>0</v>
          </cell>
          <cell r="D699">
            <v>0</v>
          </cell>
          <cell r="F699">
            <v>0</v>
          </cell>
          <cell r="G699">
            <v>0</v>
          </cell>
        </row>
        <row r="700">
          <cell r="C700">
            <v>0</v>
          </cell>
          <cell r="D700">
            <v>0</v>
          </cell>
          <cell r="F700">
            <v>0</v>
          </cell>
          <cell r="G700">
            <v>0</v>
          </cell>
        </row>
        <row r="701">
          <cell r="C701">
            <v>0</v>
          </cell>
          <cell r="D701">
            <v>0</v>
          </cell>
          <cell r="F701">
            <v>0</v>
          </cell>
          <cell r="G701">
            <v>0</v>
          </cell>
        </row>
        <row r="702">
          <cell r="C702">
            <v>0</v>
          </cell>
          <cell r="D702">
            <v>0</v>
          </cell>
          <cell r="F702">
            <v>0</v>
          </cell>
          <cell r="G702">
            <v>0</v>
          </cell>
        </row>
        <row r="703">
          <cell r="C703">
            <v>0</v>
          </cell>
          <cell r="D703">
            <v>0</v>
          </cell>
          <cell r="F703">
            <v>0</v>
          </cell>
          <cell r="G703">
            <v>0</v>
          </cell>
        </row>
        <row r="704">
          <cell r="C704">
            <v>0</v>
          </cell>
          <cell r="D704">
            <v>0</v>
          </cell>
          <cell r="F704">
            <v>0</v>
          </cell>
          <cell r="G704">
            <v>0</v>
          </cell>
        </row>
        <row r="705">
          <cell r="C705">
            <v>0</v>
          </cell>
          <cell r="D705">
            <v>0</v>
          </cell>
          <cell r="F705">
            <v>0</v>
          </cell>
          <cell r="G705">
            <v>0</v>
          </cell>
        </row>
        <row r="706">
          <cell r="C706">
            <v>0</v>
          </cell>
          <cell r="D706">
            <v>0</v>
          </cell>
          <cell r="F706">
            <v>0</v>
          </cell>
          <cell r="G706">
            <v>0</v>
          </cell>
        </row>
        <row r="707">
          <cell r="C707">
            <v>0</v>
          </cell>
          <cell r="D707">
            <v>0</v>
          </cell>
          <cell r="F707">
            <v>0</v>
          </cell>
          <cell r="G707">
            <v>0</v>
          </cell>
        </row>
        <row r="708">
          <cell r="C708">
            <v>0</v>
          </cell>
          <cell r="D708">
            <v>0</v>
          </cell>
          <cell r="F708">
            <v>0</v>
          </cell>
          <cell r="G708">
            <v>0</v>
          </cell>
        </row>
        <row r="709">
          <cell r="C709">
            <v>0</v>
          </cell>
          <cell r="D709">
            <v>0</v>
          </cell>
          <cell r="F709">
            <v>0</v>
          </cell>
          <cell r="G709">
            <v>0</v>
          </cell>
        </row>
        <row r="710">
          <cell r="C710">
            <v>0</v>
          </cell>
          <cell r="D710">
            <v>0</v>
          </cell>
          <cell r="F710">
            <v>0</v>
          </cell>
          <cell r="G710">
            <v>0</v>
          </cell>
        </row>
        <row r="711">
          <cell r="C711">
            <v>0</v>
          </cell>
          <cell r="D711">
            <v>0</v>
          </cell>
          <cell r="F711">
            <v>0</v>
          </cell>
          <cell r="G711">
            <v>0</v>
          </cell>
        </row>
        <row r="712">
          <cell r="C712">
            <v>0</v>
          </cell>
          <cell r="D712">
            <v>0</v>
          </cell>
          <cell r="F712">
            <v>0</v>
          </cell>
          <cell r="G712">
            <v>0</v>
          </cell>
        </row>
        <row r="713">
          <cell r="C713">
            <v>0</v>
          </cell>
          <cell r="D713">
            <v>0</v>
          </cell>
          <cell r="F713">
            <v>0</v>
          </cell>
          <cell r="G713">
            <v>0</v>
          </cell>
        </row>
        <row r="714">
          <cell r="C714">
            <v>0</v>
          </cell>
          <cell r="D714">
            <v>0</v>
          </cell>
          <cell r="F714">
            <v>0</v>
          </cell>
          <cell r="G714">
            <v>0</v>
          </cell>
        </row>
        <row r="715">
          <cell r="C715">
            <v>0</v>
          </cell>
          <cell r="D715">
            <v>0</v>
          </cell>
          <cell r="F715">
            <v>0</v>
          </cell>
          <cell r="G715">
            <v>0</v>
          </cell>
        </row>
        <row r="716">
          <cell r="C716">
            <v>0</v>
          </cell>
          <cell r="D716">
            <v>0</v>
          </cell>
          <cell r="F716">
            <v>0</v>
          </cell>
          <cell r="G716">
            <v>0</v>
          </cell>
        </row>
        <row r="717">
          <cell r="C717">
            <v>0</v>
          </cell>
          <cell r="D717">
            <v>0</v>
          </cell>
          <cell r="F717">
            <v>0</v>
          </cell>
          <cell r="G717">
            <v>0</v>
          </cell>
        </row>
        <row r="718">
          <cell r="C718">
            <v>0</v>
          </cell>
          <cell r="D718">
            <v>0</v>
          </cell>
          <cell r="F718">
            <v>0</v>
          </cell>
          <cell r="G718">
            <v>0</v>
          </cell>
        </row>
        <row r="719">
          <cell r="C719">
            <v>0</v>
          </cell>
          <cell r="D719">
            <v>0</v>
          </cell>
          <cell r="F719">
            <v>0</v>
          </cell>
          <cell r="G719">
            <v>0</v>
          </cell>
        </row>
        <row r="720">
          <cell r="C720">
            <v>0</v>
          </cell>
          <cell r="D720">
            <v>0</v>
          </cell>
          <cell r="F720">
            <v>0</v>
          </cell>
          <cell r="G720">
            <v>0</v>
          </cell>
        </row>
        <row r="721">
          <cell r="C721">
            <v>0</v>
          </cell>
          <cell r="D721">
            <v>0</v>
          </cell>
          <cell r="F721">
            <v>0</v>
          </cell>
          <cell r="G721">
            <v>0</v>
          </cell>
        </row>
        <row r="722">
          <cell r="C722">
            <v>0</v>
          </cell>
          <cell r="D722">
            <v>0</v>
          </cell>
          <cell r="F722">
            <v>0</v>
          </cell>
          <cell r="G722">
            <v>0</v>
          </cell>
        </row>
        <row r="723">
          <cell r="C723">
            <v>0</v>
          </cell>
          <cell r="D723">
            <v>0</v>
          </cell>
          <cell r="F723">
            <v>0</v>
          </cell>
          <cell r="G723">
            <v>0</v>
          </cell>
        </row>
        <row r="724">
          <cell r="C724">
            <v>0</v>
          </cell>
          <cell r="D724">
            <v>0</v>
          </cell>
          <cell r="F724">
            <v>0</v>
          </cell>
          <cell r="G724">
            <v>0</v>
          </cell>
        </row>
        <row r="725">
          <cell r="C725">
            <v>0</v>
          </cell>
          <cell r="D725">
            <v>0</v>
          </cell>
          <cell r="F725">
            <v>0</v>
          </cell>
          <cell r="G725">
            <v>0</v>
          </cell>
        </row>
        <row r="726">
          <cell r="C726">
            <v>0</v>
          </cell>
          <cell r="D726">
            <v>0</v>
          </cell>
          <cell r="F726">
            <v>0</v>
          </cell>
          <cell r="G726">
            <v>0</v>
          </cell>
        </row>
        <row r="727">
          <cell r="C727">
            <v>0</v>
          </cell>
          <cell r="D727">
            <v>0</v>
          </cell>
          <cell r="F727">
            <v>0</v>
          </cell>
          <cell r="G727">
            <v>0</v>
          </cell>
        </row>
        <row r="728">
          <cell r="C728">
            <v>0</v>
          </cell>
          <cell r="D728">
            <v>0</v>
          </cell>
          <cell r="F728">
            <v>0</v>
          </cell>
          <cell r="G728">
            <v>0</v>
          </cell>
        </row>
        <row r="729">
          <cell r="C729">
            <v>0</v>
          </cell>
          <cell r="D729">
            <v>0</v>
          </cell>
          <cell r="F729">
            <v>0</v>
          </cell>
          <cell r="G729">
            <v>0</v>
          </cell>
        </row>
        <row r="730">
          <cell r="C730">
            <v>0</v>
          </cell>
          <cell r="D730">
            <v>0</v>
          </cell>
          <cell r="F730">
            <v>0</v>
          </cell>
          <cell r="G730">
            <v>0</v>
          </cell>
        </row>
        <row r="731">
          <cell r="C731">
            <v>0</v>
          </cell>
          <cell r="D731">
            <v>0</v>
          </cell>
          <cell r="F731">
            <v>0</v>
          </cell>
          <cell r="G731">
            <v>0</v>
          </cell>
        </row>
        <row r="732">
          <cell r="C732">
            <v>0</v>
          </cell>
          <cell r="D732">
            <v>0</v>
          </cell>
          <cell r="F732">
            <v>0</v>
          </cell>
          <cell r="G732">
            <v>0</v>
          </cell>
        </row>
        <row r="733">
          <cell r="C733">
            <v>0</v>
          </cell>
          <cell r="D733">
            <v>0</v>
          </cell>
          <cell r="F733">
            <v>0</v>
          </cell>
          <cell r="G733">
            <v>0</v>
          </cell>
        </row>
        <row r="734">
          <cell r="C734">
            <v>0</v>
          </cell>
          <cell r="D734">
            <v>0</v>
          </cell>
          <cell r="F734">
            <v>0</v>
          </cell>
          <cell r="G734">
            <v>0</v>
          </cell>
        </row>
        <row r="735">
          <cell r="C735">
            <v>0</v>
          </cell>
          <cell r="D735">
            <v>0</v>
          </cell>
          <cell r="F735">
            <v>0</v>
          </cell>
          <cell r="G735">
            <v>0</v>
          </cell>
        </row>
        <row r="736">
          <cell r="C736">
            <v>0</v>
          </cell>
          <cell r="D736">
            <v>0</v>
          </cell>
          <cell r="F736">
            <v>0</v>
          </cell>
          <cell r="G736">
            <v>0</v>
          </cell>
        </row>
        <row r="737">
          <cell r="C737">
            <v>0</v>
          </cell>
          <cell r="D737">
            <v>0</v>
          </cell>
          <cell r="F737">
            <v>0</v>
          </cell>
          <cell r="G737">
            <v>0</v>
          </cell>
        </row>
        <row r="738">
          <cell r="C738">
            <v>0</v>
          </cell>
          <cell r="D738">
            <v>0</v>
          </cell>
          <cell r="F738">
            <v>0</v>
          </cell>
          <cell r="G738">
            <v>0</v>
          </cell>
        </row>
        <row r="739">
          <cell r="C739">
            <v>0</v>
          </cell>
          <cell r="D739">
            <v>0</v>
          </cell>
          <cell r="F739">
            <v>0</v>
          </cell>
          <cell r="G739">
            <v>0</v>
          </cell>
        </row>
        <row r="740">
          <cell r="C740">
            <v>0</v>
          </cell>
          <cell r="D740">
            <v>0</v>
          </cell>
          <cell r="F740">
            <v>0</v>
          </cell>
          <cell r="G740">
            <v>0</v>
          </cell>
        </row>
        <row r="741">
          <cell r="C741">
            <v>0</v>
          </cell>
          <cell r="D741">
            <v>0</v>
          </cell>
          <cell r="F741">
            <v>0</v>
          </cell>
          <cell r="G741">
            <v>0</v>
          </cell>
        </row>
        <row r="742">
          <cell r="C742">
            <v>0</v>
          </cell>
          <cell r="D742">
            <v>0</v>
          </cell>
          <cell r="F742">
            <v>0</v>
          </cell>
          <cell r="G742">
            <v>0</v>
          </cell>
        </row>
        <row r="743">
          <cell r="C743">
            <v>0</v>
          </cell>
          <cell r="D743">
            <v>0</v>
          </cell>
          <cell r="F743">
            <v>0</v>
          </cell>
          <cell r="G743">
            <v>0</v>
          </cell>
        </row>
        <row r="744">
          <cell r="C744">
            <v>0</v>
          </cell>
          <cell r="D744">
            <v>0</v>
          </cell>
          <cell r="F744">
            <v>0</v>
          </cell>
          <cell r="G744">
            <v>0</v>
          </cell>
        </row>
        <row r="745">
          <cell r="C745">
            <v>0</v>
          </cell>
          <cell r="D745">
            <v>0</v>
          </cell>
          <cell r="F745">
            <v>0</v>
          </cell>
          <cell r="G745">
            <v>0</v>
          </cell>
        </row>
        <row r="746">
          <cell r="C746">
            <v>0</v>
          </cell>
          <cell r="D746">
            <v>0</v>
          </cell>
          <cell r="F746">
            <v>0</v>
          </cell>
          <cell r="G746">
            <v>0</v>
          </cell>
        </row>
        <row r="747">
          <cell r="C747">
            <v>0</v>
          </cell>
          <cell r="D747">
            <v>0</v>
          </cell>
          <cell r="F747">
            <v>0</v>
          </cell>
          <cell r="G747">
            <v>0</v>
          </cell>
        </row>
        <row r="748">
          <cell r="C748">
            <v>0</v>
          </cell>
          <cell r="D748">
            <v>0</v>
          </cell>
          <cell r="F748">
            <v>0</v>
          </cell>
          <cell r="G748">
            <v>0</v>
          </cell>
        </row>
        <row r="749">
          <cell r="C749">
            <v>0</v>
          </cell>
          <cell r="D749">
            <v>0</v>
          </cell>
          <cell r="F749">
            <v>0</v>
          </cell>
          <cell r="G749">
            <v>0</v>
          </cell>
        </row>
        <row r="750">
          <cell r="C750">
            <v>0</v>
          </cell>
          <cell r="D750">
            <v>0</v>
          </cell>
          <cell r="F750">
            <v>0</v>
          </cell>
          <cell r="G750">
            <v>0</v>
          </cell>
        </row>
        <row r="751">
          <cell r="C751">
            <v>0</v>
          </cell>
          <cell r="D751">
            <v>0</v>
          </cell>
          <cell r="F751">
            <v>0</v>
          </cell>
          <cell r="G751">
            <v>0</v>
          </cell>
        </row>
        <row r="752">
          <cell r="C752">
            <v>0</v>
          </cell>
          <cell r="D752">
            <v>0</v>
          </cell>
          <cell r="F752">
            <v>0</v>
          </cell>
          <cell r="G752">
            <v>0</v>
          </cell>
        </row>
        <row r="753">
          <cell r="C753">
            <v>0</v>
          </cell>
          <cell r="D753">
            <v>0</v>
          </cell>
          <cell r="F753">
            <v>0</v>
          </cell>
          <cell r="G753">
            <v>0</v>
          </cell>
        </row>
        <row r="754">
          <cell r="C754">
            <v>0</v>
          </cell>
          <cell r="D754">
            <v>0</v>
          </cell>
          <cell r="F754">
            <v>0</v>
          </cell>
          <cell r="G754">
            <v>0</v>
          </cell>
        </row>
        <row r="755">
          <cell r="C755">
            <v>0</v>
          </cell>
          <cell r="D755">
            <v>0</v>
          </cell>
          <cell r="F755">
            <v>0</v>
          </cell>
          <cell r="G755">
            <v>0</v>
          </cell>
        </row>
        <row r="756">
          <cell r="C756">
            <v>0</v>
          </cell>
          <cell r="D756">
            <v>0</v>
          </cell>
          <cell r="F756">
            <v>0</v>
          </cell>
          <cell r="G756">
            <v>0</v>
          </cell>
        </row>
        <row r="757">
          <cell r="C757">
            <v>0</v>
          </cell>
          <cell r="D757">
            <v>0</v>
          </cell>
          <cell r="F757">
            <v>0</v>
          </cell>
          <cell r="G757">
            <v>0</v>
          </cell>
        </row>
        <row r="758">
          <cell r="C758">
            <v>0</v>
          </cell>
          <cell r="D758">
            <v>0</v>
          </cell>
          <cell r="F758">
            <v>0</v>
          </cell>
          <cell r="G758">
            <v>0</v>
          </cell>
        </row>
        <row r="759">
          <cell r="C759">
            <v>0</v>
          </cell>
          <cell r="D759">
            <v>0</v>
          </cell>
          <cell r="F759">
            <v>0</v>
          </cell>
          <cell r="G759">
            <v>0</v>
          </cell>
        </row>
        <row r="760">
          <cell r="C760">
            <v>0</v>
          </cell>
          <cell r="D760">
            <v>0</v>
          </cell>
          <cell r="F760">
            <v>0</v>
          </cell>
          <cell r="G760">
            <v>0</v>
          </cell>
        </row>
        <row r="761">
          <cell r="C761">
            <v>0</v>
          </cell>
          <cell r="D761">
            <v>0</v>
          </cell>
          <cell r="F761">
            <v>0</v>
          </cell>
          <cell r="G761">
            <v>0</v>
          </cell>
        </row>
        <row r="762">
          <cell r="C762">
            <v>0</v>
          </cell>
          <cell r="D762">
            <v>0</v>
          </cell>
          <cell r="F762">
            <v>0</v>
          </cell>
          <cell r="G762">
            <v>0</v>
          </cell>
        </row>
        <row r="763">
          <cell r="C763">
            <v>0</v>
          </cell>
          <cell r="D763">
            <v>0</v>
          </cell>
          <cell r="F763">
            <v>0</v>
          </cell>
          <cell r="G763">
            <v>0</v>
          </cell>
        </row>
        <row r="764">
          <cell r="C764">
            <v>0</v>
          </cell>
          <cell r="D764">
            <v>0</v>
          </cell>
          <cell r="F764">
            <v>0</v>
          </cell>
          <cell r="G764">
            <v>0</v>
          </cell>
        </row>
        <row r="765">
          <cell r="C765">
            <v>0</v>
          </cell>
          <cell r="D765">
            <v>0</v>
          </cell>
          <cell r="F765">
            <v>0</v>
          </cell>
          <cell r="G765">
            <v>0</v>
          </cell>
        </row>
        <row r="766">
          <cell r="C766">
            <v>0</v>
          </cell>
          <cell r="D766">
            <v>0</v>
          </cell>
          <cell r="F766">
            <v>0</v>
          </cell>
          <cell r="G766">
            <v>0</v>
          </cell>
        </row>
        <row r="767">
          <cell r="C767">
            <v>0</v>
          </cell>
          <cell r="D767">
            <v>0</v>
          </cell>
          <cell r="F767">
            <v>0</v>
          </cell>
          <cell r="G767">
            <v>0</v>
          </cell>
        </row>
        <row r="768">
          <cell r="C768">
            <v>0</v>
          </cell>
          <cell r="D768">
            <v>0</v>
          </cell>
          <cell r="F768">
            <v>0</v>
          </cell>
          <cell r="G768">
            <v>0</v>
          </cell>
        </row>
        <row r="769">
          <cell r="C769">
            <v>0</v>
          </cell>
          <cell r="D769">
            <v>0</v>
          </cell>
          <cell r="F769">
            <v>0</v>
          </cell>
          <cell r="G769">
            <v>0</v>
          </cell>
        </row>
        <row r="770">
          <cell r="C770">
            <v>0</v>
          </cell>
          <cell r="D770">
            <v>0</v>
          </cell>
          <cell r="F770">
            <v>0</v>
          </cell>
          <cell r="G770">
            <v>0</v>
          </cell>
        </row>
        <row r="771">
          <cell r="C771">
            <v>0</v>
          </cell>
          <cell r="D771">
            <v>0</v>
          </cell>
          <cell r="F771">
            <v>0</v>
          </cell>
          <cell r="G771">
            <v>0</v>
          </cell>
        </row>
        <row r="772">
          <cell r="C772">
            <v>0</v>
          </cell>
          <cell r="D772">
            <v>0</v>
          </cell>
          <cell r="F772">
            <v>0</v>
          </cell>
          <cell r="G772">
            <v>0</v>
          </cell>
        </row>
        <row r="773">
          <cell r="C773">
            <v>0</v>
          </cell>
          <cell r="D773">
            <v>0</v>
          </cell>
          <cell r="F773">
            <v>0</v>
          </cell>
          <cell r="G773">
            <v>0</v>
          </cell>
        </row>
        <row r="774">
          <cell r="C774">
            <v>0</v>
          </cell>
          <cell r="D774">
            <v>0</v>
          </cell>
          <cell r="F774">
            <v>0</v>
          </cell>
          <cell r="G774">
            <v>0</v>
          </cell>
        </row>
        <row r="775">
          <cell r="C775">
            <v>0</v>
          </cell>
          <cell r="D775">
            <v>0</v>
          </cell>
          <cell r="F775">
            <v>0</v>
          </cell>
          <cell r="G775">
            <v>0</v>
          </cell>
        </row>
        <row r="776">
          <cell r="C776">
            <v>0</v>
          </cell>
          <cell r="D776">
            <v>0</v>
          </cell>
          <cell r="F776">
            <v>0</v>
          </cell>
          <cell r="G776">
            <v>0</v>
          </cell>
        </row>
        <row r="777">
          <cell r="C777">
            <v>0</v>
          </cell>
          <cell r="D777">
            <v>0</v>
          </cell>
          <cell r="F777">
            <v>0</v>
          </cell>
          <cell r="G777">
            <v>0</v>
          </cell>
        </row>
        <row r="778">
          <cell r="C778">
            <v>0</v>
          </cell>
          <cell r="D778">
            <v>0</v>
          </cell>
          <cell r="F778">
            <v>0</v>
          </cell>
          <cell r="G778">
            <v>0</v>
          </cell>
        </row>
        <row r="779">
          <cell r="C779">
            <v>0</v>
          </cell>
          <cell r="D779">
            <v>0</v>
          </cell>
          <cell r="F779">
            <v>0</v>
          </cell>
          <cell r="G779">
            <v>0</v>
          </cell>
        </row>
        <row r="780">
          <cell r="C780">
            <v>0</v>
          </cell>
          <cell r="D780">
            <v>0</v>
          </cell>
          <cell r="F780">
            <v>0</v>
          </cell>
          <cell r="G780">
            <v>0</v>
          </cell>
        </row>
        <row r="781">
          <cell r="C781">
            <v>0</v>
          </cell>
          <cell r="D781">
            <v>0</v>
          </cell>
          <cell r="F781">
            <v>0</v>
          </cell>
          <cell r="G781">
            <v>0</v>
          </cell>
        </row>
        <row r="782">
          <cell r="C782">
            <v>0</v>
          </cell>
          <cell r="D782">
            <v>0</v>
          </cell>
          <cell r="F782">
            <v>0</v>
          </cell>
          <cell r="G782">
            <v>0</v>
          </cell>
        </row>
        <row r="783">
          <cell r="C783">
            <v>0</v>
          </cell>
          <cell r="D783">
            <v>0</v>
          </cell>
          <cell r="F783">
            <v>0</v>
          </cell>
          <cell r="G783">
            <v>0</v>
          </cell>
        </row>
        <row r="784">
          <cell r="C784">
            <v>0</v>
          </cell>
          <cell r="D784">
            <v>0</v>
          </cell>
          <cell r="F784">
            <v>0</v>
          </cell>
          <cell r="G784">
            <v>0</v>
          </cell>
        </row>
        <row r="785">
          <cell r="C785">
            <v>0</v>
          </cell>
          <cell r="D785">
            <v>0</v>
          </cell>
          <cell r="F785">
            <v>0</v>
          </cell>
          <cell r="G785">
            <v>0</v>
          </cell>
        </row>
        <row r="786">
          <cell r="C786">
            <v>0</v>
          </cell>
          <cell r="D786">
            <v>0</v>
          </cell>
          <cell r="F786">
            <v>0</v>
          </cell>
          <cell r="G786">
            <v>0</v>
          </cell>
        </row>
        <row r="787">
          <cell r="C787">
            <v>0</v>
          </cell>
          <cell r="D787">
            <v>0</v>
          </cell>
          <cell r="F787">
            <v>0</v>
          </cell>
          <cell r="G787">
            <v>0</v>
          </cell>
        </row>
        <row r="788">
          <cell r="C788">
            <v>0</v>
          </cell>
          <cell r="D788">
            <v>0</v>
          </cell>
          <cell r="F788">
            <v>0</v>
          </cell>
          <cell r="G788">
            <v>0</v>
          </cell>
        </row>
        <row r="789">
          <cell r="C789">
            <v>0</v>
          </cell>
          <cell r="D789">
            <v>0</v>
          </cell>
          <cell r="F789">
            <v>0</v>
          </cell>
          <cell r="G789">
            <v>0</v>
          </cell>
        </row>
        <row r="790">
          <cell r="C790">
            <v>0</v>
          </cell>
          <cell r="D790">
            <v>0</v>
          </cell>
          <cell r="F790">
            <v>0</v>
          </cell>
          <cell r="G790">
            <v>0</v>
          </cell>
        </row>
        <row r="791">
          <cell r="C791">
            <v>0</v>
          </cell>
          <cell r="D791">
            <v>0</v>
          </cell>
          <cell r="F791">
            <v>0</v>
          </cell>
          <cell r="G791">
            <v>0</v>
          </cell>
        </row>
        <row r="792">
          <cell r="C792">
            <v>0</v>
          </cell>
          <cell r="D792">
            <v>0</v>
          </cell>
          <cell r="F792">
            <v>0</v>
          </cell>
          <cell r="G792">
            <v>0</v>
          </cell>
        </row>
        <row r="793">
          <cell r="C793">
            <v>0</v>
          </cell>
          <cell r="D793">
            <v>0</v>
          </cell>
          <cell r="F793">
            <v>0</v>
          </cell>
          <cell r="G793">
            <v>0</v>
          </cell>
        </row>
        <row r="794">
          <cell r="C794">
            <v>0</v>
          </cell>
          <cell r="D794">
            <v>0</v>
          </cell>
          <cell r="F794">
            <v>0</v>
          </cell>
          <cell r="G794">
            <v>0</v>
          </cell>
        </row>
        <row r="795">
          <cell r="C795">
            <v>0</v>
          </cell>
          <cell r="D795">
            <v>0</v>
          </cell>
          <cell r="F795">
            <v>0</v>
          </cell>
          <cell r="G795">
            <v>0</v>
          </cell>
        </row>
        <row r="796">
          <cell r="C796">
            <v>0</v>
          </cell>
          <cell r="D796">
            <v>0</v>
          </cell>
          <cell r="F796">
            <v>0</v>
          </cell>
          <cell r="G796">
            <v>0</v>
          </cell>
        </row>
        <row r="797">
          <cell r="C797">
            <v>0</v>
          </cell>
          <cell r="D797">
            <v>0</v>
          </cell>
          <cell r="F797">
            <v>0</v>
          </cell>
          <cell r="G797">
            <v>0</v>
          </cell>
        </row>
        <row r="798">
          <cell r="C798">
            <v>0</v>
          </cell>
          <cell r="D798">
            <v>0</v>
          </cell>
          <cell r="F798">
            <v>0</v>
          </cell>
          <cell r="G798">
            <v>0</v>
          </cell>
        </row>
        <row r="799">
          <cell r="C799">
            <v>0</v>
          </cell>
          <cell r="D799">
            <v>0</v>
          </cell>
          <cell r="F799">
            <v>0</v>
          </cell>
          <cell r="G799">
            <v>0</v>
          </cell>
        </row>
        <row r="800">
          <cell r="C800">
            <v>0</v>
          </cell>
          <cell r="D800">
            <v>0</v>
          </cell>
          <cell r="F800">
            <v>0</v>
          </cell>
          <cell r="G800">
            <v>0</v>
          </cell>
        </row>
        <row r="801">
          <cell r="C801">
            <v>0</v>
          </cell>
          <cell r="D801">
            <v>0</v>
          </cell>
          <cell r="F801">
            <v>0</v>
          </cell>
          <cell r="G801">
            <v>0</v>
          </cell>
        </row>
        <row r="802">
          <cell r="C802">
            <v>0</v>
          </cell>
          <cell r="D802">
            <v>0</v>
          </cell>
          <cell r="F802">
            <v>0</v>
          </cell>
          <cell r="G802">
            <v>0</v>
          </cell>
        </row>
        <row r="803">
          <cell r="C803">
            <v>0</v>
          </cell>
          <cell r="D803">
            <v>0</v>
          </cell>
          <cell r="F803">
            <v>0</v>
          </cell>
          <cell r="G803">
            <v>0</v>
          </cell>
        </row>
        <row r="804">
          <cell r="C804">
            <v>0</v>
          </cell>
          <cell r="D804">
            <v>0</v>
          </cell>
          <cell r="F804">
            <v>0</v>
          </cell>
          <cell r="G804">
            <v>0</v>
          </cell>
        </row>
        <row r="805">
          <cell r="C805">
            <v>0</v>
          </cell>
          <cell r="D805">
            <v>0</v>
          </cell>
          <cell r="F805">
            <v>0</v>
          </cell>
          <cell r="G805">
            <v>0</v>
          </cell>
        </row>
        <row r="806">
          <cell r="C806">
            <v>0</v>
          </cell>
          <cell r="D806">
            <v>0</v>
          </cell>
          <cell r="F806">
            <v>0</v>
          </cell>
          <cell r="G806">
            <v>0</v>
          </cell>
        </row>
        <row r="807">
          <cell r="C807">
            <v>0</v>
          </cell>
          <cell r="D807">
            <v>0</v>
          </cell>
          <cell r="F807">
            <v>0</v>
          </cell>
          <cell r="G807">
            <v>0</v>
          </cell>
        </row>
        <row r="808">
          <cell r="C808">
            <v>0</v>
          </cell>
          <cell r="D808">
            <v>0</v>
          </cell>
          <cell r="F808">
            <v>0</v>
          </cell>
          <cell r="G808">
            <v>0</v>
          </cell>
        </row>
        <row r="809">
          <cell r="C809">
            <v>0</v>
          </cell>
          <cell r="D809">
            <v>0</v>
          </cell>
          <cell r="F809">
            <v>0</v>
          </cell>
          <cell r="G809">
            <v>0</v>
          </cell>
        </row>
        <row r="810">
          <cell r="C810">
            <v>0</v>
          </cell>
          <cell r="D810">
            <v>0</v>
          </cell>
          <cell r="F810">
            <v>0</v>
          </cell>
          <cell r="G810">
            <v>0</v>
          </cell>
        </row>
        <row r="811">
          <cell r="C811">
            <v>0</v>
          </cell>
          <cell r="D811">
            <v>0</v>
          </cell>
          <cell r="F811">
            <v>0</v>
          </cell>
          <cell r="G811">
            <v>0</v>
          </cell>
        </row>
        <row r="812">
          <cell r="C812">
            <v>0</v>
          </cell>
          <cell r="D812">
            <v>0</v>
          </cell>
          <cell r="F812">
            <v>0</v>
          </cell>
          <cell r="G812">
            <v>0</v>
          </cell>
        </row>
        <row r="813">
          <cell r="C813">
            <v>0</v>
          </cell>
          <cell r="D813">
            <v>0</v>
          </cell>
          <cell r="F813">
            <v>0</v>
          </cell>
          <cell r="G813">
            <v>0</v>
          </cell>
        </row>
        <row r="814">
          <cell r="C814">
            <v>0</v>
          </cell>
          <cell r="D814">
            <v>0</v>
          </cell>
          <cell r="F814">
            <v>0</v>
          </cell>
          <cell r="G814">
            <v>0</v>
          </cell>
        </row>
        <row r="815">
          <cell r="C815">
            <v>0</v>
          </cell>
          <cell r="D815">
            <v>0</v>
          </cell>
          <cell r="F815">
            <v>0</v>
          </cell>
          <cell r="G815">
            <v>0</v>
          </cell>
        </row>
        <row r="816">
          <cell r="C816">
            <v>0</v>
          </cell>
          <cell r="D816">
            <v>0</v>
          </cell>
          <cell r="F816">
            <v>0</v>
          </cell>
          <cell r="G816">
            <v>0</v>
          </cell>
        </row>
        <row r="817">
          <cell r="C817">
            <v>0</v>
          </cell>
          <cell r="D817">
            <v>0</v>
          </cell>
          <cell r="F817">
            <v>0</v>
          </cell>
          <cell r="G817">
            <v>0</v>
          </cell>
        </row>
        <row r="818">
          <cell r="C818">
            <v>0</v>
          </cell>
          <cell r="D818">
            <v>0</v>
          </cell>
          <cell r="F818">
            <v>0</v>
          </cell>
          <cell r="G818">
            <v>0</v>
          </cell>
        </row>
        <row r="819">
          <cell r="C819">
            <v>0</v>
          </cell>
          <cell r="D819">
            <v>0</v>
          </cell>
          <cell r="F819">
            <v>0</v>
          </cell>
          <cell r="G819">
            <v>0</v>
          </cell>
        </row>
        <row r="820">
          <cell r="C820">
            <v>0</v>
          </cell>
          <cell r="D820">
            <v>0</v>
          </cell>
          <cell r="F820">
            <v>0</v>
          </cell>
          <cell r="G820">
            <v>0</v>
          </cell>
        </row>
        <row r="821">
          <cell r="C821">
            <v>0</v>
          </cell>
          <cell r="D821">
            <v>0</v>
          </cell>
          <cell r="F821">
            <v>0</v>
          </cell>
          <cell r="G821">
            <v>0</v>
          </cell>
        </row>
        <row r="822">
          <cell r="C822">
            <v>0</v>
          </cell>
          <cell r="D822">
            <v>0</v>
          </cell>
          <cell r="F822">
            <v>0</v>
          </cell>
          <cell r="G822">
            <v>0</v>
          </cell>
        </row>
        <row r="823">
          <cell r="C823">
            <v>0</v>
          </cell>
          <cell r="D823">
            <v>0</v>
          </cell>
          <cell r="F823">
            <v>0</v>
          </cell>
          <cell r="G823">
            <v>0</v>
          </cell>
        </row>
        <row r="824">
          <cell r="C824">
            <v>0</v>
          </cell>
          <cell r="D824">
            <v>0</v>
          </cell>
          <cell r="F824">
            <v>0</v>
          </cell>
          <cell r="G824">
            <v>0</v>
          </cell>
        </row>
        <row r="825">
          <cell r="C825">
            <v>0</v>
          </cell>
          <cell r="D825">
            <v>0</v>
          </cell>
          <cell r="F825">
            <v>0</v>
          </cell>
          <cell r="G825">
            <v>0</v>
          </cell>
        </row>
        <row r="826">
          <cell r="C826">
            <v>0</v>
          </cell>
          <cell r="D826">
            <v>0</v>
          </cell>
          <cell r="F826">
            <v>0</v>
          </cell>
          <cell r="G826">
            <v>0</v>
          </cell>
        </row>
        <row r="827">
          <cell r="C827">
            <v>0</v>
          </cell>
          <cell r="D827">
            <v>0</v>
          </cell>
          <cell r="F827">
            <v>0</v>
          </cell>
          <cell r="G827">
            <v>0</v>
          </cell>
        </row>
        <row r="828">
          <cell r="C828">
            <v>0</v>
          </cell>
          <cell r="D828">
            <v>0</v>
          </cell>
          <cell r="F828">
            <v>0</v>
          </cell>
          <cell r="G828">
            <v>0</v>
          </cell>
        </row>
        <row r="829">
          <cell r="C829">
            <v>0</v>
          </cell>
          <cell r="D829">
            <v>0</v>
          </cell>
          <cell r="F829">
            <v>0</v>
          </cell>
          <cell r="G829">
            <v>0</v>
          </cell>
        </row>
        <row r="830">
          <cell r="C830">
            <v>0</v>
          </cell>
          <cell r="D830">
            <v>0</v>
          </cell>
          <cell r="F830">
            <v>0</v>
          </cell>
          <cell r="G830">
            <v>0</v>
          </cell>
        </row>
        <row r="831">
          <cell r="C831">
            <v>0</v>
          </cell>
          <cell r="D831">
            <v>0</v>
          </cell>
          <cell r="F831">
            <v>0</v>
          </cell>
          <cell r="G831">
            <v>0</v>
          </cell>
        </row>
        <row r="832">
          <cell r="C832">
            <v>0</v>
          </cell>
          <cell r="D832">
            <v>0</v>
          </cell>
          <cell r="F832">
            <v>0</v>
          </cell>
          <cell r="G832">
            <v>0</v>
          </cell>
        </row>
        <row r="833">
          <cell r="C833">
            <v>0</v>
          </cell>
          <cell r="D833">
            <v>0</v>
          </cell>
          <cell r="F833">
            <v>0</v>
          </cell>
          <cell r="G833">
            <v>0</v>
          </cell>
        </row>
        <row r="834">
          <cell r="C834">
            <v>0</v>
          </cell>
          <cell r="D834">
            <v>0</v>
          </cell>
          <cell r="F834">
            <v>0</v>
          </cell>
          <cell r="G834">
            <v>0</v>
          </cell>
        </row>
        <row r="835">
          <cell r="C835">
            <v>0</v>
          </cell>
          <cell r="D835">
            <v>0</v>
          </cell>
          <cell r="F835">
            <v>0</v>
          </cell>
          <cell r="G835">
            <v>0</v>
          </cell>
        </row>
        <row r="836">
          <cell r="C836">
            <v>0</v>
          </cell>
          <cell r="D836">
            <v>0</v>
          </cell>
          <cell r="F836">
            <v>0</v>
          </cell>
          <cell r="G836">
            <v>0</v>
          </cell>
        </row>
        <row r="837">
          <cell r="C837">
            <v>0</v>
          </cell>
          <cell r="D837">
            <v>0</v>
          </cell>
          <cell r="F837">
            <v>0</v>
          </cell>
          <cell r="G837">
            <v>0</v>
          </cell>
        </row>
        <row r="838">
          <cell r="C838">
            <v>0</v>
          </cell>
          <cell r="D838">
            <v>0</v>
          </cell>
          <cell r="F838">
            <v>0</v>
          </cell>
          <cell r="G838">
            <v>0</v>
          </cell>
        </row>
        <row r="839">
          <cell r="C839">
            <v>0</v>
          </cell>
          <cell r="D839">
            <v>0</v>
          </cell>
          <cell r="F839">
            <v>0</v>
          </cell>
          <cell r="G839">
            <v>0</v>
          </cell>
        </row>
        <row r="840">
          <cell r="C840">
            <v>0</v>
          </cell>
          <cell r="D840">
            <v>0</v>
          </cell>
          <cell r="F840">
            <v>0</v>
          </cell>
          <cell r="G840">
            <v>0</v>
          </cell>
        </row>
        <row r="841">
          <cell r="C841">
            <v>0</v>
          </cell>
          <cell r="D841">
            <v>0</v>
          </cell>
          <cell r="F841">
            <v>0</v>
          </cell>
          <cell r="G841">
            <v>0</v>
          </cell>
        </row>
        <row r="842">
          <cell r="C842">
            <v>0</v>
          </cell>
          <cell r="D842">
            <v>0</v>
          </cell>
          <cell r="F842">
            <v>0</v>
          </cell>
          <cell r="G842">
            <v>0</v>
          </cell>
        </row>
        <row r="843">
          <cell r="C843">
            <v>0</v>
          </cell>
          <cell r="D843">
            <v>0</v>
          </cell>
          <cell r="F843">
            <v>0</v>
          </cell>
          <cell r="G843">
            <v>0</v>
          </cell>
        </row>
        <row r="844">
          <cell r="C844">
            <v>0</v>
          </cell>
          <cell r="D844">
            <v>0</v>
          </cell>
          <cell r="F844">
            <v>0</v>
          </cell>
          <cell r="G844">
            <v>0</v>
          </cell>
        </row>
        <row r="845">
          <cell r="C845">
            <v>0</v>
          </cell>
          <cell r="D845">
            <v>0</v>
          </cell>
          <cell r="F845">
            <v>0</v>
          </cell>
          <cell r="G845">
            <v>0</v>
          </cell>
        </row>
        <row r="846">
          <cell r="C846">
            <v>0</v>
          </cell>
          <cell r="D846">
            <v>0</v>
          </cell>
          <cell r="F846">
            <v>0</v>
          </cell>
          <cell r="G846">
            <v>0</v>
          </cell>
        </row>
        <row r="847">
          <cell r="C847">
            <v>0</v>
          </cell>
          <cell r="D847">
            <v>0</v>
          </cell>
          <cell r="F847">
            <v>0</v>
          </cell>
          <cell r="G847">
            <v>0</v>
          </cell>
        </row>
        <row r="848">
          <cell r="C848">
            <v>0</v>
          </cell>
          <cell r="D848">
            <v>0</v>
          </cell>
          <cell r="F848">
            <v>0</v>
          </cell>
          <cell r="G848">
            <v>0</v>
          </cell>
        </row>
        <row r="849">
          <cell r="C849">
            <v>0</v>
          </cell>
          <cell r="D849">
            <v>0</v>
          </cell>
          <cell r="F849">
            <v>0</v>
          </cell>
          <cell r="G849">
            <v>0</v>
          </cell>
        </row>
        <row r="850">
          <cell r="C850">
            <v>0</v>
          </cell>
          <cell r="D850">
            <v>0</v>
          </cell>
          <cell r="F850">
            <v>0</v>
          </cell>
          <cell r="G850">
            <v>0</v>
          </cell>
        </row>
        <row r="851">
          <cell r="C851">
            <v>0</v>
          </cell>
          <cell r="D851">
            <v>0</v>
          </cell>
          <cell r="F851">
            <v>0</v>
          </cell>
          <cell r="G851">
            <v>0</v>
          </cell>
        </row>
        <row r="852">
          <cell r="C852">
            <v>0</v>
          </cell>
          <cell r="D852">
            <v>0</v>
          </cell>
          <cell r="F852">
            <v>0</v>
          </cell>
          <cell r="G852">
            <v>0</v>
          </cell>
        </row>
        <row r="853">
          <cell r="C853">
            <v>0</v>
          </cell>
          <cell r="D853">
            <v>0</v>
          </cell>
          <cell r="F853">
            <v>0</v>
          </cell>
          <cell r="G853">
            <v>0</v>
          </cell>
        </row>
        <row r="854">
          <cell r="C854">
            <v>0</v>
          </cell>
          <cell r="D854">
            <v>0</v>
          </cell>
          <cell r="F854">
            <v>0</v>
          </cell>
          <cell r="G854">
            <v>0</v>
          </cell>
        </row>
        <row r="855">
          <cell r="C855">
            <v>0</v>
          </cell>
          <cell r="D855">
            <v>0</v>
          </cell>
          <cell r="F855">
            <v>0</v>
          </cell>
          <cell r="G855">
            <v>0</v>
          </cell>
        </row>
        <row r="856">
          <cell r="C856">
            <v>0</v>
          </cell>
          <cell r="D856">
            <v>0</v>
          </cell>
          <cell r="F856">
            <v>0</v>
          </cell>
          <cell r="G856">
            <v>0</v>
          </cell>
        </row>
        <row r="857">
          <cell r="C857">
            <v>0</v>
          </cell>
          <cell r="D857">
            <v>0</v>
          </cell>
          <cell r="F857">
            <v>0</v>
          </cell>
          <cell r="G857">
            <v>0</v>
          </cell>
        </row>
        <row r="858">
          <cell r="C858">
            <v>0</v>
          </cell>
          <cell r="D858">
            <v>0</v>
          </cell>
          <cell r="F858">
            <v>0</v>
          </cell>
          <cell r="G858">
            <v>0</v>
          </cell>
        </row>
        <row r="859">
          <cell r="C859">
            <v>0</v>
          </cell>
          <cell r="D859">
            <v>0</v>
          </cell>
          <cell r="F859">
            <v>0</v>
          </cell>
          <cell r="G859">
            <v>0</v>
          </cell>
        </row>
        <row r="860">
          <cell r="C860">
            <v>0</v>
          </cell>
          <cell r="D860">
            <v>0</v>
          </cell>
          <cell r="F860">
            <v>0</v>
          </cell>
          <cell r="G860">
            <v>0</v>
          </cell>
        </row>
        <row r="861">
          <cell r="C861">
            <v>0</v>
          </cell>
          <cell r="D861">
            <v>0</v>
          </cell>
          <cell r="F861">
            <v>0</v>
          </cell>
          <cell r="G861">
            <v>0</v>
          </cell>
        </row>
        <row r="862">
          <cell r="C862">
            <v>0</v>
          </cell>
          <cell r="D862">
            <v>0</v>
          </cell>
          <cell r="F862">
            <v>0</v>
          </cell>
          <cell r="G862">
            <v>0</v>
          </cell>
        </row>
        <row r="863">
          <cell r="C863">
            <v>0</v>
          </cell>
          <cell r="D863">
            <v>0</v>
          </cell>
          <cell r="F863">
            <v>0</v>
          </cell>
          <cell r="G863">
            <v>0</v>
          </cell>
        </row>
        <row r="864">
          <cell r="C864">
            <v>0</v>
          </cell>
          <cell r="D864">
            <v>0</v>
          </cell>
          <cell r="F864">
            <v>0</v>
          </cell>
          <cell r="G864">
            <v>0</v>
          </cell>
        </row>
        <row r="865">
          <cell r="C865">
            <v>0</v>
          </cell>
          <cell r="D865">
            <v>0</v>
          </cell>
          <cell r="F865">
            <v>0</v>
          </cell>
          <cell r="G865">
            <v>0</v>
          </cell>
        </row>
        <row r="866">
          <cell r="C866">
            <v>0</v>
          </cell>
          <cell r="D866">
            <v>0</v>
          </cell>
          <cell r="F866">
            <v>0</v>
          </cell>
          <cell r="G866">
            <v>0</v>
          </cell>
        </row>
        <row r="867">
          <cell r="C867">
            <v>0</v>
          </cell>
          <cell r="D867">
            <v>0</v>
          </cell>
          <cell r="F867">
            <v>0</v>
          </cell>
          <cell r="G867">
            <v>0</v>
          </cell>
        </row>
        <row r="868">
          <cell r="C868">
            <v>0</v>
          </cell>
          <cell r="D868">
            <v>0</v>
          </cell>
          <cell r="F868">
            <v>0</v>
          </cell>
          <cell r="G868">
            <v>0</v>
          </cell>
        </row>
        <row r="869">
          <cell r="C869">
            <v>0</v>
          </cell>
          <cell r="D869">
            <v>0</v>
          </cell>
          <cell r="F869">
            <v>0</v>
          </cell>
          <cell r="G869">
            <v>0</v>
          </cell>
        </row>
        <row r="870">
          <cell r="C870">
            <v>0</v>
          </cell>
          <cell r="D870">
            <v>0</v>
          </cell>
          <cell r="F870">
            <v>0</v>
          </cell>
          <cell r="G870">
            <v>0</v>
          </cell>
        </row>
        <row r="871">
          <cell r="C871">
            <v>0</v>
          </cell>
          <cell r="D871">
            <v>0</v>
          </cell>
          <cell r="F871">
            <v>0</v>
          </cell>
          <cell r="G871">
            <v>0</v>
          </cell>
        </row>
        <row r="872">
          <cell r="C872">
            <v>0</v>
          </cell>
          <cell r="D872">
            <v>0</v>
          </cell>
          <cell r="F872">
            <v>0</v>
          </cell>
          <cell r="G872">
            <v>0</v>
          </cell>
        </row>
        <row r="873">
          <cell r="C873">
            <v>0</v>
          </cell>
          <cell r="D873">
            <v>0</v>
          </cell>
          <cell r="F873">
            <v>0</v>
          </cell>
          <cell r="G873">
            <v>0</v>
          </cell>
        </row>
        <row r="874">
          <cell r="C874">
            <v>0</v>
          </cell>
          <cell r="D874">
            <v>0</v>
          </cell>
          <cell r="F874">
            <v>0</v>
          </cell>
          <cell r="G874">
            <v>0</v>
          </cell>
        </row>
        <row r="875">
          <cell r="C875">
            <v>0</v>
          </cell>
          <cell r="D875">
            <v>0</v>
          </cell>
          <cell r="F875">
            <v>0</v>
          </cell>
          <cell r="G875">
            <v>0</v>
          </cell>
        </row>
        <row r="876">
          <cell r="C876">
            <v>0</v>
          </cell>
          <cell r="D876">
            <v>0</v>
          </cell>
          <cell r="F876">
            <v>0</v>
          </cell>
          <cell r="G876">
            <v>0</v>
          </cell>
        </row>
        <row r="877">
          <cell r="C877">
            <v>0</v>
          </cell>
          <cell r="D877">
            <v>0</v>
          </cell>
          <cell r="F877">
            <v>0</v>
          </cell>
          <cell r="G877">
            <v>0</v>
          </cell>
        </row>
        <row r="878">
          <cell r="C878">
            <v>0</v>
          </cell>
          <cell r="D878">
            <v>0</v>
          </cell>
          <cell r="F878">
            <v>0</v>
          </cell>
          <cell r="G878">
            <v>0</v>
          </cell>
        </row>
        <row r="879">
          <cell r="C879">
            <v>0</v>
          </cell>
          <cell r="D879">
            <v>0</v>
          </cell>
          <cell r="F879">
            <v>0</v>
          </cell>
          <cell r="G879">
            <v>0</v>
          </cell>
        </row>
        <row r="880">
          <cell r="C880">
            <v>0</v>
          </cell>
          <cell r="D880">
            <v>0</v>
          </cell>
          <cell r="F880">
            <v>0</v>
          </cell>
          <cell r="G880">
            <v>0</v>
          </cell>
        </row>
        <row r="881">
          <cell r="C881">
            <v>0</v>
          </cell>
          <cell r="D881">
            <v>0</v>
          </cell>
          <cell r="F881">
            <v>0</v>
          </cell>
          <cell r="G881">
            <v>0</v>
          </cell>
        </row>
        <row r="882">
          <cell r="C882">
            <v>0</v>
          </cell>
          <cell r="D882">
            <v>0</v>
          </cell>
          <cell r="F882">
            <v>0</v>
          </cell>
          <cell r="G882">
            <v>0</v>
          </cell>
        </row>
        <row r="883">
          <cell r="C883">
            <v>0</v>
          </cell>
          <cell r="D883">
            <v>0</v>
          </cell>
          <cell r="F883">
            <v>0</v>
          </cell>
          <cell r="G883">
            <v>0</v>
          </cell>
        </row>
        <row r="884">
          <cell r="C884">
            <v>0</v>
          </cell>
          <cell r="D884">
            <v>0</v>
          </cell>
          <cell r="F884">
            <v>0</v>
          </cell>
          <cell r="G884">
            <v>0</v>
          </cell>
        </row>
        <row r="885">
          <cell r="C885">
            <v>0</v>
          </cell>
          <cell r="D885">
            <v>0</v>
          </cell>
          <cell r="F885">
            <v>0</v>
          </cell>
          <cell r="G885">
            <v>0</v>
          </cell>
        </row>
        <row r="886">
          <cell r="C886">
            <v>0</v>
          </cell>
          <cell r="D886">
            <v>0</v>
          </cell>
          <cell r="F886">
            <v>0</v>
          </cell>
          <cell r="G886">
            <v>0</v>
          </cell>
        </row>
        <row r="887">
          <cell r="C887">
            <v>0</v>
          </cell>
          <cell r="D887">
            <v>0</v>
          </cell>
          <cell r="F887">
            <v>0</v>
          </cell>
          <cell r="G887">
            <v>0</v>
          </cell>
        </row>
        <row r="888">
          <cell r="C888">
            <v>0</v>
          </cell>
          <cell r="D888">
            <v>0</v>
          </cell>
          <cell r="F888">
            <v>0</v>
          </cell>
          <cell r="G888">
            <v>0</v>
          </cell>
        </row>
        <row r="889">
          <cell r="C889">
            <v>0</v>
          </cell>
          <cell r="D889">
            <v>0</v>
          </cell>
          <cell r="F889">
            <v>0</v>
          </cell>
          <cell r="G889">
            <v>0</v>
          </cell>
        </row>
        <row r="890">
          <cell r="C890">
            <v>0</v>
          </cell>
          <cell r="D890">
            <v>0</v>
          </cell>
          <cell r="F890">
            <v>0</v>
          </cell>
          <cell r="G890">
            <v>0</v>
          </cell>
        </row>
        <row r="891">
          <cell r="C891">
            <v>0</v>
          </cell>
          <cell r="D891">
            <v>0</v>
          </cell>
          <cell r="F891">
            <v>0</v>
          </cell>
          <cell r="G891">
            <v>0</v>
          </cell>
        </row>
        <row r="892">
          <cell r="C892">
            <v>0</v>
          </cell>
          <cell r="D892">
            <v>0</v>
          </cell>
          <cell r="F892">
            <v>0</v>
          </cell>
          <cell r="G892">
            <v>0</v>
          </cell>
        </row>
        <row r="893">
          <cell r="C893">
            <v>0</v>
          </cell>
          <cell r="D893">
            <v>0</v>
          </cell>
          <cell r="F893">
            <v>0</v>
          </cell>
          <cell r="G893">
            <v>0</v>
          </cell>
        </row>
        <row r="894">
          <cell r="C894">
            <v>0</v>
          </cell>
          <cell r="D894">
            <v>0</v>
          </cell>
          <cell r="F894">
            <v>0</v>
          </cell>
          <cell r="G894">
            <v>0</v>
          </cell>
        </row>
        <row r="895">
          <cell r="C895">
            <v>0</v>
          </cell>
          <cell r="D895">
            <v>0</v>
          </cell>
          <cell r="F895">
            <v>0</v>
          </cell>
          <cell r="G895">
            <v>0</v>
          </cell>
        </row>
        <row r="896">
          <cell r="C896">
            <v>0</v>
          </cell>
          <cell r="D896">
            <v>0</v>
          </cell>
          <cell r="F896">
            <v>0</v>
          </cell>
          <cell r="G896">
            <v>0</v>
          </cell>
        </row>
        <row r="897">
          <cell r="C897">
            <v>0</v>
          </cell>
          <cell r="D897">
            <v>0</v>
          </cell>
          <cell r="F897">
            <v>0</v>
          </cell>
          <cell r="G897">
            <v>0</v>
          </cell>
        </row>
        <row r="898">
          <cell r="C898">
            <v>0</v>
          </cell>
          <cell r="D898">
            <v>0</v>
          </cell>
          <cell r="F898">
            <v>0</v>
          </cell>
          <cell r="G898">
            <v>0</v>
          </cell>
        </row>
        <row r="899">
          <cell r="C899">
            <v>0</v>
          </cell>
          <cell r="D899">
            <v>0</v>
          </cell>
          <cell r="F899">
            <v>0</v>
          </cell>
          <cell r="G899">
            <v>0</v>
          </cell>
        </row>
        <row r="900">
          <cell r="C900">
            <v>0</v>
          </cell>
          <cell r="D900">
            <v>0</v>
          </cell>
          <cell r="F900">
            <v>0</v>
          </cell>
          <cell r="G900">
            <v>0</v>
          </cell>
        </row>
        <row r="901">
          <cell r="C901">
            <v>0</v>
          </cell>
          <cell r="D901">
            <v>0</v>
          </cell>
          <cell r="F901">
            <v>0</v>
          </cell>
          <cell r="G901">
            <v>0</v>
          </cell>
        </row>
        <row r="902">
          <cell r="C902">
            <v>0</v>
          </cell>
          <cell r="D902">
            <v>0</v>
          </cell>
          <cell r="F902">
            <v>0</v>
          </cell>
          <cell r="G902">
            <v>0</v>
          </cell>
        </row>
        <row r="903">
          <cell r="C903">
            <v>0</v>
          </cell>
          <cell r="D903">
            <v>0</v>
          </cell>
          <cell r="F903">
            <v>0</v>
          </cell>
          <cell r="G903">
            <v>0</v>
          </cell>
        </row>
        <row r="904">
          <cell r="C904">
            <v>0</v>
          </cell>
          <cell r="D904">
            <v>0</v>
          </cell>
          <cell r="F904">
            <v>0</v>
          </cell>
          <cell r="G904">
            <v>0</v>
          </cell>
        </row>
        <row r="905">
          <cell r="C905">
            <v>0</v>
          </cell>
          <cell r="D905">
            <v>0</v>
          </cell>
          <cell r="F905">
            <v>0</v>
          </cell>
          <cell r="G905">
            <v>0</v>
          </cell>
        </row>
        <row r="906">
          <cell r="C906">
            <v>0</v>
          </cell>
          <cell r="D906">
            <v>0</v>
          </cell>
          <cell r="F906">
            <v>0</v>
          </cell>
          <cell r="G906">
            <v>0</v>
          </cell>
        </row>
        <row r="907">
          <cell r="C907">
            <v>0</v>
          </cell>
          <cell r="D907">
            <v>0</v>
          </cell>
          <cell r="F907">
            <v>0</v>
          </cell>
          <cell r="G907">
            <v>0</v>
          </cell>
        </row>
        <row r="908">
          <cell r="C908">
            <v>0</v>
          </cell>
          <cell r="D908">
            <v>0</v>
          </cell>
          <cell r="F908">
            <v>0</v>
          </cell>
          <cell r="G908">
            <v>0</v>
          </cell>
        </row>
        <row r="909">
          <cell r="C909">
            <v>0</v>
          </cell>
          <cell r="D909">
            <v>0</v>
          </cell>
          <cell r="F909">
            <v>0</v>
          </cell>
          <cell r="G909">
            <v>0</v>
          </cell>
        </row>
        <row r="910">
          <cell r="C910">
            <v>0</v>
          </cell>
          <cell r="D910">
            <v>0</v>
          </cell>
          <cell r="F910">
            <v>0</v>
          </cell>
          <cell r="G910">
            <v>0</v>
          </cell>
        </row>
        <row r="911">
          <cell r="C911">
            <v>0</v>
          </cell>
          <cell r="D911">
            <v>0</v>
          </cell>
          <cell r="F911">
            <v>0</v>
          </cell>
          <cell r="G911">
            <v>0</v>
          </cell>
        </row>
        <row r="912">
          <cell r="C912">
            <v>0</v>
          </cell>
          <cell r="D912">
            <v>0</v>
          </cell>
          <cell r="F912">
            <v>0</v>
          </cell>
          <cell r="G912">
            <v>0</v>
          </cell>
        </row>
        <row r="913">
          <cell r="C913">
            <v>0</v>
          </cell>
          <cell r="D913">
            <v>0</v>
          </cell>
          <cell r="F913">
            <v>0</v>
          </cell>
          <cell r="G913">
            <v>0</v>
          </cell>
        </row>
        <row r="914">
          <cell r="C914">
            <v>0</v>
          </cell>
          <cell r="D914">
            <v>0</v>
          </cell>
          <cell r="F914">
            <v>0</v>
          </cell>
          <cell r="G914">
            <v>0</v>
          </cell>
        </row>
        <row r="915">
          <cell r="C915">
            <v>0</v>
          </cell>
          <cell r="D915">
            <v>0</v>
          </cell>
          <cell r="F915">
            <v>0</v>
          </cell>
          <cell r="G915">
            <v>0</v>
          </cell>
        </row>
        <row r="916">
          <cell r="C916">
            <v>0</v>
          </cell>
          <cell r="D916">
            <v>0</v>
          </cell>
          <cell r="F916">
            <v>0</v>
          </cell>
          <cell r="G916">
            <v>0</v>
          </cell>
        </row>
        <row r="917">
          <cell r="C917">
            <v>0</v>
          </cell>
          <cell r="D917">
            <v>0</v>
          </cell>
          <cell r="F917">
            <v>0</v>
          </cell>
          <cell r="G917">
            <v>0</v>
          </cell>
        </row>
        <row r="918">
          <cell r="C918">
            <v>0</v>
          </cell>
          <cell r="D918">
            <v>0</v>
          </cell>
          <cell r="F918">
            <v>0</v>
          </cell>
          <cell r="G918">
            <v>0</v>
          </cell>
        </row>
        <row r="919">
          <cell r="C919">
            <v>0</v>
          </cell>
          <cell r="D919">
            <v>0</v>
          </cell>
          <cell r="F919">
            <v>0</v>
          </cell>
          <cell r="G919">
            <v>0</v>
          </cell>
        </row>
        <row r="920">
          <cell r="C920">
            <v>0</v>
          </cell>
          <cell r="D920">
            <v>0</v>
          </cell>
          <cell r="F920">
            <v>0</v>
          </cell>
          <cell r="G920">
            <v>0</v>
          </cell>
        </row>
        <row r="921">
          <cell r="C921">
            <v>0</v>
          </cell>
          <cell r="D921">
            <v>0</v>
          </cell>
          <cell r="F921">
            <v>0</v>
          </cell>
          <cell r="G921">
            <v>0</v>
          </cell>
        </row>
        <row r="922">
          <cell r="C922">
            <v>0</v>
          </cell>
          <cell r="D922">
            <v>0</v>
          </cell>
          <cell r="F922">
            <v>0</v>
          </cell>
          <cell r="G922">
            <v>0</v>
          </cell>
        </row>
        <row r="923">
          <cell r="C923">
            <v>0</v>
          </cell>
          <cell r="D923">
            <v>0</v>
          </cell>
          <cell r="F923">
            <v>0</v>
          </cell>
          <cell r="G923">
            <v>0</v>
          </cell>
        </row>
        <row r="924">
          <cell r="C924">
            <v>0</v>
          </cell>
          <cell r="D924">
            <v>0</v>
          </cell>
          <cell r="F924">
            <v>0</v>
          </cell>
          <cell r="G924">
            <v>0</v>
          </cell>
        </row>
        <row r="925">
          <cell r="C925">
            <v>0</v>
          </cell>
          <cell r="D925">
            <v>0</v>
          </cell>
          <cell r="F925">
            <v>0</v>
          </cell>
          <cell r="G925">
            <v>0</v>
          </cell>
        </row>
        <row r="926">
          <cell r="C926">
            <v>0</v>
          </cell>
          <cell r="D926">
            <v>0</v>
          </cell>
          <cell r="F926">
            <v>0</v>
          </cell>
          <cell r="G926">
            <v>0</v>
          </cell>
        </row>
        <row r="927">
          <cell r="C927">
            <v>0</v>
          </cell>
          <cell r="D927">
            <v>0</v>
          </cell>
          <cell r="F927">
            <v>0</v>
          </cell>
          <cell r="G927">
            <v>0</v>
          </cell>
        </row>
        <row r="928">
          <cell r="C928">
            <v>0</v>
          </cell>
          <cell r="D928">
            <v>0</v>
          </cell>
          <cell r="F928">
            <v>0</v>
          </cell>
          <cell r="G928">
            <v>0</v>
          </cell>
        </row>
        <row r="929">
          <cell r="C929">
            <v>0</v>
          </cell>
          <cell r="D929">
            <v>0</v>
          </cell>
          <cell r="F929">
            <v>0</v>
          </cell>
          <cell r="G929">
            <v>0</v>
          </cell>
        </row>
        <row r="930">
          <cell r="C930">
            <v>0</v>
          </cell>
          <cell r="D930">
            <v>0</v>
          </cell>
          <cell r="F930">
            <v>0</v>
          </cell>
          <cell r="G930">
            <v>0</v>
          </cell>
        </row>
        <row r="931">
          <cell r="C931">
            <v>0</v>
          </cell>
          <cell r="D931">
            <v>0</v>
          </cell>
          <cell r="F931">
            <v>0</v>
          </cell>
          <cell r="G931">
            <v>0</v>
          </cell>
        </row>
        <row r="932">
          <cell r="C932">
            <v>0</v>
          </cell>
          <cell r="D932">
            <v>0</v>
          </cell>
          <cell r="F932">
            <v>0</v>
          </cell>
          <cell r="G932">
            <v>0</v>
          </cell>
        </row>
        <row r="933">
          <cell r="C933">
            <v>0</v>
          </cell>
          <cell r="D933">
            <v>0</v>
          </cell>
          <cell r="F933">
            <v>0</v>
          </cell>
          <cell r="G933">
            <v>0</v>
          </cell>
        </row>
        <row r="934">
          <cell r="C934">
            <v>0</v>
          </cell>
          <cell r="D934">
            <v>0</v>
          </cell>
          <cell r="F934">
            <v>0</v>
          </cell>
          <cell r="G934">
            <v>0</v>
          </cell>
        </row>
        <row r="935">
          <cell r="C935">
            <v>0</v>
          </cell>
          <cell r="D935">
            <v>0</v>
          </cell>
          <cell r="F935">
            <v>0</v>
          </cell>
          <cell r="G935">
            <v>0</v>
          </cell>
        </row>
        <row r="936">
          <cell r="C936">
            <v>0</v>
          </cell>
          <cell r="D936">
            <v>0</v>
          </cell>
          <cell r="F936">
            <v>0</v>
          </cell>
          <cell r="G936">
            <v>0</v>
          </cell>
        </row>
        <row r="937">
          <cell r="C937">
            <v>0</v>
          </cell>
          <cell r="D937">
            <v>0</v>
          </cell>
          <cell r="F937">
            <v>0</v>
          </cell>
          <cell r="G937">
            <v>0</v>
          </cell>
        </row>
        <row r="938">
          <cell r="C938">
            <v>0</v>
          </cell>
          <cell r="D938">
            <v>0</v>
          </cell>
          <cell r="F938">
            <v>0</v>
          </cell>
          <cell r="G938">
            <v>0</v>
          </cell>
        </row>
        <row r="939">
          <cell r="C939">
            <v>0</v>
          </cell>
          <cell r="D939">
            <v>0</v>
          </cell>
          <cell r="F939">
            <v>0</v>
          </cell>
          <cell r="G939">
            <v>0</v>
          </cell>
        </row>
        <row r="940">
          <cell r="C940">
            <v>0</v>
          </cell>
          <cell r="D940">
            <v>0</v>
          </cell>
          <cell r="F940">
            <v>0</v>
          </cell>
          <cell r="G940">
            <v>0</v>
          </cell>
        </row>
        <row r="941">
          <cell r="C941">
            <v>0</v>
          </cell>
          <cell r="D941">
            <v>0</v>
          </cell>
          <cell r="F941">
            <v>0</v>
          </cell>
          <cell r="G941">
            <v>0</v>
          </cell>
        </row>
        <row r="942">
          <cell r="C942">
            <v>0</v>
          </cell>
          <cell r="D942">
            <v>0</v>
          </cell>
          <cell r="F942">
            <v>0</v>
          </cell>
          <cell r="G942">
            <v>0</v>
          </cell>
        </row>
        <row r="943">
          <cell r="C943">
            <v>0</v>
          </cell>
          <cell r="D943">
            <v>0</v>
          </cell>
          <cell r="F943">
            <v>0</v>
          </cell>
          <cell r="G943">
            <v>0</v>
          </cell>
        </row>
        <row r="944">
          <cell r="C944">
            <v>0</v>
          </cell>
          <cell r="D944">
            <v>0</v>
          </cell>
          <cell r="F944">
            <v>0</v>
          </cell>
          <cell r="G944">
            <v>0</v>
          </cell>
        </row>
        <row r="945">
          <cell r="C945">
            <v>0</v>
          </cell>
          <cell r="D945">
            <v>0</v>
          </cell>
          <cell r="F945">
            <v>0</v>
          </cell>
          <cell r="G945">
            <v>0</v>
          </cell>
        </row>
        <row r="946">
          <cell r="C946">
            <v>0</v>
          </cell>
          <cell r="D946">
            <v>0</v>
          </cell>
          <cell r="F946">
            <v>0</v>
          </cell>
          <cell r="G946">
            <v>0</v>
          </cell>
        </row>
        <row r="947">
          <cell r="C947">
            <v>0</v>
          </cell>
          <cell r="D947">
            <v>0</v>
          </cell>
          <cell r="F947">
            <v>0</v>
          </cell>
          <cell r="G947">
            <v>0</v>
          </cell>
        </row>
        <row r="948">
          <cell r="C948">
            <v>0</v>
          </cell>
          <cell r="D948">
            <v>0</v>
          </cell>
          <cell r="F948">
            <v>0</v>
          </cell>
          <cell r="G948">
            <v>0</v>
          </cell>
        </row>
        <row r="949">
          <cell r="C949">
            <v>0</v>
          </cell>
          <cell r="D949">
            <v>0</v>
          </cell>
          <cell r="F949">
            <v>0</v>
          </cell>
          <cell r="G949">
            <v>0</v>
          </cell>
        </row>
        <row r="950">
          <cell r="C950">
            <v>0</v>
          </cell>
          <cell r="D950">
            <v>0</v>
          </cell>
          <cell r="F950">
            <v>0</v>
          </cell>
          <cell r="G950">
            <v>0</v>
          </cell>
        </row>
        <row r="951">
          <cell r="C951">
            <v>0</v>
          </cell>
          <cell r="D951">
            <v>0</v>
          </cell>
          <cell r="F951">
            <v>0</v>
          </cell>
          <cell r="G951">
            <v>0</v>
          </cell>
        </row>
        <row r="952">
          <cell r="C952">
            <v>0</v>
          </cell>
          <cell r="D952">
            <v>0</v>
          </cell>
          <cell r="F952">
            <v>0</v>
          </cell>
          <cell r="G952">
            <v>0</v>
          </cell>
        </row>
        <row r="953">
          <cell r="C953">
            <v>0</v>
          </cell>
          <cell r="D953">
            <v>0</v>
          </cell>
          <cell r="F953">
            <v>0</v>
          </cell>
          <cell r="G953">
            <v>0</v>
          </cell>
        </row>
        <row r="954">
          <cell r="C954">
            <v>0</v>
          </cell>
          <cell r="D954">
            <v>0</v>
          </cell>
          <cell r="F954">
            <v>0</v>
          </cell>
          <cell r="G954">
            <v>0</v>
          </cell>
        </row>
        <row r="955">
          <cell r="C955">
            <v>0</v>
          </cell>
          <cell r="D955">
            <v>0</v>
          </cell>
          <cell r="F955">
            <v>0</v>
          </cell>
          <cell r="G955">
            <v>0</v>
          </cell>
        </row>
        <row r="956">
          <cell r="C956">
            <v>0</v>
          </cell>
          <cell r="D956">
            <v>0</v>
          </cell>
          <cell r="F956">
            <v>0</v>
          </cell>
          <cell r="G956">
            <v>0</v>
          </cell>
        </row>
        <row r="957">
          <cell r="C957">
            <v>0</v>
          </cell>
          <cell r="D957">
            <v>0</v>
          </cell>
          <cell r="F957">
            <v>0</v>
          </cell>
          <cell r="G957">
            <v>0</v>
          </cell>
        </row>
        <row r="958">
          <cell r="C958">
            <v>0</v>
          </cell>
          <cell r="D958">
            <v>0</v>
          </cell>
          <cell r="F958">
            <v>0</v>
          </cell>
          <cell r="G958">
            <v>0</v>
          </cell>
        </row>
        <row r="959">
          <cell r="C959">
            <v>0</v>
          </cell>
          <cell r="D959">
            <v>0</v>
          </cell>
          <cell r="F959">
            <v>0</v>
          </cell>
          <cell r="G959">
            <v>0</v>
          </cell>
        </row>
        <row r="960">
          <cell r="C960">
            <v>0</v>
          </cell>
          <cell r="D960">
            <v>0</v>
          </cell>
          <cell r="F960">
            <v>0</v>
          </cell>
          <cell r="G960">
            <v>0</v>
          </cell>
        </row>
        <row r="961">
          <cell r="C961">
            <v>0</v>
          </cell>
          <cell r="D961">
            <v>0</v>
          </cell>
          <cell r="F961">
            <v>0</v>
          </cell>
          <cell r="G961">
            <v>0</v>
          </cell>
        </row>
        <row r="962">
          <cell r="C962">
            <v>0</v>
          </cell>
          <cell r="D962">
            <v>0</v>
          </cell>
          <cell r="F962">
            <v>0</v>
          </cell>
          <cell r="G962">
            <v>0</v>
          </cell>
        </row>
        <row r="963">
          <cell r="C963">
            <v>0</v>
          </cell>
          <cell r="D963">
            <v>0</v>
          </cell>
          <cell r="F963">
            <v>0</v>
          </cell>
          <cell r="G963">
            <v>0</v>
          </cell>
        </row>
        <row r="964">
          <cell r="C964">
            <v>0</v>
          </cell>
          <cell r="D964">
            <v>0</v>
          </cell>
          <cell r="F964">
            <v>0</v>
          </cell>
          <cell r="G964">
            <v>0</v>
          </cell>
        </row>
        <row r="965">
          <cell r="C965">
            <v>0</v>
          </cell>
          <cell r="D965">
            <v>0</v>
          </cell>
          <cell r="F965">
            <v>0</v>
          </cell>
          <cell r="G965">
            <v>0</v>
          </cell>
        </row>
        <row r="966">
          <cell r="C966">
            <v>0</v>
          </cell>
          <cell r="D966">
            <v>0</v>
          </cell>
          <cell r="F966">
            <v>0</v>
          </cell>
          <cell r="G966">
            <v>0</v>
          </cell>
        </row>
        <row r="967">
          <cell r="C967">
            <v>0</v>
          </cell>
          <cell r="D967">
            <v>0</v>
          </cell>
          <cell r="F967">
            <v>0</v>
          </cell>
          <cell r="G967">
            <v>0</v>
          </cell>
        </row>
        <row r="968">
          <cell r="C968">
            <v>0</v>
          </cell>
          <cell r="D968">
            <v>0</v>
          </cell>
          <cell r="F968">
            <v>0</v>
          </cell>
          <cell r="G968">
            <v>0</v>
          </cell>
        </row>
        <row r="969">
          <cell r="C969">
            <v>0</v>
          </cell>
          <cell r="D969">
            <v>0</v>
          </cell>
          <cell r="F969">
            <v>0</v>
          </cell>
          <cell r="G969">
            <v>0</v>
          </cell>
        </row>
        <row r="970">
          <cell r="C970">
            <v>0</v>
          </cell>
          <cell r="D970">
            <v>0</v>
          </cell>
          <cell r="F970">
            <v>0</v>
          </cell>
          <cell r="G970">
            <v>0</v>
          </cell>
        </row>
        <row r="971">
          <cell r="C971">
            <v>0</v>
          </cell>
          <cell r="D971">
            <v>0</v>
          </cell>
          <cell r="F971">
            <v>0</v>
          </cell>
          <cell r="G971">
            <v>0</v>
          </cell>
        </row>
        <row r="972">
          <cell r="C972">
            <v>0</v>
          </cell>
          <cell r="D972">
            <v>0</v>
          </cell>
          <cell r="F972">
            <v>0</v>
          </cell>
          <cell r="G972">
            <v>0</v>
          </cell>
        </row>
        <row r="973">
          <cell r="C973">
            <v>0</v>
          </cell>
          <cell r="D973">
            <v>0</v>
          </cell>
          <cell r="F973">
            <v>0</v>
          </cell>
          <cell r="G973">
            <v>0</v>
          </cell>
        </row>
        <row r="974">
          <cell r="C974">
            <v>0</v>
          </cell>
          <cell r="D974">
            <v>0</v>
          </cell>
          <cell r="F974">
            <v>0</v>
          </cell>
          <cell r="G974">
            <v>0</v>
          </cell>
        </row>
        <row r="975">
          <cell r="C975">
            <v>0</v>
          </cell>
          <cell r="D975">
            <v>0</v>
          </cell>
          <cell r="F975">
            <v>0</v>
          </cell>
          <cell r="G975">
            <v>0</v>
          </cell>
        </row>
        <row r="976">
          <cell r="C976">
            <v>0</v>
          </cell>
          <cell r="D976">
            <v>0</v>
          </cell>
          <cell r="F976">
            <v>0</v>
          </cell>
          <cell r="G976">
            <v>0</v>
          </cell>
        </row>
        <row r="977">
          <cell r="C977">
            <v>0</v>
          </cell>
          <cell r="D977">
            <v>0</v>
          </cell>
          <cell r="F977">
            <v>0</v>
          </cell>
          <cell r="G97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PK"/>
      <sheetName val="ME"/>
      <sheetName val="AAV"/>
      <sheetName val="GC"/>
      <sheetName val="SBPV"/>
      <sheetName val="DESIRE"/>
      <sheetName val="RVO"/>
      <sheetName val="CC SK"/>
      <sheetName val="AUTO 2000"/>
      <sheetName val="DELTA"/>
      <sheetName val="TEMA C1"/>
      <sheetName val="TEMA C2"/>
      <sheetName val="TEMA C3"/>
      <sheetName val="TEMA HAJI"/>
      <sheetName val="PRIO DANA"/>
      <sheetName val="DRIVER"/>
    </sheetNames>
    <sheetDataSet>
      <sheetData sheetId="0" refreshError="1"/>
      <sheetData sheetId="1" refreshError="1">
        <row r="1">
          <cell r="A1" t="str">
            <v>NPK</v>
          </cell>
          <cell r="B1" t="str">
            <v>NAMA</v>
          </cell>
          <cell r="C1" t="str">
            <v>POSISI</v>
          </cell>
          <cell r="D1" t="str">
            <v>START</v>
          </cell>
          <cell r="E1" t="str">
            <v>FINISH</v>
          </cell>
          <cell r="F1" t="str">
            <v>PERIODE</v>
          </cell>
          <cell r="G1" t="str">
            <v>BULAN INI</v>
          </cell>
          <cell r="H1" t="str">
            <v>BULAN BERJALAN</v>
          </cell>
          <cell r="I1" t="str">
            <v>BULAN EKSLUSIF</v>
          </cell>
          <cell r="J1" t="str">
            <v>RUPIAH</v>
          </cell>
          <cell r="K1">
            <v>0</v>
          </cell>
        </row>
        <row r="2">
          <cell r="A2" t="str">
            <v>A2615</v>
          </cell>
          <cell r="B2" t="str">
            <v>Novita Langkai</v>
          </cell>
          <cell r="C2" t="str">
            <v>AAV</v>
          </cell>
          <cell r="D2">
            <v>45505</v>
          </cell>
          <cell r="E2">
            <v>45658</v>
          </cell>
          <cell r="F2">
            <v>6</v>
          </cell>
          <cell r="G2">
            <v>45650</v>
          </cell>
          <cell r="H2">
            <v>5</v>
          </cell>
          <cell r="I2" t="e">
            <v>#NAME?</v>
          </cell>
          <cell r="J2" t="e">
            <v>#NAME?</v>
          </cell>
          <cell r="K2" t="str">
            <v>EKSKLUSIF</v>
          </cell>
        </row>
        <row r="3">
          <cell r="A3" t="str">
            <v>A0349</v>
          </cell>
          <cell r="B3" t="str">
            <v>Ahmad Zainal Arifin</v>
          </cell>
          <cell r="C3" t="str">
            <v>AAV</v>
          </cell>
          <cell r="D3">
            <v>45536</v>
          </cell>
          <cell r="E3">
            <v>45689</v>
          </cell>
          <cell r="F3">
            <v>6</v>
          </cell>
          <cell r="G3">
            <v>45650</v>
          </cell>
          <cell r="H3">
            <v>4</v>
          </cell>
          <cell r="I3" t="e">
            <v>#NAME?</v>
          </cell>
          <cell r="J3" t="e">
            <v>#NAME?</v>
          </cell>
          <cell r="K3" t="str">
            <v>EKSKLUSIF</v>
          </cell>
        </row>
        <row r="4">
          <cell r="A4" t="str">
            <v>A2873</v>
          </cell>
          <cell r="B4" t="str">
            <v>CHRISTOPHER LAKSAWANA</v>
          </cell>
          <cell r="C4" t="str">
            <v>AAV</v>
          </cell>
          <cell r="D4">
            <v>45536</v>
          </cell>
          <cell r="E4">
            <v>45689</v>
          </cell>
          <cell r="F4">
            <v>6</v>
          </cell>
          <cell r="G4">
            <v>45650</v>
          </cell>
          <cell r="H4">
            <v>4</v>
          </cell>
          <cell r="I4" t="e">
            <v>#NAME?</v>
          </cell>
          <cell r="J4" t="e">
            <v>#NAME?</v>
          </cell>
          <cell r="K4" t="str">
            <v>EKSKLUSIF</v>
          </cell>
        </row>
        <row r="5">
          <cell r="A5" t="str">
            <v>A2066</v>
          </cell>
          <cell r="B5" t="str">
            <v>YULIANT EFENDI</v>
          </cell>
          <cell r="C5" t="str">
            <v>AAV</v>
          </cell>
          <cell r="D5">
            <v>45566</v>
          </cell>
          <cell r="E5">
            <v>45717</v>
          </cell>
          <cell r="F5">
            <v>6</v>
          </cell>
          <cell r="G5">
            <v>45650</v>
          </cell>
          <cell r="H5">
            <v>3</v>
          </cell>
          <cell r="I5" t="e">
            <v>#NAME?</v>
          </cell>
          <cell r="J5" t="e">
            <v>#NAME?</v>
          </cell>
          <cell r="K5" t="str">
            <v>EKSKLUSIF</v>
          </cell>
        </row>
        <row r="6">
          <cell r="A6" t="str">
            <v>A2383</v>
          </cell>
          <cell r="B6" t="str">
            <v>RYSMA NUR HIDAYAH</v>
          </cell>
          <cell r="C6" t="str">
            <v>SBPV</v>
          </cell>
          <cell r="D6">
            <v>45589</v>
          </cell>
          <cell r="E6">
            <v>45741</v>
          </cell>
          <cell r="F6">
            <v>6</v>
          </cell>
          <cell r="G6">
            <v>45650</v>
          </cell>
          <cell r="H6">
            <v>3</v>
          </cell>
          <cell r="I6" t="e">
            <v>#NAME?</v>
          </cell>
          <cell r="J6" t="e">
            <v>#NAME?</v>
          </cell>
          <cell r="K6" t="str">
            <v>EKSKLUSIF</v>
          </cell>
        </row>
        <row r="7">
          <cell r="A7" t="str">
            <v>A1971</v>
          </cell>
          <cell r="B7" t="str">
            <v>ANGGI BEATRIKS SERAN</v>
          </cell>
          <cell r="C7" t="str">
            <v>SBPV</v>
          </cell>
          <cell r="D7">
            <v>45589</v>
          </cell>
          <cell r="E7">
            <v>45741</v>
          </cell>
          <cell r="F7">
            <v>6</v>
          </cell>
          <cell r="G7">
            <v>45650</v>
          </cell>
          <cell r="H7">
            <v>3</v>
          </cell>
          <cell r="I7" t="e">
            <v>#NAME?</v>
          </cell>
          <cell r="J7" t="e">
            <v>#NAME?</v>
          </cell>
          <cell r="K7" t="str">
            <v>EKSKLUSIF</v>
          </cell>
        </row>
        <row r="8">
          <cell r="A8" t="str">
            <v>A2001</v>
          </cell>
          <cell r="B8" t="str">
            <v>M MENTARI GAGAT RAYNA</v>
          </cell>
          <cell r="C8" t="str">
            <v>SBPV</v>
          </cell>
          <cell r="D8">
            <v>45589</v>
          </cell>
          <cell r="E8">
            <v>45741</v>
          </cell>
          <cell r="F8">
            <v>6</v>
          </cell>
          <cell r="G8">
            <v>45650</v>
          </cell>
          <cell r="H8">
            <v>3</v>
          </cell>
          <cell r="I8" t="e">
            <v>#NAME?</v>
          </cell>
          <cell r="J8" t="e">
            <v>#NAME?</v>
          </cell>
          <cell r="K8" t="str">
            <v>EKSKLUSIF</v>
          </cell>
        </row>
        <row r="9">
          <cell r="A9">
            <v>92175</v>
          </cell>
          <cell r="B9" t="str">
            <v>AYU AMELIA RESANTI</v>
          </cell>
          <cell r="C9" t="str">
            <v>SBPV</v>
          </cell>
          <cell r="D9">
            <v>45620</v>
          </cell>
          <cell r="E9">
            <v>45772</v>
          </cell>
          <cell r="F9">
            <v>6</v>
          </cell>
          <cell r="G9">
            <v>45650</v>
          </cell>
          <cell r="H9">
            <v>2</v>
          </cell>
          <cell r="I9" t="e">
            <v>#NAME?</v>
          </cell>
          <cell r="J9" t="e">
            <v>#NAME?</v>
          </cell>
          <cell r="K9" t="str">
            <v>EKSKLUSIF</v>
          </cell>
        </row>
        <row r="10">
          <cell r="A10" t="str">
            <v>A2924</v>
          </cell>
          <cell r="B10" t="str">
            <v>IRA EVELIN SIHALOHO</v>
          </cell>
          <cell r="C10" t="str">
            <v>SBPV</v>
          </cell>
          <cell r="D10">
            <v>45650</v>
          </cell>
          <cell r="E10">
            <v>45802</v>
          </cell>
          <cell r="F10">
            <v>6</v>
          </cell>
          <cell r="G10">
            <v>45650</v>
          </cell>
          <cell r="H10">
            <v>1</v>
          </cell>
          <cell r="I10" t="e">
            <v>#NAME?</v>
          </cell>
          <cell r="J10" t="e">
            <v>#NAME?</v>
          </cell>
          <cell r="K10" t="str">
            <v>EKSKLUSIF</v>
          </cell>
        </row>
        <row r="11">
          <cell r="A11">
            <v>90317</v>
          </cell>
          <cell r="B11" t="str">
            <v>FILBERT SANCHIA FERDIANSAH MODOK</v>
          </cell>
          <cell r="C11" t="str">
            <v>RVO</v>
          </cell>
          <cell r="D11">
            <v>45497</v>
          </cell>
          <cell r="E11">
            <v>45627</v>
          </cell>
          <cell r="F11" t="str">
            <v>6</v>
          </cell>
          <cell r="G11">
            <v>45650</v>
          </cell>
          <cell r="H11">
            <v>6</v>
          </cell>
          <cell r="I11" t="e">
            <v>#NAME?</v>
          </cell>
          <cell r="J11" t="e">
            <v>#NAME?</v>
          </cell>
          <cell r="K11" t="str">
            <v>EKSKLUSIF</v>
          </cell>
        </row>
        <row r="12">
          <cell r="A12" t="str">
            <v>A1952</v>
          </cell>
          <cell r="B12" t="str">
            <v>LAURENSIUS AXEL RADITYA PRADANA</v>
          </cell>
          <cell r="C12" t="str">
            <v>RVO</v>
          </cell>
          <cell r="D12">
            <v>45559</v>
          </cell>
          <cell r="E12">
            <v>45689</v>
          </cell>
          <cell r="F12" t="str">
            <v>6</v>
          </cell>
          <cell r="G12">
            <v>45650</v>
          </cell>
          <cell r="H12">
            <v>4</v>
          </cell>
          <cell r="I12" t="e">
            <v>#NAME?</v>
          </cell>
          <cell r="J12" t="e">
            <v>#NAME?</v>
          </cell>
          <cell r="K12" t="str">
            <v>EKSKLUSIF</v>
          </cell>
        </row>
        <row r="13">
          <cell r="A13" t="str">
            <v>A2219</v>
          </cell>
          <cell r="B13" t="str">
            <v>AFRINDA THESALONIKA</v>
          </cell>
          <cell r="C13" t="str">
            <v>RVO</v>
          </cell>
          <cell r="D13">
            <v>45589</v>
          </cell>
          <cell r="E13">
            <v>45627</v>
          </cell>
          <cell r="F13" t="str">
            <v>3</v>
          </cell>
          <cell r="G13">
            <v>45650</v>
          </cell>
          <cell r="H13">
            <v>3</v>
          </cell>
          <cell r="I13" t="e">
            <v>#NAME?</v>
          </cell>
          <cell r="J13" t="e">
            <v>#NAME?</v>
          </cell>
          <cell r="K13" t="str">
            <v>EKSKLUSIF</v>
          </cell>
        </row>
        <row r="14">
          <cell r="A14">
            <v>90613</v>
          </cell>
          <cell r="B14" t="str">
            <v>JOHAN AIMAN RAIS</v>
          </cell>
          <cell r="C14" t="str">
            <v>RVO</v>
          </cell>
          <cell r="D14">
            <v>45589</v>
          </cell>
          <cell r="E14">
            <v>45627</v>
          </cell>
          <cell r="F14" t="str">
            <v>3</v>
          </cell>
          <cell r="G14">
            <v>45650</v>
          </cell>
          <cell r="H14">
            <v>3</v>
          </cell>
          <cell r="I14" t="e">
            <v>#NAME?</v>
          </cell>
          <cell r="J14" t="e">
            <v>#NAME?</v>
          </cell>
          <cell r="K14" t="str">
            <v>EKSKLUSIF</v>
          </cell>
        </row>
        <row r="15">
          <cell r="A15">
            <v>92694</v>
          </cell>
          <cell r="B15" t="str">
            <v>Wahyu Nugroho</v>
          </cell>
          <cell r="C15" t="str">
            <v>RVO</v>
          </cell>
          <cell r="D15">
            <v>45589</v>
          </cell>
          <cell r="E15">
            <v>45717</v>
          </cell>
          <cell r="F15" t="str">
            <v>6</v>
          </cell>
          <cell r="G15">
            <v>45650</v>
          </cell>
          <cell r="H15">
            <v>3</v>
          </cell>
          <cell r="I15" t="e">
            <v>#NAME?</v>
          </cell>
          <cell r="J15" t="e">
            <v>#NAME?</v>
          </cell>
          <cell r="K15" t="str">
            <v>EKSKLUSIF</v>
          </cell>
        </row>
        <row r="16">
          <cell r="A16" t="str">
            <v>A3442</v>
          </cell>
          <cell r="B16" t="str">
            <v>IRFAN FEBRIYANTORO</v>
          </cell>
          <cell r="C16" t="str">
            <v>RVO</v>
          </cell>
          <cell r="D16">
            <v>45589</v>
          </cell>
          <cell r="E16">
            <v>45717</v>
          </cell>
          <cell r="F16" t="str">
            <v>6</v>
          </cell>
          <cell r="G16">
            <v>45650</v>
          </cell>
          <cell r="H16">
            <v>3</v>
          </cell>
          <cell r="I16" t="e">
            <v>#NAME?</v>
          </cell>
          <cell r="J16" t="e">
            <v>#NAME?</v>
          </cell>
          <cell r="K16" t="str">
            <v>EKSKLUSIF</v>
          </cell>
        </row>
        <row r="17">
          <cell r="A17" t="str">
            <v>A0088</v>
          </cell>
          <cell r="B17" t="str">
            <v>OGI SHOFIA EKA ANISIA</v>
          </cell>
          <cell r="C17" t="str">
            <v>RVO</v>
          </cell>
          <cell r="D17">
            <v>45589</v>
          </cell>
          <cell r="E17">
            <v>45627</v>
          </cell>
          <cell r="F17" t="str">
            <v>3</v>
          </cell>
          <cell r="G17">
            <v>45650</v>
          </cell>
          <cell r="H17">
            <v>3</v>
          </cell>
          <cell r="I17" t="e">
            <v>#NAME?</v>
          </cell>
          <cell r="J17" t="e">
            <v>#NAME?</v>
          </cell>
          <cell r="K17" t="str">
            <v>EKSKLUSIF</v>
          </cell>
        </row>
        <row r="18">
          <cell r="A18" t="str">
            <v>A2217</v>
          </cell>
          <cell r="B18" t="str">
            <v>Sinatriyandika Harumawan</v>
          </cell>
          <cell r="C18" t="str">
            <v>RVO</v>
          </cell>
          <cell r="D18">
            <v>45589</v>
          </cell>
          <cell r="E18">
            <v>45627</v>
          </cell>
          <cell r="F18" t="str">
            <v>3</v>
          </cell>
          <cell r="G18">
            <v>45650</v>
          </cell>
          <cell r="H18">
            <v>3</v>
          </cell>
          <cell r="I18" t="e">
            <v>#NAME?</v>
          </cell>
          <cell r="J18" t="e">
            <v>#NAME?</v>
          </cell>
          <cell r="K18" t="str">
            <v>EKSKLUSIF</v>
          </cell>
        </row>
        <row r="19">
          <cell r="A19">
            <v>90453</v>
          </cell>
          <cell r="B19" t="str">
            <v>sherly hapsari</v>
          </cell>
          <cell r="C19" t="str">
            <v>RVO</v>
          </cell>
          <cell r="D19">
            <v>45589</v>
          </cell>
          <cell r="E19">
            <v>45627</v>
          </cell>
          <cell r="F19" t="str">
            <v>3</v>
          </cell>
          <cell r="G19">
            <v>45650</v>
          </cell>
          <cell r="H19">
            <v>3</v>
          </cell>
          <cell r="I19" t="e">
            <v>#NAME?</v>
          </cell>
          <cell r="J19" t="e">
            <v>#NAME?</v>
          </cell>
          <cell r="K19" t="str">
            <v>EKSKLUSIF</v>
          </cell>
        </row>
        <row r="20">
          <cell r="A20" t="str">
            <v>A3437</v>
          </cell>
          <cell r="B20" t="str">
            <v>YOHANA CLAUDIA</v>
          </cell>
          <cell r="C20" t="str">
            <v>RVO</v>
          </cell>
          <cell r="D20">
            <v>45597</v>
          </cell>
          <cell r="E20">
            <v>45658</v>
          </cell>
          <cell r="F20" t="str">
            <v>3</v>
          </cell>
          <cell r="G20">
            <v>45650</v>
          </cell>
          <cell r="H20">
            <v>2</v>
          </cell>
          <cell r="I20" t="e">
            <v>#NAME?</v>
          </cell>
          <cell r="J20" t="e">
            <v>#NAME?</v>
          </cell>
          <cell r="K20" t="str">
            <v>EKSKLUSIF</v>
          </cell>
        </row>
        <row r="21">
          <cell r="A21" t="str">
            <v>A0072</v>
          </cell>
          <cell r="B21" t="str">
            <v>Rahmad Dwi Adrian</v>
          </cell>
          <cell r="C21" t="str">
            <v>RVO</v>
          </cell>
          <cell r="D21">
            <v>45597</v>
          </cell>
          <cell r="E21">
            <v>45717</v>
          </cell>
          <cell r="F21" t="str">
            <v>6</v>
          </cell>
          <cell r="G21">
            <v>45650</v>
          </cell>
          <cell r="H21">
            <v>2</v>
          </cell>
          <cell r="I21" t="e">
            <v>#NAME?</v>
          </cell>
          <cell r="J21" t="e">
            <v>#NAME?</v>
          </cell>
          <cell r="K21" t="str">
            <v>EKSKLUSIF</v>
          </cell>
        </row>
        <row r="22">
          <cell r="A22">
            <v>92709</v>
          </cell>
          <cell r="B22" t="str">
            <v>Dany Ahmad Farrastio</v>
          </cell>
          <cell r="C22" t="str">
            <v>RVO</v>
          </cell>
          <cell r="D22">
            <v>45597</v>
          </cell>
          <cell r="E22">
            <v>45658</v>
          </cell>
          <cell r="F22" t="str">
            <v>3</v>
          </cell>
          <cell r="G22">
            <v>45650</v>
          </cell>
          <cell r="H22">
            <v>2</v>
          </cell>
          <cell r="I22" t="e">
            <v>#NAME?</v>
          </cell>
          <cell r="J22" t="e">
            <v>#NAME?</v>
          </cell>
          <cell r="K22" t="str">
            <v>EKSKLUSIF</v>
          </cell>
        </row>
        <row r="23">
          <cell r="A23">
            <v>92717</v>
          </cell>
          <cell r="B23" t="str">
            <v>Gresmilen Bilgis</v>
          </cell>
          <cell r="C23" t="str">
            <v>RVO</v>
          </cell>
          <cell r="D23">
            <v>45627</v>
          </cell>
          <cell r="E23">
            <v>45689</v>
          </cell>
          <cell r="F23">
            <v>3</v>
          </cell>
          <cell r="G23">
            <v>45650</v>
          </cell>
          <cell r="H23">
            <v>1</v>
          </cell>
          <cell r="I23" t="e">
            <v>#NAME?</v>
          </cell>
          <cell r="J23" t="e">
            <v>#NAME?</v>
          </cell>
          <cell r="K23" t="str">
            <v>EKSKLUSIF</v>
          </cell>
        </row>
        <row r="24">
          <cell r="A24">
            <v>90933</v>
          </cell>
          <cell r="B24" t="str">
            <v>REZA DESTI VAUZIA</v>
          </cell>
          <cell r="C24" t="str">
            <v>RVO</v>
          </cell>
          <cell r="D24">
            <v>45627</v>
          </cell>
          <cell r="E24">
            <v>45689</v>
          </cell>
          <cell r="F24">
            <v>3</v>
          </cell>
          <cell r="G24">
            <v>45650</v>
          </cell>
          <cell r="H24">
            <v>1</v>
          </cell>
          <cell r="I24" t="e">
            <v>#NAME?</v>
          </cell>
          <cell r="J24" t="e">
            <v>#NAME?</v>
          </cell>
          <cell r="K24" t="str">
            <v>EKSKLUSIF</v>
          </cell>
        </row>
        <row r="25">
          <cell r="A25">
            <v>90363</v>
          </cell>
          <cell r="B25" t="str">
            <v>Nurma Hayu</v>
          </cell>
          <cell r="C25" t="str">
            <v>RVO</v>
          </cell>
          <cell r="D25">
            <v>45627</v>
          </cell>
          <cell r="E25">
            <v>45689</v>
          </cell>
          <cell r="F25">
            <v>3</v>
          </cell>
          <cell r="G25">
            <v>45650</v>
          </cell>
          <cell r="H25">
            <v>1</v>
          </cell>
          <cell r="I25" t="e">
            <v>#NAME?</v>
          </cell>
          <cell r="J25" t="e">
            <v>#NAME?</v>
          </cell>
          <cell r="K25" t="str">
            <v>EKSKLUSIF</v>
          </cell>
        </row>
        <row r="26">
          <cell r="A26" t="str">
            <v>A1461</v>
          </cell>
          <cell r="B26" t="str">
            <v>Akhsa Eka Maharani</v>
          </cell>
          <cell r="C26" t="str">
            <v>DELTA</v>
          </cell>
          <cell r="D26">
            <v>45589</v>
          </cell>
          <cell r="E26">
            <v>45650</v>
          </cell>
          <cell r="F26" t="str">
            <v>3</v>
          </cell>
          <cell r="G26">
            <v>45650</v>
          </cell>
          <cell r="H26">
            <v>3</v>
          </cell>
          <cell r="I26" t="e">
            <v>#NAME?</v>
          </cell>
          <cell r="J26" t="e">
            <v>#NAME?</v>
          </cell>
          <cell r="K26" t="str">
            <v>EKSKLUSIF</v>
          </cell>
        </row>
        <row r="27">
          <cell r="A27" t="str">
            <v>A3754</v>
          </cell>
          <cell r="B27" t="str">
            <v>Firda Nur Karima</v>
          </cell>
          <cell r="C27" t="str">
            <v>DELTA</v>
          </cell>
          <cell r="D27">
            <v>45589</v>
          </cell>
          <cell r="E27">
            <v>45650</v>
          </cell>
          <cell r="F27" t="str">
            <v>3</v>
          </cell>
          <cell r="G27">
            <v>45650</v>
          </cell>
          <cell r="H27">
            <v>3</v>
          </cell>
          <cell r="I27" t="e">
            <v>#NAME?</v>
          </cell>
          <cell r="J27" t="e">
            <v>#NAME?</v>
          </cell>
          <cell r="K27" t="str">
            <v>EKSKLUSIF</v>
          </cell>
        </row>
        <row r="28">
          <cell r="A28" t="str">
            <v>A1957</v>
          </cell>
          <cell r="B28" t="str">
            <v>FATIA</v>
          </cell>
          <cell r="C28" t="str">
            <v>DELTA</v>
          </cell>
          <cell r="D28">
            <v>45589</v>
          </cell>
          <cell r="E28">
            <v>45650</v>
          </cell>
          <cell r="F28" t="str">
            <v>3</v>
          </cell>
          <cell r="G28">
            <v>45650</v>
          </cell>
          <cell r="H28">
            <v>3</v>
          </cell>
          <cell r="I28" t="e">
            <v>#NAME?</v>
          </cell>
          <cell r="J28" t="e">
            <v>#NAME?</v>
          </cell>
          <cell r="K28" t="str">
            <v>EKSKLUSIF</v>
          </cell>
        </row>
        <row r="29">
          <cell r="A29" t="str">
            <v>A1219</v>
          </cell>
          <cell r="B29" t="str">
            <v>AZIZ ALFISYAHRI</v>
          </cell>
          <cell r="C29" t="str">
            <v>DELTA</v>
          </cell>
          <cell r="D29">
            <v>45589</v>
          </cell>
          <cell r="E29">
            <v>45650</v>
          </cell>
          <cell r="F29" t="str">
            <v>3</v>
          </cell>
          <cell r="G29">
            <v>45650</v>
          </cell>
          <cell r="H29">
            <v>3</v>
          </cell>
          <cell r="I29" t="e">
            <v>#NAME?</v>
          </cell>
          <cell r="J29" t="e">
            <v>#NAME?</v>
          </cell>
          <cell r="K29" t="str">
            <v>EKSKLUSIF</v>
          </cell>
        </row>
        <row r="30">
          <cell r="A30" t="str">
            <v>A0770</v>
          </cell>
          <cell r="B30" t="str">
            <v>ELZE ZULFANNY</v>
          </cell>
          <cell r="C30" t="str">
            <v>DELTA</v>
          </cell>
          <cell r="D30">
            <v>45589</v>
          </cell>
          <cell r="E30">
            <v>45650</v>
          </cell>
          <cell r="F30" t="str">
            <v>3</v>
          </cell>
          <cell r="G30">
            <v>45650</v>
          </cell>
          <cell r="H30">
            <v>3</v>
          </cell>
          <cell r="I30" t="e">
            <v>#NAME?</v>
          </cell>
          <cell r="J30" t="e">
            <v>#NAME?</v>
          </cell>
          <cell r="K30" t="str">
            <v>EKSKLUSIF</v>
          </cell>
        </row>
        <row r="31">
          <cell r="A31" t="str">
            <v>A1755</v>
          </cell>
          <cell r="B31" t="str">
            <v>TIFANI ADELIA SYAFITRI</v>
          </cell>
          <cell r="C31" t="str">
            <v>DELTA</v>
          </cell>
          <cell r="D31">
            <v>45589</v>
          </cell>
          <cell r="E31">
            <v>45650</v>
          </cell>
          <cell r="F31" t="str">
            <v>3</v>
          </cell>
          <cell r="G31">
            <v>45650</v>
          </cell>
          <cell r="H31">
            <v>3</v>
          </cell>
          <cell r="I31" t="e">
            <v>#NAME?</v>
          </cell>
          <cell r="J31" t="e">
            <v>#NAME?</v>
          </cell>
          <cell r="K31" t="str">
            <v>EKSKLUSIF</v>
          </cell>
        </row>
        <row r="32">
          <cell r="A32" t="str">
            <v>A3451</v>
          </cell>
          <cell r="B32" t="str">
            <v>MARCELLINA PUTRI</v>
          </cell>
          <cell r="C32" t="str">
            <v>DELTA</v>
          </cell>
          <cell r="D32">
            <v>45589</v>
          </cell>
          <cell r="E32">
            <v>45650</v>
          </cell>
          <cell r="F32" t="str">
            <v>3</v>
          </cell>
          <cell r="G32">
            <v>45650</v>
          </cell>
          <cell r="H32">
            <v>3</v>
          </cell>
          <cell r="I32" t="e">
            <v>#NAME?</v>
          </cell>
          <cell r="J32" t="e">
            <v>#NAME?</v>
          </cell>
          <cell r="K32" t="str">
            <v>EKSKLUSIF</v>
          </cell>
        </row>
        <row r="33">
          <cell r="A33" t="str">
            <v>A1766</v>
          </cell>
          <cell r="B33" t="str">
            <v>Elizabeth Paramita</v>
          </cell>
          <cell r="C33" t="str">
            <v>DELTA</v>
          </cell>
          <cell r="D33">
            <v>45589</v>
          </cell>
          <cell r="E33">
            <v>45650</v>
          </cell>
          <cell r="F33" t="str">
            <v>3</v>
          </cell>
          <cell r="G33">
            <v>45650</v>
          </cell>
          <cell r="H33">
            <v>3</v>
          </cell>
          <cell r="I33" t="e">
            <v>#NAME?</v>
          </cell>
          <cell r="J33" t="e">
            <v>#NAME?</v>
          </cell>
          <cell r="K33" t="str">
            <v>EKSKLUSIF</v>
          </cell>
        </row>
        <row r="34">
          <cell r="A34" t="str">
            <v>A3404</v>
          </cell>
          <cell r="B34" t="str">
            <v>ayu sukmawati</v>
          </cell>
          <cell r="C34" t="str">
            <v>DELTA</v>
          </cell>
          <cell r="D34">
            <v>45589</v>
          </cell>
          <cell r="E34">
            <v>45650</v>
          </cell>
          <cell r="F34" t="str">
            <v>3</v>
          </cell>
          <cell r="G34">
            <v>45650</v>
          </cell>
          <cell r="H34">
            <v>3</v>
          </cell>
          <cell r="I34" t="e">
            <v>#NAME?</v>
          </cell>
          <cell r="J34" t="e">
            <v>#NAME?</v>
          </cell>
          <cell r="K34" t="str">
            <v>EKSKLUSIF</v>
          </cell>
        </row>
        <row r="35">
          <cell r="A35" t="str">
            <v>A0830</v>
          </cell>
          <cell r="B35" t="str">
            <v>Margi Suryani</v>
          </cell>
          <cell r="C35" t="str">
            <v>DELTA</v>
          </cell>
          <cell r="D35">
            <v>45589</v>
          </cell>
          <cell r="E35">
            <v>45650</v>
          </cell>
          <cell r="F35" t="str">
            <v>3</v>
          </cell>
          <cell r="G35">
            <v>45650</v>
          </cell>
          <cell r="H35">
            <v>3</v>
          </cell>
          <cell r="I35" t="e">
            <v>#NAME?</v>
          </cell>
          <cell r="J35" t="e">
            <v>#NAME?</v>
          </cell>
          <cell r="K35" t="str">
            <v>EKSKLUSIF</v>
          </cell>
        </row>
        <row r="36">
          <cell r="A36" t="str">
            <v>A2925</v>
          </cell>
          <cell r="B36" t="str">
            <v>Maria Goretti Dian Permata Hadi</v>
          </cell>
          <cell r="C36" t="str">
            <v>DELTA</v>
          </cell>
          <cell r="D36">
            <v>45589</v>
          </cell>
          <cell r="E36">
            <v>45650</v>
          </cell>
          <cell r="F36" t="str">
            <v>3</v>
          </cell>
          <cell r="G36">
            <v>45650</v>
          </cell>
          <cell r="H36">
            <v>3</v>
          </cell>
          <cell r="I36" t="e">
            <v>#NAME?</v>
          </cell>
          <cell r="J36" t="e">
            <v>#NAME?</v>
          </cell>
          <cell r="K36" t="str">
            <v>EKSKLUSIF</v>
          </cell>
        </row>
        <row r="37">
          <cell r="A37" t="str">
            <v>A3597</v>
          </cell>
          <cell r="B37" t="str">
            <v>Windi Ayuni Sijabat</v>
          </cell>
          <cell r="C37" t="str">
            <v>DELTA</v>
          </cell>
          <cell r="D37">
            <v>45589</v>
          </cell>
          <cell r="E37">
            <v>45650</v>
          </cell>
          <cell r="F37" t="str">
            <v>3</v>
          </cell>
          <cell r="G37">
            <v>45650</v>
          </cell>
          <cell r="H37">
            <v>3</v>
          </cell>
          <cell r="I37" t="e">
            <v>#NAME?</v>
          </cell>
          <cell r="J37" t="e">
            <v>#NAME?</v>
          </cell>
          <cell r="K37" t="str">
            <v>EKSKLUSIF</v>
          </cell>
        </row>
        <row r="38">
          <cell r="A38" t="str">
            <v>A0879</v>
          </cell>
          <cell r="B38" t="str">
            <v>RISZA ANGGUN DWI ARIANANDA</v>
          </cell>
          <cell r="C38" t="str">
            <v>DELTA</v>
          </cell>
          <cell r="D38">
            <v>45589</v>
          </cell>
          <cell r="E38">
            <v>45650</v>
          </cell>
          <cell r="F38" t="str">
            <v>3</v>
          </cell>
          <cell r="G38">
            <v>45650</v>
          </cell>
          <cell r="H38">
            <v>3</v>
          </cell>
          <cell r="I38" t="e">
            <v>#NAME?</v>
          </cell>
          <cell r="J38" t="e">
            <v>#NAME?</v>
          </cell>
          <cell r="K38" t="str">
            <v>EKSKLUSIF</v>
          </cell>
        </row>
        <row r="39">
          <cell r="A39" t="str">
            <v>A2961</v>
          </cell>
          <cell r="B39" t="str">
            <v>Agung Prasetyadi</v>
          </cell>
          <cell r="C39" t="str">
            <v>DELTA</v>
          </cell>
          <cell r="D39">
            <v>45589</v>
          </cell>
          <cell r="E39">
            <v>45650</v>
          </cell>
          <cell r="F39" t="str">
            <v>3</v>
          </cell>
          <cell r="G39">
            <v>45650</v>
          </cell>
          <cell r="H39">
            <v>3</v>
          </cell>
          <cell r="I39" t="e">
            <v>#NAME?</v>
          </cell>
          <cell r="J39" t="e">
            <v>#NAME?</v>
          </cell>
          <cell r="K39" t="str">
            <v>EKSKLUSIF</v>
          </cell>
        </row>
        <row r="40">
          <cell r="A40" t="str">
            <v>A0874</v>
          </cell>
          <cell r="B40" t="str">
            <v>GALIH MARDIANA</v>
          </cell>
          <cell r="C40" t="str">
            <v>DELTA</v>
          </cell>
          <cell r="D40">
            <v>45589</v>
          </cell>
          <cell r="E40">
            <v>45650</v>
          </cell>
          <cell r="F40" t="str">
            <v>3</v>
          </cell>
          <cell r="G40">
            <v>45650</v>
          </cell>
          <cell r="H40">
            <v>3</v>
          </cell>
          <cell r="I40" t="e">
            <v>#NAME?</v>
          </cell>
          <cell r="J40" t="e">
            <v>#NAME?</v>
          </cell>
          <cell r="K40" t="str">
            <v>EKSKLUSIF</v>
          </cell>
        </row>
        <row r="41">
          <cell r="A41" t="str">
            <v>A1096</v>
          </cell>
          <cell r="B41" t="str">
            <v>NILA HAQIQI</v>
          </cell>
          <cell r="C41" t="str">
            <v>DELTA</v>
          </cell>
          <cell r="D41">
            <v>45589</v>
          </cell>
          <cell r="E41">
            <v>45650</v>
          </cell>
          <cell r="F41" t="str">
            <v>3</v>
          </cell>
          <cell r="G41">
            <v>45650</v>
          </cell>
          <cell r="H41">
            <v>3</v>
          </cell>
          <cell r="I41" t="e">
            <v>#NAME?</v>
          </cell>
          <cell r="J41" t="e">
            <v>#NAME?</v>
          </cell>
          <cell r="K41" t="str">
            <v>EKSKLUSIF</v>
          </cell>
        </row>
        <row r="42">
          <cell r="A42" t="str">
            <v>A0817</v>
          </cell>
          <cell r="B42" t="str">
            <v>Yola Valenia</v>
          </cell>
          <cell r="C42" t="str">
            <v>DELTA</v>
          </cell>
          <cell r="D42">
            <v>45589</v>
          </cell>
          <cell r="E42">
            <v>45650</v>
          </cell>
          <cell r="F42" t="str">
            <v>3</v>
          </cell>
          <cell r="G42">
            <v>45650</v>
          </cell>
          <cell r="H42">
            <v>3</v>
          </cell>
          <cell r="I42" t="e">
            <v>#NAME?</v>
          </cell>
          <cell r="J42" t="e">
            <v>#NAME?</v>
          </cell>
          <cell r="K42" t="str">
            <v>EKSKLUSIF</v>
          </cell>
        </row>
        <row r="43">
          <cell r="A43" t="str">
            <v>A1280</v>
          </cell>
          <cell r="B43" t="str">
            <v>Paskha Aprilianingsih</v>
          </cell>
          <cell r="C43" t="str">
            <v>DELTA</v>
          </cell>
          <cell r="D43">
            <v>45589</v>
          </cell>
          <cell r="E43">
            <v>45650</v>
          </cell>
          <cell r="F43" t="str">
            <v>3</v>
          </cell>
          <cell r="G43">
            <v>45650</v>
          </cell>
          <cell r="H43">
            <v>3</v>
          </cell>
          <cell r="I43" t="e">
            <v>#NAME?</v>
          </cell>
          <cell r="J43" t="e">
            <v>#NAME?</v>
          </cell>
          <cell r="K43" t="str">
            <v>EKSKLUSIF</v>
          </cell>
        </row>
        <row r="44">
          <cell r="A44" t="str">
            <v>A1215</v>
          </cell>
          <cell r="B44" t="str">
            <v>Esterina Kusumawati</v>
          </cell>
          <cell r="C44" t="str">
            <v>DELTA</v>
          </cell>
          <cell r="D44">
            <v>45589</v>
          </cell>
          <cell r="E44">
            <v>45650</v>
          </cell>
          <cell r="F44" t="str">
            <v>3</v>
          </cell>
          <cell r="G44">
            <v>45650</v>
          </cell>
          <cell r="H44">
            <v>3</v>
          </cell>
          <cell r="I44" t="e">
            <v>#NAME?</v>
          </cell>
          <cell r="J44" t="e">
            <v>#NAME?</v>
          </cell>
          <cell r="K44" t="str">
            <v>EKSKLUSIF</v>
          </cell>
        </row>
        <row r="45">
          <cell r="A45" t="str">
            <v>A1854</v>
          </cell>
          <cell r="B45" t="str">
            <v>SALSABILA OKTAVIMADIANA</v>
          </cell>
          <cell r="C45" t="str">
            <v>DELTA</v>
          </cell>
          <cell r="D45">
            <v>45589</v>
          </cell>
          <cell r="E45">
            <v>45650</v>
          </cell>
          <cell r="F45" t="str">
            <v>3</v>
          </cell>
          <cell r="G45">
            <v>45650</v>
          </cell>
          <cell r="H45">
            <v>3</v>
          </cell>
          <cell r="I45" t="e">
            <v>#NAME?</v>
          </cell>
          <cell r="J45" t="e">
            <v>#NAME?</v>
          </cell>
          <cell r="K45" t="str">
            <v>EKSKLUSIF</v>
          </cell>
        </row>
        <row r="46">
          <cell r="A46" t="str">
            <v>A3599</v>
          </cell>
          <cell r="B46" t="str">
            <v>HANIFAH RAHMADHANI</v>
          </cell>
          <cell r="C46" t="str">
            <v>DELTA</v>
          </cell>
          <cell r="D46">
            <v>45589</v>
          </cell>
          <cell r="E46">
            <v>45650</v>
          </cell>
          <cell r="F46" t="str">
            <v>3</v>
          </cell>
          <cell r="G46">
            <v>45650</v>
          </cell>
          <cell r="H46">
            <v>3</v>
          </cell>
          <cell r="I46" t="e">
            <v>#NAME?</v>
          </cell>
          <cell r="J46" t="e">
            <v>#NAME?</v>
          </cell>
          <cell r="K46" t="str">
            <v>EKSKLUSIF</v>
          </cell>
        </row>
        <row r="47">
          <cell r="A47" t="str">
            <v>A1531</v>
          </cell>
          <cell r="B47" t="str">
            <v>ERIN ALFINATA</v>
          </cell>
          <cell r="C47" t="str">
            <v>DELTA</v>
          </cell>
          <cell r="D47">
            <v>45589</v>
          </cell>
          <cell r="E47">
            <v>45650</v>
          </cell>
          <cell r="F47" t="str">
            <v>3</v>
          </cell>
          <cell r="G47">
            <v>45650</v>
          </cell>
          <cell r="H47">
            <v>3</v>
          </cell>
          <cell r="I47" t="e">
            <v>#NAME?</v>
          </cell>
          <cell r="J47" t="e">
            <v>#NAME?</v>
          </cell>
          <cell r="K47" t="str">
            <v>EKSKLUSIF</v>
          </cell>
        </row>
        <row r="48">
          <cell r="A48" t="str">
            <v>A3029</v>
          </cell>
          <cell r="B48" t="str">
            <v>EMMIA CLARITA BR TARIGAN</v>
          </cell>
          <cell r="C48" t="str">
            <v>DELTA</v>
          </cell>
          <cell r="D48">
            <v>45589</v>
          </cell>
          <cell r="E48">
            <v>45650</v>
          </cell>
          <cell r="F48" t="str">
            <v>3</v>
          </cell>
          <cell r="G48">
            <v>45650</v>
          </cell>
          <cell r="H48">
            <v>3</v>
          </cell>
          <cell r="I48" t="e">
            <v>#NAME?</v>
          </cell>
          <cell r="J48" t="e">
            <v>#NAME?</v>
          </cell>
          <cell r="K48" t="str">
            <v>EKSKLUSIF</v>
          </cell>
        </row>
        <row r="49">
          <cell r="A49" t="str">
            <v>A2322</v>
          </cell>
          <cell r="B49" t="str">
            <v>Rosi Novi Lutfitasari</v>
          </cell>
          <cell r="C49" t="str">
            <v>DELTA</v>
          </cell>
          <cell r="D49">
            <v>45589</v>
          </cell>
          <cell r="E49">
            <v>45650</v>
          </cell>
          <cell r="F49">
            <v>3</v>
          </cell>
          <cell r="G49">
            <v>45650</v>
          </cell>
          <cell r="H49">
            <v>3</v>
          </cell>
          <cell r="I49" t="e">
            <v>#NAME?</v>
          </cell>
          <cell r="J49" t="e">
            <v>#NAME?</v>
          </cell>
          <cell r="K49" t="str">
            <v>EKSKLUSIF</v>
          </cell>
        </row>
        <row r="50">
          <cell r="A50" t="str">
            <v>A2953</v>
          </cell>
          <cell r="B50" t="str">
            <v>NAWANGWULAN DESIKUMALA</v>
          </cell>
          <cell r="C50" t="str">
            <v>DELTA</v>
          </cell>
          <cell r="D50">
            <v>45597</v>
          </cell>
          <cell r="E50">
            <v>45658</v>
          </cell>
          <cell r="F50">
            <v>3</v>
          </cell>
          <cell r="G50">
            <v>45650</v>
          </cell>
          <cell r="H50">
            <v>2</v>
          </cell>
          <cell r="I50" t="e">
            <v>#NAME?</v>
          </cell>
          <cell r="J50" t="e">
            <v>#NAME?</v>
          </cell>
          <cell r="K50" t="str">
            <v>EKSKLUSIF</v>
          </cell>
        </row>
        <row r="51">
          <cell r="A51" t="str">
            <v>A0453</v>
          </cell>
          <cell r="B51" t="str">
            <v>ANISA SHELA NOVITA</v>
          </cell>
          <cell r="C51" t="str">
            <v>DELTA</v>
          </cell>
          <cell r="D51">
            <v>45597</v>
          </cell>
          <cell r="E51">
            <v>45658</v>
          </cell>
          <cell r="F51">
            <v>3</v>
          </cell>
          <cell r="G51">
            <v>45650</v>
          </cell>
          <cell r="H51">
            <v>2</v>
          </cell>
          <cell r="I51" t="e">
            <v>#NAME?</v>
          </cell>
          <cell r="J51" t="e">
            <v>#NAME?</v>
          </cell>
          <cell r="K51" t="str">
            <v>EKSKLUSIF</v>
          </cell>
        </row>
        <row r="52">
          <cell r="A52" t="str">
            <v>A3406</v>
          </cell>
          <cell r="B52" t="str">
            <v>SEPTI MUNTE</v>
          </cell>
          <cell r="C52" t="str">
            <v>DELTA</v>
          </cell>
          <cell r="D52">
            <v>45597</v>
          </cell>
          <cell r="E52">
            <v>45658</v>
          </cell>
          <cell r="F52">
            <v>3</v>
          </cell>
          <cell r="G52">
            <v>45650</v>
          </cell>
          <cell r="H52">
            <v>2</v>
          </cell>
          <cell r="I52" t="e">
            <v>#NAME?</v>
          </cell>
          <cell r="J52" t="e">
            <v>#NAME?</v>
          </cell>
          <cell r="K52" t="str">
            <v>EKSKLUSIF</v>
          </cell>
        </row>
        <row r="53">
          <cell r="A53" t="str">
            <v>A1651</v>
          </cell>
          <cell r="B53" t="str">
            <v>NUR ROMADANI FITRIANA</v>
          </cell>
          <cell r="C53" t="str">
            <v>DELTA</v>
          </cell>
          <cell r="D53">
            <v>45597</v>
          </cell>
          <cell r="E53">
            <v>45658</v>
          </cell>
          <cell r="F53">
            <v>3</v>
          </cell>
          <cell r="G53">
            <v>45650</v>
          </cell>
          <cell r="H53">
            <v>2</v>
          </cell>
          <cell r="I53" t="e">
            <v>#NAME?</v>
          </cell>
          <cell r="J53" t="e">
            <v>#NAME?</v>
          </cell>
          <cell r="K53" t="str">
            <v>EKSKLUSIF</v>
          </cell>
        </row>
        <row r="54">
          <cell r="A54" t="str">
            <v>A0458</v>
          </cell>
          <cell r="B54" t="str">
            <v>JOKO SLAMETO</v>
          </cell>
          <cell r="C54" t="str">
            <v>DELTA</v>
          </cell>
          <cell r="D54">
            <v>45597</v>
          </cell>
          <cell r="E54">
            <v>45658</v>
          </cell>
          <cell r="F54">
            <v>3</v>
          </cell>
          <cell r="G54">
            <v>45650</v>
          </cell>
          <cell r="H54">
            <v>2</v>
          </cell>
          <cell r="I54" t="e">
            <v>#NAME?</v>
          </cell>
          <cell r="J54" t="e">
            <v>#NAME?</v>
          </cell>
          <cell r="K54" t="str">
            <v>EKSKLUSIF</v>
          </cell>
        </row>
        <row r="55">
          <cell r="A55" t="str">
            <v>A2179</v>
          </cell>
          <cell r="B55" t="str">
            <v>ANNISA LARASATI</v>
          </cell>
          <cell r="C55" t="str">
            <v>DELTA</v>
          </cell>
          <cell r="D55">
            <v>45597</v>
          </cell>
          <cell r="E55">
            <v>45658</v>
          </cell>
          <cell r="F55">
            <v>3</v>
          </cell>
          <cell r="G55">
            <v>45650</v>
          </cell>
          <cell r="H55">
            <v>2</v>
          </cell>
          <cell r="I55" t="e">
            <v>#NAME?</v>
          </cell>
          <cell r="J55" t="e">
            <v>#NAME?</v>
          </cell>
          <cell r="K55" t="str">
            <v>EKSKLUSIF</v>
          </cell>
        </row>
        <row r="56">
          <cell r="A56" t="str">
            <v>A2507</v>
          </cell>
          <cell r="B56" t="str">
            <v>ARJUNA TANJUNG</v>
          </cell>
          <cell r="C56" t="str">
            <v>DELTA</v>
          </cell>
          <cell r="D56">
            <v>45597</v>
          </cell>
          <cell r="E56">
            <v>45658</v>
          </cell>
          <cell r="F56">
            <v>3</v>
          </cell>
          <cell r="G56">
            <v>45650</v>
          </cell>
          <cell r="H56">
            <v>2</v>
          </cell>
          <cell r="I56" t="e">
            <v>#NAME?</v>
          </cell>
          <cell r="J56" t="e">
            <v>#NAME?</v>
          </cell>
          <cell r="K56" t="str">
            <v>EKSKLUSIF</v>
          </cell>
        </row>
        <row r="57">
          <cell r="A57">
            <v>92287</v>
          </cell>
          <cell r="B57" t="str">
            <v>ALYDA RIZKA</v>
          </cell>
          <cell r="C57" t="str">
            <v>DELTA</v>
          </cell>
          <cell r="D57">
            <v>45597</v>
          </cell>
          <cell r="E57">
            <v>45658</v>
          </cell>
          <cell r="F57">
            <v>3</v>
          </cell>
          <cell r="G57">
            <v>45650</v>
          </cell>
          <cell r="H57">
            <v>2</v>
          </cell>
          <cell r="I57" t="e">
            <v>#NAME?</v>
          </cell>
          <cell r="J57" t="e">
            <v>#NAME?</v>
          </cell>
          <cell r="K57" t="str">
            <v>EKSKLUSIF</v>
          </cell>
        </row>
        <row r="58">
          <cell r="A58">
            <v>92504</v>
          </cell>
          <cell r="B58" t="str">
            <v>ARTIKA YUNITA ARDI</v>
          </cell>
          <cell r="C58" t="str">
            <v>DELTA</v>
          </cell>
          <cell r="D58">
            <v>45597</v>
          </cell>
          <cell r="E58">
            <v>45658</v>
          </cell>
          <cell r="F58">
            <v>3</v>
          </cell>
          <cell r="G58">
            <v>45650</v>
          </cell>
          <cell r="H58">
            <v>2</v>
          </cell>
          <cell r="I58" t="e">
            <v>#NAME?</v>
          </cell>
          <cell r="J58" t="e">
            <v>#NAME?</v>
          </cell>
          <cell r="K58" t="str">
            <v>EKSKLUSIF</v>
          </cell>
        </row>
        <row r="59">
          <cell r="A59" t="str">
            <v>A1209</v>
          </cell>
          <cell r="B59" t="str">
            <v>ZULFI FAQIH</v>
          </cell>
          <cell r="C59" t="str">
            <v>DELTA</v>
          </cell>
          <cell r="D59">
            <v>45597</v>
          </cell>
          <cell r="E59">
            <v>45658</v>
          </cell>
          <cell r="F59">
            <v>3</v>
          </cell>
          <cell r="G59">
            <v>45650</v>
          </cell>
          <cell r="H59">
            <v>2</v>
          </cell>
          <cell r="I59" t="e">
            <v>#NAME?</v>
          </cell>
          <cell r="J59" t="e">
            <v>#NAME?</v>
          </cell>
          <cell r="K59" t="str">
            <v>EKSKLUSIF</v>
          </cell>
        </row>
        <row r="60">
          <cell r="A60" t="str">
            <v>A0378</v>
          </cell>
          <cell r="B60" t="str">
            <v>WIRANTI PUTRI</v>
          </cell>
          <cell r="C60" t="str">
            <v>DELTA</v>
          </cell>
          <cell r="D60">
            <v>45597</v>
          </cell>
          <cell r="E60">
            <v>45658</v>
          </cell>
          <cell r="F60">
            <v>3</v>
          </cell>
          <cell r="G60">
            <v>45650</v>
          </cell>
          <cell r="H60">
            <v>2</v>
          </cell>
          <cell r="I60" t="e">
            <v>#NAME?</v>
          </cell>
          <cell r="J60" t="e">
            <v>#NAME?</v>
          </cell>
          <cell r="K60" t="str">
            <v>EKSKLUSIF</v>
          </cell>
        </row>
        <row r="61">
          <cell r="A61">
            <v>92669</v>
          </cell>
          <cell r="B61" t="str">
            <v>APIK KUSUMA AYU</v>
          </cell>
          <cell r="C61" t="str">
            <v>DELTA</v>
          </cell>
          <cell r="D61">
            <v>45597</v>
          </cell>
          <cell r="E61">
            <v>45658</v>
          </cell>
          <cell r="F61">
            <v>3</v>
          </cell>
          <cell r="G61">
            <v>45650</v>
          </cell>
          <cell r="H61">
            <v>2</v>
          </cell>
          <cell r="I61" t="e">
            <v>#NAME?</v>
          </cell>
          <cell r="J61" t="e">
            <v>#NAME?</v>
          </cell>
          <cell r="K61" t="str">
            <v>EKSKLUSIF</v>
          </cell>
        </row>
        <row r="62">
          <cell r="A62" t="str">
            <v>A1721</v>
          </cell>
          <cell r="B62" t="str">
            <v>MEGA AUDILIA</v>
          </cell>
          <cell r="C62" t="str">
            <v>DELTA</v>
          </cell>
          <cell r="D62">
            <v>45597</v>
          </cell>
          <cell r="E62">
            <v>45658</v>
          </cell>
          <cell r="F62">
            <v>3</v>
          </cell>
          <cell r="G62">
            <v>45650</v>
          </cell>
          <cell r="H62">
            <v>2</v>
          </cell>
          <cell r="I62" t="e">
            <v>#NAME?</v>
          </cell>
          <cell r="J62" t="e">
            <v>#NAME?</v>
          </cell>
          <cell r="K62" t="str">
            <v>EKSKLUSIF</v>
          </cell>
        </row>
        <row r="63">
          <cell r="A63" t="str">
            <v>A1525</v>
          </cell>
          <cell r="B63" t="str">
            <v>MARSIDAH</v>
          </cell>
          <cell r="C63" t="str">
            <v>DELTA</v>
          </cell>
          <cell r="D63">
            <v>45597</v>
          </cell>
          <cell r="E63">
            <v>45658</v>
          </cell>
          <cell r="F63">
            <v>3</v>
          </cell>
          <cell r="G63">
            <v>45650</v>
          </cell>
          <cell r="H63">
            <v>2</v>
          </cell>
          <cell r="I63" t="e">
            <v>#NAME?</v>
          </cell>
          <cell r="J63" t="e">
            <v>#NAME?</v>
          </cell>
          <cell r="K63" t="str">
            <v>EKSKLUSIF</v>
          </cell>
        </row>
        <row r="64">
          <cell r="A64" t="str">
            <v>A3259</v>
          </cell>
          <cell r="B64" t="str">
            <v>ALBERTUS CHRISTIAN ADE DARMAWA</v>
          </cell>
          <cell r="C64" t="str">
            <v>DELTA</v>
          </cell>
          <cell r="D64">
            <v>45597</v>
          </cell>
          <cell r="E64">
            <v>45658</v>
          </cell>
          <cell r="F64">
            <v>3</v>
          </cell>
          <cell r="G64">
            <v>45650</v>
          </cell>
          <cell r="H64">
            <v>2</v>
          </cell>
          <cell r="I64" t="e">
            <v>#NAME?</v>
          </cell>
          <cell r="J64" t="e">
            <v>#NAME?</v>
          </cell>
          <cell r="K64" t="str">
            <v>EKSKLUSIF</v>
          </cell>
        </row>
        <row r="65">
          <cell r="A65" t="str">
            <v>A1954</v>
          </cell>
          <cell r="B65" t="str">
            <v>Jelita Ayunda Fitria</v>
          </cell>
          <cell r="C65" t="str">
            <v>DELTA</v>
          </cell>
          <cell r="D65">
            <v>45597</v>
          </cell>
          <cell r="E65">
            <v>45658</v>
          </cell>
          <cell r="F65">
            <v>3</v>
          </cell>
          <cell r="G65">
            <v>45650</v>
          </cell>
          <cell r="H65">
            <v>2</v>
          </cell>
          <cell r="I65" t="e">
            <v>#NAME?</v>
          </cell>
          <cell r="J65" t="e">
            <v>#NAME?</v>
          </cell>
          <cell r="K65" t="str">
            <v>EKSKLUSIF</v>
          </cell>
        </row>
        <row r="66">
          <cell r="A66" t="str">
            <v>A3994</v>
          </cell>
          <cell r="B66" t="str">
            <v>Alif Bintang Hasiholan Pohan</v>
          </cell>
          <cell r="C66" t="str">
            <v>DELTA</v>
          </cell>
          <cell r="D66">
            <v>45597</v>
          </cell>
          <cell r="E66">
            <v>45658</v>
          </cell>
          <cell r="F66">
            <v>3</v>
          </cell>
          <cell r="G66">
            <v>45650</v>
          </cell>
          <cell r="H66">
            <v>2</v>
          </cell>
          <cell r="I66" t="e">
            <v>#NAME?</v>
          </cell>
          <cell r="J66" t="e">
            <v>#NAME?</v>
          </cell>
          <cell r="K66" t="str">
            <v>EKSKLUSIF</v>
          </cell>
        </row>
        <row r="67">
          <cell r="A67" t="str">
            <v>A1773</v>
          </cell>
          <cell r="B67" t="str">
            <v>MELINIA WINDY ERLIYA</v>
          </cell>
          <cell r="C67" t="str">
            <v>DELTA</v>
          </cell>
          <cell r="D67">
            <v>45597</v>
          </cell>
          <cell r="E67">
            <v>45658</v>
          </cell>
          <cell r="F67">
            <v>3</v>
          </cell>
          <cell r="G67">
            <v>45650</v>
          </cell>
          <cell r="H67">
            <v>2</v>
          </cell>
          <cell r="I67" t="e">
            <v>#NAME?</v>
          </cell>
          <cell r="J67" t="e">
            <v>#NAME?</v>
          </cell>
          <cell r="K67" t="str">
            <v>EKSKLUSIF</v>
          </cell>
        </row>
        <row r="68">
          <cell r="A68" t="str">
            <v>A2417</v>
          </cell>
          <cell r="B68" t="str">
            <v>Lalang Winata Bintang Nanoe</v>
          </cell>
          <cell r="C68" t="str">
            <v>DELTA</v>
          </cell>
          <cell r="D68">
            <v>45597</v>
          </cell>
          <cell r="E68">
            <v>45658</v>
          </cell>
          <cell r="F68">
            <v>3</v>
          </cell>
          <cell r="G68">
            <v>45650</v>
          </cell>
          <cell r="H68">
            <v>2</v>
          </cell>
          <cell r="I68" t="e">
            <v>#NAME?</v>
          </cell>
          <cell r="J68" t="e">
            <v>#NAME?</v>
          </cell>
          <cell r="K68" t="str">
            <v>EKSKLUSIF</v>
          </cell>
        </row>
        <row r="69">
          <cell r="A69">
            <v>92622</v>
          </cell>
          <cell r="B69" t="str">
            <v>AYU SUCI NUGROYANTI</v>
          </cell>
          <cell r="C69" t="str">
            <v>DELTA</v>
          </cell>
          <cell r="D69">
            <v>45597</v>
          </cell>
          <cell r="E69">
            <v>45658</v>
          </cell>
          <cell r="F69">
            <v>3</v>
          </cell>
          <cell r="G69">
            <v>45650</v>
          </cell>
          <cell r="H69">
            <v>2</v>
          </cell>
          <cell r="I69" t="e">
            <v>#NAME?</v>
          </cell>
          <cell r="J69" t="e">
            <v>#NAME?</v>
          </cell>
          <cell r="K69" t="str">
            <v>EKSKLUSIF</v>
          </cell>
        </row>
        <row r="70">
          <cell r="A70">
            <v>90592</v>
          </cell>
          <cell r="B70" t="str">
            <v>DINI SHINTIA PUTRI</v>
          </cell>
          <cell r="C70" t="str">
            <v>DELTA</v>
          </cell>
          <cell r="D70">
            <v>45597</v>
          </cell>
          <cell r="E70">
            <v>45658</v>
          </cell>
          <cell r="F70">
            <v>3</v>
          </cell>
          <cell r="G70">
            <v>45650</v>
          </cell>
          <cell r="H70">
            <v>2</v>
          </cell>
          <cell r="I70" t="e">
            <v>#NAME?</v>
          </cell>
          <cell r="J70" t="e">
            <v>#NAME?</v>
          </cell>
          <cell r="K70" t="str">
            <v>EKSKLUSIF</v>
          </cell>
        </row>
        <row r="71">
          <cell r="A71" t="str">
            <v>A3456</v>
          </cell>
          <cell r="B71" t="str">
            <v>FEBY KURNIA</v>
          </cell>
          <cell r="C71" t="str">
            <v>DELTA</v>
          </cell>
          <cell r="D71">
            <v>45597</v>
          </cell>
          <cell r="E71">
            <v>45658</v>
          </cell>
          <cell r="F71">
            <v>3</v>
          </cell>
          <cell r="G71">
            <v>45650</v>
          </cell>
          <cell r="H71">
            <v>2</v>
          </cell>
          <cell r="I71" t="e">
            <v>#NAME?</v>
          </cell>
          <cell r="J71" t="e">
            <v>#NAME?</v>
          </cell>
          <cell r="K71" t="str">
            <v>EKSKLUSIF</v>
          </cell>
        </row>
        <row r="72">
          <cell r="A72" t="str">
            <v>A1276</v>
          </cell>
          <cell r="B72" t="str">
            <v>SINDI ARLINDA DEWI</v>
          </cell>
          <cell r="C72" t="str">
            <v>DELTA</v>
          </cell>
          <cell r="D72">
            <v>45597</v>
          </cell>
          <cell r="E72">
            <v>45658</v>
          </cell>
          <cell r="F72">
            <v>3</v>
          </cell>
          <cell r="G72">
            <v>45650</v>
          </cell>
          <cell r="H72">
            <v>2</v>
          </cell>
          <cell r="I72" t="e">
            <v>#NAME?</v>
          </cell>
          <cell r="J72" t="e">
            <v>#NAME?</v>
          </cell>
          <cell r="K72" t="str">
            <v>EKSKLUSIF</v>
          </cell>
        </row>
        <row r="73">
          <cell r="A73" t="str">
            <v>A0192</v>
          </cell>
          <cell r="B73" t="str">
            <v>AGNES HAUDI SURYANTIKA</v>
          </cell>
          <cell r="C73" t="str">
            <v>DELTA</v>
          </cell>
          <cell r="D73">
            <v>45597</v>
          </cell>
          <cell r="E73">
            <v>45658</v>
          </cell>
          <cell r="F73">
            <v>3</v>
          </cell>
          <cell r="G73">
            <v>45650</v>
          </cell>
          <cell r="H73">
            <v>2</v>
          </cell>
          <cell r="I73" t="e">
            <v>#NAME?</v>
          </cell>
          <cell r="J73" t="e">
            <v>#NAME?</v>
          </cell>
          <cell r="K73" t="str">
            <v>EKSKLUSIF</v>
          </cell>
        </row>
        <row r="74">
          <cell r="A74" t="str">
            <v>A4039</v>
          </cell>
          <cell r="B74" t="str">
            <v>IBRAHIM FEBA NAUFALINDO</v>
          </cell>
          <cell r="C74" t="str">
            <v>DELTA</v>
          </cell>
          <cell r="D74">
            <v>45597</v>
          </cell>
          <cell r="E74">
            <v>45658</v>
          </cell>
          <cell r="F74">
            <v>3</v>
          </cell>
          <cell r="G74">
            <v>45650</v>
          </cell>
          <cell r="H74">
            <v>2</v>
          </cell>
          <cell r="I74" t="e">
            <v>#NAME?</v>
          </cell>
          <cell r="J74" t="e">
            <v>#NAME?</v>
          </cell>
          <cell r="K74" t="str">
            <v>EKSKLUSIF</v>
          </cell>
        </row>
        <row r="75">
          <cell r="A75" t="str">
            <v>A1329</v>
          </cell>
          <cell r="B75" t="str">
            <v>NABILA HASNA</v>
          </cell>
          <cell r="C75" t="str">
            <v>DELTA</v>
          </cell>
          <cell r="D75">
            <v>45650</v>
          </cell>
          <cell r="E75">
            <v>45713</v>
          </cell>
          <cell r="F75" t="str">
            <v>3</v>
          </cell>
          <cell r="G75">
            <v>45650</v>
          </cell>
          <cell r="H75">
            <v>1</v>
          </cell>
          <cell r="I75" t="e">
            <v>#NAME?</v>
          </cell>
          <cell r="J75" t="e">
            <v>#NAME?</v>
          </cell>
          <cell r="K75" t="str">
            <v>EKSKLUSIF</v>
          </cell>
        </row>
        <row r="76">
          <cell r="A76" t="str">
            <v>A0964</v>
          </cell>
          <cell r="B76" t="str">
            <v>ANISA DESIANTI RAMADHANI</v>
          </cell>
          <cell r="C76" t="str">
            <v>DELTA</v>
          </cell>
          <cell r="D76">
            <v>45650</v>
          </cell>
          <cell r="E76">
            <v>45713</v>
          </cell>
          <cell r="F76" t="str">
            <v>3</v>
          </cell>
          <cell r="G76">
            <v>45650</v>
          </cell>
          <cell r="H76">
            <v>1</v>
          </cell>
          <cell r="I76" t="e">
            <v>#NAME?</v>
          </cell>
          <cell r="J76" t="e">
            <v>#NAME?</v>
          </cell>
          <cell r="K76" t="str">
            <v>EKSKLUSIF</v>
          </cell>
        </row>
        <row r="77">
          <cell r="A77" t="str">
            <v>A0818</v>
          </cell>
          <cell r="B77" t="str">
            <v>AGIS DWI RAHMAWATI</v>
          </cell>
          <cell r="C77" t="str">
            <v>DELTA</v>
          </cell>
          <cell r="D77">
            <v>45650</v>
          </cell>
          <cell r="E77">
            <v>45713</v>
          </cell>
          <cell r="F77" t="str">
            <v>3</v>
          </cell>
          <cell r="G77">
            <v>45650</v>
          </cell>
          <cell r="H77">
            <v>1</v>
          </cell>
          <cell r="I77" t="e">
            <v>#NAME?</v>
          </cell>
          <cell r="J77" t="e">
            <v>#NAME?</v>
          </cell>
          <cell r="K77" t="str">
            <v>EKSKLUSIF</v>
          </cell>
        </row>
        <row r="78">
          <cell r="A78" t="str">
            <v>A0812</v>
          </cell>
          <cell r="B78" t="str">
            <v>HERLINI NUR AZIZAH</v>
          </cell>
          <cell r="C78" t="str">
            <v>DELTA</v>
          </cell>
          <cell r="D78">
            <v>45650</v>
          </cell>
          <cell r="E78">
            <v>45713</v>
          </cell>
          <cell r="F78" t="str">
            <v>3</v>
          </cell>
          <cell r="G78">
            <v>45650</v>
          </cell>
          <cell r="H78">
            <v>1</v>
          </cell>
          <cell r="I78" t="e">
            <v>#NAME?</v>
          </cell>
          <cell r="J78" t="e">
            <v>#NAME?</v>
          </cell>
          <cell r="K78" t="str">
            <v>EKSKLUSIF</v>
          </cell>
        </row>
        <row r="79">
          <cell r="A79" t="str">
            <v>A2462</v>
          </cell>
          <cell r="B79" t="str">
            <v>KHUSNUL KHATIMAH</v>
          </cell>
          <cell r="C79" t="str">
            <v>DELTA</v>
          </cell>
          <cell r="D79">
            <v>45650</v>
          </cell>
          <cell r="E79">
            <v>45713</v>
          </cell>
          <cell r="F79" t="str">
            <v>3</v>
          </cell>
          <cell r="G79">
            <v>45650</v>
          </cell>
          <cell r="H79">
            <v>1</v>
          </cell>
          <cell r="I79" t="e">
            <v>#NAME?</v>
          </cell>
          <cell r="J79" t="e">
            <v>#NAME?</v>
          </cell>
          <cell r="K79" t="str">
            <v>EKSKLUSIF</v>
          </cell>
        </row>
        <row r="80">
          <cell r="A80" t="str">
            <v>A0864</v>
          </cell>
          <cell r="B80" t="str">
            <v>WAHYU NURAENI</v>
          </cell>
          <cell r="C80" t="str">
            <v>DELTA</v>
          </cell>
          <cell r="D80">
            <v>45650</v>
          </cell>
          <cell r="E80">
            <v>45713</v>
          </cell>
          <cell r="F80" t="str">
            <v>3</v>
          </cell>
          <cell r="G80">
            <v>45650</v>
          </cell>
          <cell r="H80">
            <v>1</v>
          </cell>
          <cell r="I80" t="e">
            <v>#NAME?</v>
          </cell>
          <cell r="J80" t="e">
            <v>#NAME?</v>
          </cell>
          <cell r="K80" t="str">
            <v>EKSKLUSIF</v>
          </cell>
        </row>
        <row r="81">
          <cell r="A81" t="str">
            <v>A0969</v>
          </cell>
          <cell r="B81" t="str">
            <v>ANGGI DWI</v>
          </cell>
          <cell r="C81" t="str">
            <v>DELTA</v>
          </cell>
          <cell r="D81">
            <v>45650</v>
          </cell>
          <cell r="E81">
            <v>45713</v>
          </cell>
          <cell r="F81" t="str">
            <v>3</v>
          </cell>
          <cell r="G81">
            <v>45650</v>
          </cell>
          <cell r="H81">
            <v>1</v>
          </cell>
          <cell r="I81" t="e">
            <v>#NAME?</v>
          </cell>
          <cell r="J81" t="e">
            <v>#NAME?</v>
          </cell>
          <cell r="K81" t="str">
            <v>EKSKLUSIF</v>
          </cell>
        </row>
        <row r="82">
          <cell r="A82" t="str">
            <v>A3172</v>
          </cell>
          <cell r="B82" t="str">
            <v>NURYANI NURYANI</v>
          </cell>
          <cell r="C82" t="str">
            <v>DELTA</v>
          </cell>
          <cell r="D82">
            <v>45650</v>
          </cell>
          <cell r="E82">
            <v>45713</v>
          </cell>
          <cell r="F82" t="str">
            <v>3</v>
          </cell>
          <cell r="G82">
            <v>45650</v>
          </cell>
          <cell r="H82">
            <v>1</v>
          </cell>
          <cell r="I82" t="e">
            <v>#NAME?</v>
          </cell>
          <cell r="J82" t="e">
            <v>#NAME?</v>
          </cell>
          <cell r="K82" t="str">
            <v>EKSKLUSIF</v>
          </cell>
        </row>
        <row r="83">
          <cell r="A83" t="str">
            <v>A0999</v>
          </cell>
          <cell r="B83" t="str">
            <v>MUH LUTHFI AZIZ</v>
          </cell>
          <cell r="C83" t="str">
            <v>DELTA</v>
          </cell>
          <cell r="D83">
            <v>45650</v>
          </cell>
          <cell r="E83">
            <v>45713</v>
          </cell>
          <cell r="F83" t="str">
            <v>3</v>
          </cell>
          <cell r="G83">
            <v>45650</v>
          </cell>
          <cell r="H83">
            <v>1</v>
          </cell>
          <cell r="I83" t="e">
            <v>#NAME?</v>
          </cell>
          <cell r="J83" t="e">
            <v>#NAME?</v>
          </cell>
          <cell r="K83" t="str">
            <v>EKSKLUSIF</v>
          </cell>
        </row>
        <row r="84">
          <cell r="A84">
            <v>90653</v>
          </cell>
          <cell r="B84" t="str">
            <v>WENI SAPUTRI</v>
          </cell>
          <cell r="C84" t="str">
            <v>DELTA</v>
          </cell>
          <cell r="D84">
            <v>45650</v>
          </cell>
          <cell r="E84">
            <v>45713</v>
          </cell>
          <cell r="F84" t="str">
            <v>3</v>
          </cell>
          <cell r="G84">
            <v>45650</v>
          </cell>
          <cell r="H84">
            <v>1</v>
          </cell>
          <cell r="I84" t="e">
            <v>#NAME?</v>
          </cell>
          <cell r="J84" t="e">
            <v>#NAME?</v>
          </cell>
          <cell r="K84" t="str">
            <v>EKSKLUSIF</v>
          </cell>
        </row>
        <row r="85">
          <cell r="A85" t="str">
            <v>A0977</v>
          </cell>
          <cell r="B85" t="str">
            <v>RIA ARIANTI</v>
          </cell>
          <cell r="C85" t="str">
            <v>DELTA</v>
          </cell>
          <cell r="D85">
            <v>45650</v>
          </cell>
          <cell r="E85">
            <v>45713</v>
          </cell>
          <cell r="F85" t="str">
            <v>3</v>
          </cell>
          <cell r="G85">
            <v>45650</v>
          </cell>
          <cell r="H85">
            <v>1</v>
          </cell>
          <cell r="I85" t="e">
            <v>#NAME?</v>
          </cell>
          <cell r="J85" t="e">
            <v>#NAME?</v>
          </cell>
          <cell r="K85" t="str">
            <v>EKSKLUSIF</v>
          </cell>
        </row>
        <row r="86">
          <cell r="A86" t="str">
            <v>A0750</v>
          </cell>
          <cell r="B86" t="str">
            <v>ARVIANTI JILLY VANESHA MULETE</v>
          </cell>
          <cell r="C86" t="str">
            <v>DELTA</v>
          </cell>
          <cell r="D86">
            <v>45650</v>
          </cell>
          <cell r="E86">
            <v>45713</v>
          </cell>
          <cell r="F86" t="str">
            <v>3</v>
          </cell>
          <cell r="G86">
            <v>45650</v>
          </cell>
          <cell r="H86">
            <v>1</v>
          </cell>
          <cell r="I86" t="e">
            <v>#NAME?</v>
          </cell>
          <cell r="J86" t="e">
            <v>#NAME?</v>
          </cell>
          <cell r="K86" t="str">
            <v>EKSKLUSIF</v>
          </cell>
        </row>
        <row r="87">
          <cell r="A87" t="str">
            <v>A1349</v>
          </cell>
          <cell r="B87" t="str">
            <v>TISA NORSARI</v>
          </cell>
          <cell r="C87" t="str">
            <v>DELTA</v>
          </cell>
          <cell r="D87">
            <v>45650</v>
          </cell>
          <cell r="E87">
            <v>45713</v>
          </cell>
          <cell r="F87" t="str">
            <v>3</v>
          </cell>
          <cell r="G87">
            <v>45650</v>
          </cell>
          <cell r="H87">
            <v>1</v>
          </cell>
          <cell r="I87" t="e">
            <v>#NAME?</v>
          </cell>
          <cell r="J87" t="e">
            <v>#NAME?</v>
          </cell>
          <cell r="K87" t="str">
            <v>EKSKLUSIF</v>
          </cell>
        </row>
        <row r="88">
          <cell r="A88" t="str">
            <v>A3743</v>
          </cell>
          <cell r="B88" t="str">
            <v>PUTRI RAMADHANI</v>
          </cell>
          <cell r="C88" t="str">
            <v>DELTA</v>
          </cell>
          <cell r="D88">
            <v>45650</v>
          </cell>
          <cell r="E88">
            <v>45713</v>
          </cell>
          <cell r="F88" t="str">
            <v>3</v>
          </cell>
          <cell r="G88">
            <v>45650</v>
          </cell>
          <cell r="H88">
            <v>1</v>
          </cell>
          <cell r="I88" t="e">
            <v>#NAME?</v>
          </cell>
          <cell r="J88" t="e">
            <v>#NAME?</v>
          </cell>
          <cell r="K88" t="str">
            <v>EKSKLUSIF</v>
          </cell>
        </row>
        <row r="89">
          <cell r="A89">
            <v>90648</v>
          </cell>
          <cell r="B89" t="str">
            <v>WAHYU IDHAYATI</v>
          </cell>
          <cell r="C89" t="str">
            <v>DELTA</v>
          </cell>
          <cell r="D89">
            <v>45650</v>
          </cell>
          <cell r="E89">
            <v>45713</v>
          </cell>
          <cell r="F89" t="str">
            <v>3</v>
          </cell>
          <cell r="G89">
            <v>45650</v>
          </cell>
          <cell r="H89">
            <v>1</v>
          </cell>
          <cell r="I89" t="e">
            <v>#NAME?</v>
          </cell>
          <cell r="J89" t="e">
            <v>#NAME?</v>
          </cell>
          <cell r="K89" t="str">
            <v>EKSKLUSIF</v>
          </cell>
        </row>
        <row r="90">
          <cell r="A90">
            <v>92539</v>
          </cell>
          <cell r="B90" t="str">
            <v>ROSIANA</v>
          </cell>
          <cell r="C90" t="str">
            <v>DELTA</v>
          </cell>
          <cell r="D90">
            <v>45650</v>
          </cell>
          <cell r="E90">
            <v>45713</v>
          </cell>
          <cell r="F90" t="str">
            <v>3</v>
          </cell>
          <cell r="G90">
            <v>45650</v>
          </cell>
          <cell r="H90">
            <v>1</v>
          </cell>
          <cell r="I90" t="e">
            <v>#NAME?</v>
          </cell>
          <cell r="J90" t="e">
            <v>#NAME?</v>
          </cell>
          <cell r="K90" t="str">
            <v>EKSKLUSIF</v>
          </cell>
        </row>
        <row r="91">
          <cell r="A91">
            <v>90694</v>
          </cell>
          <cell r="B91" t="str">
            <v>DAUS DEVYANA</v>
          </cell>
          <cell r="C91" t="str">
            <v>DELTA</v>
          </cell>
          <cell r="D91">
            <v>45650</v>
          </cell>
          <cell r="E91">
            <v>45713</v>
          </cell>
          <cell r="F91" t="str">
            <v>3</v>
          </cell>
          <cell r="G91">
            <v>45650</v>
          </cell>
          <cell r="H91">
            <v>1</v>
          </cell>
          <cell r="I91" t="e">
            <v>#NAME?</v>
          </cell>
          <cell r="J91" t="e">
            <v>#NAME?</v>
          </cell>
          <cell r="K91" t="str">
            <v>EKSKLUSIF</v>
          </cell>
        </row>
        <row r="92">
          <cell r="A92" t="str">
            <v>A0519</v>
          </cell>
          <cell r="B92" t="str">
            <v>ANASTACIA JULIANA</v>
          </cell>
          <cell r="C92" t="str">
            <v>DELTA</v>
          </cell>
          <cell r="D92">
            <v>45650</v>
          </cell>
          <cell r="E92">
            <v>45713</v>
          </cell>
          <cell r="F92" t="str">
            <v>3</v>
          </cell>
          <cell r="G92">
            <v>45650</v>
          </cell>
          <cell r="H92">
            <v>1</v>
          </cell>
          <cell r="I92" t="e">
            <v>#NAME?</v>
          </cell>
          <cell r="J92" t="e">
            <v>#NAME?</v>
          </cell>
          <cell r="K92" t="str">
            <v>EKSKLUSIF</v>
          </cell>
        </row>
        <row r="93">
          <cell r="A93" t="str">
            <v>A3479</v>
          </cell>
          <cell r="B93" t="str">
            <v>VASSYA DIAN</v>
          </cell>
          <cell r="C93" t="str">
            <v>DELTA</v>
          </cell>
          <cell r="D93">
            <v>45650</v>
          </cell>
          <cell r="E93">
            <v>45713</v>
          </cell>
          <cell r="F93" t="str">
            <v>3</v>
          </cell>
          <cell r="G93">
            <v>45650</v>
          </cell>
          <cell r="H93">
            <v>1</v>
          </cell>
          <cell r="I93" t="e">
            <v>#NAME?</v>
          </cell>
          <cell r="J93" t="e">
            <v>#NAME?</v>
          </cell>
          <cell r="K93" t="str">
            <v>EKSKLUSIF</v>
          </cell>
        </row>
        <row r="94">
          <cell r="A94" t="str">
            <v>A3833</v>
          </cell>
          <cell r="B94" t="str">
            <v>MUHAMMAD SUBHAN</v>
          </cell>
          <cell r="C94" t="str">
            <v>DELTA</v>
          </cell>
          <cell r="D94">
            <v>45650</v>
          </cell>
          <cell r="E94">
            <v>45713</v>
          </cell>
          <cell r="F94" t="str">
            <v>3</v>
          </cell>
          <cell r="G94">
            <v>45650</v>
          </cell>
          <cell r="H94">
            <v>1</v>
          </cell>
          <cell r="I94" t="e">
            <v>#NAME?</v>
          </cell>
          <cell r="J94" t="e">
            <v>#NAME?</v>
          </cell>
          <cell r="K94" t="str">
            <v>EKSKLUSIF</v>
          </cell>
        </row>
        <row r="95">
          <cell r="A95" t="str">
            <v>A1944</v>
          </cell>
          <cell r="B95" t="str">
            <v>MUHAMMAD HILMI AZZAHIDI</v>
          </cell>
          <cell r="C95" t="str">
            <v>DELTA</v>
          </cell>
          <cell r="D95">
            <v>45650</v>
          </cell>
          <cell r="E95">
            <v>45713</v>
          </cell>
          <cell r="F95" t="str">
            <v>3</v>
          </cell>
          <cell r="G95">
            <v>45650</v>
          </cell>
          <cell r="H95">
            <v>1</v>
          </cell>
          <cell r="I95" t="e">
            <v>#NAME?</v>
          </cell>
          <cell r="J95" t="e">
            <v>#NAME?</v>
          </cell>
          <cell r="K95" t="str">
            <v>EKSKLUSIF</v>
          </cell>
        </row>
        <row r="96">
          <cell r="A96" t="str">
            <v>A0261</v>
          </cell>
          <cell r="B96" t="str">
            <v>CHELSI ANANDA</v>
          </cell>
          <cell r="C96" t="str">
            <v>DELTA</v>
          </cell>
          <cell r="D96">
            <v>45650</v>
          </cell>
          <cell r="E96">
            <v>45713</v>
          </cell>
          <cell r="F96" t="str">
            <v>3</v>
          </cell>
          <cell r="G96">
            <v>45650</v>
          </cell>
          <cell r="H96">
            <v>1</v>
          </cell>
          <cell r="I96" t="e">
            <v>#NAME?</v>
          </cell>
          <cell r="J96" t="e">
            <v>#NAME?</v>
          </cell>
          <cell r="K96" t="str">
            <v>EKSKLUSIF</v>
          </cell>
        </row>
        <row r="97">
          <cell r="A97" t="str">
            <v>A0745</v>
          </cell>
          <cell r="B97" t="str">
            <v>ANE MELISA MURNI</v>
          </cell>
          <cell r="C97" t="str">
            <v>DELTA</v>
          </cell>
          <cell r="D97">
            <v>45650</v>
          </cell>
          <cell r="E97">
            <v>45713</v>
          </cell>
          <cell r="F97" t="str">
            <v>3</v>
          </cell>
          <cell r="G97">
            <v>45650</v>
          </cell>
          <cell r="H97">
            <v>1</v>
          </cell>
          <cell r="I97" t="e">
            <v>#NAME?</v>
          </cell>
          <cell r="J97" t="e">
            <v>#NAME?</v>
          </cell>
          <cell r="K97" t="str">
            <v>EKSKLUSIF</v>
          </cell>
        </row>
        <row r="98">
          <cell r="A98" t="str">
            <v>A1118</v>
          </cell>
          <cell r="B98" t="str">
            <v>OKSA ANDRIARDINA</v>
          </cell>
          <cell r="C98" t="str">
            <v>DELTA</v>
          </cell>
          <cell r="D98">
            <v>45650</v>
          </cell>
          <cell r="E98">
            <v>45713</v>
          </cell>
          <cell r="F98" t="str">
            <v>3</v>
          </cell>
          <cell r="G98">
            <v>45650</v>
          </cell>
          <cell r="H98">
            <v>1</v>
          </cell>
          <cell r="I98" t="e">
            <v>#NAME?</v>
          </cell>
          <cell r="J98" t="e">
            <v>#NAME?</v>
          </cell>
          <cell r="K98" t="str">
            <v>EKSKLUSIF</v>
          </cell>
        </row>
        <row r="99">
          <cell r="A99" t="str">
            <v>A3474</v>
          </cell>
          <cell r="B99" t="str">
            <v>IRMA TRIANA</v>
          </cell>
          <cell r="C99" t="str">
            <v>DELTA</v>
          </cell>
          <cell r="D99">
            <v>45650</v>
          </cell>
          <cell r="E99">
            <v>45713</v>
          </cell>
          <cell r="F99" t="str">
            <v>3</v>
          </cell>
          <cell r="G99">
            <v>45650</v>
          </cell>
          <cell r="H99">
            <v>1</v>
          </cell>
          <cell r="I99" t="e">
            <v>#NAME?</v>
          </cell>
          <cell r="J99" t="e">
            <v>#NAME?</v>
          </cell>
          <cell r="K99" t="str">
            <v>EKSKLUSIF</v>
          </cell>
        </row>
        <row r="100">
          <cell r="A100" t="str">
            <v>A0320</v>
          </cell>
          <cell r="B100" t="str">
            <v>Deafni Dinda R Utami</v>
          </cell>
          <cell r="C100" t="str">
            <v>DELTA</v>
          </cell>
          <cell r="D100">
            <v>45650</v>
          </cell>
          <cell r="E100">
            <v>45713</v>
          </cell>
          <cell r="F100" t="str">
            <v>3</v>
          </cell>
          <cell r="G100">
            <v>45650</v>
          </cell>
          <cell r="H100">
            <v>1</v>
          </cell>
          <cell r="I100" t="e">
            <v>#NAME?</v>
          </cell>
          <cell r="J100" t="e">
            <v>#NAME?</v>
          </cell>
          <cell r="K100" t="str">
            <v>EKSKLUSIF</v>
          </cell>
        </row>
        <row r="101">
          <cell r="A101" t="str">
            <v>A0725</v>
          </cell>
          <cell r="B101" t="str">
            <v>NUR KHASANAH</v>
          </cell>
          <cell r="C101" t="str">
            <v>DELTA</v>
          </cell>
          <cell r="D101">
            <v>45650</v>
          </cell>
          <cell r="E101">
            <v>45713</v>
          </cell>
          <cell r="F101" t="str">
            <v>3</v>
          </cell>
          <cell r="G101">
            <v>45650</v>
          </cell>
          <cell r="H101">
            <v>1</v>
          </cell>
          <cell r="I101" t="e">
            <v>#NAME?</v>
          </cell>
          <cell r="J101" t="e">
            <v>#NAME?</v>
          </cell>
          <cell r="K101" t="str">
            <v>EKSKLUSIF</v>
          </cell>
        </row>
        <row r="102">
          <cell r="A102" t="str">
            <v>A1025</v>
          </cell>
          <cell r="B102" t="str">
            <v>WAFA SINTA</v>
          </cell>
          <cell r="C102" t="str">
            <v>DELTA</v>
          </cell>
          <cell r="D102">
            <v>45650</v>
          </cell>
          <cell r="E102">
            <v>45713</v>
          </cell>
          <cell r="F102" t="str">
            <v>3</v>
          </cell>
          <cell r="G102">
            <v>45650</v>
          </cell>
          <cell r="H102">
            <v>1</v>
          </cell>
          <cell r="I102" t="e">
            <v>#NAME?</v>
          </cell>
          <cell r="J102" t="e">
            <v>#NAME?</v>
          </cell>
          <cell r="K102" t="str">
            <v>EKSKLUSIF</v>
          </cell>
        </row>
        <row r="103">
          <cell r="A103" t="str">
            <v>A1825</v>
          </cell>
          <cell r="B103" t="str">
            <v>MARLIANA</v>
          </cell>
          <cell r="C103" t="str">
            <v>DELTA</v>
          </cell>
          <cell r="D103">
            <v>45650</v>
          </cell>
          <cell r="E103">
            <v>45713</v>
          </cell>
          <cell r="F103" t="str">
            <v>3</v>
          </cell>
          <cell r="G103">
            <v>45650</v>
          </cell>
          <cell r="H103">
            <v>1</v>
          </cell>
          <cell r="I103" t="e">
            <v>#NAME?</v>
          </cell>
          <cell r="J103" t="e">
            <v>#NAME?</v>
          </cell>
          <cell r="K103" t="str">
            <v>EKSKLUSIF</v>
          </cell>
        </row>
        <row r="104">
          <cell r="A104" t="str">
            <v>A3218</v>
          </cell>
          <cell r="B104" t="str">
            <v>IRMA SEMBIRING</v>
          </cell>
          <cell r="C104" t="str">
            <v>DELTA</v>
          </cell>
          <cell r="D104">
            <v>45650</v>
          </cell>
          <cell r="E104">
            <v>45713</v>
          </cell>
          <cell r="F104" t="str">
            <v>3</v>
          </cell>
          <cell r="G104">
            <v>45650</v>
          </cell>
          <cell r="H104">
            <v>1</v>
          </cell>
          <cell r="I104" t="e">
            <v>#NAME?</v>
          </cell>
          <cell r="J104" t="e">
            <v>#NAME?</v>
          </cell>
          <cell r="K104" t="str">
            <v>EKSKLUSIF</v>
          </cell>
        </row>
        <row r="105">
          <cell r="A105">
            <v>92347</v>
          </cell>
          <cell r="B105" t="str">
            <v>RAHMAD SABTONO</v>
          </cell>
          <cell r="C105" t="str">
            <v>TEMA C2</v>
          </cell>
          <cell r="D105">
            <v>45497</v>
          </cell>
          <cell r="E105">
            <v>45627</v>
          </cell>
          <cell r="F105" t="str">
            <v>6</v>
          </cell>
          <cell r="G105">
            <v>45650</v>
          </cell>
          <cell r="H105">
            <v>6</v>
          </cell>
          <cell r="I105" t="e">
            <v>#NAME?</v>
          </cell>
          <cell r="J105" t="e">
            <v>#NAME?</v>
          </cell>
          <cell r="K105" t="str">
            <v>EKSKLUSIF</v>
          </cell>
        </row>
        <row r="106">
          <cell r="A106" t="str">
            <v>A1407</v>
          </cell>
          <cell r="B106" t="str">
            <v>Hardini Komalasari</v>
          </cell>
          <cell r="C106" t="str">
            <v>TEMA C2</v>
          </cell>
          <cell r="D106">
            <v>45497</v>
          </cell>
          <cell r="E106">
            <v>45627</v>
          </cell>
          <cell r="F106" t="str">
            <v>6</v>
          </cell>
          <cell r="G106">
            <v>45650</v>
          </cell>
          <cell r="H106">
            <v>6</v>
          </cell>
          <cell r="I106" t="e">
            <v>#NAME?</v>
          </cell>
          <cell r="J106" t="e">
            <v>#NAME?</v>
          </cell>
          <cell r="K106" t="str">
            <v>EKSKLUSIF</v>
          </cell>
        </row>
        <row r="107">
          <cell r="A107" t="str">
            <v>A1232</v>
          </cell>
          <cell r="B107" t="str">
            <v>FIORENTINA BR SEBAYANG</v>
          </cell>
          <cell r="C107" t="str">
            <v>TEMA C2</v>
          </cell>
          <cell r="D107">
            <v>45528</v>
          </cell>
          <cell r="E107">
            <v>45658</v>
          </cell>
          <cell r="F107">
            <v>6</v>
          </cell>
          <cell r="G107">
            <v>45650</v>
          </cell>
          <cell r="H107">
            <v>5</v>
          </cell>
          <cell r="I107" t="e">
            <v>#NAME?</v>
          </cell>
          <cell r="J107" t="e">
            <v>#NAME?</v>
          </cell>
          <cell r="K107" t="str">
            <v>EKSKLUSIF</v>
          </cell>
        </row>
        <row r="108">
          <cell r="A108" t="str">
            <v>A0927</v>
          </cell>
          <cell r="B108" t="str">
            <v>INTAN AYU WARDANI</v>
          </cell>
          <cell r="C108" t="str">
            <v>TEMA C2</v>
          </cell>
          <cell r="D108">
            <v>45528</v>
          </cell>
          <cell r="E108">
            <v>45658</v>
          </cell>
          <cell r="F108">
            <v>6</v>
          </cell>
          <cell r="G108">
            <v>45650</v>
          </cell>
          <cell r="H108">
            <v>5</v>
          </cell>
          <cell r="I108" t="e">
            <v>#NAME?</v>
          </cell>
          <cell r="J108" t="e">
            <v>#NAME?</v>
          </cell>
          <cell r="K108" t="str">
            <v>EKSKLUSIF</v>
          </cell>
        </row>
        <row r="109">
          <cell r="A109" t="str">
            <v>A2702</v>
          </cell>
          <cell r="B109" t="str">
            <v>DILA FITRIANI</v>
          </cell>
          <cell r="C109" t="str">
            <v>TEMA C2</v>
          </cell>
          <cell r="D109">
            <v>45559</v>
          </cell>
          <cell r="E109">
            <v>45689</v>
          </cell>
          <cell r="F109">
            <v>6</v>
          </cell>
          <cell r="G109">
            <v>45650</v>
          </cell>
          <cell r="H109">
            <v>4</v>
          </cell>
          <cell r="I109" t="e">
            <v>#NAME?</v>
          </cell>
          <cell r="J109" t="e">
            <v>#NAME?</v>
          </cell>
          <cell r="K109" t="str">
            <v>EKSKLUSIF</v>
          </cell>
        </row>
        <row r="110">
          <cell r="A110" t="str">
            <v>A4162</v>
          </cell>
          <cell r="B110" t="str">
            <v>FATHUL MUBAROQ</v>
          </cell>
          <cell r="C110" t="str">
            <v>TEMA C2</v>
          </cell>
          <cell r="D110">
            <v>45559</v>
          </cell>
          <cell r="E110">
            <v>45689</v>
          </cell>
          <cell r="F110">
            <v>6</v>
          </cell>
          <cell r="G110">
            <v>45650</v>
          </cell>
          <cell r="H110">
            <v>4</v>
          </cell>
          <cell r="I110" t="e">
            <v>#NAME?</v>
          </cell>
          <cell r="J110" t="e">
            <v>#NAME?</v>
          </cell>
          <cell r="K110" t="str">
            <v>EKSKLUSIF</v>
          </cell>
        </row>
        <row r="111">
          <cell r="A111" t="str">
            <v>A3034</v>
          </cell>
          <cell r="B111" t="str">
            <v>MEYTIA EKA PUTRI</v>
          </cell>
          <cell r="C111" t="str">
            <v>TEMA C2</v>
          </cell>
          <cell r="D111">
            <v>45559</v>
          </cell>
          <cell r="E111">
            <v>45713</v>
          </cell>
          <cell r="F111" t="str">
            <v>6</v>
          </cell>
          <cell r="G111">
            <v>45650</v>
          </cell>
          <cell r="H111">
            <v>4</v>
          </cell>
          <cell r="I111" t="e">
            <v>#NAME?</v>
          </cell>
          <cell r="J111" t="e">
            <v>#NAME?</v>
          </cell>
          <cell r="K111" t="str">
            <v>EKSKLUSIF</v>
          </cell>
        </row>
        <row r="112">
          <cell r="A112" t="str">
            <v>A4011</v>
          </cell>
          <cell r="B112" t="str">
            <v>MUHAMMAD FAJRIADY</v>
          </cell>
          <cell r="C112" t="str">
            <v>TEMA C2</v>
          </cell>
          <cell r="D112">
            <v>45559</v>
          </cell>
          <cell r="E112">
            <v>45713</v>
          </cell>
          <cell r="F112" t="str">
            <v>6</v>
          </cell>
          <cell r="G112">
            <v>45650</v>
          </cell>
          <cell r="H112">
            <v>4</v>
          </cell>
          <cell r="I112" t="e">
            <v>#NAME?</v>
          </cell>
          <cell r="J112" t="e">
            <v>#NAME?</v>
          </cell>
          <cell r="K112" t="str">
            <v>EKSKLUSIF</v>
          </cell>
        </row>
        <row r="113">
          <cell r="A113" t="str">
            <v>A3306</v>
          </cell>
          <cell r="B113" t="str">
            <v>ILHAM MUHAMMAD DYAN FAUZI</v>
          </cell>
          <cell r="C113" t="str">
            <v>TEMA C2</v>
          </cell>
          <cell r="D113">
            <v>45589</v>
          </cell>
          <cell r="E113">
            <v>45650</v>
          </cell>
          <cell r="F113" t="str">
            <v>3</v>
          </cell>
          <cell r="G113">
            <v>45650</v>
          </cell>
          <cell r="H113">
            <v>3</v>
          </cell>
          <cell r="I113" t="e">
            <v>#NAME?</v>
          </cell>
          <cell r="J113" t="e">
            <v>#NAME?</v>
          </cell>
          <cell r="K113" t="str">
            <v>EKSKLUSIF</v>
          </cell>
        </row>
        <row r="114">
          <cell r="A114" t="str">
            <v>A2369</v>
          </cell>
          <cell r="B114" t="str">
            <v>ANIS DIANA SARI</v>
          </cell>
          <cell r="C114" t="str">
            <v>TEMA C2</v>
          </cell>
          <cell r="D114">
            <v>45589</v>
          </cell>
          <cell r="E114">
            <v>45650</v>
          </cell>
          <cell r="F114" t="str">
            <v>3</v>
          </cell>
          <cell r="G114">
            <v>45650</v>
          </cell>
          <cell r="H114">
            <v>3</v>
          </cell>
          <cell r="I114" t="e">
            <v>#NAME?</v>
          </cell>
          <cell r="J114" t="e">
            <v>#NAME?</v>
          </cell>
          <cell r="K114" t="str">
            <v>EKSKLUSIF</v>
          </cell>
        </row>
        <row r="115">
          <cell r="A115" t="str">
            <v>A0105</v>
          </cell>
          <cell r="B115" t="str">
            <v>SANDA IRIANTO</v>
          </cell>
          <cell r="C115" t="str">
            <v>TEMA C2</v>
          </cell>
          <cell r="D115">
            <v>45589</v>
          </cell>
          <cell r="E115">
            <v>45650</v>
          </cell>
          <cell r="F115" t="str">
            <v>3</v>
          </cell>
          <cell r="G115">
            <v>45650</v>
          </cell>
          <cell r="H115">
            <v>3</v>
          </cell>
          <cell r="I115" t="e">
            <v>#NAME?</v>
          </cell>
          <cell r="J115" t="e">
            <v>#NAME?</v>
          </cell>
          <cell r="K115" t="str">
            <v>EKSKLUSIF</v>
          </cell>
        </row>
        <row r="116">
          <cell r="A116" t="str">
            <v>A0786</v>
          </cell>
          <cell r="B116" t="str">
            <v>Arya Ardiansah</v>
          </cell>
          <cell r="C116" t="str">
            <v>TEMA C2</v>
          </cell>
          <cell r="D116">
            <v>45589</v>
          </cell>
          <cell r="E116">
            <v>45741</v>
          </cell>
          <cell r="F116" t="str">
            <v>6</v>
          </cell>
          <cell r="G116">
            <v>45650</v>
          </cell>
          <cell r="H116">
            <v>3</v>
          </cell>
          <cell r="I116" t="e">
            <v>#NAME?</v>
          </cell>
          <cell r="J116" t="e">
            <v>#NAME?</v>
          </cell>
          <cell r="K116" t="str">
            <v>EKSKLUSIF</v>
          </cell>
        </row>
        <row r="117">
          <cell r="A117" t="str">
            <v>A4046</v>
          </cell>
          <cell r="B117" t="str">
            <v>Daniel Rio Andika Putra</v>
          </cell>
          <cell r="C117" t="str">
            <v>TEMA C2</v>
          </cell>
          <cell r="D117">
            <v>45589</v>
          </cell>
          <cell r="E117">
            <v>45650</v>
          </cell>
          <cell r="F117" t="str">
            <v>3</v>
          </cell>
          <cell r="G117">
            <v>45650</v>
          </cell>
          <cell r="H117">
            <v>3</v>
          </cell>
          <cell r="I117" t="e">
            <v>#NAME?</v>
          </cell>
          <cell r="J117" t="e">
            <v>#NAME?</v>
          </cell>
          <cell r="K117" t="str">
            <v>EKSKLUSIF</v>
          </cell>
        </row>
        <row r="118">
          <cell r="A118" t="str">
            <v>A3693</v>
          </cell>
          <cell r="B118" t="str">
            <v>LENSE SITOMPUL</v>
          </cell>
          <cell r="C118" t="str">
            <v>TEMA C2</v>
          </cell>
          <cell r="D118">
            <v>45589</v>
          </cell>
          <cell r="E118">
            <v>45650</v>
          </cell>
          <cell r="F118" t="str">
            <v>3</v>
          </cell>
          <cell r="G118">
            <v>45650</v>
          </cell>
          <cell r="H118">
            <v>3</v>
          </cell>
          <cell r="I118" t="e">
            <v>#NAME?</v>
          </cell>
          <cell r="J118" t="e">
            <v>#NAME?</v>
          </cell>
          <cell r="K118" t="str">
            <v>EKSKLUSIF</v>
          </cell>
        </row>
        <row r="119">
          <cell r="A119" t="str">
            <v>A2604</v>
          </cell>
          <cell r="B119" t="str">
            <v>Yusridah Lubis</v>
          </cell>
          <cell r="C119" t="str">
            <v>TEMA C2</v>
          </cell>
          <cell r="D119">
            <v>45589</v>
          </cell>
          <cell r="E119">
            <v>45650</v>
          </cell>
          <cell r="F119" t="str">
            <v>3</v>
          </cell>
          <cell r="G119">
            <v>45650</v>
          </cell>
          <cell r="H119">
            <v>3</v>
          </cell>
          <cell r="I119" t="e">
            <v>#NAME?</v>
          </cell>
          <cell r="J119" t="e">
            <v>#NAME?</v>
          </cell>
          <cell r="K119" t="str">
            <v>EKSKLUSIF</v>
          </cell>
        </row>
        <row r="120">
          <cell r="A120" t="str">
            <v>A4244</v>
          </cell>
          <cell r="B120" t="str">
            <v>Siti Fatimatuz Zahroh</v>
          </cell>
          <cell r="C120" t="str">
            <v>TEMA C2</v>
          </cell>
          <cell r="D120">
            <v>45589</v>
          </cell>
          <cell r="E120">
            <v>45650</v>
          </cell>
          <cell r="F120" t="str">
            <v>3</v>
          </cell>
          <cell r="G120">
            <v>45650</v>
          </cell>
          <cell r="H120">
            <v>3</v>
          </cell>
          <cell r="I120" t="e">
            <v>#NAME?</v>
          </cell>
          <cell r="J120" t="e">
            <v>#NAME?</v>
          </cell>
          <cell r="K120" t="str">
            <v>EKSKLUSIF</v>
          </cell>
        </row>
        <row r="121">
          <cell r="A121">
            <v>92192</v>
          </cell>
          <cell r="B121" t="str">
            <v>BIMA BAGASKARA</v>
          </cell>
          <cell r="C121" t="str">
            <v>TEMA C2</v>
          </cell>
          <cell r="D121">
            <v>45589</v>
          </cell>
          <cell r="E121">
            <v>45650</v>
          </cell>
          <cell r="F121" t="str">
            <v>3</v>
          </cell>
          <cell r="G121">
            <v>45650</v>
          </cell>
          <cell r="H121">
            <v>3</v>
          </cell>
          <cell r="I121" t="e">
            <v>#NAME?</v>
          </cell>
          <cell r="J121" t="e">
            <v>#NAME?</v>
          </cell>
          <cell r="K121" t="str">
            <v>EKSKLUSIF</v>
          </cell>
        </row>
        <row r="122">
          <cell r="A122" t="str">
            <v>A1244</v>
          </cell>
          <cell r="B122" t="str">
            <v>SHOFIA NOVIANTI</v>
          </cell>
          <cell r="C122" t="str">
            <v>TEMA C2</v>
          </cell>
          <cell r="D122">
            <v>45597</v>
          </cell>
          <cell r="E122">
            <v>45681</v>
          </cell>
          <cell r="F122" t="str">
            <v>3</v>
          </cell>
          <cell r="G122">
            <v>45650</v>
          </cell>
          <cell r="H122">
            <v>2</v>
          </cell>
          <cell r="I122" t="e">
            <v>#NAME?</v>
          </cell>
          <cell r="J122" t="e">
            <v>#NAME?</v>
          </cell>
          <cell r="K122" t="str">
            <v>EKSKLUSIF</v>
          </cell>
        </row>
        <row r="123">
          <cell r="A123" t="str">
            <v>A1059</v>
          </cell>
          <cell r="B123" t="str">
            <v>AZILA ZALWA</v>
          </cell>
          <cell r="C123" t="str">
            <v>TEMA C2</v>
          </cell>
          <cell r="D123">
            <v>45597</v>
          </cell>
          <cell r="E123">
            <v>45681</v>
          </cell>
          <cell r="F123" t="str">
            <v>3</v>
          </cell>
          <cell r="G123">
            <v>45650</v>
          </cell>
          <cell r="H123">
            <v>2</v>
          </cell>
          <cell r="I123" t="e">
            <v>#NAME?</v>
          </cell>
          <cell r="J123" t="e">
            <v>#NAME?</v>
          </cell>
          <cell r="K123" t="str">
            <v>EKSKLUSIF</v>
          </cell>
        </row>
        <row r="124">
          <cell r="A124" t="str">
            <v>A3305</v>
          </cell>
          <cell r="B124" t="str">
            <v>ARIF NOVIANTO</v>
          </cell>
          <cell r="C124" t="str">
            <v>TEMA C2</v>
          </cell>
          <cell r="D124">
            <v>45597</v>
          </cell>
          <cell r="E124">
            <v>45681</v>
          </cell>
          <cell r="F124" t="str">
            <v>3</v>
          </cell>
          <cell r="G124">
            <v>45650</v>
          </cell>
          <cell r="H124">
            <v>2</v>
          </cell>
          <cell r="I124" t="e">
            <v>#NAME?</v>
          </cell>
          <cell r="J124" t="e">
            <v>#NAME?</v>
          </cell>
          <cell r="K124" t="str">
            <v>EKSKLUSIF</v>
          </cell>
        </row>
        <row r="125">
          <cell r="A125" t="str">
            <v>A4024</v>
          </cell>
          <cell r="B125" t="str">
            <v>FITRIA NURUL</v>
          </cell>
          <cell r="C125" t="str">
            <v>TEMA C2</v>
          </cell>
          <cell r="D125">
            <v>45597</v>
          </cell>
          <cell r="E125">
            <v>45771</v>
          </cell>
          <cell r="F125">
            <v>6</v>
          </cell>
          <cell r="G125">
            <v>45650</v>
          </cell>
          <cell r="H125">
            <v>2</v>
          </cell>
          <cell r="I125" t="e">
            <v>#NAME?</v>
          </cell>
          <cell r="J125" t="e">
            <v>#NAME?</v>
          </cell>
          <cell r="K125" t="str">
            <v>EKSKLUSIF</v>
          </cell>
        </row>
        <row r="126">
          <cell r="A126" t="str">
            <v>A4139</v>
          </cell>
          <cell r="B126" t="str">
            <v>KEYLA REISA IARA</v>
          </cell>
          <cell r="C126" t="str">
            <v>TEMA C2</v>
          </cell>
          <cell r="D126">
            <v>45597</v>
          </cell>
          <cell r="E126">
            <v>45681</v>
          </cell>
          <cell r="F126" t="str">
            <v>3</v>
          </cell>
          <cell r="G126">
            <v>45650</v>
          </cell>
          <cell r="H126">
            <v>2</v>
          </cell>
          <cell r="I126" t="e">
            <v>#NAME?</v>
          </cell>
          <cell r="J126" t="e">
            <v>#NAME?</v>
          </cell>
          <cell r="K126" t="str">
            <v>EKSKLUSIF</v>
          </cell>
        </row>
        <row r="127">
          <cell r="A127" t="str">
            <v>A4285</v>
          </cell>
          <cell r="B127" t="str">
            <v>VINO MUJAHIDIN</v>
          </cell>
          <cell r="C127" t="str">
            <v>TEMA C2</v>
          </cell>
          <cell r="D127">
            <v>45597</v>
          </cell>
          <cell r="E127">
            <v>45681</v>
          </cell>
          <cell r="F127" t="str">
            <v>3</v>
          </cell>
          <cell r="G127">
            <v>45650</v>
          </cell>
          <cell r="H127">
            <v>2</v>
          </cell>
          <cell r="I127" t="e">
            <v>#NAME?</v>
          </cell>
          <cell r="J127" t="e">
            <v>#NAME?</v>
          </cell>
          <cell r="K127" t="str">
            <v>EKSKLUSIF</v>
          </cell>
        </row>
        <row r="128">
          <cell r="A128" t="str">
            <v>A4287</v>
          </cell>
          <cell r="B128" t="str">
            <v>FARA DHIYA HASFANA</v>
          </cell>
          <cell r="C128" t="str">
            <v>TEMA C2</v>
          </cell>
          <cell r="D128">
            <v>45597</v>
          </cell>
          <cell r="E128">
            <v>45681</v>
          </cell>
          <cell r="F128" t="str">
            <v>3</v>
          </cell>
          <cell r="G128">
            <v>45650</v>
          </cell>
          <cell r="H128">
            <v>2</v>
          </cell>
          <cell r="I128" t="e">
            <v>#NAME?</v>
          </cell>
          <cell r="J128" t="e">
            <v>#NAME?</v>
          </cell>
          <cell r="K128" t="str">
            <v>EKSKLUSIF</v>
          </cell>
        </row>
        <row r="129">
          <cell r="A129" t="str">
            <v>A4273</v>
          </cell>
          <cell r="B129" t="str">
            <v>RUTH TRIS KRISTANTI</v>
          </cell>
          <cell r="C129" t="str">
            <v>TEMA C2</v>
          </cell>
          <cell r="D129">
            <v>45597</v>
          </cell>
          <cell r="E129">
            <v>45681</v>
          </cell>
          <cell r="F129" t="str">
            <v>3</v>
          </cell>
          <cell r="G129">
            <v>45650</v>
          </cell>
          <cell r="H129">
            <v>2</v>
          </cell>
          <cell r="I129" t="e">
            <v>#NAME?</v>
          </cell>
          <cell r="J129" t="e">
            <v>#NAME?</v>
          </cell>
          <cell r="K129" t="str">
            <v>EKSKLUSIF</v>
          </cell>
        </row>
        <row r="130">
          <cell r="A130" t="str">
            <v>A0724</v>
          </cell>
          <cell r="B130" t="str">
            <v>RIZKY REYNALDI</v>
          </cell>
          <cell r="C130" t="str">
            <v>TEMA C2</v>
          </cell>
          <cell r="D130">
            <v>45597</v>
          </cell>
          <cell r="E130">
            <v>45681</v>
          </cell>
          <cell r="F130" t="str">
            <v>3</v>
          </cell>
          <cell r="G130">
            <v>45650</v>
          </cell>
          <cell r="H130">
            <v>2</v>
          </cell>
          <cell r="I130" t="e">
            <v>#NAME?</v>
          </cell>
          <cell r="J130" t="e">
            <v>#NAME?</v>
          </cell>
          <cell r="K130" t="str">
            <v>EKSKLUSIF</v>
          </cell>
        </row>
        <row r="131">
          <cell r="A131" t="str">
            <v>A4367</v>
          </cell>
          <cell r="B131" t="str">
            <v>SISWI HARDIYANTI RUKMANA DEWI</v>
          </cell>
          <cell r="C131" t="str">
            <v>TEMA C2</v>
          </cell>
          <cell r="D131">
            <v>45597</v>
          </cell>
          <cell r="E131">
            <v>45681</v>
          </cell>
          <cell r="F131" t="str">
            <v>3</v>
          </cell>
          <cell r="G131">
            <v>45650</v>
          </cell>
          <cell r="H131">
            <v>2</v>
          </cell>
          <cell r="I131" t="e">
            <v>#NAME?</v>
          </cell>
          <cell r="J131" t="e">
            <v>#NAME?</v>
          </cell>
          <cell r="K131" t="str">
            <v>EKSKLUSIF</v>
          </cell>
        </row>
        <row r="132">
          <cell r="A132" t="str">
            <v>A4341</v>
          </cell>
          <cell r="B132" t="str">
            <v>RIZA ULHIDAYAH H</v>
          </cell>
          <cell r="C132" t="str">
            <v>TEMA C2</v>
          </cell>
          <cell r="D132">
            <v>45597</v>
          </cell>
          <cell r="E132">
            <v>45771</v>
          </cell>
          <cell r="F132">
            <v>6</v>
          </cell>
          <cell r="G132">
            <v>45650</v>
          </cell>
          <cell r="H132">
            <v>2</v>
          </cell>
          <cell r="I132" t="e">
            <v>#NAME?</v>
          </cell>
          <cell r="J132" t="e">
            <v>#NAME?</v>
          </cell>
          <cell r="K132" t="str">
            <v>EKSKLUSIF</v>
          </cell>
        </row>
        <row r="133">
          <cell r="A133" t="str">
            <v>A4366</v>
          </cell>
          <cell r="B133" t="str">
            <v>RISKA KRISTIANA</v>
          </cell>
          <cell r="C133" t="str">
            <v>TEMA C2</v>
          </cell>
          <cell r="D133">
            <v>45597</v>
          </cell>
          <cell r="E133">
            <v>45681</v>
          </cell>
          <cell r="F133">
            <v>3</v>
          </cell>
          <cell r="G133">
            <v>45650</v>
          </cell>
          <cell r="H133">
            <v>2</v>
          </cell>
          <cell r="I133" t="e">
            <v>#NAME?</v>
          </cell>
          <cell r="J133" t="e">
            <v>#NAME?</v>
          </cell>
          <cell r="K133" t="str">
            <v>EKSKLUSIF</v>
          </cell>
        </row>
        <row r="134">
          <cell r="A134" t="str">
            <v>A1638</v>
          </cell>
          <cell r="B134" t="str">
            <v>ERNI DWI WIDYANTI</v>
          </cell>
          <cell r="C134" t="str">
            <v>TEMA C2</v>
          </cell>
          <cell r="D134">
            <v>45597</v>
          </cell>
          <cell r="E134">
            <v>45748</v>
          </cell>
          <cell r="F134">
            <v>6</v>
          </cell>
          <cell r="G134">
            <v>45650</v>
          </cell>
          <cell r="H134">
            <v>2</v>
          </cell>
          <cell r="I134" t="e">
            <v>#NAME?</v>
          </cell>
          <cell r="J134" t="e">
            <v>#NAME?</v>
          </cell>
          <cell r="K134" t="str">
            <v>EKSKLUSIF</v>
          </cell>
        </row>
        <row r="135">
          <cell r="A135" t="str">
            <v>A1366</v>
          </cell>
          <cell r="B135" t="str">
            <v>MIFTA UL ULUM</v>
          </cell>
          <cell r="C135" t="str">
            <v>TEMA C2</v>
          </cell>
          <cell r="D135">
            <v>45627</v>
          </cell>
          <cell r="E135">
            <v>45689</v>
          </cell>
          <cell r="F135">
            <v>3</v>
          </cell>
          <cell r="G135">
            <v>45650</v>
          </cell>
          <cell r="H135">
            <v>1</v>
          </cell>
          <cell r="I135" t="e">
            <v>#NAME?</v>
          </cell>
          <cell r="J135" t="e">
            <v>#NAME?</v>
          </cell>
          <cell r="K135" t="str">
            <v>EKSKLUSIF</v>
          </cell>
        </row>
        <row r="136">
          <cell r="A136" t="str">
            <v>A4422</v>
          </cell>
          <cell r="B136" t="str">
            <v>NUR SABILA</v>
          </cell>
          <cell r="C136" t="str">
            <v>TEMA C2</v>
          </cell>
          <cell r="D136">
            <v>45627</v>
          </cell>
          <cell r="E136">
            <v>45689</v>
          </cell>
          <cell r="F136">
            <v>3</v>
          </cell>
          <cell r="G136">
            <v>45650</v>
          </cell>
          <cell r="H136">
            <v>1</v>
          </cell>
          <cell r="I136" t="e">
            <v>#NAME?</v>
          </cell>
          <cell r="J136" t="e">
            <v>#NAME?</v>
          </cell>
          <cell r="K136" t="str">
            <v>EKSKLUSIF</v>
          </cell>
        </row>
        <row r="137">
          <cell r="A137" t="str">
            <v>A2072</v>
          </cell>
          <cell r="B137" t="str">
            <v>DIANA PUTERI</v>
          </cell>
          <cell r="C137" t="str">
            <v>TEMA C2</v>
          </cell>
          <cell r="D137">
            <v>45627</v>
          </cell>
          <cell r="E137">
            <v>45689</v>
          </cell>
          <cell r="F137">
            <v>3</v>
          </cell>
          <cell r="G137">
            <v>45650</v>
          </cell>
          <cell r="H137">
            <v>1</v>
          </cell>
          <cell r="I137" t="e">
            <v>#NAME?</v>
          </cell>
          <cell r="J137" t="e">
            <v>#NAME?</v>
          </cell>
          <cell r="K137" t="str">
            <v>EKSKLUSIF</v>
          </cell>
        </row>
        <row r="138">
          <cell r="A138" t="str">
            <v>A2684</v>
          </cell>
          <cell r="B138" t="str">
            <v>DIMAS VERGIAWAN AFIAT</v>
          </cell>
          <cell r="C138" t="str">
            <v>TEMA C2</v>
          </cell>
          <cell r="D138">
            <v>45627</v>
          </cell>
          <cell r="E138">
            <v>45689</v>
          </cell>
          <cell r="F138">
            <v>3</v>
          </cell>
          <cell r="G138">
            <v>45650</v>
          </cell>
          <cell r="H138">
            <v>1</v>
          </cell>
          <cell r="I138" t="e">
            <v>#NAME?</v>
          </cell>
          <cell r="J138" t="e">
            <v>#NAME?</v>
          </cell>
          <cell r="K138" t="str">
            <v>EKSKLUSIF</v>
          </cell>
        </row>
        <row r="139">
          <cell r="A139" t="str">
            <v>A0920</v>
          </cell>
          <cell r="B139" t="str">
            <v>HANGESTI RETNO UTARI</v>
          </cell>
          <cell r="C139" t="str">
            <v>TEMA C2</v>
          </cell>
          <cell r="D139">
            <v>45627</v>
          </cell>
          <cell r="E139">
            <v>45689</v>
          </cell>
          <cell r="F139">
            <v>3</v>
          </cell>
          <cell r="G139">
            <v>45650</v>
          </cell>
          <cell r="H139">
            <v>1</v>
          </cell>
          <cell r="I139" t="e">
            <v>#NAME?</v>
          </cell>
          <cell r="J139" t="e">
            <v>#NAME?</v>
          </cell>
          <cell r="K139" t="str">
            <v>EKSKLUSIF</v>
          </cell>
        </row>
        <row r="140">
          <cell r="A140" t="str">
            <v>A0565</v>
          </cell>
          <cell r="B140" t="str">
            <v>PRADIPTA NIWAYANI</v>
          </cell>
          <cell r="C140" t="str">
            <v>TEMA C2</v>
          </cell>
          <cell r="D140">
            <v>45627</v>
          </cell>
          <cell r="E140">
            <v>45689</v>
          </cell>
          <cell r="F140">
            <v>3</v>
          </cell>
          <cell r="G140">
            <v>45650</v>
          </cell>
          <cell r="H140">
            <v>1</v>
          </cell>
          <cell r="I140" t="e">
            <v>#NAME?</v>
          </cell>
          <cell r="J140" t="e">
            <v>#NAME?</v>
          </cell>
          <cell r="K140" t="str">
            <v>EKSKLUSIF</v>
          </cell>
        </row>
        <row r="141">
          <cell r="A141" t="str">
            <v>A2619</v>
          </cell>
          <cell r="B141" t="str">
            <v>TEDI AFRIYANTO</v>
          </cell>
          <cell r="C141" t="str">
            <v>TEMA C2</v>
          </cell>
          <cell r="D141">
            <v>45627</v>
          </cell>
          <cell r="E141">
            <v>45689</v>
          </cell>
          <cell r="F141">
            <v>3</v>
          </cell>
          <cell r="G141">
            <v>45650</v>
          </cell>
          <cell r="H141">
            <v>1</v>
          </cell>
          <cell r="I141" t="e">
            <v>#NAME?</v>
          </cell>
          <cell r="J141" t="e">
            <v>#NAME?</v>
          </cell>
          <cell r="K141" t="str">
            <v>EKSKLUSIF</v>
          </cell>
        </row>
        <row r="142">
          <cell r="A142" t="str">
            <v>A4270</v>
          </cell>
          <cell r="B142" t="str">
            <v>DELLA OXZA</v>
          </cell>
          <cell r="C142" t="str">
            <v>TEMA C2</v>
          </cell>
          <cell r="D142">
            <v>45627</v>
          </cell>
          <cell r="E142">
            <v>45689</v>
          </cell>
          <cell r="F142">
            <v>3</v>
          </cell>
          <cell r="G142">
            <v>45650</v>
          </cell>
          <cell r="H142">
            <v>1</v>
          </cell>
          <cell r="I142" t="e">
            <v>#NAME?</v>
          </cell>
          <cell r="J142" t="e">
            <v>#NAME?</v>
          </cell>
          <cell r="K142" t="str">
            <v>EKSKLUSIF</v>
          </cell>
        </row>
        <row r="143">
          <cell r="A143" t="str">
            <v>A3996</v>
          </cell>
          <cell r="B143" t="str">
            <v>JOANICA INTAN CAHYANDARI</v>
          </cell>
          <cell r="C143" t="str">
            <v>TEMA C2</v>
          </cell>
          <cell r="D143">
            <v>45627</v>
          </cell>
          <cell r="E143">
            <v>45689</v>
          </cell>
          <cell r="F143">
            <v>3</v>
          </cell>
          <cell r="G143">
            <v>45650</v>
          </cell>
          <cell r="H143">
            <v>1</v>
          </cell>
          <cell r="I143" t="e">
            <v>#NAME?</v>
          </cell>
          <cell r="J143" t="e">
            <v>#NAME?</v>
          </cell>
          <cell r="K143" t="str">
            <v>EKSKLUSIF</v>
          </cell>
        </row>
        <row r="144">
          <cell r="A144" t="str">
            <v>A4363</v>
          </cell>
          <cell r="B144" t="str">
            <v>RINA IKA LESTARI</v>
          </cell>
          <cell r="C144" t="str">
            <v>TEMA C2</v>
          </cell>
          <cell r="D144">
            <v>45627</v>
          </cell>
          <cell r="E144">
            <v>45689</v>
          </cell>
          <cell r="F144">
            <v>3</v>
          </cell>
          <cell r="G144">
            <v>45650</v>
          </cell>
          <cell r="H144">
            <v>1</v>
          </cell>
          <cell r="I144" t="e">
            <v>#NAME?</v>
          </cell>
          <cell r="J144" t="e">
            <v>#NAME?</v>
          </cell>
          <cell r="K144" t="str">
            <v>EKSKLUSIF</v>
          </cell>
        </row>
        <row r="145">
          <cell r="A145">
            <v>92628</v>
          </cell>
          <cell r="B145" t="str">
            <v>Nini Aulia Sari</v>
          </cell>
          <cell r="C145" t="str">
            <v>TEMA C2</v>
          </cell>
          <cell r="D145">
            <v>45627</v>
          </cell>
          <cell r="E145">
            <v>45689</v>
          </cell>
          <cell r="F145">
            <v>3</v>
          </cell>
          <cell r="G145">
            <v>45650</v>
          </cell>
          <cell r="H145">
            <v>1</v>
          </cell>
          <cell r="I145" t="e">
            <v>#NAME?</v>
          </cell>
          <cell r="J145" t="e">
            <v>#NAME?</v>
          </cell>
          <cell r="K145" t="str">
            <v>EKSKLUSIF</v>
          </cell>
        </row>
        <row r="146">
          <cell r="A146" t="str">
            <v>A2705</v>
          </cell>
          <cell r="B146" t="str">
            <v>ANTONIA DESI ENDAH KRISTIYANTI</v>
          </cell>
          <cell r="C146" t="str">
            <v>TEMA C2</v>
          </cell>
          <cell r="D146">
            <v>45627</v>
          </cell>
          <cell r="E146">
            <v>45689</v>
          </cell>
          <cell r="F146">
            <v>3</v>
          </cell>
          <cell r="G146">
            <v>45650</v>
          </cell>
          <cell r="H146">
            <v>1</v>
          </cell>
          <cell r="I146" t="e">
            <v>#NAME?</v>
          </cell>
          <cell r="J146" t="e">
            <v>#NAME?</v>
          </cell>
          <cell r="K146" t="str">
            <v>EKSKLUSIF</v>
          </cell>
        </row>
        <row r="147">
          <cell r="A147" t="str">
            <v>A1305</v>
          </cell>
          <cell r="B147" t="str">
            <v>HANIFAH DUWI AMALIA</v>
          </cell>
          <cell r="C147" t="str">
            <v>TEMA C2</v>
          </cell>
          <cell r="D147">
            <v>45627</v>
          </cell>
          <cell r="E147">
            <v>45689</v>
          </cell>
          <cell r="F147">
            <v>3</v>
          </cell>
          <cell r="G147">
            <v>45650</v>
          </cell>
          <cell r="H147">
            <v>1</v>
          </cell>
          <cell r="I147" t="e">
            <v>#NAME?</v>
          </cell>
          <cell r="J147" t="e">
            <v>#NAME?</v>
          </cell>
          <cell r="K147" t="str">
            <v>EKSKLUSIF</v>
          </cell>
        </row>
        <row r="148">
          <cell r="A148" t="str">
            <v>A4437</v>
          </cell>
          <cell r="B148" t="str">
            <v>MUHAMMAD ILZAM</v>
          </cell>
          <cell r="C148" t="str">
            <v>TEMA C2</v>
          </cell>
          <cell r="D148">
            <v>45627</v>
          </cell>
          <cell r="E148">
            <v>45689</v>
          </cell>
          <cell r="F148">
            <v>3</v>
          </cell>
          <cell r="G148">
            <v>45650</v>
          </cell>
          <cell r="H148">
            <v>1</v>
          </cell>
          <cell r="I148" t="e">
            <v>#NAME?</v>
          </cell>
          <cell r="J148" t="e">
            <v>#NAME?</v>
          </cell>
          <cell r="K148" t="str">
            <v>EKSKLUSIF</v>
          </cell>
        </row>
        <row r="149">
          <cell r="A149" t="str">
            <v>A4441</v>
          </cell>
          <cell r="B149" t="str">
            <v>IRWANDA BUDI PANGESTU</v>
          </cell>
          <cell r="C149" t="str">
            <v>TEMA C2</v>
          </cell>
          <cell r="D149">
            <v>45627</v>
          </cell>
          <cell r="E149">
            <v>45689</v>
          </cell>
          <cell r="F149">
            <v>3</v>
          </cell>
          <cell r="G149">
            <v>45650</v>
          </cell>
          <cell r="H149">
            <v>1</v>
          </cell>
          <cell r="I149" t="e">
            <v>#NAME?</v>
          </cell>
          <cell r="J149" t="e">
            <v>#NAME?</v>
          </cell>
          <cell r="K149" t="str">
            <v>EKSKLUSIF</v>
          </cell>
        </row>
        <row r="150">
          <cell r="A150" t="str">
            <v>A4364</v>
          </cell>
          <cell r="B150" t="str">
            <v>Muhammad Raihandra</v>
          </cell>
          <cell r="C150" t="str">
            <v>TEMA C2</v>
          </cell>
          <cell r="D150">
            <v>45627</v>
          </cell>
          <cell r="E150">
            <v>45689</v>
          </cell>
          <cell r="F150">
            <v>3</v>
          </cell>
          <cell r="G150">
            <v>45650</v>
          </cell>
          <cell r="H150">
            <v>1</v>
          </cell>
          <cell r="I150" t="e">
            <v>#NAME?</v>
          </cell>
          <cell r="J150" t="e">
            <v>#NAME?</v>
          </cell>
          <cell r="K150" t="str">
            <v>EKSKLUSIF</v>
          </cell>
        </row>
        <row r="151">
          <cell r="A151" t="str">
            <v>A3766</v>
          </cell>
          <cell r="B151" t="str">
            <v>BESTFEBRI CHRISTY DAMERIA PAKPAHAN</v>
          </cell>
          <cell r="C151" t="str">
            <v>TEMA C2</v>
          </cell>
          <cell r="D151">
            <v>45627</v>
          </cell>
          <cell r="E151">
            <v>45689</v>
          </cell>
          <cell r="F151">
            <v>3</v>
          </cell>
          <cell r="G151">
            <v>45650</v>
          </cell>
          <cell r="H151">
            <v>1</v>
          </cell>
          <cell r="I151" t="e">
            <v>#NAME?</v>
          </cell>
          <cell r="J151" t="e">
            <v>#NAME?</v>
          </cell>
          <cell r="K151" t="str">
            <v>EKSKLUSIF</v>
          </cell>
        </row>
        <row r="152">
          <cell r="A152" t="str">
            <v>A4276</v>
          </cell>
          <cell r="B152" t="str">
            <v>UMMI AISYATUL LATIFAH ASARO</v>
          </cell>
          <cell r="C152" t="str">
            <v>TEMA C2</v>
          </cell>
          <cell r="D152">
            <v>45627</v>
          </cell>
          <cell r="E152">
            <v>45689</v>
          </cell>
          <cell r="F152">
            <v>3</v>
          </cell>
          <cell r="G152">
            <v>45650</v>
          </cell>
          <cell r="H152">
            <v>1</v>
          </cell>
          <cell r="I152" t="e">
            <v>#NAME?</v>
          </cell>
          <cell r="J152" t="e">
            <v>#NAME?</v>
          </cell>
          <cell r="K152" t="str">
            <v>EKSKLUSIF</v>
          </cell>
        </row>
        <row r="153">
          <cell r="A153" t="str">
            <v>A2014</v>
          </cell>
          <cell r="B153" t="str">
            <v>NUR ANISA</v>
          </cell>
          <cell r="C153" t="str">
            <v>TEMA C2</v>
          </cell>
          <cell r="D153">
            <v>45627</v>
          </cell>
          <cell r="E153">
            <v>45689</v>
          </cell>
          <cell r="F153">
            <v>3</v>
          </cell>
          <cell r="G153">
            <v>45650</v>
          </cell>
          <cell r="H153">
            <v>1</v>
          </cell>
          <cell r="I153" t="e">
            <v>#NAME?</v>
          </cell>
          <cell r="J153" t="e">
            <v>#NAME?</v>
          </cell>
          <cell r="K153" t="str">
            <v>EKSKLUSIF</v>
          </cell>
        </row>
        <row r="154">
          <cell r="A154" t="str">
            <v>A4405</v>
          </cell>
          <cell r="B154" t="str">
            <v>SALWA AYU WIGATI</v>
          </cell>
          <cell r="C154" t="str">
            <v>TEMA C2</v>
          </cell>
          <cell r="D154">
            <v>45627</v>
          </cell>
          <cell r="E154">
            <v>45689</v>
          </cell>
          <cell r="F154">
            <v>3</v>
          </cell>
          <cell r="G154">
            <v>45650</v>
          </cell>
          <cell r="H154">
            <v>1</v>
          </cell>
          <cell r="I154" t="e">
            <v>#NAME?</v>
          </cell>
          <cell r="J154" t="e">
            <v>#NAME?</v>
          </cell>
          <cell r="K154" t="str">
            <v>EKSKLUSIF</v>
          </cell>
        </row>
        <row r="155">
          <cell r="A155">
            <v>90118</v>
          </cell>
          <cell r="B155" t="str">
            <v>AGRESITABELA PURNANINGRUM</v>
          </cell>
          <cell r="C155" t="str">
            <v>TEMA C2</v>
          </cell>
          <cell r="D155">
            <v>45627</v>
          </cell>
          <cell r="E155">
            <v>45689</v>
          </cell>
          <cell r="F155">
            <v>3</v>
          </cell>
          <cell r="G155">
            <v>45650</v>
          </cell>
          <cell r="H155">
            <v>1</v>
          </cell>
          <cell r="I155" t="e">
            <v>#NAME?</v>
          </cell>
          <cell r="J155" t="e">
            <v>#NAME?</v>
          </cell>
          <cell r="K155" t="str">
            <v>EKSKLUSIF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A202">
            <v>0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A203">
            <v>0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>
            <v>0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A206">
            <v>0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A207">
            <v>0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</row>
        <row r="208">
          <cell r="A208">
            <v>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</row>
        <row r="209">
          <cell r="A209">
            <v>0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A210">
            <v>0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8">
          <cell r="A218">
            <v>0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</row>
        <row r="219">
          <cell r="A219">
            <v>0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0">
          <cell r="A220">
            <v>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</row>
        <row r="221">
          <cell r="A221">
            <v>0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2">
          <cell r="A222">
            <v>0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A223">
            <v>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</row>
        <row r="224">
          <cell r="A224">
            <v>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</row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</row>
        <row r="226">
          <cell r="A226">
            <v>0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A228">
            <v>0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A229">
            <v>0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A230">
            <v>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A231">
            <v>0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A232">
            <v>0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</row>
        <row r="233">
          <cell r="A233">
            <v>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</row>
        <row r="234">
          <cell r="A234">
            <v>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</row>
        <row r="235">
          <cell r="A235">
            <v>0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A236">
            <v>0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>
            <v>0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A238">
            <v>0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</row>
        <row r="239">
          <cell r="A239">
            <v>0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>
            <v>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A242">
            <v>0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</row>
        <row r="245">
          <cell r="A245">
            <v>0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A247">
            <v>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</row>
        <row r="248">
          <cell r="A248">
            <v>0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A250">
            <v>0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A253">
            <v>0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A254">
            <v>0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>
            <v>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>
            <v>0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A258">
            <v>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A259">
            <v>0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A265">
            <v>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A274">
            <v>0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</row>
        <row r="282">
          <cell r="A282">
            <v>0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</row>
        <row r="286">
          <cell r="A286">
            <v>0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</row>
        <row r="287">
          <cell r="A287">
            <v>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</row>
        <row r="289">
          <cell r="A289">
            <v>0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</row>
        <row r="292">
          <cell r="A292">
            <v>0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</row>
        <row r="293">
          <cell r="A293">
            <v>0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</row>
        <row r="294">
          <cell r="A294">
            <v>0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</row>
        <row r="296">
          <cell r="A296">
            <v>0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A298">
            <v>0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</row>
        <row r="299">
          <cell r="A299">
            <v>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</row>
        <row r="301">
          <cell r="A301">
            <v>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</row>
        <row r="304">
          <cell r="A304">
            <v>0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</row>
        <row r="305">
          <cell r="A305">
            <v>0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</row>
        <row r="306">
          <cell r="A306">
            <v>0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</row>
        <row r="307">
          <cell r="A307">
            <v>0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</row>
        <row r="308">
          <cell r="A308">
            <v>0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A309">
            <v>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</row>
        <row r="310">
          <cell r="A310">
            <v>0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</row>
        <row r="311">
          <cell r="A311">
            <v>0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</row>
        <row r="312">
          <cell r="A312">
            <v>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A313">
            <v>0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</row>
        <row r="314">
          <cell r="A314">
            <v>0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</row>
        <row r="315">
          <cell r="A315">
            <v>0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A316">
            <v>0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A317">
            <v>0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A318">
            <v>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</row>
        <row r="319">
          <cell r="A319">
            <v>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A320">
            <v>0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</row>
        <row r="321">
          <cell r="A321">
            <v>0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A322">
            <v>0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A323">
            <v>0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</row>
        <row r="324">
          <cell r="A324">
            <v>0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</row>
        <row r="325">
          <cell r="A325">
            <v>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</row>
        <row r="330">
          <cell r="A330">
            <v>0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</row>
        <row r="331">
          <cell r="A331">
            <v>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A332">
            <v>0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A333">
            <v>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</row>
        <row r="334">
          <cell r="A334">
            <v>0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A335">
            <v>0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</row>
        <row r="336">
          <cell r="A336">
            <v>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A337">
            <v>0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</row>
        <row r="339">
          <cell r="A339">
            <v>0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0">
          <cell r="A340">
            <v>0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</row>
        <row r="341">
          <cell r="A341">
            <v>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</row>
        <row r="342">
          <cell r="A342">
            <v>0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</row>
        <row r="343">
          <cell r="A343">
            <v>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</row>
        <row r="344">
          <cell r="A344">
            <v>0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</row>
        <row r="345">
          <cell r="A345">
            <v>0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</row>
        <row r="346">
          <cell r="A346">
            <v>0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</row>
        <row r="347">
          <cell r="A347">
            <v>0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</row>
        <row r="348">
          <cell r="A348">
            <v>0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</row>
        <row r="349">
          <cell r="A349">
            <v>0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</row>
        <row r="352">
          <cell r="A352">
            <v>0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3">
          <cell r="A353">
            <v>0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A354">
            <v>0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</row>
        <row r="355">
          <cell r="A355">
            <v>0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</row>
        <row r="356">
          <cell r="A356">
            <v>0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A357">
            <v>0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</row>
        <row r="358">
          <cell r="A358">
            <v>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</row>
        <row r="359">
          <cell r="A359">
            <v>0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</row>
        <row r="360">
          <cell r="A360">
            <v>0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</row>
        <row r="361">
          <cell r="A361">
            <v>0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</row>
        <row r="362">
          <cell r="A362">
            <v>0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</row>
        <row r="363">
          <cell r="A363">
            <v>0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</row>
        <row r="364">
          <cell r="A364">
            <v>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</row>
        <row r="365">
          <cell r="A365">
            <v>0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</row>
        <row r="366">
          <cell r="A366">
            <v>0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</row>
        <row r="367">
          <cell r="A367">
            <v>0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A369">
            <v>0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A370">
            <v>0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</row>
        <row r="371">
          <cell r="A371">
            <v>0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</row>
        <row r="372">
          <cell r="A372">
            <v>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</row>
        <row r="373">
          <cell r="A373">
            <v>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</row>
        <row r="374">
          <cell r="A374">
            <v>0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</row>
        <row r="375">
          <cell r="A375">
            <v>0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</row>
        <row r="376">
          <cell r="A376">
            <v>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</row>
        <row r="377">
          <cell r="A377">
            <v>0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</row>
        <row r="378">
          <cell r="A378">
            <v>0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</row>
        <row r="379">
          <cell r="A379">
            <v>0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</row>
        <row r="380">
          <cell r="A380">
            <v>0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</row>
        <row r="387">
          <cell r="A387">
            <v>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</row>
        <row r="388">
          <cell r="A388">
            <v>0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</row>
        <row r="389">
          <cell r="A389">
            <v>0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</row>
        <row r="390">
          <cell r="A390">
            <v>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</row>
        <row r="391">
          <cell r="A391">
            <v>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A394">
            <v>0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</row>
        <row r="395">
          <cell r="A395">
            <v>0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>
            <v>0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</row>
        <row r="397">
          <cell r="A397">
            <v>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A402">
            <v>0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A403">
            <v>0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</row>
        <row r="404">
          <cell r="A404">
            <v>0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</row>
        <row r="406">
          <cell r="A406">
            <v>0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</row>
        <row r="408">
          <cell r="A408">
            <v>0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</row>
        <row r="409">
          <cell r="A409">
            <v>0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</row>
        <row r="411">
          <cell r="A411">
            <v>0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A412">
            <v>0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</row>
        <row r="413">
          <cell r="A413">
            <v>0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</row>
        <row r="414">
          <cell r="A414">
            <v>0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</row>
        <row r="415">
          <cell r="A415">
            <v>0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</row>
        <row r="416">
          <cell r="A416">
            <v>0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</row>
        <row r="417">
          <cell r="A417">
            <v>0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</row>
        <row r="418">
          <cell r="A418">
            <v>0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A419">
            <v>0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</row>
        <row r="420">
          <cell r="A420">
            <v>0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</row>
        <row r="421">
          <cell r="A421">
            <v>0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</row>
        <row r="423">
          <cell r="A423">
            <v>0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</row>
        <row r="424">
          <cell r="A424">
            <v>0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</row>
        <row r="426">
          <cell r="A426">
            <v>0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</row>
        <row r="428">
          <cell r="A428">
            <v>0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</row>
        <row r="429">
          <cell r="A429">
            <v>0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</row>
        <row r="431">
          <cell r="A431">
            <v>0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</row>
        <row r="432">
          <cell r="A432">
            <v>0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</row>
        <row r="433">
          <cell r="A433">
            <v>0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A436">
            <v>0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</row>
        <row r="437">
          <cell r="A437">
            <v>0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</row>
        <row r="439">
          <cell r="A439">
            <v>0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</row>
        <row r="442">
          <cell r="A442">
            <v>0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</row>
        <row r="444">
          <cell r="A444">
            <v>0</v>
          </cell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</row>
        <row r="446">
          <cell r="A446">
            <v>0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</row>
        <row r="447">
          <cell r="A447">
            <v>0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8">
          <cell r="A448">
            <v>0</v>
          </cell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</row>
        <row r="450">
          <cell r="A450">
            <v>0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</row>
        <row r="451">
          <cell r="A451">
            <v>0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</row>
        <row r="452">
          <cell r="A452">
            <v>0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</row>
        <row r="454">
          <cell r="A454">
            <v>0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</row>
        <row r="455">
          <cell r="A455">
            <v>0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</row>
        <row r="456">
          <cell r="A456">
            <v>0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</row>
        <row r="457">
          <cell r="A457">
            <v>0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</row>
        <row r="458">
          <cell r="A458">
            <v>0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</row>
        <row r="460">
          <cell r="A460">
            <v>0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</row>
        <row r="461">
          <cell r="A461">
            <v>0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</row>
        <row r="462">
          <cell r="A462">
            <v>0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</row>
        <row r="463">
          <cell r="A463">
            <v>0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</row>
        <row r="548">
          <cell r="A548">
            <v>0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</row>
        <row r="549">
          <cell r="A549">
            <v>0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</row>
        <row r="550">
          <cell r="A550">
            <v>0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</row>
        <row r="551">
          <cell r="A551">
            <v>0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A553">
            <v>0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A554">
            <v>0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</row>
        <row r="555">
          <cell r="A555">
            <v>0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</row>
        <row r="557">
          <cell r="A557">
            <v>0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</row>
        <row r="558">
          <cell r="A558">
            <v>0</v>
          </cell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</row>
        <row r="559">
          <cell r="A559">
            <v>0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</row>
        <row r="561">
          <cell r="A561">
            <v>0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</row>
        <row r="562">
          <cell r="A562">
            <v>0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A563">
            <v>0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</row>
        <row r="564">
          <cell r="A564">
            <v>0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</row>
        <row r="565">
          <cell r="A565">
            <v>0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</row>
        <row r="566">
          <cell r="A566">
            <v>0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</row>
        <row r="567">
          <cell r="A567">
            <v>0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</row>
        <row r="568">
          <cell r="A568">
            <v>0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</row>
        <row r="569">
          <cell r="A569">
            <v>0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</row>
        <row r="570">
          <cell r="A570">
            <v>0</v>
          </cell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</row>
        <row r="571">
          <cell r="A571">
            <v>0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</row>
        <row r="573">
          <cell r="A573">
            <v>0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</row>
        <row r="574">
          <cell r="A574">
            <v>0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</row>
        <row r="575">
          <cell r="A575">
            <v>0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</row>
        <row r="576">
          <cell r="A576">
            <v>0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</row>
        <row r="577">
          <cell r="A577">
            <v>0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A578">
            <v>0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</row>
        <row r="579">
          <cell r="A579">
            <v>0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</row>
        <row r="580">
          <cell r="A580">
            <v>0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</row>
        <row r="581">
          <cell r="A581">
            <v>0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</row>
        <row r="582">
          <cell r="A582">
            <v>0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</row>
        <row r="583">
          <cell r="A583">
            <v>0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</row>
        <row r="584">
          <cell r="A584">
            <v>0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</row>
        <row r="586">
          <cell r="A586">
            <v>0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</row>
        <row r="589">
          <cell r="A589">
            <v>0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</row>
        <row r="590">
          <cell r="A590">
            <v>0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</row>
        <row r="591">
          <cell r="A591">
            <v>0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</row>
        <row r="592">
          <cell r="A592">
            <v>0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</row>
        <row r="593">
          <cell r="A593">
            <v>0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</row>
        <row r="594">
          <cell r="A594">
            <v>0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</row>
        <row r="595">
          <cell r="A595">
            <v>0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</row>
        <row r="596">
          <cell r="A596">
            <v>0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</row>
        <row r="597">
          <cell r="A597">
            <v>0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</row>
        <row r="598">
          <cell r="A598">
            <v>0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</row>
        <row r="601">
          <cell r="A601">
            <v>0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</row>
        <row r="602">
          <cell r="A602">
            <v>0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</row>
        <row r="606">
          <cell r="A606">
            <v>0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</row>
        <row r="607">
          <cell r="A607">
            <v>0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</row>
        <row r="608">
          <cell r="A608">
            <v>0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</row>
        <row r="609">
          <cell r="A609">
            <v>0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</row>
        <row r="610">
          <cell r="A610">
            <v>0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</row>
        <row r="611">
          <cell r="A611">
            <v>0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</row>
        <row r="613">
          <cell r="A613">
            <v>0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</row>
        <row r="614">
          <cell r="A614">
            <v>0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</row>
        <row r="615">
          <cell r="A615">
            <v>0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</row>
        <row r="617">
          <cell r="A617">
            <v>0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</row>
        <row r="618">
          <cell r="A618">
            <v>0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</row>
        <row r="619">
          <cell r="A619">
            <v>0</v>
          </cell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</row>
        <row r="621">
          <cell r="A621">
            <v>0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</row>
        <row r="622">
          <cell r="A622">
            <v>0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</row>
        <row r="623">
          <cell r="A623">
            <v>0</v>
          </cell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</row>
        <row r="624">
          <cell r="A624">
            <v>0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</row>
        <row r="625">
          <cell r="A625">
            <v>0</v>
          </cell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</row>
        <row r="626">
          <cell r="A626">
            <v>0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</row>
        <row r="627">
          <cell r="A627">
            <v>0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</row>
        <row r="628">
          <cell r="A628">
            <v>0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</row>
        <row r="629">
          <cell r="A629">
            <v>0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</row>
        <row r="631">
          <cell r="A631">
            <v>0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</row>
        <row r="632">
          <cell r="A632">
            <v>0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</row>
        <row r="633">
          <cell r="A633">
            <v>0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</row>
        <row r="635">
          <cell r="A635">
            <v>0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</row>
        <row r="636">
          <cell r="A636">
            <v>0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</row>
        <row r="637">
          <cell r="A637">
            <v>0</v>
          </cell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</row>
        <row r="638">
          <cell r="A638">
            <v>0</v>
          </cell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</row>
        <row r="639">
          <cell r="A639">
            <v>0</v>
          </cell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</row>
        <row r="641">
          <cell r="A641">
            <v>0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</row>
        <row r="642">
          <cell r="A642">
            <v>0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</row>
        <row r="643">
          <cell r="A643">
            <v>0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</row>
        <row r="644">
          <cell r="A644">
            <v>0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</row>
        <row r="645">
          <cell r="A645">
            <v>0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</row>
        <row r="646">
          <cell r="A646">
            <v>0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</row>
        <row r="647">
          <cell r="A647">
            <v>0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</row>
        <row r="648">
          <cell r="A648">
            <v>0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</row>
        <row r="649">
          <cell r="A649">
            <v>0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</row>
        <row r="650">
          <cell r="A650">
            <v>0</v>
          </cell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</row>
        <row r="652">
          <cell r="A652">
            <v>0</v>
          </cell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</row>
        <row r="653">
          <cell r="A653">
            <v>0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</row>
        <row r="654">
          <cell r="A654">
            <v>0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</row>
        <row r="655">
          <cell r="A655">
            <v>0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</row>
        <row r="656">
          <cell r="A656">
            <v>0</v>
          </cell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</row>
        <row r="657">
          <cell r="A657">
            <v>0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</row>
        <row r="658">
          <cell r="A658">
            <v>0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</row>
        <row r="660">
          <cell r="A660">
            <v>0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</row>
        <row r="661">
          <cell r="A661">
            <v>0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</row>
        <row r="662">
          <cell r="A662">
            <v>0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</row>
        <row r="663">
          <cell r="A663">
            <v>0</v>
          </cell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</row>
        <row r="664">
          <cell r="A664">
            <v>0</v>
          </cell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</row>
        <row r="665">
          <cell r="A665">
            <v>0</v>
          </cell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</row>
        <row r="666">
          <cell r="A666">
            <v>0</v>
          </cell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</row>
        <row r="667">
          <cell r="A667">
            <v>0</v>
          </cell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</row>
        <row r="668">
          <cell r="A668">
            <v>0</v>
          </cell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</row>
        <row r="670">
          <cell r="A670">
            <v>0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</row>
        <row r="671">
          <cell r="A671">
            <v>0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</row>
        <row r="672">
          <cell r="A672">
            <v>0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</row>
        <row r="673">
          <cell r="A673">
            <v>0</v>
          </cell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</row>
        <row r="674">
          <cell r="A674">
            <v>0</v>
          </cell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</row>
        <row r="675">
          <cell r="A675">
            <v>0</v>
          </cell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</row>
        <row r="676">
          <cell r="A676">
            <v>0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</row>
        <row r="677">
          <cell r="A677">
            <v>0</v>
          </cell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</row>
        <row r="678">
          <cell r="A678">
            <v>0</v>
          </cell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</row>
        <row r="680">
          <cell r="A680">
            <v>0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</row>
        <row r="681">
          <cell r="A681">
            <v>0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</row>
        <row r="682">
          <cell r="A682">
            <v>0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</row>
        <row r="683">
          <cell r="A683">
            <v>0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</row>
        <row r="684">
          <cell r="A684">
            <v>0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</row>
        <row r="685">
          <cell r="A685">
            <v>0</v>
          </cell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</row>
        <row r="686">
          <cell r="A686">
            <v>0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</row>
        <row r="687">
          <cell r="A687">
            <v>0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</row>
        <row r="696">
          <cell r="A696">
            <v>0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</row>
        <row r="697">
          <cell r="A697">
            <v>0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</row>
        <row r="698">
          <cell r="A698">
            <v>0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</row>
        <row r="699">
          <cell r="A699">
            <v>0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</row>
        <row r="700">
          <cell r="A700">
            <v>0</v>
          </cell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</row>
        <row r="701">
          <cell r="A701">
            <v>0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</row>
        <row r="703">
          <cell r="A703">
            <v>0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</row>
        <row r="704">
          <cell r="A704">
            <v>0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</row>
        <row r="705">
          <cell r="A705">
            <v>0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</row>
        <row r="707">
          <cell r="A707">
            <v>0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</row>
        <row r="708">
          <cell r="A708">
            <v>0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</row>
        <row r="709">
          <cell r="A709">
            <v>0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</row>
        <row r="710">
          <cell r="A710">
            <v>0</v>
          </cell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</row>
        <row r="712">
          <cell r="A712">
            <v>0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</row>
        <row r="713">
          <cell r="A713">
            <v>0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</row>
        <row r="714">
          <cell r="A714">
            <v>0</v>
          </cell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</row>
        <row r="715">
          <cell r="A715">
            <v>0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</row>
        <row r="717">
          <cell r="A717">
            <v>0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</row>
        <row r="718">
          <cell r="A718">
            <v>0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</row>
        <row r="720">
          <cell r="A720">
            <v>0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</row>
        <row r="721">
          <cell r="A721">
            <v>0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</row>
        <row r="722">
          <cell r="A722">
            <v>0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</row>
        <row r="723">
          <cell r="A723">
            <v>0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</row>
        <row r="724">
          <cell r="A724">
            <v>0</v>
          </cell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</row>
        <row r="725">
          <cell r="A725">
            <v>0</v>
          </cell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</row>
        <row r="727">
          <cell r="A727">
            <v>0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</row>
        <row r="728">
          <cell r="A728">
            <v>0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</row>
        <row r="729">
          <cell r="A729">
            <v>0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</row>
        <row r="730">
          <cell r="A730">
            <v>0</v>
          </cell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</row>
        <row r="733">
          <cell r="A733">
            <v>0</v>
          </cell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</row>
        <row r="734">
          <cell r="A734">
            <v>0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</row>
        <row r="735">
          <cell r="A735">
            <v>0</v>
          </cell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</row>
        <row r="736">
          <cell r="A736">
            <v>0</v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</row>
        <row r="740">
          <cell r="A740">
            <v>0</v>
          </cell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</row>
        <row r="741">
          <cell r="A741">
            <v>0</v>
          </cell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</row>
        <row r="742">
          <cell r="A742">
            <v>0</v>
          </cell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</row>
        <row r="743">
          <cell r="A743">
            <v>0</v>
          </cell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</row>
        <row r="744">
          <cell r="A744">
            <v>0</v>
          </cell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</row>
        <row r="745">
          <cell r="A745">
            <v>0</v>
          </cell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</row>
        <row r="746">
          <cell r="A746">
            <v>0</v>
          </cell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</row>
        <row r="747">
          <cell r="A747">
            <v>0</v>
          </cell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</row>
        <row r="748">
          <cell r="A748">
            <v>0</v>
          </cell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</row>
        <row r="750">
          <cell r="A750">
            <v>0</v>
          </cell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</row>
        <row r="751">
          <cell r="A751">
            <v>0</v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</row>
        <row r="752">
          <cell r="A752">
            <v>0</v>
          </cell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</row>
        <row r="755">
          <cell r="A755">
            <v>0</v>
          </cell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</row>
        <row r="756">
          <cell r="A756">
            <v>0</v>
          </cell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</row>
        <row r="757">
          <cell r="A757">
            <v>0</v>
          </cell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</row>
        <row r="758">
          <cell r="A758">
            <v>0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</row>
        <row r="759">
          <cell r="A759">
            <v>0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</row>
        <row r="760">
          <cell r="A760">
            <v>0</v>
          </cell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</row>
        <row r="761">
          <cell r="A761">
            <v>0</v>
          </cell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</row>
        <row r="762">
          <cell r="A762">
            <v>0</v>
          </cell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</row>
        <row r="763">
          <cell r="A763">
            <v>0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</row>
        <row r="764">
          <cell r="A764">
            <v>0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</row>
        <row r="765">
          <cell r="A765">
            <v>0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</row>
        <row r="766">
          <cell r="A766">
            <v>0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</row>
        <row r="767">
          <cell r="A767">
            <v>0</v>
          </cell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</row>
        <row r="768">
          <cell r="A768">
            <v>0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</row>
        <row r="769">
          <cell r="A769">
            <v>0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</row>
        <row r="770">
          <cell r="A770">
            <v>0</v>
          </cell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</row>
        <row r="771">
          <cell r="A771">
            <v>0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</row>
        <row r="772">
          <cell r="A772">
            <v>0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</row>
        <row r="773">
          <cell r="A773">
            <v>0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</row>
        <row r="774">
          <cell r="A774">
            <v>0</v>
          </cell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</row>
        <row r="775">
          <cell r="A775">
            <v>0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</row>
        <row r="776">
          <cell r="A776">
            <v>0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</row>
        <row r="777">
          <cell r="A777">
            <v>0</v>
          </cell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</row>
        <row r="778">
          <cell r="A778">
            <v>0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</row>
        <row r="779">
          <cell r="A779">
            <v>0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</row>
        <row r="780">
          <cell r="A780">
            <v>0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</row>
        <row r="781">
          <cell r="A781">
            <v>0</v>
          </cell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</row>
        <row r="782">
          <cell r="A782">
            <v>0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</row>
        <row r="783">
          <cell r="A783">
            <v>0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</row>
        <row r="784">
          <cell r="A784">
            <v>0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</row>
        <row r="785">
          <cell r="A785">
            <v>0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</row>
        <row r="786">
          <cell r="A786">
            <v>0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</row>
        <row r="787">
          <cell r="A787">
            <v>0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</row>
        <row r="788">
          <cell r="A788">
            <v>0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</row>
        <row r="789">
          <cell r="A789">
            <v>0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</row>
        <row r="790">
          <cell r="A790">
            <v>0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</row>
        <row r="791">
          <cell r="A791">
            <v>0</v>
          </cell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</row>
        <row r="792">
          <cell r="A792">
            <v>0</v>
          </cell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</row>
        <row r="793">
          <cell r="A793">
            <v>0</v>
          </cell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</row>
        <row r="794">
          <cell r="A794">
            <v>0</v>
          </cell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</row>
        <row r="795">
          <cell r="A795">
            <v>0</v>
          </cell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</row>
        <row r="796">
          <cell r="A796">
            <v>0</v>
          </cell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</row>
        <row r="797">
          <cell r="A797">
            <v>0</v>
          </cell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</row>
        <row r="798">
          <cell r="A798">
            <v>0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</row>
        <row r="799">
          <cell r="A799">
            <v>0</v>
          </cell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</row>
        <row r="800">
          <cell r="A800">
            <v>0</v>
          </cell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</row>
        <row r="801">
          <cell r="A801">
            <v>0</v>
          </cell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</row>
        <row r="802">
          <cell r="A802">
            <v>0</v>
          </cell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</row>
        <row r="803">
          <cell r="A803">
            <v>0</v>
          </cell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</row>
        <row r="804">
          <cell r="A804">
            <v>0</v>
          </cell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</row>
        <row r="805">
          <cell r="A805">
            <v>0</v>
          </cell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</row>
        <row r="806">
          <cell r="A806">
            <v>0</v>
          </cell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</row>
        <row r="807">
          <cell r="A807">
            <v>0</v>
          </cell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</row>
        <row r="808">
          <cell r="A808">
            <v>0</v>
          </cell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</row>
        <row r="809">
          <cell r="A809">
            <v>0</v>
          </cell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</row>
        <row r="810">
          <cell r="A810">
            <v>0</v>
          </cell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</row>
        <row r="811">
          <cell r="A811">
            <v>0</v>
          </cell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</row>
        <row r="812">
          <cell r="A812">
            <v>0</v>
          </cell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</row>
        <row r="813">
          <cell r="A813">
            <v>0</v>
          </cell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</row>
        <row r="814">
          <cell r="A814">
            <v>0</v>
          </cell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</row>
        <row r="815">
          <cell r="A815">
            <v>0</v>
          </cell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</row>
        <row r="816">
          <cell r="A816">
            <v>0</v>
          </cell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</row>
        <row r="817">
          <cell r="A817">
            <v>0</v>
          </cell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</row>
        <row r="818">
          <cell r="A818">
            <v>0</v>
          </cell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</row>
        <row r="819">
          <cell r="A819">
            <v>0</v>
          </cell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</row>
        <row r="820">
          <cell r="A820">
            <v>0</v>
          </cell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</row>
        <row r="821">
          <cell r="A821">
            <v>0</v>
          </cell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</row>
        <row r="822">
          <cell r="A822">
            <v>0</v>
          </cell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</row>
        <row r="823">
          <cell r="A823">
            <v>0</v>
          </cell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</row>
        <row r="824">
          <cell r="A824">
            <v>0</v>
          </cell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</row>
        <row r="825">
          <cell r="A825">
            <v>0</v>
          </cell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</row>
        <row r="826">
          <cell r="A826">
            <v>0</v>
          </cell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</row>
        <row r="827">
          <cell r="A827">
            <v>0</v>
          </cell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</row>
        <row r="828">
          <cell r="A828">
            <v>0</v>
          </cell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</row>
        <row r="829">
          <cell r="A829">
            <v>0</v>
          </cell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</row>
        <row r="830">
          <cell r="A830">
            <v>0</v>
          </cell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</row>
        <row r="831">
          <cell r="A831">
            <v>0</v>
          </cell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</row>
        <row r="832">
          <cell r="A832">
            <v>0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</row>
        <row r="833">
          <cell r="A833">
            <v>0</v>
          </cell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</row>
        <row r="834">
          <cell r="A834">
            <v>0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</row>
        <row r="835">
          <cell r="A835">
            <v>0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</row>
        <row r="836">
          <cell r="A836">
            <v>0</v>
          </cell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</row>
        <row r="837">
          <cell r="A837">
            <v>0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</row>
        <row r="838">
          <cell r="A838">
            <v>0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</row>
        <row r="839">
          <cell r="A839">
            <v>0</v>
          </cell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</row>
        <row r="840">
          <cell r="A840">
            <v>0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</row>
        <row r="841">
          <cell r="A841">
            <v>0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</row>
        <row r="842">
          <cell r="A842">
            <v>0</v>
          </cell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</row>
        <row r="843">
          <cell r="A843">
            <v>0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</row>
        <row r="844">
          <cell r="A844">
            <v>0</v>
          </cell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</row>
        <row r="845">
          <cell r="A845">
            <v>0</v>
          </cell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</row>
        <row r="846">
          <cell r="A846">
            <v>0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</row>
        <row r="847">
          <cell r="A847">
            <v>0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</row>
        <row r="848">
          <cell r="A848">
            <v>0</v>
          </cell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</row>
        <row r="849">
          <cell r="A849">
            <v>0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</row>
        <row r="850">
          <cell r="A850">
            <v>0</v>
          </cell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</row>
        <row r="851">
          <cell r="A851">
            <v>0</v>
          </cell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</row>
        <row r="852">
          <cell r="A852">
            <v>0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</row>
        <row r="853">
          <cell r="A853">
            <v>0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</row>
        <row r="854">
          <cell r="A854">
            <v>0</v>
          </cell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</row>
        <row r="855">
          <cell r="A855">
            <v>0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</row>
        <row r="856">
          <cell r="A856">
            <v>0</v>
          </cell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</row>
        <row r="857">
          <cell r="A857">
            <v>0</v>
          </cell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</row>
        <row r="858">
          <cell r="A858">
            <v>0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</row>
        <row r="859">
          <cell r="A859">
            <v>0</v>
          </cell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</row>
        <row r="860">
          <cell r="A860">
            <v>0</v>
          </cell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</row>
        <row r="861">
          <cell r="A861">
            <v>0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</row>
        <row r="862">
          <cell r="A862">
            <v>0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</row>
        <row r="863">
          <cell r="A863">
            <v>0</v>
          </cell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</row>
        <row r="864">
          <cell r="A864">
            <v>0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</row>
        <row r="865">
          <cell r="A865">
            <v>0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</row>
        <row r="866">
          <cell r="A866">
            <v>0</v>
          </cell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</row>
        <row r="867">
          <cell r="A867">
            <v>0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</row>
        <row r="868">
          <cell r="A868">
            <v>0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</row>
        <row r="869">
          <cell r="A869">
            <v>0</v>
          </cell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</row>
        <row r="870">
          <cell r="A870">
            <v>0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</row>
        <row r="871">
          <cell r="A871">
            <v>0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</row>
        <row r="872">
          <cell r="A872">
            <v>0</v>
          </cell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</row>
        <row r="873">
          <cell r="A873">
            <v>0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</row>
        <row r="874">
          <cell r="A874">
            <v>0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</row>
        <row r="875">
          <cell r="A875">
            <v>0</v>
          </cell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</row>
        <row r="876">
          <cell r="A876">
            <v>0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</row>
        <row r="877">
          <cell r="A877">
            <v>0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</row>
        <row r="878">
          <cell r="A878">
            <v>0</v>
          </cell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</row>
        <row r="879">
          <cell r="A879">
            <v>0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</row>
        <row r="880">
          <cell r="A880">
            <v>0</v>
          </cell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</row>
        <row r="881">
          <cell r="A881">
            <v>0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</row>
        <row r="882">
          <cell r="A882">
            <v>0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</row>
        <row r="883">
          <cell r="A883">
            <v>0</v>
          </cell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</row>
        <row r="884">
          <cell r="A884">
            <v>0</v>
          </cell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</row>
        <row r="885">
          <cell r="A885">
            <v>0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</row>
        <row r="886">
          <cell r="A886">
            <v>0</v>
          </cell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</row>
        <row r="887">
          <cell r="A887">
            <v>0</v>
          </cell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</row>
        <row r="888">
          <cell r="A888">
            <v>0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</row>
        <row r="889">
          <cell r="A889">
            <v>0</v>
          </cell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</row>
        <row r="890">
          <cell r="A890">
            <v>0</v>
          </cell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</row>
        <row r="891">
          <cell r="A891">
            <v>0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</row>
        <row r="892">
          <cell r="A892">
            <v>0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</row>
        <row r="893">
          <cell r="A893">
            <v>0</v>
          </cell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</row>
        <row r="894">
          <cell r="A894">
            <v>0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</row>
        <row r="895">
          <cell r="A895">
            <v>0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</row>
        <row r="896">
          <cell r="A896">
            <v>0</v>
          </cell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</row>
        <row r="897">
          <cell r="A897">
            <v>0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</row>
        <row r="898">
          <cell r="A898">
            <v>0</v>
          </cell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</row>
        <row r="899">
          <cell r="A899">
            <v>0</v>
          </cell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</row>
        <row r="900">
          <cell r="A900">
            <v>0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</row>
        <row r="901">
          <cell r="A901">
            <v>0</v>
          </cell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</row>
        <row r="902">
          <cell r="A902">
            <v>0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</row>
        <row r="903">
          <cell r="A903">
            <v>0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</row>
        <row r="904">
          <cell r="A904">
            <v>0</v>
          </cell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</row>
        <row r="905">
          <cell r="A905">
            <v>0</v>
          </cell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</row>
        <row r="906">
          <cell r="A906">
            <v>0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</row>
        <row r="907">
          <cell r="A907">
            <v>0</v>
          </cell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</row>
        <row r="908">
          <cell r="A908">
            <v>0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</row>
        <row r="909">
          <cell r="A909">
            <v>0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</row>
        <row r="910">
          <cell r="A910">
            <v>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</row>
        <row r="911">
          <cell r="A911">
            <v>0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</row>
        <row r="912">
          <cell r="A912">
            <v>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</row>
        <row r="913">
          <cell r="A913">
            <v>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</row>
        <row r="914">
          <cell r="A914">
            <v>0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</row>
        <row r="915">
          <cell r="A915">
            <v>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</row>
        <row r="916">
          <cell r="A916">
            <v>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</row>
        <row r="917">
          <cell r="A917">
            <v>0</v>
          </cell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</row>
        <row r="918">
          <cell r="A918">
            <v>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</row>
        <row r="919">
          <cell r="A919">
            <v>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</row>
        <row r="920">
          <cell r="A920">
            <v>0</v>
          </cell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</row>
        <row r="921">
          <cell r="A921">
            <v>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</row>
        <row r="922">
          <cell r="A922">
            <v>0</v>
          </cell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</row>
        <row r="923">
          <cell r="A923">
            <v>0</v>
          </cell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</row>
        <row r="924">
          <cell r="A924">
            <v>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</row>
        <row r="925">
          <cell r="A925">
            <v>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</row>
        <row r="926">
          <cell r="A926">
            <v>0</v>
          </cell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</row>
        <row r="927">
          <cell r="A927">
            <v>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</row>
        <row r="928">
          <cell r="A928">
            <v>0</v>
          </cell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</row>
        <row r="929">
          <cell r="A929">
            <v>0</v>
          </cell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</row>
        <row r="930">
          <cell r="A930">
            <v>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</row>
        <row r="931">
          <cell r="A931">
            <v>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</row>
        <row r="932">
          <cell r="A932">
            <v>0</v>
          </cell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</row>
        <row r="933">
          <cell r="A933">
            <v>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</row>
        <row r="934">
          <cell r="A934">
            <v>0</v>
          </cell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</row>
        <row r="935">
          <cell r="A935">
            <v>0</v>
          </cell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</row>
        <row r="936">
          <cell r="A936">
            <v>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</row>
        <row r="937">
          <cell r="A937">
            <v>0</v>
          </cell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</row>
        <row r="938">
          <cell r="A938">
            <v>0</v>
          </cell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</row>
        <row r="939">
          <cell r="A939">
            <v>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</row>
        <row r="940">
          <cell r="A940">
            <v>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</row>
        <row r="941">
          <cell r="A941">
            <v>0</v>
          </cell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</row>
        <row r="942">
          <cell r="A942">
            <v>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</row>
        <row r="943">
          <cell r="A943">
            <v>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</row>
        <row r="944">
          <cell r="A944">
            <v>0</v>
          </cell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</row>
        <row r="945">
          <cell r="A945">
            <v>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</row>
        <row r="946">
          <cell r="A946">
            <v>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</row>
        <row r="947">
          <cell r="A947">
            <v>0</v>
          </cell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</row>
        <row r="948">
          <cell r="A948">
            <v>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</row>
        <row r="949">
          <cell r="A949">
            <v>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</row>
        <row r="950">
          <cell r="A950">
            <v>0</v>
          </cell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</row>
        <row r="951">
          <cell r="A951">
            <v>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</row>
        <row r="952">
          <cell r="A952">
            <v>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</row>
        <row r="953">
          <cell r="A953">
            <v>0</v>
          </cell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</row>
        <row r="954">
          <cell r="A954">
            <v>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</row>
        <row r="955">
          <cell r="A955">
            <v>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</row>
        <row r="956">
          <cell r="A956">
            <v>0</v>
          </cell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</row>
        <row r="957">
          <cell r="A957">
            <v>0</v>
          </cell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</row>
        <row r="958">
          <cell r="A958">
            <v>0</v>
          </cell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</row>
        <row r="959">
          <cell r="A959">
            <v>0</v>
          </cell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</row>
        <row r="960">
          <cell r="A960">
            <v>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</row>
        <row r="961">
          <cell r="A961">
            <v>0</v>
          </cell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</row>
        <row r="962">
          <cell r="A962">
            <v>0</v>
          </cell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</row>
        <row r="963">
          <cell r="A963">
            <v>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</row>
        <row r="964">
          <cell r="A964">
            <v>0</v>
          </cell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</row>
        <row r="965">
          <cell r="A965">
            <v>0</v>
          </cell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</row>
        <row r="966">
          <cell r="A966">
            <v>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</row>
        <row r="967">
          <cell r="A967">
            <v>0</v>
          </cell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</row>
        <row r="968">
          <cell r="A968">
            <v>0</v>
          </cell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</row>
        <row r="969">
          <cell r="A969">
            <v>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</row>
        <row r="970">
          <cell r="A970">
            <v>0</v>
          </cell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</row>
        <row r="971">
          <cell r="A971">
            <v>0</v>
          </cell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</row>
        <row r="972">
          <cell r="A972">
            <v>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</row>
        <row r="973">
          <cell r="A973">
            <v>0</v>
          </cell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</row>
        <row r="974">
          <cell r="A974">
            <v>0</v>
          </cell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</row>
        <row r="975">
          <cell r="A975">
            <v>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</row>
        <row r="976">
          <cell r="A976">
            <v>0</v>
          </cell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</row>
        <row r="977">
          <cell r="A977">
            <v>0</v>
          </cell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</row>
        <row r="978">
          <cell r="A978">
            <v>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</row>
        <row r="979">
          <cell r="A979">
            <v>0</v>
          </cell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</row>
        <row r="980">
          <cell r="A980">
            <v>0</v>
          </cell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</row>
        <row r="981">
          <cell r="A981">
            <v>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</row>
        <row r="982">
          <cell r="A982">
            <v>0</v>
          </cell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</row>
        <row r="983">
          <cell r="A983">
            <v>0</v>
          </cell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</row>
        <row r="984">
          <cell r="A984">
            <v>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</row>
        <row r="985">
          <cell r="A985">
            <v>0</v>
          </cell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</row>
        <row r="986">
          <cell r="A986">
            <v>0</v>
          </cell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</row>
        <row r="987">
          <cell r="A987">
            <v>0</v>
          </cell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</row>
        <row r="988">
          <cell r="A988">
            <v>0</v>
          </cell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</row>
        <row r="989">
          <cell r="A989">
            <v>0</v>
          </cell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</row>
        <row r="990">
          <cell r="A990">
            <v>0</v>
          </cell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</row>
        <row r="991">
          <cell r="A991">
            <v>0</v>
          </cell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</row>
        <row r="992">
          <cell r="A992">
            <v>0</v>
          </cell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</row>
        <row r="993">
          <cell r="A993">
            <v>0</v>
          </cell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</row>
        <row r="994">
          <cell r="A994">
            <v>0</v>
          </cell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</row>
        <row r="995">
          <cell r="A995">
            <v>0</v>
          </cell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</row>
        <row r="996">
          <cell r="A996">
            <v>0</v>
          </cell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</row>
        <row r="997">
          <cell r="A997">
            <v>0</v>
          </cell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</row>
        <row r="998">
          <cell r="A998">
            <v>0</v>
          </cell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</row>
        <row r="999">
          <cell r="A999">
            <v>0</v>
          </cell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</row>
        <row r="1000">
          <cell r="A1000">
            <v>0</v>
          </cell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TEMA C1"/>
      <sheetName val="TEMA C2"/>
      <sheetName val="TEMA C3"/>
      <sheetName val="TEMA HAJI"/>
      <sheetName val="PD"/>
      <sheetName val="AAV"/>
      <sheetName val="GC"/>
      <sheetName val="RVO"/>
      <sheetName val="EKS"/>
      <sheetName val="Sheet4"/>
      <sheetName val="SBPV"/>
      <sheetName val="AKTIF"/>
      <sheetName val="DATABASE"/>
      <sheetName val="Sheet1"/>
      <sheetName val="NEW DATABASE"/>
      <sheetName val="KURANG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NPK</v>
          </cell>
          <cell r="B1" t="str">
            <v>NAMA</v>
          </cell>
          <cell r="C1" t="str">
            <v>POSISI</v>
          </cell>
          <cell r="D1" t="str">
            <v>START</v>
          </cell>
          <cell r="E1" t="str">
            <v>FINISH</v>
          </cell>
          <cell r="F1" t="str">
            <v>PERIODE</v>
          </cell>
          <cell r="G1" t="str">
            <v>BULAN INI</v>
          </cell>
          <cell r="H1" t="str">
            <v>BULAN BERJALAN</v>
          </cell>
          <cell r="I1" t="str">
            <v>BULAN EKSLUSIF</v>
          </cell>
          <cell r="J1" t="str">
            <v>RUPIAH</v>
          </cell>
          <cell r="K1">
            <v>0</v>
          </cell>
        </row>
        <row r="2">
          <cell r="A2" t="str">
            <v>A2615</v>
          </cell>
          <cell r="B2" t="str">
            <v>Novita Langkai</v>
          </cell>
          <cell r="C2" t="str">
            <v>AAV</v>
          </cell>
          <cell r="D2">
            <v>45505</v>
          </cell>
          <cell r="E2">
            <v>45658</v>
          </cell>
          <cell r="F2">
            <v>6</v>
          </cell>
          <cell r="G2">
            <v>45658</v>
          </cell>
          <cell r="H2">
            <v>6</v>
          </cell>
          <cell r="I2">
            <v>45814</v>
          </cell>
          <cell r="J2" t="str">
            <v>Rp1,600,000</v>
          </cell>
          <cell r="K2" t="str">
            <v>EKSKLUSIF</v>
          </cell>
        </row>
        <row r="3">
          <cell r="A3" t="str">
            <v>A0349</v>
          </cell>
          <cell r="B3" t="str">
            <v>Ahmad Zainal Arifin</v>
          </cell>
          <cell r="C3" t="str">
            <v>AAV</v>
          </cell>
          <cell r="D3">
            <v>45536</v>
          </cell>
          <cell r="E3">
            <v>45689</v>
          </cell>
          <cell r="F3">
            <v>6</v>
          </cell>
          <cell r="G3">
            <v>45658</v>
          </cell>
          <cell r="H3">
            <v>5</v>
          </cell>
          <cell r="I3">
            <v>45783</v>
          </cell>
          <cell r="J3">
            <v>500</v>
          </cell>
          <cell r="K3" t="str">
            <v>EKSKLUSIF</v>
          </cell>
        </row>
        <row r="4">
          <cell r="A4" t="str">
            <v>A2873</v>
          </cell>
          <cell r="B4" t="str">
            <v>CHRISTOPHER LAKSAWANA</v>
          </cell>
          <cell r="C4" t="str">
            <v>AAV</v>
          </cell>
          <cell r="D4">
            <v>45536</v>
          </cell>
          <cell r="E4">
            <v>45689</v>
          </cell>
          <cell r="F4">
            <v>6</v>
          </cell>
          <cell r="G4">
            <v>45658</v>
          </cell>
          <cell r="H4">
            <v>5</v>
          </cell>
          <cell r="I4">
            <v>45783</v>
          </cell>
          <cell r="J4">
            <v>500</v>
          </cell>
          <cell r="K4" t="str">
            <v>EKSKLUSIF</v>
          </cell>
        </row>
        <row r="5">
          <cell r="A5" t="str">
            <v>A2066</v>
          </cell>
          <cell r="B5" t="str">
            <v>YULIANT EFENDI</v>
          </cell>
          <cell r="C5" t="str">
            <v>AAV</v>
          </cell>
          <cell r="D5">
            <v>45566</v>
          </cell>
          <cell r="E5">
            <v>45717</v>
          </cell>
          <cell r="F5">
            <v>6</v>
          </cell>
          <cell r="G5">
            <v>45658</v>
          </cell>
          <cell r="H5">
            <v>4</v>
          </cell>
          <cell r="I5">
            <v>45753</v>
          </cell>
          <cell r="J5">
            <v>400</v>
          </cell>
          <cell r="K5" t="str">
            <v>EKSKLUSIF</v>
          </cell>
        </row>
        <row r="6">
          <cell r="A6" t="str">
            <v>A2383</v>
          </cell>
          <cell r="B6" t="str">
            <v>RYSMA NUR HIDAYAH</v>
          </cell>
          <cell r="C6" t="str">
            <v>SBPV</v>
          </cell>
          <cell r="D6">
            <v>45566</v>
          </cell>
          <cell r="E6">
            <v>45717</v>
          </cell>
          <cell r="F6">
            <v>6</v>
          </cell>
          <cell r="G6">
            <v>45658</v>
          </cell>
          <cell r="H6">
            <v>4</v>
          </cell>
          <cell r="I6">
            <v>45753</v>
          </cell>
          <cell r="J6">
            <v>400</v>
          </cell>
          <cell r="K6" t="str">
            <v>EKSKLUSIF</v>
          </cell>
        </row>
        <row r="7">
          <cell r="A7" t="str">
            <v>A1971</v>
          </cell>
          <cell r="B7" t="str">
            <v>ANGGI BEATRIKS SERAN</v>
          </cell>
          <cell r="C7" t="str">
            <v>SBPV</v>
          </cell>
          <cell r="D7">
            <v>45566</v>
          </cell>
          <cell r="E7">
            <v>45717</v>
          </cell>
          <cell r="F7">
            <v>6</v>
          </cell>
          <cell r="G7">
            <v>45658</v>
          </cell>
          <cell r="H7">
            <v>4</v>
          </cell>
          <cell r="I7">
            <v>45753</v>
          </cell>
          <cell r="J7">
            <v>400</v>
          </cell>
          <cell r="K7" t="str">
            <v>EKSKLUSIF</v>
          </cell>
        </row>
        <row r="8">
          <cell r="A8" t="str">
            <v>A2001</v>
          </cell>
          <cell r="B8" t="str">
            <v>M MENTARI GAGAT RAYNA</v>
          </cell>
          <cell r="C8" t="str">
            <v>SBPV</v>
          </cell>
          <cell r="D8">
            <v>45566</v>
          </cell>
          <cell r="E8">
            <v>45717</v>
          </cell>
          <cell r="F8">
            <v>6</v>
          </cell>
          <cell r="G8">
            <v>45658</v>
          </cell>
          <cell r="H8">
            <v>4</v>
          </cell>
          <cell r="I8">
            <v>45753</v>
          </cell>
          <cell r="J8">
            <v>400</v>
          </cell>
          <cell r="K8" t="str">
            <v>EKSKLUSIF</v>
          </cell>
        </row>
        <row r="9">
          <cell r="A9">
            <v>92175</v>
          </cell>
          <cell r="B9" t="str">
            <v>AYU AMELIA RESANTI</v>
          </cell>
          <cell r="C9" t="str">
            <v>SBPV</v>
          </cell>
          <cell r="D9">
            <v>45597</v>
          </cell>
          <cell r="E9">
            <v>45748</v>
          </cell>
          <cell r="F9">
            <v>6</v>
          </cell>
          <cell r="G9">
            <v>45658</v>
          </cell>
          <cell r="H9">
            <v>3</v>
          </cell>
          <cell r="I9">
            <v>45722</v>
          </cell>
          <cell r="J9">
            <v>400</v>
          </cell>
          <cell r="K9" t="str">
            <v>EKSKLUSIF</v>
          </cell>
        </row>
        <row r="10">
          <cell r="A10" t="str">
            <v>A2924</v>
          </cell>
          <cell r="B10" t="str">
            <v>IRA EVELIN SIHALOHO</v>
          </cell>
          <cell r="C10" t="str">
            <v>SBPV</v>
          </cell>
          <cell r="D10">
            <v>45627</v>
          </cell>
          <cell r="E10">
            <v>45778</v>
          </cell>
          <cell r="F10">
            <v>6</v>
          </cell>
          <cell r="G10">
            <v>45658</v>
          </cell>
          <cell r="H10">
            <v>2</v>
          </cell>
          <cell r="I10">
            <v>45694</v>
          </cell>
          <cell r="J10">
            <v>300</v>
          </cell>
          <cell r="K10" t="str">
            <v>EKSKLUSIF</v>
          </cell>
        </row>
        <row r="11">
          <cell r="A11" t="str">
            <v>A1952</v>
          </cell>
          <cell r="B11" t="str">
            <v>LAURENSIUS AXEL RADITYA PRADANA</v>
          </cell>
          <cell r="C11" t="str">
            <v>RVO</v>
          </cell>
          <cell r="D11">
            <v>45536</v>
          </cell>
          <cell r="E11">
            <v>45689</v>
          </cell>
          <cell r="F11">
            <v>6</v>
          </cell>
          <cell r="G11">
            <v>45658</v>
          </cell>
          <cell r="H11">
            <v>5</v>
          </cell>
          <cell r="I11">
            <v>45783</v>
          </cell>
          <cell r="J11">
            <v>500</v>
          </cell>
          <cell r="K11" t="str">
            <v>EKSKLUSIF</v>
          </cell>
        </row>
        <row r="12">
          <cell r="A12">
            <v>92694</v>
          </cell>
          <cell r="B12" t="str">
            <v>Wahyu Nugroho</v>
          </cell>
          <cell r="C12" t="str">
            <v>RVO</v>
          </cell>
          <cell r="D12">
            <v>45566</v>
          </cell>
          <cell r="E12">
            <v>45717</v>
          </cell>
          <cell r="F12">
            <v>6</v>
          </cell>
          <cell r="G12">
            <v>45658</v>
          </cell>
          <cell r="H12">
            <v>4</v>
          </cell>
          <cell r="I12">
            <v>45753</v>
          </cell>
          <cell r="J12">
            <v>400</v>
          </cell>
          <cell r="K12" t="str">
            <v>EKSKLUSIF</v>
          </cell>
        </row>
        <row r="13">
          <cell r="A13" t="str">
            <v>A3442</v>
          </cell>
          <cell r="B13" t="str">
            <v>IRFAN FEBRIYANTORO</v>
          </cell>
          <cell r="C13" t="str">
            <v>RVO</v>
          </cell>
          <cell r="D13">
            <v>45566</v>
          </cell>
          <cell r="E13">
            <v>45717</v>
          </cell>
          <cell r="F13">
            <v>6</v>
          </cell>
          <cell r="G13">
            <v>45658</v>
          </cell>
          <cell r="H13">
            <v>4</v>
          </cell>
          <cell r="I13">
            <v>45753</v>
          </cell>
          <cell r="J13">
            <v>400</v>
          </cell>
          <cell r="K13" t="str">
            <v>EKSKLUSIF</v>
          </cell>
        </row>
        <row r="14">
          <cell r="A14" t="str">
            <v>A3437</v>
          </cell>
          <cell r="B14" t="str">
            <v>YOHANA CLAUDIA</v>
          </cell>
          <cell r="C14" t="str">
            <v>RVO</v>
          </cell>
          <cell r="D14">
            <v>45597</v>
          </cell>
          <cell r="E14">
            <v>45658</v>
          </cell>
          <cell r="F14">
            <v>3</v>
          </cell>
          <cell r="G14">
            <v>45658</v>
          </cell>
          <cell r="H14">
            <v>3</v>
          </cell>
          <cell r="I14">
            <v>45719</v>
          </cell>
          <cell r="J14">
            <v>900</v>
          </cell>
          <cell r="K14" t="str">
            <v>EKSKLUSIF</v>
          </cell>
        </row>
        <row r="15">
          <cell r="A15" t="str">
            <v>A0072</v>
          </cell>
          <cell r="B15" t="str">
            <v>Rahmad Dwi Adrian</v>
          </cell>
          <cell r="C15" t="str">
            <v>RVO</v>
          </cell>
          <cell r="D15">
            <v>45597</v>
          </cell>
          <cell r="E15">
            <v>45717</v>
          </cell>
          <cell r="F15">
            <v>6</v>
          </cell>
          <cell r="G15">
            <v>45658</v>
          </cell>
          <cell r="H15">
            <v>3</v>
          </cell>
          <cell r="I15">
            <v>45722</v>
          </cell>
          <cell r="J15">
            <v>400</v>
          </cell>
          <cell r="K15" t="str">
            <v>EKSKLUSIF</v>
          </cell>
        </row>
        <row r="16">
          <cell r="A16">
            <v>92709</v>
          </cell>
          <cell r="B16" t="str">
            <v>Dany Ahmad Farrastio</v>
          </cell>
          <cell r="C16" t="str">
            <v>RVO</v>
          </cell>
          <cell r="D16">
            <v>45597</v>
          </cell>
          <cell r="E16">
            <v>45658</v>
          </cell>
          <cell r="F16">
            <v>3</v>
          </cell>
          <cell r="G16">
            <v>45658</v>
          </cell>
          <cell r="H16">
            <v>3</v>
          </cell>
          <cell r="I16">
            <v>45719</v>
          </cell>
          <cell r="J16">
            <v>900</v>
          </cell>
          <cell r="K16" t="str">
            <v>EKSKLUSIF</v>
          </cell>
        </row>
        <row r="17">
          <cell r="A17">
            <v>92717</v>
          </cell>
          <cell r="B17" t="str">
            <v>Gresmilen Bilgis</v>
          </cell>
          <cell r="C17" t="str">
            <v>RVO</v>
          </cell>
          <cell r="D17">
            <v>45627</v>
          </cell>
          <cell r="E17">
            <v>45689</v>
          </cell>
          <cell r="F17">
            <v>3</v>
          </cell>
          <cell r="G17">
            <v>45658</v>
          </cell>
          <cell r="H17">
            <v>2</v>
          </cell>
          <cell r="I17">
            <v>45691</v>
          </cell>
          <cell r="J17">
            <v>300</v>
          </cell>
          <cell r="K17" t="str">
            <v>EKSKLUSIF</v>
          </cell>
        </row>
        <row r="18">
          <cell r="A18">
            <v>90933</v>
          </cell>
          <cell r="B18" t="str">
            <v>REZA DESTI VAUZIA</v>
          </cell>
          <cell r="C18" t="str">
            <v>RVO</v>
          </cell>
          <cell r="D18">
            <v>45627</v>
          </cell>
          <cell r="E18">
            <v>45689</v>
          </cell>
          <cell r="F18">
            <v>3</v>
          </cell>
          <cell r="G18">
            <v>45658</v>
          </cell>
          <cell r="H18">
            <v>2</v>
          </cell>
          <cell r="I18">
            <v>45691</v>
          </cell>
          <cell r="J18">
            <v>300</v>
          </cell>
          <cell r="K18" t="str">
            <v>EKSKLUSIF</v>
          </cell>
        </row>
        <row r="19">
          <cell r="A19">
            <v>90363</v>
          </cell>
          <cell r="B19" t="str">
            <v>Nurma Hayu</v>
          </cell>
          <cell r="C19" t="str">
            <v>RVO</v>
          </cell>
          <cell r="D19">
            <v>45627</v>
          </cell>
          <cell r="E19">
            <v>45689</v>
          </cell>
          <cell r="F19">
            <v>3</v>
          </cell>
          <cell r="G19">
            <v>45658</v>
          </cell>
          <cell r="H19">
            <v>2</v>
          </cell>
          <cell r="I19">
            <v>45691</v>
          </cell>
          <cell r="J19">
            <v>300</v>
          </cell>
          <cell r="K19" t="str">
            <v>EKSKLUSIF</v>
          </cell>
        </row>
        <row r="20">
          <cell r="A20" t="str">
            <v>A0155</v>
          </cell>
          <cell r="B20" t="str">
            <v>Raymon Piterz Godlieb</v>
          </cell>
          <cell r="C20" t="str">
            <v>RVO</v>
          </cell>
          <cell r="D20">
            <v>45658</v>
          </cell>
          <cell r="E20">
            <v>45809</v>
          </cell>
          <cell r="F20">
            <v>6</v>
          </cell>
          <cell r="G20">
            <v>45658</v>
          </cell>
          <cell r="H20">
            <v>1</v>
          </cell>
          <cell r="I20">
            <v>45663</v>
          </cell>
          <cell r="J20">
            <v>300</v>
          </cell>
          <cell r="K20" t="str">
            <v>EKSKLUSIF</v>
          </cell>
        </row>
        <row r="21">
          <cell r="A21" t="str">
            <v>A3436</v>
          </cell>
          <cell r="B21" t="str">
            <v>Anita Kristiana laia</v>
          </cell>
          <cell r="C21" t="str">
            <v>RVO</v>
          </cell>
          <cell r="D21">
            <v>45658</v>
          </cell>
          <cell r="E21">
            <v>45717</v>
          </cell>
          <cell r="F21">
            <v>3</v>
          </cell>
          <cell r="G21">
            <v>45658</v>
          </cell>
          <cell r="H21">
            <v>1</v>
          </cell>
          <cell r="I21">
            <v>45660</v>
          </cell>
          <cell r="J21">
            <v>300</v>
          </cell>
          <cell r="K21" t="str">
            <v>EKSKLUSIF</v>
          </cell>
        </row>
        <row r="22">
          <cell r="A22">
            <v>90613</v>
          </cell>
          <cell r="B22" t="str">
            <v>JOHAN AIMAN RAIS</v>
          </cell>
          <cell r="C22" t="str">
            <v>RVO</v>
          </cell>
          <cell r="D22">
            <v>45658</v>
          </cell>
          <cell r="E22">
            <v>45717</v>
          </cell>
          <cell r="F22">
            <v>3</v>
          </cell>
          <cell r="G22">
            <v>45658</v>
          </cell>
          <cell r="H22">
            <v>1</v>
          </cell>
          <cell r="I22">
            <v>45660</v>
          </cell>
          <cell r="J22">
            <v>300</v>
          </cell>
          <cell r="K22" t="str">
            <v>EKSKLUSIF</v>
          </cell>
        </row>
        <row r="23">
          <cell r="A23">
            <v>92199</v>
          </cell>
          <cell r="B23" t="str">
            <v>Astri kurniawati</v>
          </cell>
          <cell r="C23" t="str">
            <v>RVO</v>
          </cell>
          <cell r="D23">
            <v>45658</v>
          </cell>
          <cell r="E23">
            <v>45717</v>
          </cell>
          <cell r="F23">
            <v>3</v>
          </cell>
          <cell r="G23">
            <v>45658</v>
          </cell>
          <cell r="H23">
            <v>1</v>
          </cell>
          <cell r="I23">
            <v>45660</v>
          </cell>
          <cell r="J23">
            <v>300</v>
          </cell>
          <cell r="K23" t="str">
            <v>EKSKLUSIF</v>
          </cell>
        </row>
        <row r="24">
          <cell r="A24" t="str">
            <v>A2953</v>
          </cell>
          <cell r="B24" t="str">
            <v>NAWANGWULAN DESIKUMALA</v>
          </cell>
          <cell r="C24" t="str">
            <v>DELTA</v>
          </cell>
          <cell r="D24">
            <v>45597</v>
          </cell>
          <cell r="E24">
            <v>45658</v>
          </cell>
          <cell r="F24">
            <v>3</v>
          </cell>
          <cell r="G24">
            <v>45658</v>
          </cell>
          <cell r="H24">
            <v>3</v>
          </cell>
          <cell r="I24">
            <v>45719</v>
          </cell>
          <cell r="J24">
            <v>900</v>
          </cell>
          <cell r="K24" t="str">
            <v>EKSKLUSIF</v>
          </cell>
        </row>
        <row r="25">
          <cell r="A25" t="str">
            <v>A0453</v>
          </cell>
          <cell r="B25" t="str">
            <v>ANISA SHELA NOVITA</v>
          </cell>
          <cell r="C25" t="str">
            <v>DELTA</v>
          </cell>
          <cell r="D25">
            <v>45597</v>
          </cell>
          <cell r="E25">
            <v>45658</v>
          </cell>
          <cell r="F25">
            <v>3</v>
          </cell>
          <cell r="G25">
            <v>45658</v>
          </cell>
          <cell r="H25">
            <v>3</v>
          </cell>
          <cell r="I25">
            <v>45719</v>
          </cell>
          <cell r="J25">
            <v>900</v>
          </cell>
          <cell r="K25" t="str">
            <v>EKSKLUSIF</v>
          </cell>
        </row>
        <row r="26">
          <cell r="A26" t="str">
            <v>A3406</v>
          </cell>
          <cell r="B26" t="str">
            <v>SEPTI MUNTE</v>
          </cell>
          <cell r="C26" t="str">
            <v>DELTA</v>
          </cell>
          <cell r="D26">
            <v>45597</v>
          </cell>
          <cell r="E26">
            <v>45658</v>
          </cell>
          <cell r="F26">
            <v>3</v>
          </cell>
          <cell r="G26">
            <v>45658</v>
          </cell>
          <cell r="H26">
            <v>3</v>
          </cell>
          <cell r="I26">
            <v>45719</v>
          </cell>
          <cell r="J26">
            <v>900</v>
          </cell>
          <cell r="K26" t="str">
            <v>EKSKLUSIF</v>
          </cell>
        </row>
        <row r="27">
          <cell r="A27" t="str">
            <v>A1651</v>
          </cell>
          <cell r="B27" t="str">
            <v>NUR ROMADANI FITRIANA</v>
          </cell>
          <cell r="C27" t="str">
            <v>DELTA</v>
          </cell>
          <cell r="D27">
            <v>45597</v>
          </cell>
          <cell r="E27">
            <v>45658</v>
          </cell>
          <cell r="F27">
            <v>3</v>
          </cell>
          <cell r="G27">
            <v>45658</v>
          </cell>
          <cell r="H27">
            <v>3</v>
          </cell>
          <cell r="I27">
            <v>45719</v>
          </cell>
          <cell r="J27">
            <v>900</v>
          </cell>
          <cell r="K27" t="str">
            <v>EKSKLUSIF</v>
          </cell>
        </row>
        <row r="28">
          <cell r="A28" t="str">
            <v>A0458</v>
          </cell>
          <cell r="B28" t="str">
            <v>JOKO SLAMETO</v>
          </cell>
          <cell r="C28" t="str">
            <v>DELTA</v>
          </cell>
          <cell r="D28">
            <v>45597</v>
          </cell>
          <cell r="E28">
            <v>45658</v>
          </cell>
          <cell r="F28">
            <v>3</v>
          </cell>
          <cell r="G28">
            <v>45658</v>
          </cell>
          <cell r="H28">
            <v>3</v>
          </cell>
          <cell r="I28">
            <v>45719</v>
          </cell>
          <cell r="J28">
            <v>900</v>
          </cell>
          <cell r="K28" t="str">
            <v>EKSKLUSIF</v>
          </cell>
        </row>
        <row r="29">
          <cell r="A29" t="str">
            <v>A2179</v>
          </cell>
          <cell r="B29" t="str">
            <v>ANNISA LARASATI</v>
          </cell>
          <cell r="C29" t="str">
            <v>DELTA</v>
          </cell>
          <cell r="D29">
            <v>45597</v>
          </cell>
          <cell r="E29">
            <v>45658</v>
          </cell>
          <cell r="F29">
            <v>3</v>
          </cell>
          <cell r="G29">
            <v>45658</v>
          </cell>
          <cell r="H29">
            <v>3</v>
          </cell>
          <cell r="I29">
            <v>45719</v>
          </cell>
          <cell r="J29">
            <v>900</v>
          </cell>
          <cell r="K29" t="str">
            <v>EKSKLUSIF</v>
          </cell>
        </row>
        <row r="30">
          <cell r="A30" t="str">
            <v>A2507</v>
          </cell>
          <cell r="B30" t="str">
            <v>ARJUNA TANJUNG</v>
          </cell>
          <cell r="C30" t="str">
            <v>DELTA</v>
          </cell>
          <cell r="D30">
            <v>45597</v>
          </cell>
          <cell r="E30">
            <v>45658</v>
          </cell>
          <cell r="F30">
            <v>3</v>
          </cell>
          <cell r="G30">
            <v>45658</v>
          </cell>
          <cell r="H30">
            <v>3</v>
          </cell>
          <cell r="I30">
            <v>45719</v>
          </cell>
          <cell r="J30">
            <v>900</v>
          </cell>
          <cell r="K30" t="str">
            <v>EKSKLUSIF</v>
          </cell>
        </row>
        <row r="31">
          <cell r="A31">
            <v>92287</v>
          </cell>
          <cell r="B31" t="str">
            <v>ALYDA RIZKA</v>
          </cell>
          <cell r="C31" t="str">
            <v>DELTA</v>
          </cell>
          <cell r="D31">
            <v>45597</v>
          </cell>
          <cell r="E31">
            <v>45658</v>
          </cell>
          <cell r="F31">
            <v>3</v>
          </cell>
          <cell r="G31">
            <v>45658</v>
          </cell>
          <cell r="H31">
            <v>3</v>
          </cell>
          <cell r="I31">
            <v>45719</v>
          </cell>
          <cell r="J31">
            <v>900</v>
          </cell>
          <cell r="K31" t="str">
            <v>EKSKLUSIF</v>
          </cell>
        </row>
        <row r="32">
          <cell r="A32">
            <v>92504</v>
          </cell>
          <cell r="B32" t="str">
            <v>ARTIKA YUNITA ARDI</v>
          </cell>
          <cell r="C32" t="str">
            <v>DELTA</v>
          </cell>
          <cell r="D32">
            <v>45597</v>
          </cell>
          <cell r="E32">
            <v>45658</v>
          </cell>
          <cell r="F32">
            <v>3</v>
          </cell>
          <cell r="G32">
            <v>45658</v>
          </cell>
          <cell r="H32">
            <v>3</v>
          </cell>
          <cell r="I32">
            <v>45719</v>
          </cell>
          <cell r="J32">
            <v>900</v>
          </cell>
          <cell r="K32" t="str">
            <v>EKSKLUSIF</v>
          </cell>
        </row>
        <row r="33">
          <cell r="A33" t="str">
            <v>A1209</v>
          </cell>
          <cell r="B33" t="str">
            <v>ZULFI FAQIH</v>
          </cell>
          <cell r="C33" t="str">
            <v>DELTA</v>
          </cell>
          <cell r="D33">
            <v>45597</v>
          </cell>
          <cell r="E33">
            <v>45658</v>
          </cell>
          <cell r="F33">
            <v>3</v>
          </cell>
          <cell r="G33">
            <v>45658</v>
          </cell>
          <cell r="H33">
            <v>3</v>
          </cell>
          <cell r="I33">
            <v>45719</v>
          </cell>
          <cell r="J33">
            <v>900</v>
          </cell>
          <cell r="K33" t="str">
            <v>EKSKLUSIF</v>
          </cell>
        </row>
        <row r="34">
          <cell r="A34" t="str">
            <v>A0378</v>
          </cell>
          <cell r="B34" t="str">
            <v>WIRANTI PUTRI</v>
          </cell>
          <cell r="C34" t="str">
            <v>DELTA</v>
          </cell>
          <cell r="D34">
            <v>45597</v>
          </cell>
          <cell r="E34">
            <v>45658</v>
          </cell>
          <cell r="F34">
            <v>3</v>
          </cell>
          <cell r="G34">
            <v>45658</v>
          </cell>
          <cell r="H34">
            <v>3</v>
          </cell>
          <cell r="I34">
            <v>45719</v>
          </cell>
          <cell r="J34">
            <v>900</v>
          </cell>
          <cell r="K34" t="str">
            <v>EKSKLUSIF</v>
          </cell>
        </row>
        <row r="35">
          <cell r="A35">
            <v>92669</v>
          </cell>
          <cell r="B35" t="str">
            <v>APIK KUSUMA AYU</v>
          </cell>
          <cell r="C35" t="str">
            <v>DELTA</v>
          </cell>
          <cell r="D35">
            <v>45597</v>
          </cell>
          <cell r="E35">
            <v>45658</v>
          </cell>
          <cell r="F35">
            <v>3</v>
          </cell>
          <cell r="G35">
            <v>45658</v>
          </cell>
          <cell r="H35">
            <v>3</v>
          </cell>
          <cell r="I35">
            <v>45719</v>
          </cell>
          <cell r="J35">
            <v>900</v>
          </cell>
          <cell r="K35" t="str">
            <v>EKSKLUSIF</v>
          </cell>
        </row>
        <row r="36">
          <cell r="A36" t="str">
            <v>A1721</v>
          </cell>
          <cell r="B36" t="str">
            <v>MEGA AUDILIA</v>
          </cell>
          <cell r="C36" t="str">
            <v>DELTA</v>
          </cell>
          <cell r="D36">
            <v>45597</v>
          </cell>
          <cell r="E36">
            <v>45658</v>
          </cell>
          <cell r="F36">
            <v>3</v>
          </cell>
          <cell r="G36">
            <v>45658</v>
          </cell>
          <cell r="H36">
            <v>3</v>
          </cell>
          <cell r="I36">
            <v>45719</v>
          </cell>
          <cell r="J36">
            <v>900</v>
          </cell>
          <cell r="K36" t="str">
            <v>EKSKLUSIF</v>
          </cell>
        </row>
        <row r="37">
          <cell r="A37" t="str">
            <v>A1525</v>
          </cell>
          <cell r="B37" t="str">
            <v>MARSIDAH</v>
          </cell>
          <cell r="C37" t="str">
            <v>DELTA</v>
          </cell>
          <cell r="D37">
            <v>45597</v>
          </cell>
          <cell r="E37">
            <v>45658</v>
          </cell>
          <cell r="F37">
            <v>3</v>
          </cell>
          <cell r="G37">
            <v>45658</v>
          </cell>
          <cell r="H37">
            <v>3</v>
          </cell>
          <cell r="I37">
            <v>45719</v>
          </cell>
          <cell r="J37">
            <v>900</v>
          </cell>
          <cell r="K37" t="str">
            <v>EKSKLUSIF</v>
          </cell>
        </row>
        <row r="38">
          <cell r="A38" t="str">
            <v>A3259</v>
          </cell>
          <cell r="B38" t="str">
            <v>ALBERTUS CHRISTIAN ADE DARMAWA</v>
          </cell>
          <cell r="C38" t="str">
            <v>DELTA</v>
          </cell>
          <cell r="D38">
            <v>45597</v>
          </cell>
          <cell r="E38">
            <v>45658</v>
          </cell>
          <cell r="F38">
            <v>3</v>
          </cell>
          <cell r="G38">
            <v>45658</v>
          </cell>
          <cell r="H38">
            <v>3</v>
          </cell>
          <cell r="I38">
            <v>45719</v>
          </cell>
          <cell r="J38">
            <v>900</v>
          </cell>
          <cell r="K38" t="str">
            <v>EKSKLUSIF</v>
          </cell>
        </row>
        <row r="39">
          <cell r="A39" t="str">
            <v>A1954</v>
          </cell>
          <cell r="B39" t="str">
            <v>Jelita Ayunda Fitria</v>
          </cell>
          <cell r="C39" t="str">
            <v>DELTA</v>
          </cell>
          <cell r="D39">
            <v>45597</v>
          </cell>
          <cell r="E39">
            <v>45658</v>
          </cell>
          <cell r="F39">
            <v>3</v>
          </cell>
          <cell r="G39">
            <v>45658</v>
          </cell>
          <cell r="H39">
            <v>3</v>
          </cell>
          <cell r="I39">
            <v>45719</v>
          </cell>
          <cell r="J39">
            <v>900</v>
          </cell>
          <cell r="K39" t="str">
            <v>EKSKLUSIF</v>
          </cell>
        </row>
        <row r="40">
          <cell r="A40" t="str">
            <v>A3994</v>
          </cell>
          <cell r="B40" t="str">
            <v>Alif Bintang Hasiholan Pohan</v>
          </cell>
          <cell r="C40" t="str">
            <v>DELTA</v>
          </cell>
          <cell r="D40">
            <v>45597</v>
          </cell>
          <cell r="E40">
            <v>45658</v>
          </cell>
          <cell r="F40">
            <v>3</v>
          </cell>
          <cell r="G40">
            <v>45658</v>
          </cell>
          <cell r="H40">
            <v>3</v>
          </cell>
          <cell r="I40">
            <v>45719</v>
          </cell>
          <cell r="J40">
            <v>900</v>
          </cell>
          <cell r="K40" t="str">
            <v>EKSKLUSIF</v>
          </cell>
        </row>
        <row r="41">
          <cell r="A41" t="str">
            <v>A1773</v>
          </cell>
          <cell r="B41" t="str">
            <v>MELINIA WINDY ERLIYA</v>
          </cell>
          <cell r="C41" t="str">
            <v>DELTA</v>
          </cell>
          <cell r="D41">
            <v>45597</v>
          </cell>
          <cell r="E41">
            <v>45658</v>
          </cell>
          <cell r="F41">
            <v>3</v>
          </cell>
          <cell r="G41">
            <v>45658</v>
          </cell>
          <cell r="H41">
            <v>3</v>
          </cell>
          <cell r="I41">
            <v>45719</v>
          </cell>
          <cell r="J41">
            <v>900</v>
          </cell>
          <cell r="K41" t="str">
            <v>EKSKLUSIF</v>
          </cell>
        </row>
        <row r="42">
          <cell r="A42" t="str">
            <v>A2417</v>
          </cell>
          <cell r="B42" t="str">
            <v>Lalang Winata Bintang Nanoe</v>
          </cell>
          <cell r="C42" t="str">
            <v>DELTA</v>
          </cell>
          <cell r="D42">
            <v>45597</v>
          </cell>
          <cell r="E42">
            <v>45658</v>
          </cell>
          <cell r="F42">
            <v>3</v>
          </cell>
          <cell r="G42">
            <v>45658</v>
          </cell>
          <cell r="H42">
            <v>3</v>
          </cell>
          <cell r="I42">
            <v>45719</v>
          </cell>
          <cell r="J42">
            <v>900</v>
          </cell>
          <cell r="K42" t="str">
            <v>EKSKLUSIF</v>
          </cell>
        </row>
        <row r="43">
          <cell r="A43">
            <v>92622</v>
          </cell>
          <cell r="B43" t="str">
            <v>AYU SUCI NUGROYANTI</v>
          </cell>
          <cell r="C43" t="str">
            <v>DELTA</v>
          </cell>
          <cell r="D43">
            <v>45597</v>
          </cell>
          <cell r="E43">
            <v>45658</v>
          </cell>
          <cell r="F43">
            <v>3</v>
          </cell>
          <cell r="G43">
            <v>45658</v>
          </cell>
          <cell r="H43">
            <v>3</v>
          </cell>
          <cell r="I43">
            <v>45719</v>
          </cell>
          <cell r="J43">
            <v>900</v>
          </cell>
          <cell r="K43" t="str">
            <v>EKSKLUSIF</v>
          </cell>
        </row>
        <row r="44">
          <cell r="A44">
            <v>90592</v>
          </cell>
          <cell r="B44" t="str">
            <v>DINI SHINTIA PUTRI</v>
          </cell>
          <cell r="C44" t="str">
            <v>DELTA</v>
          </cell>
          <cell r="D44">
            <v>45597</v>
          </cell>
          <cell r="E44">
            <v>45658</v>
          </cell>
          <cell r="F44">
            <v>3</v>
          </cell>
          <cell r="G44">
            <v>45658</v>
          </cell>
          <cell r="H44">
            <v>3</v>
          </cell>
          <cell r="I44">
            <v>45719</v>
          </cell>
          <cell r="J44">
            <v>900</v>
          </cell>
          <cell r="K44" t="str">
            <v>EKSKLUSIF</v>
          </cell>
        </row>
        <row r="45">
          <cell r="A45" t="str">
            <v>A3456</v>
          </cell>
          <cell r="B45" t="str">
            <v>FEBY KURNIA</v>
          </cell>
          <cell r="C45" t="str">
            <v>DELTA</v>
          </cell>
          <cell r="D45">
            <v>45597</v>
          </cell>
          <cell r="E45">
            <v>45658</v>
          </cell>
          <cell r="F45">
            <v>3</v>
          </cell>
          <cell r="G45">
            <v>45658</v>
          </cell>
          <cell r="H45">
            <v>3</v>
          </cell>
          <cell r="I45">
            <v>45719</v>
          </cell>
          <cell r="J45">
            <v>900</v>
          </cell>
          <cell r="K45" t="str">
            <v>EKSKLUSIF</v>
          </cell>
        </row>
        <row r="46">
          <cell r="A46" t="str">
            <v>A1276</v>
          </cell>
          <cell r="B46" t="str">
            <v>SINDI ARLINDA DEWI</v>
          </cell>
          <cell r="C46" t="str">
            <v>DELTA</v>
          </cell>
          <cell r="D46">
            <v>45597</v>
          </cell>
          <cell r="E46">
            <v>45658</v>
          </cell>
          <cell r="F46">
            <v>3</v>
          </cell>
          <cell r="G46">
            <v>45658</v>
          </cell>
          <cell r="H46">
            <v>3</v>
          </cell>
          <cell r="I46">
            <v>45719</v>
          </cell>
          <cell r="J46">
            <v>900</v>
          </cell>
          <cell r="K46" t="str">
            <v>EKSKLUSIF</v>
          </cell>
        </row>
        <row r="47">
          <cell r="A47" t="str">
            <v>A0192</v>
          </cell>
          <cell r="B47" t="str">
            <v>AGNES HAUDI SURYANTIKA</v>
          </cell>
          <cell r="C47" t="str">
            <v>DELTA</v>
          </cell>
          <cell r="D47">
            <v>45597</v>
          </cell>
          <cell r="E47">
            <v>45658</v>
          </cell>
          <cell r="F47">
            <v>3</v>
          </cell>
          <cell r="G47">
            <v>45658</v>
          </cell>
          <cell r="H47">
            <v>3</v>
          </cell>
          <cell r="I47">
            <v>45719</v>
          </cell>
          <cell r="J47">
            <v>900</v>
          </cell>
          <cell r="K47" t="str">
            <v>EKSKLUSIF</v>
          </cell>
        </row>
        <row r="48">
          <cell r="A48" t="str">
            <v>A4039</v>
          </cell>
          <cell r="B48" t="str">
            <v>IBRAHIM FEBA NAUFALINDO</v>
          </cell>
          <cell r="C48" t="str">
            <v>DELTA</v>
          </cell>
          <cell r="D48">
            <v>45597</v>
          </cell>
          <cell r="E48">
            <v>45658</v>
          </cell>
          <cell r="F48">
            <v>3</v>
          </cell>
          <cell r="G48">
            <v>45658</v>
          </cell>
          <cell r="H48">
            <v>3</v>
          </cell>
          <cell r="I48">
            <v>45719</v>
          </cell>
          <cell r="J48">
            <v>900</v>
          </cell>
          <cell r="K48" t="str">
            <v>EKSKLUSIF</v>
          </cell>
        </row>
        <row r="49">
          <cell r="A49" t="str">
            <v>A1329</v>
          </cell>
          <cell r="B49" t="str">
            <v>NABILA HASNA</v>
          </cell>
          <cell r="C49" t="str">
            <v>DELTA</v>
          </cell>
          <cell r="D49">
            <v>45627</v>
          </cell>
          <cell r="E49">
            <v>45689</v>
          </cell>
          <cell r="F49">
            <v>3</v>
          </cell>
          <cell r="G49">
            <v>45658</v>
          </cell>
          <cell r="H49">
            <v>2</v>
          </cell>
          <cell r="I49">
            <v>45691</v>
          </cell>
          <cell r="J49">
            <v>300</v>
          </cell>
          <cell r="K49" t="str">
            <v>EKSKLUSIF</v>
          </cell>
        </row>
        <row r="50">
          <cell r="A50" t="str">
            <v>A0964</v>
          </cell>
          <cell r="B50" t="str">
            <v>ANISA DESIANTI RAMADHANI</v>
          </cell>
          <cell r="C50" t="str">
            <v>DELTA</v>
          </cell>
          <cell r="D50">
            <v>45627</v>
          </cell>
          <cell r="E50">
            <v>45689</v>
          </cell>
          <cell r="F50">
            <v>3</v>
          </cell>
          <cell r="G50">
            <v>45658</v>
          </cell>
          <cell r="H50">
            <v>2</v>
          </cell>
          <cell r="I50">
            <v>45691</v>
          </cell>
          <cell r="J50">
            <v>300</v>
          </cell>
          <cell r="K50" t="str">
            <v>EKSKLUSIF</v>
          </cell>
        </row>
        <row r="51">
          <cell r="A51" t="str">
            <v>A0818</v>
          </cell>
          <cell r="B51" t="str">
            <v>AGIS DWI RAHMAWATI</v>
          </cell>
          <cell r="C51" t="str">
            <v>DELTA</v>
          </cell>
          <cell r="D51">
            <v>45627</v>
          </cell>
          <cell r="E51">
            <v>45689</v>
          </cell>
          <cell r="F51">
            <v>3</v>
          </cell>
          <cell r="G51">
            <v>45658</v>
          </cell>
          <cell r="H51">
            <v>2</v>
          </cell>
          <cell r="I51">
            <v>45691</v>
          </cell>
          <cell r="J51">
            <v>300</v>
          </cell>
          <cell r="K51" t="str">
            <v>EKSKLUSIF</v>
          </cell>
        </row>
        <row r="52">
          <cell r="A52" t="str">
            <v>A0812</v>
          </cell>
          <cell r="B52" t="str">
            <v>HERLINI NUR AZIZAH</v>
          </cell>
          <cell r="C52" t="str">
            <v>DELTA</v>
          </cell>
          <cell r="D52">
            <v>45627</v>
          </cell>
          <cell r="E52">
            <v>45689</v>
          </cell>
          <cell r="F52">
            <v>3</v>
          </cell>
          <cell r="G52">
            <v>45658</v>
          </cell>
          <cell r="H52">
            <v>2</v>
          </cell>
          <cell r="I52">
            <v>45691</v>
          </cell>
          <cell r="J52">
            <v>300</v>
          </cell>
          <cell r="K52" t="str">
            <v>EKSKLUSIF</v>
          </cell>
        </row>
        <row r="53">
          <cell r="A53" t="str">
            <v>A2462</v>
          </cell>
          <cell r="B53" t="str">
            <v>KHUSNUL KHATIMAH</v>
          </cell>
          <cell r="C53" t="str">
            <v>DELTA</v>
          </cell>
          <cell r="D53">
            <v>45627</v>
          </cell>
          <cell r="E53">
            <v>45689</v>
          </cell>
          <cell r="F53">
            <v>3</v>
          </cell>
          <cell r="G53">
            <v>45658</v>
          </cell>
          <cell r="H53">
            <v>2</v>
          </cell>
          <cell r="I53">
            <v>45691</v>
          </cell>
          <cell r="J53">
            <v>300</v>
          </cell>
          <cell r="K53" t="str">
            <v>EKSKLUSIF</v>
          </cell>
        </row>
        <row r="54">
          <cell r="A54" t="str">
            <v>A0864</v>
          </cell>
          <cell r="B54" t="str">
            <v>WAHYU NURAENI</v>
          </cell>
          <cell r="C54" t="str">
            <v>DELTA</v>
          </cell>
          <cell r="D54">
            <v>45627</v>
          </cell>
          <cell r="E54">
            <v>45689</v>
          </cell>
          <cell r="F54">
            <v>3</v>
          </cell>
          <cell r="G54">
            <v>45658</v>
          </cell>
          <cell r="H54">
            <v>2</v>
          </cell>
          <cell r="I54">
            <v>45691</v>
          </cell>
          <cell r="J54">
            <v>300</v>
          </cell>
          <cell r="K54" t="str">
            <v>EKSKLUSIF</v>
          </cell>
        </row>
        <row r="55">
          <cell r="A55" t="str">
            <v>A0969</v>
          </cell>
          <cell r="B55" t="str">
            <v>ANGGI DWI</v>
          </cell>
          <cell r="C55" t="str">
            <v>DELTA</v>
          </cell>
          <cell r="D55">
            <v>45627</v>
          </cell>
          <cell r="E55">
            <v>45689</v>
          </cell>
          <cell r="F55">
            <v>3</v>
          </cell>
          <cell r="G55">
            <v>45658</v>
          </cell>
          <cell r="H55">
            <v>2</v>
          </cell>
          <cell r="I55">
            <v>45691</v>
          </cell>
          <cell r="J55">
            <v>300</v>
          </cell>
          <cell r="K55" t="str">
            <v>EKSKLUSIF</v>
          </cell>
        </row>
        <row r="56">
          <cell r="A56" t="str">
            <v>A3172</v>
          </cell>
          <cell r="B56" t="str">
            <v>NURYANI NURYANI</v>
          </cell>
          <cell r="C56" t="str">
            <v>DELTA</v>
          </cell>
          <cell r="D56">
            <v>45627</v>
          </cell>
          <cell r="E56">
            <v>45689</v>
          </cell>
          <cell r="F56">
            <v>3</v>
          </cell>
          <cell r="G56">
            <v>45658</v>
          </cell>
          <cell r="H56">
            <v>2</v>
          </cell>
          <cell r="I56">
            <v>45691</v>
          </cell>
          <cell r="J56">
            <v>300</v>
          </cell>
          <cell r="K56" t="str">
            <v>EKSKLUSIF</v>
          </cell>
        </row>
        <row r="57">
          <cell r="A57" t="str">
            <v>A0999</v>
          </cell>
          <cell r="B57" t="str">
            <v>MUH LUTHFI AZIZ</v>
          </cell>
          <cell r="C57" t="str">
            <v>DELTA</v>
          </cell>
          <cell r="D57">
            <v>45627</v>
          </cell>
          <cell r="E57">
            <v>45689</v>
          </cell>
          <cell r="F57">
            <v>3</v>
          </cell>
          <cell r="G57">
            <v>45658</v>
          </cell>
          <cell r="H57">
            <v>2</v>
          </cell>
          <cell r="I57">
            <v>45691</v>
          </cell>
          <cell r="J57">
            <v>300</v>
          </cell>
          <cell r="K57" t="str">
            <v>EKSKLUSIF</v>
          </cell>
        </row>
        <row r="58">
          <cell r="A58">
            <v>90653</v>
          </cell>
          <cell r="B58" t="str">
            <v>WENI SAPUTRI</v>
          </cell>
          <cell r="C58" t="str">
            <v>DELTA</v>
          </cell>
          <cell r="D58">
            <v>45627</v>
          </cell>
          <cell r="E58">
            <v>45689</v>
          </cell>
          <cell r="F58">
            <v>3</v>
          </cell>
          <cell r="G58">
            <v>45658</v>
          </cell>
          <cell r="H58">
            <v>2</v>
          </cell>
          <cell r="I58">
            <v>45691</v>
          </cell>
          <cell r="J58">
            <v>300</v>
          </cell>
          <cell r="K58" t="str">
            <v>EKSKLUSIF</v>
          </cell>
        </row>
        <row r="59">
          <cell r="A59" t="str">
            <v>A0977</v>
          </cell>
          <cell r="B59" t="str">
            <v>RIA ARIANTI</v>
          </cell>
          <cell r="C59" t="str">
            <v>DELTA</v>
          </cell>
          <cell r="D59">
            <v>45627</v>
          </cell>
          <cell r="E59">
            <v>45689</v>
          </cell>
          <cell r="F59">
            <v>3</v>
          </cell>
          <cell r="G59">
            <v>45658</v>
          </cell>
          <cell r="H59">
            <v>2</v>
          </cell>
          <cell r="I59">
            <v>45691</v>
          </cell>
          <cell r="J59">
            <v>300</v>
          </cell>
          <cell r="K59" t="str">
            <v>EKSKLUSIF</v>
          </cell>
        </row>
        <row r="60">
          <cell r="A60" t="str">
            <v>A0750</v>
          </cell>
          <cell r="B60" t="str">
            <v>ARVIANTI JILLY VANESHA MULETE</v>
          </cell>
          <cell r="C60" t="str">
            <v>DELTA</v>
          </cell>
          <cell r="D60">
            <v>45627</v>
          </cell>
          <cell r="E60">
            <v>45689</v>
          </cell>
          <cell r="F60">
            <v>3</v>
          </cell>
          <cell r="G60">
            <v>45658</v>
          </cell>
          <cell r="H60">
            <v>2</v>
          </cell>
          <cell r="I60">
            <v>45691</v>
          </cell>
          <cell r="J60">
            <v>300</v>
          </cell>
          <cell r="K60" t="str">
            <v>EKSKLUSIF</v>
          </cell>
        </row>
        <row r="61">
          <cell r="A61" t="str">
            <v>A1349</v>
          </cell>
          <cell r="B61" t="str">
            <v>TISA NORSARI</v>
          </cell>
          <cell r="C61" t="str">
            <v>DELTA</v>
          </cell>
          <cell r="D61">
            <v>45627</v>
          </cell>
          <cell r="E61">
            <v>45689</v>
          </cell>
          <cell r="F61">
            <v>3</v>
          </cell>
          <cell r="G61">
            <v>45658</v>
          </cell>
          <cell r="H61">
            <v>2</v>
          </cell>
          <cell r="I61">
            <v>45691</v>
          </cell>
          <cell r="J61">
            <v>300</v>
          </cell>
          <cell r="K61" t="str">
            <v>EKSKLUSIF</v>
          </cell>
        </row>
        <row r="62">
          <cell r="A62" t="str">
            <v>A3743</v>
          </cell>
          <cell r="B62" t="str">
            <v>PUTRI RAMADHANI</v>
          </cell>
          <cell r="C62" t="str">
            <v>DELTA</v>
          </cell>
          <cell r="D62">
            <v>45627</v>
          </cell>
          <cell r="E62">
            <v>45689</v>
          </cell>
          <cell r="F62">
            <v>3</v>
          </cell>
          <cell r="G62">
            <v>45658</v>
          </cell>
          <cell r="H62">
            <v>2</v>
          </cell>
          <cell r="I62">
            <v>45691</v>
          </cell>
          <cell r="J62">
            <v>300</v>
          </cell>
          <cell r="K62" t="str">
            <v>EKSKLUSIF</v>
          </cell>
        </row>
        <row r="63">
          <cell r="A63">
            <v>90648</v>
          </cell>
          <cell r="B63" t="str">
            <v>WAHYU IDHAYATI</v>
          </cell>
          <cell r="C63" t="str">
            <v>DELTA</v>
          </cell>
          <cell r="D63">
            <v>45627</v>
          </cell>
          <cell r="E63">
            <v>45689</v>
          </cell>
          <cell r="F63">
            <v>3</v>
          </cell>
          <cell r="G63">
            <v>45658</v>
          </cell>
          <cell r="H63">
            <v>2</v>
          </cell>
          <cell r="I63">
            <v>45691</v>
          </cell>
          <cell r="J63">
            <v>300</v>
          </cell>
          <cell r="K63" t="str">
            <v>EKSKLUSIF</v>
          </cell>
        </row>
        <row r="64">
          <cell r="A64">
            <v>92539</v>
          </cell>
          <cell r="B64" t="str">
            <v>ROSIANA</v>
          </cell>
          <cell r="C64" t="str">
            <v>DELTA</v>
          </cell>
          <cell r="D64">
            <v>45627</v>
          </cell>
          <cell r="E64">
            <v>45689</v>
          </cell>
          <cell r="F64">
            <v>3</v>
          </cell>
          <cell r="G64">
            <v>45658</v>
          </cell>
          <cell r="H64">
            <v>2</v>
          </cell>
          <cell r="I64">
            <v>45691</v>
          </cell>
          <cell r="J64">
            <v>300</v>
          </cell>
          <cell r="K64" t="str">
            <v>EKSKLUSIF</v>
          </cell>
        </row>
        <row r="65">
          <cell r="A65">
            <v>90694</v>
          </cell>
          <cell r="B65" t="str">
            <v>DAUS DEVYANA</v>
          </cell>
          <cell r="C65" t="str">
            <v>DELTA</v>
          </cell>
          <cell r="D65">
            <v>45627</v>
          </cell>
          <cell r="E65">
            <v>45689</v>
          </cell>
          <cell r="F65">
            <v>3</v>
          </cell>
          <cell r="G65">
            <v>45658</v>
          </cell>
          <cell r="H65">
            <v>2</v>
          </cell>
          <cell r="I65">
            <v>45691</v>
          </cell>
          <cell r="J65">
            <v>300</v>
          </cell>
          <cell r="K65" t="str">
            <v>EKSKLUSIF</v>
          </cell>
        </row>
        <row r="66">
          <cell r="A66" t="str">
            <v>A0519</v>
          </cell>
          <cell r="B66" t="str">
            <v>ANASTACIA JULIANA</v>
          </cell>
          <cell r="C66" t="str">
            <v>DELTA</v>
          </cell>
          <cell r="D66">
            <v>45627</v>
          </cell>
          <cell r="E66">
            <v>45689</v>
          </cell>
          <cell r="F66">
            <v>3</v>
          </cell>
          <cell r="G66">
            <v>45658</v>
          </cell>
          <cell r="H66">
            <v>2</v>
          </cell>
          <cell r="I66">
            <v>45691</v>
          </cell>
          <cell r="J66">
            <v>300</v>
          </cell>
          <cell r="K66" t="str">
            <v>EKSKLUSIF</v>
          </cell>
        </row>
        <row r="67">
          <cell r="A67" t="str">
            <v>A3479</v>
          </cell>
          <cell r="B67" t="str">
            <v>VASSYA DIAN</v>
          </cell>
          <cell r="C67" t="str">
            <v>DELTA</v>
          </cell>
          <cell r="D67">
            <v>45627</v>
          </cell>
          <cell r="E67">
            <v>45689</v>
          </cell>
          <cell r="F67">
            <v>3</v>
          </cell>
          <cell r="G67">
            <v>45658</v>
          </cell>
          <cell r="H67">
            <v>2</v>
          </cell>
          <cell r="I67">
            <v>45691</v>
          </cell>
          <cell r="J67">
            <v>300</v>
          </cell>
          <cell r="K67" t="str">
            <v>EKSKLUSIF</v>
          </cell>
        </row>
        <row r="68">
          <cell r="A68" t="str">
            <v>A3833</v>
          </cell>
          <cell r="B68" t="str">
            <v>MUHAMMAD SUBHAN</v>
          </cell>
          <cell r="C68" t="str">
            <v>DELTA</v>
          </cell>
          <cell r="D68">
            <v>45627</v>
          </cell>
          <cell r="E68">
            <v>45689</v>
          </cell>
          <cell r="F68">
            <v>3</v>
          </cell>
          <cell r="G68">
            <v>45658</v>
          </cell>
          <cell r="H68">
            <v>2</v>
          </cell>
          <cell r="I68">
            <v>45691</v>
          </cell>
          <cell r="J68">
            <v>300</v>
          </cell>
          <cell r="K68" t="str">
            <v>EKSKLUSIF</v>
          </cell>
        </row>
        <row r="69">
          <cell r="A69" t="str">
            <v>A1944</v>
          </cell>
          <cell r="B69" t="str">
            <v>MUHAMMAD HILMI AZZAHIDI</v>
          </cell>
          <cell r="C69" t="str">
            <v>DELTA</v>
          </cell>
          <cell r="D69">
            <v>45627</v>
          </cell>
          <cell r="E69">
            <v>45689</v>
          </cell>
          <cell r="F69">
            <v>3</v>
          </cell>
          <cell r="G69">
            <v>45658</v>
          </cell>
          <cell r="H69">
            <v>2</v>
          </cell>
          <cell r="I69">
            <v>45691</v>
          </cell>
          <cell r="J69">
            <v>300</v>
          </cell>
          <cell r="K69" t="str">
            <v>EKSKLUSIF</v>
          </cell>
        </row>
        <row r="70">
          <cell r="A70" t="str">
            <v>A0261</v>
          </cell>
          <cell r="B70" t="str">
            <v>CHELSI ANANDA</v>
          </cell>
          <cell r="C70" t="str">
            <v>DELTA</v>
          </cell>
          <cell r="D70">
            <v>45627</v>
          </cell>
          <cell r="E70">
            <v>45689</v>
          </cell>
          <cell r="F70">
            <v>3</v>
          </cell>
          <cell r="G70">
            <v>45658</v>
          </cell>
          <cell r="H70">
            <v>2</v>
          </cell>
          <cell r="I70">
            <v>45691</v>
          </cell>
          <cell r="J70">
            <v>300</v>
          </cell>
          <cell r="K70" t="str">
            <v>EKSKLUSIF</v>
          </cell>
        </row>
        <row r="71">
          <cell r="A71" t="str">
            <v>A0745</v>
          </cell>
          <cell r="B71" t="str">
            <v>ANE MELISA MURNI</v>
          </cell>
          <cell r="C71" t="str">
            <v>DELTA</v>
          </cell>
          <cell r="D71">
            <v>45627</v>
          </cell>
          <cell r="E71">
            <v>45689</v>
          </cell>
          <cell r="F71">
            <v>3</v>
          </cell>
          <cell r="G71">
            <v>45658</v>
          </cell>
          <cell r="H71">
            <v>2</v>
          </cell>
          <cell r="I71">
            <v>45691</v>
          </cell>
          <cell r="J71">
            <v>300</v>
          </cell>
          <cell r="K71" t="str">
            <v>EKSKLUSIF</v>
          </cell>
        </row>
        <row r="72">
          <cell r="A72" t="str">
            <v>A1118</v>
          </cell>
          <cell r="B72" t="str">
            <v>OKSA ANDRIARDINA</v>
          </cell>
          <cell r="C72" t="str">
            <v>DELTA</v>
          </cell>
          <cell r="D72">
            <v>45627</v>
          </cell>
          <cell r="E72">
            <v>45689</v>
          </cell>
          <cell r="F72">
            <v>3</v>
          </cell>
          <cell r="G72">
            <v>45658</v>
          </cell>
          <cell r="H72">
            <v>2</v>
          </cell>
          <cell r="I72">
            <v>45691</v>
          </cell>
          <cell r="J72">
            <v>300</v>
          </cell>
          <cell r="K72" t="str">
            <v>EKSKLUSIF</v>
          </cell>
        </row>
        <row r="73">
          <cell r="A73" t="str">
            <v>A3474</v>
          </cell>
          <cell r="B73" t="str">
            <v>IRMA TRIANA</v>
          </cell>
          <cell r="C73" t="str">
            <v>DELTA</v>
          </cell>
          <cell r="D73">
            <v>45627</v>
          </cell>
          <cell r="E73">
            <v>45689</v>
          </cell>
          <cell r="F73">
            <v>3</v>
          </cell>
          <cell r="G73">
            <v>45658</v>
          </cell>
          <cell r="H73">
            <v>2</v>
          </cell>
          <cell r="I73">
            <v>45691</v>
          </cell>
          <cell r="J73">
            <v>300</v>
          </cell>
          <cell r="K73" t="str">
            <v>EKSKLUSIF</v>
          </cell>
        </row>
        <row r="74">
          <cell r="A74" t="str">
            <v>A0320</v>
          </cell>
          <cell r="B74" t="str">
            <v>Deafni Dinda R Utami</v>
          </cell>
          <cell r="C74" t="str">
            <v>DELTA</v>
          </cell>
          <cell r="D74">
            <v>45627</v>
          </cell>
          <cell r="E74">
            <v>45689</v>
          </cell>
          <cell r="F74">
            <v>3</v>
          </cell>
          <cell r="G74">
            <v>45658</v>
          </cell>
          <cell r="H74">
            <v>2</v>
          </cell>
          <cell r="I74">
            <v>45691</v>
          </cell>
          <cell r="J74">
            <v>300</v>
          </cell>
          <cell r="K74" t="str">
            <v>EKSKLUSIF</v>
          </cell>
        </row>
        <row r="75">
          <cell r="A75" t="str">
            <v>A0725</v>
          </cell>
          <cell r="B75" t="str">
            <v>NUR KHASANAH</v>
          </cell>
          <cell r="C75" t="str">
            <v>DELTA</v>
          </cell>
          <cell r="D75">
            <v>45627</v>
          </cell>
          <cell r="E75">
            <v>45689</v>
          </cell>
          <cell r="F75">
            <v>3</v>
          </cell>
          <cell r="G75">
            <v>45658</v>
          </cell>
          <cell r="H75">
            <v>2</v>
          </cell>
          <cell r="I75">
            <v>45691</v>
          </cell>
          <cell r="J75">
            <v>300</v>
          </cell>
          <cell r="K75" t="str">
            <v>EKSKLUSIF</v>
          </cell>
        </row>
        <row r="76">
          <cell r="A76" t="str">
            <v>A1825</v>
          </cell>
          <cell r="B76" t="str">
            <v>MARLIANA</v>
          </cell>
          <cell r="C76" t="str">
            <v>DELTA</v>
          </cell>
          <cell r="D76">
            <v>45627</v>
          </cell>
          <cell r="E76">
            <v>45689</v>
          </cell>
          <cell r="F76">
            <v>3</v>
          </cell>
          <cell r="G76">
            <v>45658</v>
          </cell>
          <cell r="H76">
            <v>2</v>
          </cell>
          <cell r="I76">
            <v>45691</v>
          </cell>
          <cell r="J76">
            <v>300</v>
          </cell>
          <cell r="K76" t="str">
            <v>EKSKLUSIF</v>
          </cell>
        </row>
        <row r="77">
          <cell r="A77" t="str">
            <v>A3218</v>
          </cell>
          <cell r="B77" t="str">
            <v>IRMA SEMBIRING</v>
          </cell>
          <cell r="C77" t="str">
            <v>DELTA</v>
          </cell>
          <cell r="D77">
            <v>45627</v>
          </cell>
          <cell r="E77">
            <v>45689</v>
          </cell>
          <cell r="F77">
            <v>3</v>
          </cell>
          <cell r="G77">
            <v>45658</v>
          </cell>
          <cell r="H77">
            <v>2</v>
          </cell>
          <cell r="I77">
            <v>45691</v>
          </cell>
          <cell r="J77">
            <v>300</v>
          </cell>
          <cell r="K77" t="str">
            <v>EKSKLUSIF</v>
          </cell>
        </row>
        <row r="78">
          <cell r="A78" t="str">
            <v>A2961</v>
          </cell>
          <cell r="B78" t="str">
            <v>AGUNG PRASETYADI</v>
          </cell>
          <cell r="C78" t="str">
            <v>DELTA</v>
          </cell>
          <cell r="D78">
            <v>45658</v>
          </cell>
          <cell r="E78">
            <v>45717</v>
          </cell>
          <cell r="F78">
            <v>3</v>
          </cell>
          <cell r="G78">
            <v>45658</v>
          </cell>
          <cell r="H78">
            <v>1</v>
          </cell>
          <cell r="I78">
            <v>45660</v>
          </cell>
          <cell r="J78">
            <v>300</v>
          </cell>
          <cell r="K78" t="str">
            <v>EKSKLUSIF</v>
          </cell>
        </row>
        <row r="79">
          <cell r="A79" t="str">
            <v>A1461</v>
          </cell>
          <cell r="B79" t="str">
            <v>AKHSA EKA MAHARANI</v>
          </cell>
          <cell r="C79" t="str">
            <v>DELTA</v>
          </cell>
          <cell r="D79">
            <v>45658</v>
          </cell>
          <cell r="E79">
            <v>45717</v>
          </cell>
          <cell r="F79">
            <v>3</v>
          </cell>
          <cell r="G79">
            <v>45658</v>
          </cell>
          <cell r="H79">
            <v>1</v>
          </cell>
          <cell r="I79">
            <v>45660</v>
          </cell>
          <cell r="J79">
            <v>300</v>
          </cell>
          <cell r="K79" t="str">
            <v>EKSKLUSIF</v>
          </cell>
        </row>
        <row r="80">
          <cell r="A80" t="str">
            <v>A3752</v>
          </cell>
          <cell r="B80" t="str">
            <v>MEYTA ANDIRA</v>
          </cell>
          <cell r="C80" t="str">
            <v>DELTA</v>
          </cell>
          <cell r="D80">
            <v>45658</v>
          </cell>
          <cell r="E80">
            <v>45717</v>
          </cell>
          <cell r="F80">
            <v>3</v>
          </cell>
          <cell r="G80">
            <v>45658</v>
          </cell>
          <cell r="H80">
            <v>1</v>
          </cell>
          <cell r="I80">
            <v>45660</v>
          </cell>
          <cell r="J80">
            <v>300</v>
          </cell>
          <cell r="K80" t="str">
            <v>EKSKLUSIF</v>
          </cell>
        </row>
        <row r="81">
          <cell r="A81" t="str">
            <v>A1185</v>
          </cell>
          <cell r="B81" t="str">
            <v>SAFA PRAYUDA</v>
          </cell>
          <cell r="C81" t="str">
            <v>DELTA</v>
          </cell>
          <cell r="D81">
            <v>45658</v>
          </cell>
          <cell r="E81">
            <v>45717</v>
          </cell>
          <cell r="F81">
            <v>3</v>
          </cell>
          <cell r="G81">
            <v>45658</v>
          </cell>
          <cell r="H81">
            <v>1</v>
          </cell>
          <cell r="I81">
            <v>45660</v>
          </cell>
          <cell r="J81">
            <v>300</v>
          </cell>
          <cell r="K81" t="str">
            <v>EKSKLUSIF</v>
          </cell>
        </row>
        <row r="82">
          <cell r="A82" t="str">
            <v>A0817</v>
          </cell>
          <cell r="B82" t="str">
            <v>Yola Valenia</v>
          </cell>
          <cell r="C82" t="str">
            <v>DELTA</v>
          </cell>
          <cell r="D82">
            <v>45658</v>
          </cell>
          <cell r="E82">
            <v>45717</v>
          </cell>
          <cell r="F82">
            <v>3</v>
          </cell>
          <cell r="G82">
            <v>45658</v>
          </cell>
          <cell r="H82">
            <v>1</v>
          </cell>
          <cell r="I82">
            <v>45660</v>
          </cell>
          <cell r="J82">
            <v>300</v>
          </cell>
          <cell r="K82" t="str">
            <v>EKSKLUSIF</v>
          </cell>
        </row>
        <row r="83">
          <cell r="A83" t="str">
            <v>A1280</v>
          </cell>
          <cell r="B83" t="str">
            <v>Paskha Aprilianingsih</v>
          </cell>
          <cell r="C83" t="str">
            <v>DELTA</v>
          </cell>
          <cell r="D83">
            <v>45658</v>
          </cell>
          <cell r="E83">
            <v>45717</v>
          </cell>
          <cell r="F83">
            <v>3</v>
          </cell>
          <cell r="G83">
            <v>45658</v>
          </cell>
          <cell r="H83">
            <v>1</v>
          </cell>
          <cell r="I83">
            <v>45660</v>
          </cell>
          <cell r="J83">
            <v>300</v>
          </cell>
          <cell r="K83" t="str">
            <v>EKSKLUSIF</v>
          </cell>
        </row>
        <row r="84">
          <cell r="A84" t="str">
            <v>A1215</v>
          </cell>
          <cell r="B84" t="str">
            <v>Esterina Kusumawati</v>
          </cell>
          <cell r="C84" t="str">
            <v>DELTA</v>
          </cell>
          <cell r="D84">
            <v>45658</v>
          </cell>
          <cell r="E84">
            <v>45717</v>
          </cell>
          <cell r="F84">
            <v>3</v>
          </cell>
          <cell r="G84">
            <v>45658</v>
          </cell>
          <cell r="H84">
            <v>1</v>
          </cell>
          <cell r="I84">
            <v>45660</v>
          </cell>
          <cell r="J84">
            <v>300</v>
          </cell>
          <cell r="K84" t="str">
            <v>EKSKLUSIF</v>
          </cell>
        </row>
        <row r="85">
          <cell r="A85" t="str">
            <v>A3754</v>
          </cell>
          <cell r="B85" t="str">
            <v>Firda Nur Karima</v>
          </cell>
          <cell r="C85" t="str">
            <v>DELTA</v>
          </cell>
          <cell r="D85">
            <v>45658</v>
          </cell>
          <cell r="E85">
            <v>45717</v>
          </cell>
          <cell r="F85">
            <v>3</v>
          </cell>
          <cell r="G85">
            <v>45658</v>
          </cell>
          <cell r="H85">
            <v>1</v>
          </cell>
          <cell r="I85">
            <v>45660</v>
          </cell>
          <cell r="J85">
            <v>300</v>
          </cell>
          <cell r="K85" t="str">
            <v>EKSKLUSIF</v>
          </cell>
        </row>
        <row r="86">
          <cell r="A86" t="str">
            <v>A0770</v>
          </cell>
          <cell r="B86" t="str">
            <v>ELZE ZULFANNY</v>
          </cell>
          <cell r="C86" t="str">
            <v>DELTA</v>
          </cell>
          <cell r="D86">
            <v>45658</v>
          </cell>
          <cell r="E86">
            <v>45717</v>
          </cell>
          <cell r="F86">
            <v>3</v>
          </cell>
          <cell r="G86">
            <v>45658</v>
          </cell>
          <cell r="H86">
            <v>1</v>
          </cell>
          <cell r="I86">
            <v>45660</v>
          </cell>
          <cell r="J86">
            <v>300</v>
          </cell>
          <cell r="K86" t="str">
            <v>EKSKLUSIF</v>
          </cell>
        </row>
        <row r="87">
          <cell r="A87" t="str">
            <v>A1766</v>
          </cell>
          <cell r="B87" t="str">
            <v>Elizabeth Paramita</v>
          </cell>
          <cell r="C87" t="str">
            <v>DELTA</v>
          </cell>
          <cell r="D87">
            <v>45658</v>
          </cell>
          <cell r="E87">
            <v>45717</v>
          </cell>
          <cell r="F87">
            <v>3</v>
          </cell>
          <cell r="G87">
            <v>45658</v>
          </cell>
          <cell r="H87">
            <v>1</v>
          </cell>
          <cell r="I87">
            <v>45660</v>
          </cell>
          <cell r="J87">
            <v>300</v>
          </cell>
          <cell r="K87" t="str">
            <v>EKSKLUSIF</v>
          </cell>
        </row>
        <row r="88">
          <cell r="A88" t="str">
            <v>A0830</v>
          </cell>
          <cell r="B88" t="str">
            <v>MARGI SURYANI</v>
          </cell>
          <cell r="C88" t="str">
            <v>DELTA</v>
          </cell>
          <cell r="D88">
            <v>45658</v>
          </cell>
          <cell r="E88">
            <v>45717</v>
          </cell>
          <cell r="F88">
            <v>3</v>
          </cell>
          <cell r="G88">
            <v>45658</v>
          </cell>
          <cell r="H88">
            <v>1</v>
          </cell>
          <cell r="I88">
            <v>45660</v>
          </cell>
          <cell r="J88">
            <v>300</v>
          </cell>
          <cell r="K88" t="str">
            <v>EKSKLUSIF</v>
          </cell>
        </row>
        <row r="89">
          <cell r="A89" t="str">
            <v>A3404</v>
          </cell>
          <cell r="B89" t="str">
            <v>AYU SUKMAWATI</v>
          </cell>
          <cell r="C89" t="str">
            <v>DELTA</v>
          </cell>
          <cell r="D89">
            <v>45658</v>
          </cell>
          <cell r="E89">
            <v>45717</v>
          </cell>
          <cell r="F89">
            <v>3</v>
          </cell>
          <cell r="G89">
            <v>45658</v>
          </cell>
          <cell r="H89">
            <v>1</v>
          </cell>
          <cell r="I89">
            <v>45660</v>
          </cell>
          <cell r="J89">
            <v>300</v>
          </cell>
          <cell r="K89" t="str">
            <v>EKSKLUSIF</v>
          </cell>
        </row>
        <row r="90">
          <cell r="A90" t="str">
            <v>A1774</v>
          </cell>
          <cell r="B90" t="str">
            <v>MARIA DEWI TIRTA PERWITA SARI</v>
          </cell>
          <cell r="C90" t="str">
            <v>DELTA</v>
          </cell>
          <cell r="D90">
            <v>45658</v>
          </cell>
          <cell r="E90">
            <v>45717</v>
          </cell>
          <cell r="F90">
            <v>3</v>
          </cell>
          <cell r="G90">
            <v>45658</v>
          </cell>
          <cell r="H90">
            <v>1</v>
          </cell>
          <cell r="I90">
            <v>45660</v>
          </cell>
          <cell r="J90">
            <v>300</v>
          </cell>
          <cell r="K90" t="str">
            <v>EKSKLUSIF</v>
          </cell>
        </row>
        <row r="91">
          <cell r="A91" t="str">
            <v>A0225</v>
          </cell>
          <cell r="B91" t="str">
            <v>RIZAL SAPUTRA</v>
          </cell>
          <cell r="C91" t="str">
            <v>DELTA</v>
          </cell>
          <cell r="D91">
            <v>45658</v>
          </cell>
          <cell r="E91">
            <v>45717</v>
          </cell>
          <cell r="F91">
            <v>3</v>
          </cell>
          <cell r="G91">
            <v>45658</v>
          </cell>
          <cell r="H91">
            <v>1</v>
          </cell>
          <cell r="I91">
            <v>45660</v>
          </cell>
          <cell r="J91">
            <v>300</v>
          </cell>
          <cell r="K91" t="str">
            <v>EKSKLUSIF</v>
          </cell>
        </row>
        <row r="92">
          <cell r="A92" t="str">
            <v>A1105</v>
          </cell>
          <cell r="B92" t="str">
            <v>ANISA NUR AINI</v>
          </cell>
          <cell r="C92" t="str">
            <v>DELTA</v>
          </cell>
          <cell r="D92">
            <v>45658</v>
          </cell>
          <cell r="E92">
            <v>45717</v>
          </cell>
          <cell r="F92">
            <v>3</v>
          </cell>
          <cell r="G92">
            <v>45658</v>
          </cell>
          <cell r="H92">
            <v>1</v>
          </cell>
          <cell r="I92">
            <v>45660</v>
          </cell>
          <cell r="J92">
            <v>300</v>
          </cell>
          <cell r="K92" t="str">
            <v>EKSKLUSIF</v>
          </cell>
        </row>
        <row r="93">
          <cell r="A93" t="str">
            <v>A3273</v>
          </cell>
          <cell r="B93" t="str">
            <v>BINTANG MUTIARAJATI</v>
          </cell>
          <cell r="C93" t="str">
            <v>DELTA</v>
          </cell>
          <cell r="D93">
            <v>45658</v>
          </cell>
          <cell r="E93">
            <v>45717</v>
          </cell>
          <cell r="F93">
            <v>3</v>
          </cell>
          <cell r="G93">
            <v>45658</v>
          </cell>
          <cell r="H93">
            <v>1</v>
          </cell>
          <cell r="I93">
            <v>45660</v>
          </cell>
          <cell r="J93">
            <v>300</v>
          </cell>
          <cell r="K93" t="str">
            <v>EKSKLUSIF</v>
          </cell>
        </row>
        <row r="94">
          <cell r="A94" t="str">
            <v>A2322</v>
          </cell>
          <cell r="B94" t="str">
            <v>Rosi Novi Lutfitasari</v>
          </cell>
          <cell r="C94" t="str">
            <v>DELTA</v>
          </cell>
          <cell r="D94">
            <v>45658</v>
          </cell>
          <cell r="E94">
            <v>45717</v>
          </cell>
          <cell r="F94">
            <v>3</v>
          </cell>
          <cell r="G94">
            <v>45658</v>
          </cell>
          <cell r="H94">
            <v>1</v>
          </cell>
          <cell r="I94">
            <v>45660</v>
          </cell>
          <cell r="J94">
            <v>300</v>
          </cell>
          <cell r="K94" t="str">
            <v>EKSKLUSIF</v>
          </cell>
        </row>
        <row r="95">
          <cell r="A95" t="str">
            <v>A1357</v>
          </cell>
          <cell r="B95" t="str">
            <v>Agnes Trinitas</v>
          </cell>
          <cell r="C95" t="str">
            <v>DELTA</v>
          </cell>
          <cell r="D95">
            <v>45658</v>
          </cell>
          <cell r="E95">
            <v>45717</v>
          </cell>
          <cell r="F95">
            <v>3</v>
          </cell>
          <cell r="G95">
            <v>45658</v>
          </cell>
          <cell r="H95">
            <v>1</v>
          </cell>
          <cell r="I95">
            <v>45660</v>
          </cell>
          <cell r="J95">
            <v>300</v>
          </cell>
          <cell r="K95" t="str">
            <v>EKSKLUSIF</v>
          </cell>
        </row>
        <row r="96">
          <cell r="A96" t="str">
            <v>A2255</v>
          </cell>
          <cell r="B96" t="str">
            <v>Eli Santi Sitohang</v>
          </cell>
          <cell r="C96" t="str">
            <v>DELTA</v>
          </cell>
          <cell r="D96">
            <v>45658</v>
          </cell>
          <cell r="E96">
            <v>45717</v>
          </cell>
          <cell r="F96">
            <v>3</v>
          </cell>
          <cell r="G96">
            <v>45658</v>
          </cell>
          <cell r="H96">
            <v>1</v>
          </cell>
          <cell r="I96">
            <v>45660</v>
          </cell>
          <cell r="J96">
            <v>300</v>
          </cell>
          <cell r="K96" t="str">
            <v>EKSKLUSIF</v>
          </cell>
        </row>
        <row r="97">
          <cell r="A97" t="str">
            <v>A3597</v>
          </cell>
          <cell r="B97" t="str">
            <v>Windi Ayuni Sijabat</v>
          </cell>
          <cell r="C97" t="str">
            <v>DELTA</v>
          </cell>
          <cell r="D97">
            <v>45658</v>
          </cell>
          <cell r="E97">
            <v>45717</v>
          </cell>
          <cell r="F97">
            <v>3</v>
          </cell>
          <cell r="G97">
            <v>45658</v>
          </cell>
          <cell r="H97">
            <v>1</v>
          </cell>
          <cell r="I97">
            <v>45660</v>
          </cell>
          <cell r="J97">
            <v>300</v>
          </cell>
          <cell r="K97" t="str">
            <v>EKSKLUSIF</v>
          </cell>
        </row>
        <row r="98">
          <cell r="A98" t="str">
            <v>A1096</v>
          </cell>
          <cell r="B98" t="str">
            <v>Nila Haqiqi</v>
          </cell>
          <cell r="C98" t="str">
            <v>DELTA</v>
          </cell>
          <cell r="D98">
            <v>45658</v>
          </cell>
          <cell r="E98">
            <v>45717</v>
          </cell>
          <cell r="F98">
            <v>3</v>
          </cell>
          <cell r="G98">
            <v>45658</v>
          </cell>
          <cell r="H98">
            <v>1</v>
          </cell>
          <cell r="I98">
            <v>45660</v>
          </cell>
          <cell r="J98">
            <v>300</v>
          </cell>
          <cell r="K98" t="str">
            <v>EKSKLUSIF</v>
          </cell>
        </row>
        <row r="99">
          <cell r="A99" t="str">
            <v>A0874</v>
          </cell>
          <cell r="B99" t="str">
            <v>Galih Mardiana</v>
          </cell>
          <cell r="C99" t="str">
            <v>DELTA</v>
          </cell>
          <cell r="D99">
            <v>45658</v>
          </cell>
          <cell r="E99">
            <v>45717</v>
          </cell>
          <cell r="F99">
            <v>3</v>
          </cell>
          <cell r="G99">
            <v>45658</v>
          </cell>
          <cell r="H99">
            <v>1</v>
          </cell>
          <cell r="I99">
            <v>45660</v>
          </cell>
          <cell r="J99">
            <v>300</v>
          </cell>
          <cell r="K99" t="str">
            <v>EKSKLUSIF</v>
          </cell>
        </row>
        <row r="100">
          <cell r="A100" t="str">
            <v>A1219</v>
          </cell>
          <cell r="B100" t="str">
            <v>AZIZ ALFISYAHRI</v>
          </cell>
          <cell r="C100" t="str">
            <v>DELTA</v>
          </cell>
          <cell r="D100">
            <v>45658</v>
          </cell>
          <cell r="E100">
            <v>45717</v>
          </cell>
          <cell r="F100">
            <v>3</v>
          </cell>
          <cell r="G100">
            <v>45658</v>
          </cell>
          <cell r="H100">
            <v>1</v>
          </cell>
          <cell r="I100">
            <v>45660</v>
          </cell>
          <cell r="J100">
            <v>300</v>
          </cell>
          <cell r="K100" t="str">
            <v>EKSKLUSIF</v>
          </cell>
        </row>
        <row r="101">
          <cell r="A101" t="str">
            <v>A1957</v>
          </cell>
          <cell r="B101" t="str">
            <v>FATIA</v>
          </cell>
          <cell r="C101" t="str">
            <v>DELTA</v>
          </cell>
          <cell r="D101">
            <v>45658</v>
          </cell>
          <cell r="E101">
            <v>45717</v>
          </cell>
          <cell r="F101">
            <v>3</v>
          </cell>
          <cell r="G101">
            <v>45658</v>
          </cell>
          <cell r="H101">
            <v>1</v>
          </cell>
          <cell r="I101">
            <v>45660</v>
          </cell>
          <cell r="J101">
            <v>300</v>
          </cell>
          <cell r="K101" t="str">
            <v>EKSKLUSIF</v>
          </cell>
        </row>
        <row r="102">
          <cell r="A102" t="str">
            <v>A1755</v>
          </cell>
          <cell r="B102" t="str">
            <v>TIFANI ADELIA SYAFITRI</v>
          </cell>
          <cell r="C102" t="str">
            <v>DELTA</v>
          </cell>
          <cell r="D102">
            <v>45658</v>
          </cell>
          <cell r="E102">
            <v>45717</v>
          </cell>
          <cell r="F102">
            <v>3</v>
          </cell>
          <cell r="G102">
            <v>45658</v>
          </cell>
          <cell r="H102">
            <v>1</v>
          </cell>
          <cell r="I102">
            <v>45660</v>
          </cell>
          <cell r="J102">
            <v>300</v>
          </cell>
          <cell r="K102" t="str">
            <v>EKSKLUSIF</v>
          </cell>
        </row>
        <row r="103">
          <cell r="A103" t="str">
            <v>A1841</v>
          </cell>
          <cell r="B103" t="str">
            <v>ADHINA PUTRIANA KUSUMAWATI</v>
          </cell>
          <cell r="C103" t="str">
            <v>DELTA</v>
          </cell>
          <cell r="D103">
            <v>45658</v>
          </cell>
          <cell r="E103">
            <v>45717</v>
          </cell>
          <cell r="F103">
            <v>3</v>
          </cell>
          <cell r="G103">
            <v>45658</v>
          </cell>
          <cell r="H103">
            <v>1</v>
          </cell>
          <cell r="I103">
            <v>45660</v>
          </cell>
          <cell r="J103">
            <v>300</v>
          </cell>
          <cell r="K103" t="str">
            <v>EKSKLUSIF</v>
          </cell>
        </row>
        <row r="104">
          <cell r="A104" t="str">
            <v>A1854</v>
          </cell>
          <cell r="B104" t="str">
            <v>SALSABILA OKTAVIMADIANA</v>
          </cell>
          <cell r="C104" t="str">
            <v>DELTA</v>
          </cell>
          <cell r="D104">
            <v>45658</v>
          </cell>
          <cell r="E104">
            <v>45717</v>
          </cell>
          <cell r="F104">
            <v>3</v>
          </cell>
          <cell r="G104">
            <v>45658</v>
          </cell>
          <cell r="H104">
            <v>1</v>
          </cell>
          <cell r="I104">
            <v>45660</v>
          </cell>
          <cell r="J104">
            <v>300</v>
          </cell>
          <cell r="K104" t="str">
            <v>EKSKLUSIF</v>
          </cell>
        </row>
        <row r="105">
          <cell r="A105" t="str">
            <v>A3599</v>
          </cell>
          <cell r="B105" t="str">
            <v>HANIFAH RAHMADHANI</v>
          </cell>
          <cell r="C105" t="str">
            <v>DELTA</v>
          </cell>
          <cell r="D105">
            <v>45658</v>
          </cell>
          <cell r="E105">
            <v>45717</v>
          </cell>
          <cell r="F105">
            <v>3</v>
          </cell>
          <cell r="G105">
            <v>45658</v>
          </cell>
          <cell r="H105">
            <v>1</v>
          </cell>
          <cell r="I105">
            <v>45660</v>
          </cell>
          <cell r="J105">
            <v>300</v>
          </cell>
          <cell r="K105" t="str">
            <v>EKSKLUSIF</v>
          </cell>
        </row>
        <row r="106">
          <cell r="A106" t="str">
            <v>A1531</v>
          </cell>
          <cell r="B106" t="str">
            <v>ERIN ALFINATA</v>
          </cell>
          <cell r="C106" t="str">
            <v>DELTA</v>
          </cell>
          <cell r="D106">
            <v>45658</v>
          </cell>
          <cell r="E106">
            <v>45717</v>
          </cell>
          <cell r="F106">
            <v>3</v>
          </cell>
          <cell r="G106">
            <v>45658</v>
          </cell>
          <cell r="H106">
            <v>1</v>
          </cell>
          <cell r="I106">
            <v>45660</v>
          </cell>
          <cell r="J106">
            <v>300</v>
          </cell>
          <cell r="K106" t="str">
            <v>EKSKLUSIF</v>
          </cell>
        </row>
        <row r="107">
          <cell r="A107" t="str">
            <v>A1232</v>
          </cell>
          <cell r="B107" t="str">
            <v>FIORENTINA BR SEBAYANG</v>
          </cell>
          <cell r="C107" t="str">
            <v>TEMA C2</v>
          </cell>
          <cell r="D107">
            <v>45505</v>
          </cell>
          <cell r="E107">
            <v>45658</v>
          </cell>
          <cell r="F107">
            <v>6</v>
          </cell>
          <cell r="G107">
            <v>45658</v>
          </cell>
          <cell r="H107">
            <v>6</v>
          </cell>
          <cell r="I107">
            <v>45814</v>
          </cell>
          <cell r="J107" t="str">
            <v>Rp1,600,000</v>
          </cell>
          <cell r="K107" t="str">
            <v>EKSKLUSIF</v>
          </cell>
        </row>
        <row r="108">
          <cell r="A108" t="str">
            <v>A0927</v>
          </cell>
          <cell r="B108" t="str">
            <v>INTAN AYU WARDANI</v>
          </cell>
          <cell r="C108" t="str">
            <v>TEMA C2</v>
          </cell>
          <cell r="D108">
            <v>45505</v>
          </cell>
          <cell r="E108">
            <v>45658</v>
          </cell>
          <cell r="F108">
            <v>6</v>
          </cell>
          <cell r="G108">
            <v>45658</v>
          </cell>
          <cell r="H108">
            <v>6</v>
          </cell>
          <cell r="I108">
            <v>45814</v>
          </cell>
          <cell r="J108" t="str">
            <v>Rp1,600,000</v>
          </cell>
          <cell r="K108" t="str">
            <v>EKSKLUSIF</v>
          </cell>
        </row>
        <row r="109">
          <cell r="A109" t="str">
            <v>A2702</v>
          </cell>
          <cell r="B109" t="str">
            <v>DILA FITRIANI</v>
          </cell>
          <cell r="C109" t="str">
            <v>TEMA C2</v>
          </cell>
          <cell r="D109">
            <v>45536</v>
          </cell>
          <cell r="E109">
            <v>45689</v>
          </cell>
          <cell r="F109">
            <v>6</v>
          </cell>
          <cell r="G109">
            <v>45658</v>
          </cell>
          <cell r="H109">
            <v>5</v>
          </cell>
          <cell r="I109">
            <v>45783</v>
          </cell>
          <cell r="J109">
            <v>500</v>
          </cell>
          <cell r="K109" t="str">
            <v>EKSKLUSIF</v>
          </cell>
        </row>
        <row r="110">
          <cell r="A110" t="str">
            <v>A4162</v>
          </cell>
          <cell r="B110" t="str">
            <v>FATHUL MUBAROQ</v>
          </cell>
          <cell r="C110" t="str">
            <v>TEMA C2</v>
          </cell>
          <cell r="D110">
            <v>45536</v>
          </cell>
          <cell r="E110">
            <v>45689</v>
          </cell>
          <cell r="F110">
            <v>6</v>
          </cell>
          <cell r="G110">
            <v>45658</v>
          </cell>
          <cell r="H110">
            <v>5</v>
          </cell>
          <cell r="I110">
            <v>45783</v>
          </cell>
          <cell r="J110">
            <v>500</v>
          </cell>
          <cell r="K110" t="str">
            <v>EKSKLUSIF</v>
          </cell>
        </row>
        <row r="111">
          <cell r="A111" t="str">
            <v>A3034</v>
          </cell>
          <cell r="B111" t="str">
            <v>MEYTIA EKA PUTRI</v>
          </cell>
          <cell r="C111" t="str">
            <v>TEMA C2</v>
          </cell>
          <cell r="D111">
            <v>45536</v>
          </cell>
          <cell r="E111">
            <v>45689</v>
          </cell>
          <cell r="F111">
            <v>6</v>
          </cell>
          <cell r="G111">
            <v>45658</v>
          </cell>
          <cell r="H111">
            <v>5</v>
          </cell>
          <cell r="I111">
            <v>45783</v>
          </cell>
          <cell r="J111">
            <v>500</v>
          </cell>
          <cell r="K111" t="str">
            <v>EKSKLUSIF</v>
          </cell>
        </row>
        <row r="112">
          <cell r="A112" t="str">
            <v>A4011</v>
          </cell>
          <cell r="B112" t="str">
            <v>MUHAMMAD FAJRIADY</v>
          </cell>
          <cell r="C112" t="str">
            <v>TEMA C2</v>
          </cell>
          <cell r="D112">
            <v>45536</v>
          </cell>
          <cell r="E112">
            <v>45689</v>
          </cell>
          <cell r="F112">
            <v>6</v>
          </cell>
          <cell r="G112">
            <v>45658</v>
          </cell>
          <cell r="H112">
            <v>5</v>
          </cell>
          <cell r="I112">
            <v>45783</v>
          </cell>
          <cell r="J112">
            <v>500</v>
          </cell>
          <cell r="K112" t="str">
            <v>EKSKLUSIF</v>
          </cell>
        </row>
        <row r="113">
          <cell r="A113" t="str">
            <v>A0786</v>
          </cell>
          <cell r="B113" t="str">
            <v>Arya Ardiansah</v>
          </cell>
          <cell r="C113" t="str">
            <v>TEMA C2</v>
          </cell>
          <cell r="D113">
            <v>45566</v>
          </cell>
          <cell r="E113">
            <v>45717</v>
          </cell>
          <cell r="F113">
            <v>6</v>
          </cell>
          <cell r="G113">
            <v>45658</v>
          </cell>
          <cell r="H113">
            <v>4</v>
          </cell>
          <cell r="I113">
            <v>45753</v>
          </cell>
          <cell r="J113">
            <v>400</v>
          </cell>
          <cell r="K113" t="str">
            <v>EKSKLUSIF</v>
          </cell>
        </row>
        <row r="114">
          <cell r="A114" t="str">
            <v>A1244</v>
          </cell>
          <cell r="B114" t="str">
            <v>SHOFIA NOVIANTI</v>
          </cell>
          <cell r="C114" t="str">
            <v>TEMA C2</v>
          </cell>
          <cell r="D114">
            <v>45597</v>
          </cell>
          <cell r="E114">
            <v>45658</v>
          </cell>
          <cell r="F114">
            <v>3</v>
          </cell>
          <cell r="G114">
            <v>45658</v>
          </cell>
          <cell r="H114">
            <v>3</v>
          </cell>
          <cell r="I114">
            <v>45719</v>
          </cell>
          <cell r="J114">
            <v>900</v>
          </cell>
          <cell r="K114" t="str">
            <v>EKSKLUSIF</v>
          </cell>
        </row>
        <row r="115">
          <cell r="A115" t="str">
            <v>A1059</v>
          </cell>
          <cell r="B115" t="str">
            <v>AZILA ZALWA</v>
          </cell>
          <cell r="C115" t="str">
            <v>TEMA C2</v>
          </cell>
          <cell r="D115">
            <v>45597</v>
          </cell>
          <cell r="E115">
            <v>45658</v>
          </cell>
          <cell r="F115">
            <v>3</v>
          </cell>
          <cell r="G115">
            <v>45658</v>
          </cell>
          <cell r="H115">
            <v>3</v>
          </cell>
          <cell r="I115">
            <v>45719</v>
          </cell>
          <cell r="J115">
            <v>900</v>
          </cell>
          <cell r="K115" t="str">
            <v>EKSKLUSIF</v>
          </cell>
        </row>
        <row r="116">
          <cell r="A116" t="str">
            <v>A3305</v>
          </cell>
          <cell r="B116" t="str">
            <v>ARIF NOVIANTO</v>
          </cell>
          <cell r="C116" t="str">
            <v>TEMA C2</v>
          </cell>
          <cell r="D116">
            <v>45597</v>
          </cell>
          <cell r="E116">
            <v>45658</v>
          </cell>
          <cell r="F116">
            <v>3</v>
          </cell>
          <cell r="G116">
            <v>45658</v>
          </cell>
          <cell r="H116">
            <v>3</v>
          </cell>
          <cell r="I116">
            <v>45719</v>
          </cell>
          <cell r="J116">
            <v>900</v>
          </cell>
          <cell r="K116" t="str">
            <v>EKSKLUSIF</v>
          </cell>
        </row>
        <row r="117">
          <cell r="A117" t="str">
            <v>A4024</v>
          </cell>
          <cell r="B117" t="str">
            <v>FITRIA NURUL</v>
          </cell>
          <cell r="C117" t="str">
            <v>TEMA C2</v>
          </cell>
          <cell r="D117">
            <v>45597</v>
          </cell>
          <cell r="E117">
            <v>45748</v>
          </cell>
          <cell r="F117">
            <v>6</v>
          </cell>
          <cell r="G117">
            <v>45658</v>
          </cell>
          <cell r="H117">
            <v>3</v>
          </cell>
          <cell r="I117">
            <v>45722</v>
          </cell>
          <cell r="J117">
            <v>400</v>
          </cell>
          <cell r="K117" t="str">
            <v>EKSKLUSIF</v>
          </cell>
        </row>
        <row r="118">
          <cell r="A118" t="str">
            <v>A4139</v>
          </cell>
          <cell r="B118" t="str">
            <v>KEYLA REISA IARA</v>
          </cell>
          <cell r="C118" t="str">
            <v>TEMA C2</v>
          </cell>
          <cell r="D118">
            <v>45597</v>
          </cell>
          <cell r="E118">
            <v>45658</v>
          </cell>
          <cell r="F118">
            <v>3</v>
          </cell>
          <cell r="G118">
            <v>45658</v>
          </cell>
          <cell r="H118">
            <v>3</v>
          </cell>
          <cell r="I118">
            <v>45719</v>
          </cell>
          <cell r="J118">
            <v>900</v>
          </cell>
          <cell r="K118" t="str">
            <v>EKSKLUSIF</v>
          </cell>
        </row>
        <row r="119">
          <cell r="A119" t="str">
            <v>A4285</v>
          </cell>
          <cell r="B119" t="str">
            <v>VINO MUJAHIDIN</v>
          </cell>
          <cell r="C119" t="str">
            <v>TEMA C2</v>
          </cell>
          <cell r="D119">
            <v>45597</v>
          </cell>
          <cell r="E119">
            <v>45658</v>
          </cell>
          <cell r="F119">
            <v>3</v>
          </cell>
          <cell r="G119">
            <v>45658</v>
          </cell>
          <cell r="H119">
            <v>3</v>
          </cell>
          <cell r="I119">
            <v>45719</v>
          </cell>
          <cell r="J119">
            <v>900</v>
          </cell>
          <cell r="K119" t="str">
            <v>EKSKLUSIF</v>
          </cell>
        </row>
        <row r="120">
          <cell r="A120" t="str">
            <v>A4273</v>
          </cell>
          <cell r="B120" t="str">
            <v>RUTH TRIS KRISTANTI</v>
          </cell>
          <cell r="C120" t="str">
            <v>TEMA C2</v>
          </cell>
          <cell r="D120">
            <v>45597</v>
          </cell>
          <cell r="E120">
            <v>45658</v>
          </cell>
          <cell r="F120">
            <v>3</v>
          </cell>
          <cell r="G120">
            <v>45658</v>
          </cell>
          <cell r="H120">
            <v>3</v>
          </cell>
          <cell r="I120">
            <v>45719</v>
          </cell>
          <cell r="J120">
            <v>900</v>
          </cell>
          <cell r="K120" t="str">
            <v>EKSKLUSIF</v>
          </cell>
        </row>
        <row r="121">
          <cell r="A121" t="str">
            <v>A0724</v>
          </cell>
          <cell r="B121" t="str">
            <v>RIZKY REYNALDI</v>
          </cell>
          <cell r="C121" t="str">
            <v>TEMA C2</v>
          </cell>
          <cell r="D121">
            <v>45597</v>
          </cell>
          <cell r="E121">
            <v>45658</v>
          </cell>
          <cell r="F121">
            <v>3</v>
          </cell>
          <cell r="G121">
            <v>45658</v>
          </cell>
          <cell r="H121">
            <v>3</v>
          </cell>
          <cell r="I121">
            <v>45719</v>
          </cell>
          <cell r="J121">
            <v>900</v>
          </cell>
          <cell r="K121" t="str">
            <v>EKSKLUSIF</v>
          </cell>
        </row>
        <row r="122">
          <cell r="A122" t="str">
            <v>A4367</v>
          </cell>
          <cell r="B122" t="str">
            <v>SISWI HARDIYANTI RUKMANA DEWI</v>
          </cell>
          <cell r="C122" t="str">
            <v>TEMA C2</v>
          </cell>
          <cell r="D122">
            <v>45597</v>
          </cell>
          <cell r="E122">
            <v>45658</v>
          </cell>
          <cell r="F122">
            <v>3</v>
          </cell>
          <cell r="G122">
            <v>45658</v>
          </cell>
          <cell r="H122">
            <v>3</v>
          </cell>
          <cell r="I122">
            <v>45719</v>
          </cell>
          <cell r="J122">
            <v>900</v>
          </cell>
          <cell r="K122" t="str">
            <v>EKSKLUSIF</v>
          </cell>
        </row>
        <row r="123">
          <cell r="A123" t="str">
            <v>A4341</v>
          </cell>
          <cell r="B123" t="str">
            <v>RIZA ULHIDAYAH H</v>
          </cell>
          <cell r="C123" t="str">
            <v>TEMA C2</v>
          </cell>
          <cell r="D123">
            <v>45597</v>
          </cell>
          <cell r="E123">
            <v>45748</v>
          </cell>
          <cell r="F123">
            <v>6</v>
          </cell>
          <cell r="G123">
            <v>45658</v>
          </cell>
          <cell r="H123">
            <v>3</v>
          </cell>
          <cell r="I123">
            <v>45722</v>
          </cell>
          <cell r="J123">
            <v>400</v>
          </cell>
          <cell r="K123" t="str">
            <v>EKSKLUSIF</v>
          </cell>
        </row>
        <row r="124">
          <cell r="A124" t="str">
            <v>A4366</v>
          </cell>
          <cell r="B124" t="str">
            <v>RISKA KRISTIANA</v>
          </cell>
          <cell r="C124" t="str">
            <v>TEMA C2</v>
          </cell>
          <cell r="D124">
            <v>45597</v>
          </cell>
          <cell r="E124">
            <v>45658</v>
          </cell>
          <cell r="F124">
            <v>3</v>
          </cell>
          <cell r="G124">
            <v>45658</v>
          </cell>
          <cell r="H124">
            <v>3</v>
          </cell>
          <cell r="I124">
            <v>45719</v>
          </cell>
          <cell r="J124">
            <v>900</v>
          </cell>
          <cell r="K124" t="str">
            <v>EKSKLUSIF</v>
          </cell>
        </row>
        <row r="125">
          <cell r="A125" t="str">
            <v>A1638</v>
          </cell>
          <cell r="B125" t="str">
            <v>ERNI DWI WIDYANTI</v>
          </cell>
          <cell r="C125" t="str">
            <v>TEMA C2</v>
          </cell>
          <cell r="D125">
            <v>45597</v>
          </cell>
          <cell r="E125">
            <v>45748</v>
          </cell>
          <cell r="F125">
            <v>6</v>
          </cell>
          <cell r="G125">
            <v>45658</v>
          </cell>
          <cell r="H125">
            <v>3</v>
          </cell>
          <cell r="I125">
            <v>45722</v>
          </cell>
          <cell r="J125">
            <v>400</v>
          </cell>
          <cell r="K125" t="str">
            <v>EKSKLUSIF</v>
          </cell>
        </row>
        <row r="126">
          <cell r="A126" t="str">
            <v>A4422</v>
          </cell>
          <cell r="B126" t="str">
            <v>NUR SABILA</v>
          </cell>
          <cell r="C126" t="str">
            <v>TEMA C2</v>
          </cell>
          <cell r="D126">
            <v>45627</v>
          </cell>
          <cell r="E126">
            <v>45689</v>
          </cell>
          <cell r="F126">
            <v>3</v>
          </cell>
          <cell r="G126">
            <v>45658</v>
          </cell>
          <cell r="H126">
            <v>2</v>
          </cell>
          <cell r="I126">
            <v>45691</v>
          </cell>
          <cell r="J126">
            <v>300</v>
          </cell>
          <cell r="K126" t="str">
            <v>EKSKLUSIF</v>
          </cell>
        </row>
        <row r="127">
          <cell r="A127" t="str">
            <v>A2072</v>
          </cell>
          <cell r="B127" t="str">
            <v>DIANA PUTERI</v>
          </cell>
          <cell r="C127" t="str">
            <v>TEMA C2</v>
          </cell>
          <cell r="D127">
            <v>45627</v>
          </cell>
          <cell r="E127">
            <v>45689</v>
          </cell>
          <cell r="F127">
            <v>3</v>
          </cell>
          <cell r="G127">
            <v>45658</v>
          </cell>
          <cell r="H127">
            <v>2</v>
          </cell>
          <cell r="I127">
            <v>45691</v>
          </cell>
          <cell r="J127">
            <v>300</v>
          </cell>
          <cell r="K127" t="str">
            <v>EKSKLUSIF</v>
          </cell>
        </row>
        <row r="128">
          <cell r="A128" t="str">
            <v>A2684</v>
          </cell>
          <cell r="B128" t="str">
            <v>DIMAS VERGIAWAN AFIAT</v>
          </cell>
          <cell r="C128" t="str">
            <v>TEMA C2</v>
          </cell>
          <cell r="D128">
            <v>45627</v>
          </cell>
          <cell r="E128">
            <v>45689</v>
          </cell>
          <cell r="F128">
            <v>3</v>
          </cell>
          <cell r="G128">
            <v>45658</v>
          </cell>
          <cell r="H128">
            <v>2</v>
          </cell>
          <cell r="I128">
            <v>45691</v>
          </cell>
          <cell r="J128">
            <v>300</v>
          </cell>
          <cell r="K128" t="str">
            <v>EKSKLUSIF</v>
          </cell>
        </row>
        <row r="129">
          <cell r="A129" t="str">
            <v>A0920</v>
          </cell>
          <cell r="B129" t="str">
            <v>HANGESTI RETNO UTARI</v>
          </cell>
          <cell r="C129" t="str">
            <v>TEMA C2</v>
          </cell>
          <cell r="D129">
            <v>45627</v>
          </cell>
          <cell r="E129">
            <v>45689</v>
          </cell>
          <cell r="F129">
            <v>3</v>
          </cell>
          <cell r="G129">
            <v>45658</v>
          </cell>
          <cell r="H129">
            <v>2</v>
          </cell>
          <cell r="I129">
            <v>45691</v>
          </cell>
          <cell r="J129">
            <v>300</v>
          </cell>
          <cell r="K129" t="str">
            <v>EKSKLUSIF</v>
          </cell>
        </row>
        <row r="130">
          <cell r="A130" t="str">
            <v>A0565</v>
          </cell>
          <cell r="B130" t="str">
            <v>PRADIPTA NIWAYANI</v>
          </cell>
          <cell r="C130" t="str">
            <v>TEMA C2</v>
          </cell>
          <cell r="D130">
            <v>45627</v>
          </cell>
          <cell r="E130">
            <v>45689</v>
          </cell>
          <cell r="F130">
            <v>3</v>
          </cell>
          <cell r="G130">
            <v>45658</v>
          </cell>
          <cell r="H130">
            <v>2</v>
          </cell>
          <cell r="I130">
            <v>45691</v>
          </cell>
          <cell r="J130">
            <v>300</v>
          </cell>
          <cell r="K130" t="str">
            <v>EKSKLUSIF</v>
          </cell>
        </row>
        <row r="131">
          <cell r="A131" t="str">
            <v>A4270</v>
          </cell>
          <cell r="B131" t="str">
            <v>DELLA OXZA</v>
          </cell>
          <cell r="C131" t="str">
            <v>TEMA C2</v>
          </cell>
          <cell r="D131">
            <v>45627</v>
          </cell>
          <cell r="E131">
            <v>45689</v>
          </cell>
          <cell r="F131">
            <v>3</v>
          </cell>
          <cell r="G131">
            <v>45658</v>
          </cell>
          <cell r="H131">
            <v>2</v>
          </cell>
          <cell r="I131">
            <v>45691</v>
          </cell>
          <cell r="J131">
            <v>300</v>
          </cell>
          <cell r="K131" t="str">
            <v>EKSKLUSIF</v>
          </cell>
        </row>
        <row r="132">
          <cell r="A132" t="str">
            <v>A3996</v>
          </cell>
          <cell r="B132" t="str">
            <v>JOANICA INTAN CAHYANDARI</v>
          </cell>
          <cell r="C132" t="str">
            <v>TEMA C2</v>
          </cell>
          <cell r="D132">
            <v>45627</v>
          </cell>
          <cell r="E132">
            <v>45689</v>
          </cell>
          <cell r="F132">
            <v>3</v>
          </cell>
          <cell r="G132">
            <v>45658</v>
          </cell>
          <cell r="H132">
            <v>2</v>
          </cell>
          <cell r="I132">
            <v>45691</v>
          </cell>
          <cell r="J132">
            <v>300</v>
          </cell>
          <cell r="K132" t="str">
            <v>EKSKLUSIF</v>
          </cell>
        </row>
        <row r="133">
          <cell r="A133" t="str">
            <v>A4363</v>
          </cell>
          <cell r="B133" t="str">
            <v>RINA IKA LESTARI</v>
          </cell>
          <cell r="C133" t="str">
            <v>TEMA C2</v>
          </cell>
          <cell r="D133">
            <v>45627</v>
          </cell>
          <cell r="E133">
            <v>45689</v>
          </cell>
          <cell r="F133">
            <v>3</v>
          </cell>
          <cell r="G133">
            <v>45658</v>
          </cell>
          <cell r="H133">
            <v>2</v>
          </cell>
          <cell r="I133">
            <v>45691</v>
          </cell>
          <cell r="J133">
            <v>300</v>
          </cell>
          <cell r="K133" t="str">
            <v>EKSKLUSIF</v>
          </cell>
        </row>
        <row r="134">
          <cell r="A134">
            <v>92628</v>
          </cell>
          <cell r="B134" t="str">
            <v>Nini Aulia Sari</v>
          </cell>
          <cell r="C134" t="str">
            <v>TEMA C2</v>
          </cell>
          <cell r="D134">
            <v>45627</v>
          </cell>
          <cell r="E134">
            <v>45689</v>
          </cell>
          <cell r="F134">
            <v>3</v>
          </cell>
          <cell r="G134">
            <v>45658</v>
          </cell>
          <cell r="H134">
            <v>2</v>
          </cell>
          <cell r="I134">
            <v>45691</v>
          </cell>
          <cell r="J134">
            <v>300</v>
          </cell>
          <cell r="K134" t="str">
            <v>EKSKLUSIF</v>
          </cell>
        </row>
        <row r="135">
          <cell r="A135" t="str">
            <v>A2705</v>
          </cell>
          <cell r="B135" t="str">
            <v>ANTONIA DESI ENDAH KRISTIYANTI</v>
          </cell>
          <cell r="C135" t="str">
            <v>TEMA C2</v>
          </cell>
          <cell r="D135">
            <v>45627</v>
          </cell>
          <cell r="E135">
            <v>45689</v>
          </cell>
          <cell r="F135">
            <v>3</v>
          </cell>
          <cell r="G135">
            <v>45658</v>
          </cell>
          <cell r="H135">
            <v>2</v>
          </cell>
          <cell r="I135">
            <v>45691</v>
          </cell>
          <cell r="J135">
            <v>300</v>
          </cell>
          <cell r="K135" t="str">
            <v>EKSKLUSIF</v>
          </cell>
        </row>
        <row r="136">
          <cell r="A136" t="str">
            <v>A4437</v>
          </cell>
          <cell r="B136" t="str">
            <v>MUHAMMAD ILZAM</v>
          </cell>
          <cell r="C136" t="str">
            <v>TEMA C2</v>
          </cell>
          <cell r="D136">
            <v>45627</v>
          </cell>
          <cell r="E136">
            <v>45689</v>
          </cell>
          <cell r="F136">
            <v>3</v>
          </cell>
          <cell r="G136">
            <v>45658</v>
          </cell>
          <cell r="H136">
            <v>2</v>
          </cell>
          <cell r="I136">
            <v>45691</v>
          </cell>
          <cell r="J136">
            <v>300</v>
          </cell>
          <cell r="K136" t="str">
            <v>EKSKLUSIF</v>
          </cell>
        </row>
        <row r="137">
          <cell r="A137" t="str">
            <v>A4441</v>
          </cell>
          <cell r="B137" t="str">
            <v>IRWANDA BUDI PANGESTU</v>
          </cell>
          <cell r="C137" t="str">
            <v>TEMA C2</v>
          </cell>
          <cell r="D137">
            <v>45627</v>
          </cell>
          <cell r="E137">
            <v>45689</v>
          </cell>
          <cell r="F137">
            <v>3</v>
          </cell>
          <cell r="G137">
            <v>45658</v>
          </cell>
          <cell r="H137">
            <v>2</v>
          </cell>
          <cell r="I137">
            <v>45691</v>
          </cell>
          <cell r="J137">
            <v>300</v>
          </cell>
          <cell r="K137" t="str">
            <v>EKSKLUSIF</v>
          </cell>
        </row>
        <row r="138">
          <cell r="A138" t="str">
            <v>A4364</v>
          </cell>
          <cell r="B138" t="str">
            <v>Muhammad Raihandra</v>
          </cell>
          <cell r="C138" t="str">
            <v>TEMA C2</v>
          </cell>
          <cell r="D138">
            <v>45627</v>
          </cell>
          <cell r="E138">
            <v>45689</v>
          </cell>
          <cell r="F138">
            <v>3</v>
          </cell>
          <cell r="G138">
            <v>45658</v>
          </cell>
          <cell r="H138">
            <v>2</v>
          </cell>
          <cell r="I138">
            <v>45691</v>
          </cell>
          <cell r="J138">
            <v>300</v>
          </cell>
          <cell r="K138" t="str">
            <v>EKSKLUSIF</v>
          </cell>
        </row>
        <row r="139">
          <cell r="A139" t="str">
            <v>A3766</v>
          </cell>
          <cell r="B139" t="str">
            <v>BESTFEBRI CHRISTY DAMERIA PAKPAHAN</v>
          </cell>
          <cell r="C139" t="str">
            <v>TEMA C2</v>
          </cell>
          <cell r="D139">
            <v>45627</v>
          </cell>
          <cell r="E139">
            <v>45689</v>
          </cell>
          <cell r="F139">
            <v>3</v>
          </cell>
          <cell r="G139">
            <v>45658</v>
          </cell>
          <cell r="H139">
            <v>2</v>
          </cell>
          <cell r="I139">
            <v>45691</v>
          </cell>
          <cell r="J139">
            <v>300</v>
          </cell>
          <cell r="K139" t="str">
            <v>EKSKLUSIF</v>
          </cell>
        </row>
        <row r="140">
          <cell r="A140" t="str">
            <v>A4276</v>
          </cell>
          <cell r="B140" t="str">
            <v>UMMI AISYATUL LATIFAH ASARO</v>
          </cell>
          <cell r="C140" t="str">
            <v>TEMA C2</v>
          </cell>
          <cell r="D140">
            <v>45627</v>
          </cell>
          <cell r="E140">
            <v>45689</v>
          </cell>
          <cell r="F140">
            <v>3</v>
          </cell>
          <cell r="G140">
            <v>45658</v>
          </cell>
          <cell r="H140">
            <v>2</v>
          </cell>
          <cell r="I140">
            <v>45691</v>
          </cell>
          <cell r="J140">
            <v>300</v>
          </cell>
          <cell r="K140" t="str">
            <v>EKSKLUSIF</v>
          </cell>
        </row>
        <row r="141">
          <cell r="A141" t="str">
            <v>A2014</v>
          </cell>
          <cell r="B141" t="str">
            <v>NUR ANISA</v>
          </cell>
          <cell r="C141" t="str">
            <v>TEMA C2</v>
          </cell>
          <cell r="D141">
            <v>45627</v>
          </cell>
          <cell r="E141">
            <v>45689</v>
          </cell>
          <cell r="F141">
            <v>3</v>
          </cell>
          <cell r="G141">
            <v>45658</v>
          </cell>
          <cell r="H141">
            <v>2</v>
          </cell>
          <cell r="I141">
            <v>45691</v>
          </cell>
          <cell r="J141">
            <v>300</v>
          </cell>
          <cell r="K141" t="str">
            <v>EKSKLUSIF</v>
          </cell>
        </row>
        <row r="142">
          <cell r="A142" t="str">
            <v>A4405</v>
          </cell>
          <cell r="B142" t="str">
            <v>SALWA AYU WIGATI</v>
          </cell>
          <cell r="C142" t="str">
            <v>TEMA C2</v>
          </cell>
          <cell r="D142">
            <v>45627</v>
          </cell>
          <cell r="E142">
            <v>45689</v>
          </cell>
          <cell r="F142">
            <v>3</v>
          </cell>
          <cell r="G142">
            <v>45658</v>
          </cell>
          <cell r="H142">
            <v>2</v>
          </cell>
          <cell r="I142">
            <v>45691</v>
          </cell>
          <cell r="J142">
            <v>300</v>
          </cell>
          <cell r="K142" t="str">
            <v>EKSKLUSIF</v>
          </cell>
        </row>
        <row r="143">
          <cell r="A143">
            <v>90118</v>
          </cell>
          <cell r="B143" t="str">
            <v>AGRESITABELA PURNANINGRUM</v>
          </cell>
          <cell r="C143" t="str">
            <v>TEMA C2</v>
          </cell>
          <cell r="D143">
            <v>45627</v>
          </cell>
          <cell r="E143">
            <v>45689</v>
          </cell>
          <cell r="F143">
            <v>3</v>
          </cell>
          <cell r="G143">
            <v>45658</v>
          </cell>
          <cell r="H143">
            <v>2</v>
          </cell>
          <cell r="I143">
            <v>45691</v>
          </cell>
          <cell r="J143">
            <v>300</v>
          </cell>
          <cell r="K143" t="str">
            <v>EKSKLUSIF</v>
          </cell>
        </row>
        <row r="144">
          <cell r="A144" t="str">
            <v>A0105</v>
          </cell>
          <cell r="B144" t="str">
            <v>SANDA IRIANTO</v>
          </cell>
          <cell r="C144" t="str">
            <v>TEMA C2</v>
          </cell>
          <cell r="D144">
            <v>45658</v>
          </cell>
          <cell r="E144">
            <v>45717</v>
          </cell>
          <cell r="F144">
            <v>3</v>
          </cell>
          <cell r="G144">
            <v>45658</v>
          </cell>
          <cell r="H144">
            <v>1</v>
          </cell>
          <cell r="I144">
            <v>45660</v>
          </cell>
          <cell r="J144">
            <v>300</v>
          </cell>
          <cell r="K144" t="str">
            <v>EKSKLUSIF</v>
          </cell>
        </row>
        <row r="145">
          <cell r="A145" t="str">
            <v>A3962</v>
          </cell>
          <cell r="B145" t="str">
            <v>SHIDDIQI DIQI</v>
          </cell>
          <cell r="C145" t="str">
            <v>TEMA C2</v>
          </cell>
          <cell r="D145">
            <v>45658</v>
          </cell>
          <cell r="E145">
            <v>45717</v>
          </cell>
          <cell r="F145">
            <v>3</v>
          </cell>
          <cell r="G145">
            <v>45658</v>
          </cell>
          <cell r="H145">
            <v>1</v>
          </cell>
          <cell r="I145">
            <v>45660</v>
          </cell>
          <cell r="J145">
            <v>300</v>
          </cell>
          <cell r="K145" t="str">
            <v>EKSKLUSIF</v>
          </cell>
        </row>
        <row r="146">
          <cell r="A146" t="str">
            <v>A1428</v>
          </cell>
          <cell r="B146" t="str">
            <v>RIFKA AYU PRADITA</v>
          </cell>
          <cell r="C146" t="str">
            <v>TEMA C2</v>
          </cell>
          <cell r="D146">
            <v>45658</v>
          </cell>
          <cell r="E146">
            <v>45717</v>
          </cell>
          <cell r="F146">
            <v>3</v>
          </cell>
          <cell r="G146">
            <v>45658</v>
          </cell>
          <cell r="H146">
            <v>1</v>
          </cell>
          <cell r="I146">
            <v>45660</v>
          </cell>
          <cell r="J146">
            <v>300</v>
          </cell>
          <cell r="K146" t="str">
            <v>EKSKLUSIF</v>
          </cell>
        </row>
        <row r="147">
          <cell r="A147" t="str">
            <v>A4369</v>
          </cell>
          <cell r="B147" t="str">
            <v>AULIA PUTRI WULANDARI</v>
          </cell>
          <cell r="C147" t="str">
            <v>TEMA C2</v>
          </cell>
          <cell r="D147">
            <v>45658</v>
          </cell>
          <cell r="E147">
            <v>45717</v>
          </cell>
          <cell r="F147">
            <v>3</v>
          </cell>
          <cell r="G147">
            <v>45658</v>
          </cell>
          <cell r="H147">
            <v>1</v>
          </cell>
          <cell r="I147">
            <v>45660</v>
          </cell>
          <cell r="J147">
            <v>300</v>
          </cell>
          <cell r="K147" t="str">
            <v>EKSKLUSIF</v>
          </cell>
        </row>
        <row r="148">
          <cell r="A148" t="str">
            <v>A3693</v>
          </cell>
          <cell r="B148" t="str">
            <v>LENSE SITOMPUL</v>
          </cell>
          <cell r="C148" t="str">
            <v>TEMA C2</v>
          </cell>
          <cell r="D148">
            <v>45658</v>
          </cell>
          <cell r="E148">
            <v>45717</v>
          </cell>
          <cell r="F148">
            <v>3</v>
          </cell>
          <cell r="G148">
            <v>45658</v>
          </cell>
          <cell r="H148">
            <v>1</v>
          </cell>
          <cell r="I148">
            <v>45660</v>
          </cell>
          <cell r="J148">
            <v>300</v>
          </cell>
          <cell r="K148" t="str">
            <v>EKSKLUSIF</v>
          </cell>
        </row>
        <row r="149">
          <cell r="A149" t="str">
            <v>A1250</v>
          </cell>
          <cell r="B149" t="str">
            <v>MAYANG PUTRI INANDA SARI</v>
          </cell>
          <cell r="C149" t="str">
            <v>TEMA C2</v>
          </cell>
          <cell r="D149">
            <v>45658</v>
          </cell>
          <cell r="E149">
            <v>45717</v>
          </cell>
          <cell r="F149">
            <v>3</v>
          </cell>
          <cell r="G149">
            <v>45658</v>
          </cell>
          <cell r="H149">
            <v>1</v>
          </cell>
          <cell r="I149">
            <v>45660</v>
          </cell>
          <cell r="J149">
            <v>300</v>
          </cell>
          <cell r="K149" t="str">
            <v>EKSKLUSIF</v>
          </cell>
        </row>
        <row r="150">
          <cell r="A150" t="str">
            <v>A1208</v>
          </cell>
          <cell r="B150" t="str">
            <v>RIYAN ISTIQOMAH</v>
          </cell>
          <cell r="C150" t="str">
            <v>TEMA C2</v>
          </cell>
          <cell r="D150">
            <v>45658</v>
          </cell>
          <cell r="E150">
            <v>45717</v>
          </cell>
          <cell r="F150">
            <v>3</v>
          </cell>
          <cell r="G150">
            <v>45658</v>
          </cell>
          <cell r="H150">
            <v>1</v>
          </cell>
          <cell r="I150">
            <v>45660</v>
          </cell>
          <cell r="J150">
            <v>300</v>
          </cell>
          <cell r="K150" t="str">
            <v>EKSKLUSIF</v>
          </cell>
        </row>
        <row r="151">
          <cell r="A151" t="str">
            <v>A0560</v>
          </cell>
          <cell r="B151" t="str">
            <v>MATHILDA EUNIKE ANDREA R</v>
          </cell>
          <cell r="C151" t="str">
            <v>TEMA C2</v>
          </cell>
          <cell r="D151">
            <v>45658</v>
          </cell>
          <cell r="E151">
            <v>45717</v>
          </cell>
          <cell r="F151">
            <v>3</v>
          </cell>
          <cell r="G151">
            <v>45658</v>
          </cell>
          <cell r="H151">
            <v>1</v>
          </cell>
          <cell r="I151">
            <v>45660</v>
          </cell>
          <cell r="J151">
            <v>300</v>
          </cell>
          <cell r="K151" t="str">
            <v>EKSKLUSIF</v>
          </cell>
        </row>
        <row r="152">
          <cell r="A152" t="str">
            <v>A2964</v>
          </cell>
          <cell r="B152" t="str">
            <v>AKHAYA ARSYOGA</v>
          </cell>
          <cell r="C152" t="str">
            <v>TEMA C2</v>
          </cell>
          <cell r="D152">
            <v>45658</v>
          </cell>
          <cell r="E152">
            <v>45717</v>
          </cell>
          <cell r="F152">
            <v>3</v>
          </cell>
          <cell r="G152">
            <v>45658</v>
          </cell>
          <cell r="H152">
            <v>1</v>
          </cell>
          <cell r="I152">
            <v>45660</v>
          </cell>
          <cell r="J152">
            <v>300</v>
          </cell>
          <cell r="K152" t="str">
            <v>EKSKLUSIF</v>
          </cell>
        </row>
        <row r="153">
          <cell r="A153" t="str">
            <v>A4050</v>
          </cell>
          <cell r="B153" t="str">
            <v>DITA PUSPITA SARI</v>
          </cell>
          <cell r="C153" t="str">
            <v>TEMA C2</v>
          </cell>
          <cell r="D153">
            <v>45658</v>
          </cell>
          <cell r="E153">
            <v>45717</v>
          </cell>
          <cell r="F153">
            <v>3</v>
          </cell>
          <cell r="G153">
            <v>45658</v>
          </cell>
          <cell r="H153">
            <v>1</v>
          </cell>
          <cell r="I153">
            <v>45660</v>
          </cell>
          <cell r="J153">
            <v>300</v>
          </cell>
          <cell r="K153" t="str">
            <v>EKSKLUSIF</v>
          </cell>
        </row>
        <row r="154">
          <cell r="A154" t="str">
            <v>A2300</v>
          </cell>
          <cell r="B154" t="str">
            <v>GRACE SIFRA</v>
          </cell>
          <cell r="C154" t="str">
            <v>TEMA C2</v>
          </cell>
          <cell r="D154">
            <v>45658</v>
          </cell>
          <cell r="E154">
            <v>45717</v>
          </cell>
          <cell r="F154">
            <v>3</v>
          </cell>
          <cell r="G154">
            <v>45658</v>
          </cell>
          <cell r="H154">
            <v>1</v>
          </cell>
          <cell r="I154">
            <v>45660</v>
          </cell>
          <cell r="J154">
            <v>300</v>
          </cell>
          <cell r="K154" t="str">
            <v>EKSKLUSIF</v>
          </cell>
        </row>
        <row r="155">
          <cell r="A155" t="str">
            <v>A4471</v>
          </cell>
          <cell r="B155" t="str">
            <v>DWIYAN MAHARANI MUTIARA FIRDAUS</v>
          </cell>
          <cell r="C155" t="str">
            <v>TEMA C2</v>
          </cell>
          <cell r="D155">
            <v>45658</v>
          </cell>
          <cell r="E155">
            <v>45809</v>
          </cell>
          <cell r="F155">
            <v>6</v>
          </cell>
          <cell r="G155">
            <v>45658</v>
          </cell>
          <cell r="H155">
            <v>1</v>
          </cell>
          <cell r="I155">
            <v>45663</v>
          </cell>
          <cell r="J155">
            <v>300</v>
          </cell>
          <cell r="K155" t="str">
            <v>EKSKLUSIF</v>
          </cell>
        </row>
        <row r="156">
          <cell r="A156" t="str">
            <v>A1409</v>
          </cell>
          <cell r="B156" t="str">
            <v>YULIANA</v>
          </cell>
          <cell r="C156" t="str">
            <v>TEMA C2</v>
          </cell>
          <cell r="D156">
            <v>45658</v>
          </cell>
          <cell r="E156">
            <v>45717</v>
          </cell>
          <cell r="F156">
            <v>3</v>
          </cell>
          <cell r="G156">
            <v>45658</v>
          </cell>
          <cell r="H156">
            <v>1</v>
          </cell>
          <cell r="I156">
            <v>45660</v>
          </cell>
          <cell r="J156">
            <v>300</v>
          </cell>
          <cell r="K156" t="str">
            <v>EKSKLUSIF</v>
          </cell>
        </row>
        <row r="157">
          <cell r="A157" t="str">
            <v>A4470</v>
          </cell>
          <cell r="B157" t="str">
            <v>Syarifatul Mukaromah</v>
          </cell>
          <cell r="C157" t="str">
            <v>TEMA C2</v>
          </cell>
          <cell r="D157">
            <v>45658</v>
          </cell>
          <cell r="E157">
            <v>45717</v>
          </cell>
          <cell r="F157">
            <v>3</v>
          </cell>
          <cell r="G157">
            <v>45658</v>
          </cell>
          <cell r="H157">
            <v>1</v>
          </cell>
          <cell r="I157">
            <v>45660</v>
          </cell>
          <cell r="J157">
            <v>300</v>
          </cell>
          <cell r="K157" t="str">
            <v>EKSKLUSIF</v>
          </cell>
        </row>
        <row r="158">
          <cell r="A158" t="str">
            <v>A2369</v>
          </cell>
          <cell r="B158" t="str">
            <v>ANIS DIANA SARI</v>
          </cell>
          <cell r="C158" t="str">
            <v>TEMA C2</v>
          </cell>
          <cell r="D158">
            <v>45658</v>
          </cell>
          <cell r="E158">
            <v>45717</v>
          </cell>
          <cell r="F158">
            <v>3</v>
          </cell>
          <cell r="G158">
            <v>45658</v>
          </cell>
          <cell r="H158">
            <v>1</v>
          </cell>
          <cell r="I158">
            <v>45660</v>
          </cell>
          <cell r="J158">
            <v>300</v>
          </cell>
          <cell r="K158" t="str">
            <v>EKSKLUSIF</v>
          </cell>
        </row>
        <row r="159">
          <cell r="A159" t="str">
            <v>A4089</v>
          </cell>
          <cell r="B159" t="str">
            <v>ADI FIRMANSYAH</v>
          </cell>
          <cell r="C159" t="str">
            <v>TEMA C2</v>
          </cell>
          <cell r="D159">
            <v>45658</v>
          </cell>
          <cell r="E159">
            <v>45717</v>
          </cell>
          <cell r="F159">
            <v>3</v>
          </cell>
          <cell r="G159">
            <v>45658</v>
          </cell>
          <cell r="H159">
            <v>1</v>
          </cell>
          <cell r="I159">
            <v>45660</v>
          </cell>
          <cell r="J159">
            <v>300</v>
          </cell>
          <cell r="K159" t="str">
            <v>EKSKLUSIF</v>
          </cell>
        </row>
        <row r="160">
          <cell r="A160">
            <v>92347</v>
          </cell>
          <cell r="B160" t="str">
            <v>RAHMAD SABTONO</v>
          </cell>
          <cell r="C160" t="str">
            <v>TEMA C2</v>
          </cell>
          <cell r="D160">
            <v>45658</v>
          </cell>
          <cell r="E160">
            <v>45809</v>
          </cell>
          <cell r="F160">
            <v>6</v>
          </cell>
          <cell r="G160">
            <v>45658</v>
          </cell>
          <cell r="H160">
            <v>1</v>
          </cell>
          <cell r="I160">
            <v>45663</v>
          </cell>
          <cell r="J160">
            <v>300</v>
          </cell>
          <cell r="K160" t="str">
            <v>EKSKLUSIF</v>
          </cell>
        </row>
        <row r="161">
          <cell r="A161" t="str">
            <v>A3815</v>
          </cell>
          <cell r="B161" t="str">
            <v>ANDREANE AMARISSA</v>
          </cell>
          <cell r="C161" t="str">
            <v>TEMA C2</v>
          </cell>
          <cell r="D161">
            <v>45658</v>
          </cell>
          <cell r="E161">
            <v>45717</v>
          </cell>
          <cell r="F161">
            <v>3</v>
          </cell>
          <cell r="G161">
            <v>45658</v>
          </cell>
          <cell r="H161">
            <v>1</v>
          </cell>
          <cell r="I161">
            <v>45660</v>
          </cell>
          <cell r="J161">
            <v>300</v>
          </cell>
          <cell r="K161" t="str">
            <v>EKSKLUSIF</v>
          </cell>
        </row>
        <row r="162">
          <cell r="A162" t="str">
            <v>A2574</v>
          </cell>
          <cell r="B162" t="str">
            <v>JATU ASTRI PRADISTA</v>
          </cell>
          <cell r="C162" t="str">
            <v>TEMA C2</v>
          </cell>
          <cell r="D162">
            <v>45658</v>
          </cell>
          <cell r="E162">
            <v>45717</v>
          </cell>
          <cell r="F162">
            <v>3</v>
          </cell>
          <cell r="G162">
            <v>45658</v>
          </cell>
          <cell r="H162">
            <v>1</v>
          </cell>
          <cell r="I162">
            <v>45660</v>
          </cell>
          <cell r="J162">
            <v>300</v>
          </cell>
          <cell r="K162" t="str">
            <v>EKSKLUSIF</v>
          </cell>
        </row>
        <row r="163">
          <cell r="A163" t="str">
            <v>A3216</v>
          </cell>
          <cell r="B163" t="str">
            <v>INTAN KHOIRUNISA FEBILIANA</v>
          </cell>
          <cell r="C163" t="str">
            <v>TEMA C2</v>
          </cell>
          <cell r="D163">
            <v>45658</v>
          </cell>
          <cell r="E163">
            <v>45717</v>
          </cell>
          <cell r="F163">
            <v>3</v>
          </cell>
          <cell r="G163">
            <v>45658</v>
          </cell>
          <cell r="H163">
            <v>1</v>
          </cell>
          <cell r="I163">
            <v>45660</v>
          </cell>
          <cell r="J163">
            <v>300</v>
          </cell>
          <cell r="K163" t="str">
            <v>EKSKLUSIF</v>
          </cell>
        </row>
        <row r="164">
          <cell r="A164" t="str">
            <v>A1407</v>
          </cell>
          <cell r="B164" t="str">
            <v>Hardini Komalasari</v>
          </cell>
          <cell r="C164" t="str">
            <v>TEMA C2</v>
          </cell>
          <cell r="D164">
            <v>45658</v>
          </cell>
          <cell r="E164">
            <v>45717</v>
          </cell>
          <cell r="F164">
            <v>3</v>
          </cell>
          <cell r="G164">
            <v>45658</v>
          </cell>
          <cell r="H164">
            <v>1</v>
          </cell>
          <cell r="I164">
            <v>45660</v>
          </cell>
          <cell r="J164">
            <v>300</v>
          </cell>
          <cell r="K164" t="str">
            <v>EKSKLUSIF</v>
          </cell>
        </row>
        <row r="165">
          <cell r="A165" t="str">
            <v>A0911</v>
          </cell>
          <cell r="B165" t="str">
            <v>ENGELINA GALUH WINDIASARI</v>
          </cell>
          <cell r="C165" t="str">
            <v>TEMA C2</v>
          </cell>
          <cell r="D165">
            <v>45658</v>
          </cell>
          <cell r="E165">
            <v>45809</v>
          </cell>
          <cell r="F165">
            <v>6</v>
          </cell>
          <cell r="G165">
            <v>45658</v>
          </cell>
          <cell r="H165">
            <v>1</v>
          </cell>
          <cell r="I165">
            <v>45663</v>
          </cell>
          <cell r="J165">
            <v>300</v>
          </cell>
          <cell r="K165" t="str">
            <v>EKSKLUSIF</v>
          </cell>
        </row>
        <row r="166">
          <cell r="A166" t="str">
            <v>A2604</v>
          </cell>
          <cell r="B166" t="str">
            <v>Yusridah Lubis</v>
          </cell>
          <cell r="C166" t="str">
            <v>TEMA C2</v>
          </cell>
          <cell r="D166">
            <v>45658</v>
          </cell>
          <cell r="E166">
            <v>45717</v>
          </cell>
          <cell r="F166">
            <v>3</v>
          </cell>
          <cell r="G166">
            <v>45658</v>
          </cell>
          <cell r="H166">
            <v>1</v>
          </cell>
          <cell r="I166">
            <v>45660</v>
          </cell>
          <cell r="J166">
            <v>300</v>
          </cell>
          <cell r="K166" t="str">
            <v>EKSKLUSIF</v>
          </cell>
        </row>
        <row r="167">
          <cell r="A167" t="str">
            <v>A3510</v>
          </cell>
          <cell r="B167" t="str">
            <v>ANNISA FADYA</v>
          </cell>
          <cell r="C167" t="str">
            <v>TEMA C2</v>
          </cell>
          <cell r="D167">
            <v>45658</v>
          </cell>
          <cell r="E167">
            <v>45717</v>
          </cell>
          <cell r="F167">
            <v>3</v>
          </cell>
          <cell r="G167">
            <v>45658</v>
          </cell>
          <cell r="H167">
            <v>1</v>
          </cell>
          <cell r="I167">
            <v>45660</v>
          </cell>
          <cell r="J167">
            <v>300</v>
          </cell>
          <cell r="K167" t="str">
            <v>EKSKLUSIF</v>
          </cell>
        </row>
        <row r="168">
          <cell r="A168" t="str">
            <v>A3220</v>
          </cell>
          <cell r="B168" t="str">
            <v>MUHAMAD AGUNG GUMELAR</v>
          </cell>
          <cell r="C168" t="str">
            <v>TEMA C2</v>
          </cell>
          <cell r="D168">
            <v>45658</v>
          </cell>
          <cell r="E168">
            <v>45717</v>
          </cell>
          <cell r="F168">
            <v>3</v>
          </cell>
          <cell r="G168">
            <v>45658</v>
          </cell>
          <cell r="H168">
            <v>1</v>
          </cell>
          <cell r="I168">
            <v>45660</v>
          </cell>
          <cell r="J168">
            <v>300</v>
          </cell>
          <cell r="K168" t="str">
            <v>EKSKLUSIF</v>
          </cell>
        </row>
        <row r="169">
          <cell r="A169">
            <v>92192</v>
          </cell>
          <cell r="B169" t="str">
            <v>Bima Bagaskara</v>
          </cell>
          <cell r="C169" t="str">
            <v>TEMA C2</v>
          </cell>
          <cell r="D169">
            <v>45658</v>
          </cell>
          <cell r="E169">
            <v>45717</v>
          </cell>
          <cell r="F169">
            <v>3</v>
          </cell>
          <cell r="G169">
            <v>45658</v>
          </cell>
          <cell r="H169">
            <v>1</v>
          </cell>
          <cell r="I169">
            <v>45660</v>
          </cell>
          <cell r="J169">
            <v>300</v>
          </cell>
          <cell r="K169" t="str">
            <v>EKSKLUSIF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TEMA C1"/>
      <sheetName val="TEMA C2"/>
      <sheetName val="TEMA C3"/>
      <sheetName val="TEMA HAJI"/>
      <sheetName val="PD"/>
      <sheetName val="AAV"/>
      <sheetName val="GC"/>
      <sheetName val="RVO"/>
      <sheetName val="EKS"/>
      <sheetName val="SBPV"/>
      <sheetName val="AKTIF"/>
      <sheetName val="DATABASE"/>
      <sheetName val="Sheet1"/>
      <sheetName val="NEW DATABASE"/>
      <sheetName val="KURANG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NPK</v>
          </cell>
          <cell r="B1" t="str">
            <v>NAMA</v>
          </cell>
          <cell r="C1" t="str">
            <v>POSISI</v>
          </cell>
          <cell r="D1" t="str">
            <v>START</v>
          </cell>
          <cell r="E1" t="str">
            <v>FINISH</v>
          </cell>
          <cell r="F1" t="str">
            <v>PERIODE</v>
          </cell>
          <cell r="G1" t="str">
            <v>BULAN INI</v>
          </cell>
          <cell r="H1" t="str">
            <v>BULAN BERJALAN</v>
          </cell>
          <cell r="I1" t="str">
            <v>BULAN EKSLUSIF</v>
          </cell>
          <cell r="J1" t="str">
            <v>RUPIAH</v>
          </cell>
          <cell r="K1">
            <v>0</v>
          </cell>
        </row>
        <row r="2">
          <cell r="A2" t="str">
            <v>A0349</v>
          </cell>
          <cell r="B2" t="str">
            <v>Ahmad Zainal Arifin</v>
          </cell>
          <cell r="C2" t="str">
            <v>AAV</v>
          </cell>
          <cell r="D2">
            <v>45536</v>
          </cell>
          <cell r="E2">
            <v>45689</v>
          </cell>
          <cell r="F2">
            <v>6</v>
          </cell>
          <cell r="G2">
            <v>45689</v>
          </cell>
          <cell r="H2">
            <v>6</v>
          </cell>
          <cell r="I2">
            <v>45814</v>
          </cell>
          <cell r="J2">
            <v>1600000</v>
          </cell>
          <cell r="K2" t="str">
            <v>EKSKLUSIF</v>
          </cell>
        </row>
        <row r="3">
          <cell r="A3" t="str">
            <v>A2873</v>
          </cell>
          <cell r="B3" t="str">
            <v>CHRISTOPHER LAKSAWANA</v>
          </cell>
          <cell r="C3" t="str">
            <v>AAV</v>
          </cell>
          <cell r="D3">
            <v>45536</v>
          </cell>
          <cell r="E3">
            <v>45689</v>
          </cell>
          <cell r="F3">
            <v>6</v>
          </cell>
          <cell r="G3">
            <v>45689</v>
          </cell>
          <cell r="H3">
            <v>6</v>
          </cell>
          <cell r="I3">
            <v>45814</v>
          </cell>
          <cell r="J3">
            <v>1600000</v>
          </cell>
          <cell r="K3" t="str">
            <v>EKSKLUSIF</v>
          </cell>
        </row>
        <row r="4">
          <cell r="A4" t="str">
            <v>A2066</v>
          </cell>
          <cell r="B4" t="str">
            <v>YULIANT EFENDI</v>
          </cell>
          <cell r="C4" t="str">
            <v>AAV</v>
          </cell>
          <cell r="D4" t="str">
            <v>Okt 2024</v>
          </cell>
          <cell r="E4">
            <v>45717</v>
          </cell>
          <cell r="F4">
            <v>6</v>
          </cell>
          <cell r="G4">
            <v>45689</v>
          </cell>
          <cell r="H4">
            <v>5</v>
          </cell>
          <cell r="I4">
            <v>45783</v>
          </cell>
          <cell r="J4">
            <v>500000</v>
          </cell>
          <cell r="K4" t="str">
            <v>EKSKLUSIF</v>
          </cell>
        </row>
        <row r="5">
          <cell r="A5" t="str">
            <v>A2383</v>
          </cell>
          <cell r="B5" t="str">
            <v>RYSMA NUR HIDAYAH</v>
          </cell>
          <cell r="C5" t="str">
            <v>SBPV</v>
          </cell>
          <cell r="D5" t="str">
            <v>Okt 24</v>
          </cell>
          <cell r="E5">
            <v>45717</v>
          </cell>
          <cell r="F5">
            <v>6</v>
          </cell>
          <cell r="G5">
            <v>45689</v>
          </cell>
          <cell r="H5">
            <v>5</v>
          </cell>
          <cell r="I5">
            <v>45783</v>
          </cell>
          <cell r="J5">
            <v>500000</v>
          </cell>
          <cell r="K5" t="str">
            <v>EKSKLUSIF</v>
          </cell>
        </row>
        <row r="6">
          <cell r="A6" t="str">
            <v>A1971</v>
          </cell>
          <cell r="B6" t="str">
            <v>ANGGI BEATRIKS SERAN</v>
          </cell>
          <cell r="C6" t="str">
            <v>SBPV</v>
          </cell>
          <cell r="D6" t="str">
            <v>Okt 24</v>
          </cell>
          <cell r="E6">
            <v>45717</v>
          </cell>
          <cell r="F6">
            <v>6</v>
          </cell>
          <cell r="G6">
            <v>45689</v>
          </cell>
          <cell r="H6">
            <v>5</v>
          </cell>
          <cell r="I6">
            <v>45783</v>
          </cell>
          <cell r="J6">
            <v>500000</v>
          </cell>
          <cell r="K6" t="str">
            <v>EKSKLUSIF</v>
          </cell>
        </row>
        <row r="7">
          <cell r="A7" t="str">
            <v>A2001</v>
          </cell>
          <cell r="B7" t="str">
            <v>M MENTARI GAGAT RAYNA</v>
          </cell>
          <cell r="C7" t="str">
            <v>SBPV</v>
          </cell>
          <cell r="D7" t="str">
            <v>Okt 24</v>
          </cell>
          <cell r="E7">
            <v>45717</v>
          </cell>
          <cell r="F7">
            <v>6</v>
          </cell>
          <cell r="G7">
            <v>45689</v>
          </cell>
          <cell r="H7">
            <v>5</v>
          </cell>
          <cell r="I7">
            <v>45783</v>
          </cell>
          <cell r="J7">
            <v>500000</v>
          </cell>
          <cell r="K7" t="str">
            <v>EKSKLUSIF</v>
          </cell>
        </row>
        <row r="8">
          <cell r="A8">
            <v>92175</v>
          </cell>
          <cell r="B8" t="str">
            <v>AYU AMELIA RESANTI</v>
          </cell>
          <cell r="C8" t="str">
            <v>SBPV</v>
          </cell>
          <cell r="D8">
            <v>45597</v>
          </cell>
          <cell r="E8">
            <v>45748</v>
          </cell>
          <cell r="F8">
            <v>6</v>
          </cell>
          <cell r="G8">
            <v>45689</v>
          </cell>
          <cell r="H8">
            <v>4</v>
          </cell>
          <cell r="I8">
            <v>45753</v>
          </cell>
          <cell r="J8">
            <v>400000</v>
          </cell>
          <cell r="K8" t="str">
            <v>EKSKLUSIF</v>
          </cell>
        </row>
        <row r="9">
          <cell r="A9" t="str">
            <v>A2924</v>
          </cell>
          <cell r="B9" t="str">
            <v>IRA EVELIN SIHALOHO</v>
          </cell>
          <cell r="C9" t="str">
            <v>SBPV</v>
          </cell>
          <cell r="D9" t="str">
            <v>Des 24</v>
          </cell>
          <cell r="E9" t="str">
            <v>Mei  2025</v>
          </cell>
          <cell r="F9">
            <v>6</v>
          </cell>
          <cell r="G9">
            <v>45689</v>
          </cell>
          <cell r="H9">
            <v>3</v>
          </cell>
          <cell r="I9">
            <v>45722</v>
          </cell>
          <cell r="J9">
            <v>400000</v>
          </cell>
          <cell r="K9" t="str">
            <v>EKSKLUSIF</v>
          </cell>
        </row>
        <row r="10">
          <cell r="A10" t="str">
            <v>A1952</v>
          </cell>
          <cell r="B10" t="str">
            <v>LAURENSIUS AXEL RADITYA PRADANA</v>
          </cell>
          <cell r="C10" t="str">
            <v>RVO</v>
          </cell>
          <cell r="D10">
            <v>45536</v>
          </cell>
          <cell r="E10">
            <v>45689</v>
          </cell>
          <cell r="F10">
            <v>6</v>
          </cell>
          <cell r="G10">
            <v>45689</v>
          </cell>
          <cell r="H10">
            <v>6</v>
          </cell>
          <cell r="I10">
            <v>45814</v>
          </cell>
          <cell r="J10">
            <v>1600000</v>
          </cell>
          <cell r="K10" t="str">
            <v>EKSKLUSIF</v>
          </cell>
        </row>
        <row r="11">
          <cell r="A11">
            <v>92694</v>
          </cell>
          <cell r="B11" t="str">
            <v>Wahyu Nugroho</v>
          </cell>
          <cell r="C11" t="str">
            <v>RVO</v>
          </cell>
          <cell r="D11">
            <v>45536</v>
          </cell>
          <cell r="E11">
            <v>45689</v>
          </cell>
          <cell r="F11">
            <v>6</v>
          </cell>
          <cell r="G11">
            <v>45689</v>
          </cell>
          <cell r="H11">
            <v>6</v>
          </cell>
          <cell r="I11">
            <v>45814</v>
          </cell>
          <cell r="J11">
            <v>1600000</v>
          </cell>
          <cell r="K11" t="str">
            <v>EKSKLUSIF</v>
          </cell>
        </row>
        <row r="12">
          <cell r="A12" t="str">
            <v>A3442</v>
          </cell>
          <cell r="B12" t="str">
            <v>IRFAN FEBRIYANTORO</v>
          </cell>
          <cell r="C12" t="str">
            <v>RVO</v>
          </cell>
          <cell r="D12" t="str">
            <v>Okt 2024</v>
          </cell>
          <cell r="E12">
            <v>45717</v>
          </cell>
          <cell r="F12">
            <v>6</v>
          </cell>
          <cell r="G12">
            <v>45689</v>
          </cell>
          <cell r="H12">
            <v>5</v>
          </cell>
          <cell r="I12">
            <v>45783</v>
          </cell>
          <cell r="J12">
            <v>500000</v>
          </cell>
          <cell r="K12" t="str">
            <v>EKSKLUSIF</v>
          </cell>
        </row>
        <row r="13">
          <cell r="A13" t="str">
            <v>A0072</v>
          </cell>
          <cell r="B13" t="str">
            <v>Rahmad Dwi Adrian</v>
          </cell>
          <cell r="C13" t="str">
            <v>RVO</v>
          </cell>
          <cell r="D13" t="str">
            <v>Okt 2024</v>
          </cell>
          <cell r="E13">
            <v>45717</v>
          </cell>
          <cell r="F13">
            <v>6</v>
          </cell>
          <cell r="G13">
            <v>45689</v>
          </cell>
          <cell r="H13">
            <v>5</v>
          </cell>
          <cell r="I13">
            <v>45783</v>
          </cell>
          <cell r="J13">
            <v>500000</v>
          </cell>
          <cell r="K13" t="str">
            <v>EKSKLUSIF</v>
          </cell>
        </row>
        <row r="14">
          <cell r="A14">
            <v>92717</v>
          </cell>
          <cell r="B14" t="str">
            <v>Gresmilen Bilgis</v>
          </cell>
          <cell r="C14" t="str">
            <v>RVO</v>
          </cell>
          <cell r="D14">
            <v>45597</v>
          </cell>
          <cell r="E14">
            <v>45717</v>
          </cell>
          <cell r="F14">
            <v>3</v>
          </cell>
          <cell r="G14">
            <v>45689</v>
          </cell>
          <cell r="H14">
            <v>4</v>
          </cell>
          <cell r="I14">
            <v>45750</v>
          </cell>
          <cell r="J14">
            <v>900000</v>
          </cell>
          <cell r="K14" t="str">
            <v>EKSKLUSIF</v>
          </cell>
        </row>
        <row r="15">
          <cell r="A15">
            <v>90933</v>
          </cell>
          <cell r="B15" t="str">
            <v>REZA DESTI VAUZIA</v>
          </cell>
          <cell r="C15" t="str">
            <v>RVO</v>
          </cell>
          <cell r="D15" t="str">
            <v>Des 2024</v>
          </cell>
          <cell r="E15">
            <v>45689</v>
          </cell>
          <cell r="F15">
            <v>3</v>
          </cell>
          <cell r="G15">
            <v>45689</v>
          </cell>
          <cell r="H15">
            <v>3</v>
          </cell>
          <cell r="I15">
            <v>45719</v>
          </cell>
          <cell r="J15">
            <v>900000</v>
          </cell>
          <cell r="K15" t="str">
            <v>EKSKLUSIF</v>
          </cell>
        </row>
        <row r="16">
          <cell r="A16">
            <v>90363</v>
          </cell>
          <cell r="B16" t="str">
            <v>Nurma Hayu</v>
          </cell>
          <cell r="C16" t="str">
            <v>RVO</v>
          </cell>
          <cell r="D16" t="str">
            <v>Des 2024</v>
          </cell>
          <cell r="E16">
            <v>45689</v>
          </cell>
          <cell r="F16">
            <v>3</v>
          </cell>
          <cell r="G16">
            <v>45689</v>
          </cell>
          <cell r="H16">
            <v>3</v>
          </cell>
          <cell r="I16">
            <v>45719</v>
          </cell>
          <cell r="J16">
            <v>900000</v>
          </cell>
          <cell r="K16" t="str">
            <v>EKSKLUSIF</v>
          </cell>
        </row>
        <row r="17">
          <cell r="A17" t="str">
            <v>A3436</v>
          </cell>
          <cell r="B17" t="str">
            <v>Anita Kristiana laia</v>
          </cell>
          <cell r="C17" t="str">
            <v>RVO</v>
          </cell>
          <cell r="D17" t="str">
            <v>Des 2024</v>
          </cell>
          <cell r="E17">
            <v>45689</v>
          </cell>
          <cell r="F17">
            <v>3</v>
          </cell>
          <cell r="G17">
            <v>45689</v>
          </cell>
          <cell r="H17">
            <v>3</v>
          </cell>
          <cell r="I17">
            <v>45719</v>
          </cell>
          <cell r="J17">
            <v>900000</v>
          </cell>
          <cell r="K17" t="str">
            <v>EKSKLUSIF</v>
          </cell>
        </row>
        <row r="18">
          <cell r="A18">
            <v>90613</v>
          </cell>
          <cell r="B18" t="str">
            <v>JOHAN AIMAN RAIS</v>
          </cell>
          <cell r="C18" t="str">
            <v>RVO</v>
          </cell>
          <cell r="D18">
            <v>45658</v>
          </cell>
          <cell r="E18">
            <v>45717</v>
          </cell>
          <cell r="F18">
            <v>3</v>
          </cell>
          <cell r="G18">
            <v>45689</v>
          </cell>
          <cell r="H18">
            <v>2</v>
          </cell>
          <cell r="I18">
            <v>45691</v>
          </cell>
          <cell r="J18">
            <v>300000</v>
          </cell>
          <cell r="K18" t="str">
            <v>EKSKLUSIF</v>
          </cell>
        </row>
        <row r="19">
          <cell r="A19">
            <v>92199</v>
          </cell>
          <cell r="B19" t="str">
            <v>Astri kurniawati</v>
          </cell>
          <cell r="C19" t="str">
            <v>RVO</v>
          </cell>
          <cell r="D19">
            <v>45658</v>
          </cell>
          <cell r="E19">
            <v>45717</v>
          </cell>
          <cell r="F19">
            <v>3</v>
          </cell>
          <cell r="G19">
            <v>45689</v>
          </cell>
          <cell r="H19">
            <v>2</v>
          </cell>
          <cell r="I19">
            <v>45691</v>
          </cell>
          <cell r="J19">
            <v>300000</v>
          </cell>
          <cell r="K19" t="str">
            <v>EKSKLUSIF</v>
          </cell>
        </row>
        <row r="20">
          <cell r="A20" t="str">
            <v>A3576</v>
          </cell>
          <cell r="B20" t="str">
            <v>YONATAN ADI SAPUTRO</v>
          </cell>
          <cell r="C20" t="str">
            <v>RVO</v>
          </cell>
          <cell r="D20">
            <v>45658</v>
          </cell>
          <cell r="E20">
            <v>45717</v>
          </cell>
          <cell r="F20">
            <v>3</v>
          </cell>
          <cell r="G20">
            <v>45689</v>
          </cell>
          <cell r="H20">
            <v>2</v>
          </cell>
          <cell r="I20">
            <v>45691</v>
          </cell>
          <cell r="J20">
            <v>300000</v>
          </cell>
          <cell r="K20" t="str">
            <v>EKSKLUSIF</v>
          </cell>
        </row>
        <row r="21">
          <cell r="A21" t="str">
            <v>A3180</v>
          </cell>
          <cell r="B21" t="str">
            <v>Clara Osa Diprastiwi</v>
          </cell>
          <cell r="C21" t="str">
            <v>RVO</v>
          </cell>
          <cell r="D21">
            <v>45689</v>
          </cell>
          <cell r="E21">
            <v>45748</v>
          </cell>
          <cell r="F21">
            <v>6</v>
          </cell>
          <cell r="G21">
            <v>45689</v>
          </cell>
          <cell r="H21">
            <v>1</v>
          </cell>
          <cell r="I21">
            <v>45663</v>
          </cell>
          <cell r="J21">
            <v>300000</v>
          </cell>
          <cell r="K21" t="str">
            <v>EKSKLUSIF</v>
          </cell>
        </row>
        <row r="22">
          <cell r="A22" t="str">
            <v>A3437</v>
          </cell>
          <cell r="B22" t="str">
            <v>Yohana Claudia</v>
          </cell>
          <cell r="C22" t="str">
            <v>RVO</v>
          </cell>
          <cell r="D22">
            <v>45689</v>
          </cell>
          <cell r="E22">
            <v>45839</v>
          </cell>
          <cell r="F22">
            <v>3</v>
          </cell>
          <cell r="G22">
            <v>45689</v>
          </cell>
          <cell r="H22">
            <v>1</v>
          </cell>
          <cell r="I22">
            <v>45660</v>
          </cell>
          <cell r="J22">
            <v>300000</v>
          </cell>
          <cell r="K22" t="str">
            <v>EKSKLUSIF</v>
          </cell>
        </row>
        <row r="23">
          <cell r="A23">
            <v>90317</v>
          </cell>
          <cell r="B23" t="str">
            <v>FILBERT SANCHIA FERDIANSAH MODOK</v>
          </cell>
          <cell r="C23" t="str">
            <v>RVO</v>
          </cell>
          <cell r="D23">
            <v>45689</v>
          </cell>
          <cell r="E23">
            <v>45748</v>
          </cell>
          <cell r="F23">
            <v>6</v>
          </cell>
          <cell r="G23">
            <v>45689</v>
          </cell>
          <cell r="H23">
            <v>1</v>
          </cell>
          <cell r="I23">
            <v>45663</v>
          </cell>
          <cell r="J23">
            <v>300000</v>
          </cell>
          <cell r="K23" t="str">
            <v>EKSKLUSIF</v>
          </cell>
        </row>
        <row r="24">
          <cell r="A24">
            <v>90453</v>
          </cell>
          <cell r="B24" t="str">
            <v>SHERLY HAPSARI</v>
          </cell>
          <cell r="C24" t="str">
            <v>RVO</v>
          </cell>
          <cell r="D24">
            <v>45689</v>
          </cell>
          <cell r="E24" t="str">
            <v>Agu 2025</v>
          </cell>
          <cell r="F24">
            <v>3</v>
          </cell>
          <cell r="G24">
            <v>45689</v>
          </cell>
          <cell r="H24">
            <v>1</v>
          </cell>
          <cell r="I24">
            <v>45660</v>
          </cell>
          <cell r="J24">
            <v>300000</v>
          </cell>
          <cell r="K24" t="str">
            <v>EKSKLUSIF</v>
          </cell>
        </row>
        <row r="25">
          <cell r="A25" t="str">
            <v>A2396</v>
          </cell>
          <cell r="B25" t="str">
            <v>Ilyas Fahmi</v>
          </cell>
          <cell r="C25" t="str">
            <v>RVO</v>
          </cell>
          <cell r="D25">
            <v>45689</v>
          </cell>
          <cell r="E25">
            <v>45748</v>
          </cell>
          <cell r="F25">
            <v>6</v>
          </cell>
          <cell r="G25">
            <v>45689</v>
          </cell>
          <cell r="H25">
            <v>1</v>
          </cell>
          <cell r="I25">
            <v>45663</v>
          </cell>
          <cell r="J25">
            <v>300000</v>
          </cell>
          <cell r="K25" t="str">
            <v>EKSKLUSIF</v>
          </cell>
        </row>
        <row r="26">
          <cell r="A26" t="str">
            <v>A1329</v>
          </cell>
          <cell r="B26" t="str">
            <v>NABILA HASNA</v>
          </cell>
          <cell r="C26" t="str">
            <v>DELTA</v>
          </cell>
          <cell r="D26" t="str">
            <v>Des 2024</v>
          </cell>
          <cell r="E26">
            <v>45689</v>
          </cell>
          <cell r="F26">
            <v>3</v>
          </cell>
          <cell r="G26">
            <v>45689</v>
          </cell>
          <cell r="H26">
            <v>3</v>
          </cell>
          <cell r="I26">
            <v>45719</v>
          </cell>
          <cell r="J26">
            <v>900000</v>
          </cell>
          <cell r="K26" t="str">
            <v>EKSKLUSIF</v>
          </cell>
        </row>
        <row r="27">
          <cell r="A27" t="str">
            <v>A0964</v>
          </cell>
          <cell r="B27" t="str">
            <v>ANISA DESIANTI RAMADHANI</v>
          </cell>
          <cell r="C27" t="str">
            <v>DELTA</v>
          </cell>
          <cell r="D27" t="str">
            <v>Des 2024</v>
          </cell>
          <cell r="E27">
            <v>45689</v>
          </cell>
          <cell r="F27">
            <v>3</v>
          </cell>
          <cell r="G27">
            <v>45689</v>
          </cell>
          <cell r="H27">
            <v>3</v>
          </cell>
          <cell r="I27">
            <v>45719</v>
          </cell>
          <cell r="J27">
            <v>900000</v>
          </cell>
          <cell r="K27" t="str">
            <v>EKSKLUSIF</v>
          </cell>
        </row>
        <row r="28">
          <cell r="A28" t="str">
            <v>A0818</v>
          </cell>
          <cell r="B28" t="str">
            <v>AGIS DWI RAHMAWATI</v>
          </cell>
          <cell r="C28" t="str">
            <v>DELTA</v>
          </cell>
          <cell r="D28" t="str">
            <v>Des 2024</v>
          </cell>
          <cell r="E28">
            <v>45689</v>
          </cell>
          <cell r="F28">
            <v>3</v>
          </cell>
          <cell r="G28">
            <v>45689</v>
          </cell>
          <cell r="H28">
            <v>3</v>
          </cell>
          <cell r="I28">
            <v>45719</v>
          </cell>
          <cell r="J28">
            <v>900000</v>
          </cell>
          <cell r="K28" t="str">
            <v>EKSKLUSIF</v>
          </cell>
        </row>
        <row r="29">
          <cell r="A29" t="str">
            <v>A0812</v>
          </cell>
          <cell r="B29" t="str">
            <v>HERLINI NUR AZIZAH</v>
          </cell>
          <cell r="C29" t="str">
            <v>DELTA</v>
          </cell>
          <cell r="D29" t="str">
            <v>Des 2024</v>
          </cell>
          <cell r="E29">
            <v>45689</v>
          </cell>
          <cell r="F29">
            <v>3</v>
          </cell>
          <cell r="G29">
            <v>45689</v>
          </cell>
          <cell r="H29">
            <v>3</v>
          </cell>
          <cell r="I29">
            <v>45719</v>
          </cell>
          <cell r="J29">
            <v>900000</v>
          </cell>
          <cell r="K29" t="str">
            <v>EKSKLUSIF</v>
          </cell>
        </row>
        <row r="30">
          <cell r="A30" t="str">
            <v>A2462</v>
          </cell>
          <cell r="B30" t="str">
            <v>KHUSNUL KHATIMAH</v>
          </cell>
          <cell r="C30" t="str">
            <v>DELTA</v>
          </cell>
          <cell r="D30" t="str">
            <v>Des 2024</v>
          </cell>
          <cell r="E30">
            <v>45689</v>
          </cell>
          <cell r="F30">
            <v>3</v>
          </cell>
          <cell r="G30">
            <v>45689</v>
          </cell>
          <cell r="H30">
            <v>3</v>
          </cell>
          <cell r="I30">
            <v>45719</v>
          </cell>
          <cell r="J30">
            <v>900000</v>
          </cell>
          <cell r="K30" t="str">
            <v>EKSKLUSIF</v>
          </cell>
        </row>
        <row r="31">
          <cell r="A31" t="str">
            <v>A0864</v>
          </cell>
          <cell r="B31" t="str">
            <v>WAHYU NURAENI</v>
          </cell>
          <cell r="C31" t="str">
            <v>DELTA</v>
          </cell>
          <cell r="D31" t="str">
            <v>Des 2024</v>
          </cell>
          <cell r="E31">
            <v>45689</v>
          </cell>
          <cell r="F31">
            <v>3</v>
          </cell>
          <cell r="G31">
            <v>45689</v>
          </cell>
          <cell r="H31">
            <v>3</v>
          </cell>
          <cell r="I31">
            <v>45719</v>
          </cell>
          <cell r="J31">
            <v>900000</v>
          </cell>
          <cell r="K31" t="str">
            <v>EKSKLUSIF</v>
          </cell>
        </row>
        <row r="32">
          <cell r="A32" t="str">
            <v>A0969</v>
          </cell>
          <cell r="B32" t="str">
            <v>ANGGI DWI</v>
          </cell>
          <cell r="C32" t="str">
            <v>DELTA</v>
          </cell>
          <cell r="D32" t="str">
            <v>Des 2024</v>
          </cell>
          <cell r="E32">
            <v>45689</v>
          </cell>
          <cell r="F32">
            <v>3</v>
          </cell>
          <cell r="G32">
            <v>45689</v>
          </cell>
          <cell r="H32">
            <v>3</v>
          </cell>
          <cell r="I32">
            <v>45719</v>
          </cell>
          <cell r="J32">
            <v>900000</v>
          </cell>
          <cell r="K32" t="str">
            <v>EKSKLUSIF</v>
          </cell>
        </row>
        <row r="33">
          <cell r="A33" t="str">
            <v>A3172</v>
          </cell>
          <cell r="B33" t="str">
            <v>NURYANI NURYANI</v>
          </cell>
          <cell r="C33" t="str">
            <v>DELTA</v>
          </cell>
          <cell r="D33" t="str">
            <v>Des 2024</v>
          </cell>
          <cell r="E33">
            <v>45689</v>
          </cell>
          <cell r="F33">
            <v>3</v>
          </cell>
          <cell r="G33">
            <v>45689</v>
          </cell>
          <cell r="H33">
            <v>3</v>
          </cell>
          <cell r="I33">
            <v>45719</v>
          </cell>
          <cell r="J33">
            <v>900000</v>
          </cell>
          <cell r="K33" t="str">
            <v>EKSKLUSIF</v>
          </cell>
        </row>
        <row r="34">
          <cell r="A34" t="str">
            <v>A0999</v>
          </cell>
          <cell r="B34" t="str">
            <v>MUH LUTHFI AZIZ</v>
          </cell>
          <cell r="C34" t="str">
            <v>DELTA</v>
          </cell>
          <cell r="D34" t="str">
            <v>Des 2024</v>
          </cell>
          <cell r="E34">
            <v>45689</v>
          </cell>
          <cell r="F34">
            <v>3</v>
          </cell>
          <cell r="G34">
            <v>45689</v>
          </cell>
          <cell r="H34">
            <v>3</v>
          </cell>
          <cell r="I34">
            <v>45719</v>
          </cell>
          <cell r="J34">
            <v>900000</v>
          </cell>
          <cell r="K34" t="str">
            <v>EKSKLUSIF</v>
          </cell>
        </row>
        <row r="35">
          <cell r="A35">
            <v>90653</v>
          </cell>
          <cell r="B35" t="str">
            <v>WENI SAPUTRI</v>
          </cell>
          <cell r="C35" t="str">
            <v>DELTA</v>
          </cell>
          <cell r="D35" t="str">
            <v>Des 2024</v>
          </cell>
          <cell r="E35">
            <v>45689</v>
          </cell>
          <cell r="F35">
            <v>3</v>
          </cell>
          <cell r="G35">
            <v>45689</v>
          </cell>
          <cell r="H35">
            <v>3</v>
          </cell>
          <cell r="I35">
            <v>45719</v>
          </cell>
          <cell r="J35">
            <v>900000</v>
          </cell>
          <cell r="K35" t="str">
            <v>EKSKLUSIF</v>
          </cell>
        </row>
        <row r="36">
          <cell r="A36" t="str">
            <v>A0977</v>
          </cell>
          <cell r="B36" t="str">
            <v>RIA ARIANTI</v>
          </cell>
          <cell r="C36" t="str">
            <v>DELTA</v>
          </cell>
          <cell r="D36" t="str">
            <v>Des 2024</v>
          </cell>
          <cell r="E36">
            <v>45689</v>
          </cell>
          <cell r="F36">
            <v>3</v>
          </cell>
          <cell r="G36">
            <v>45689</v>
          </cell>
          <cell r="H36">
            <v>3</v>
          </cell>
          <cell r="I36">
            <v>45719</v>
          </cell>
          <cell r="J36">
            <v>900000</v>
          </cell>
          <cell r="K36" t="str">
            <v>EKSKLUSIF</v>
          </cell>
        </row>
        <row r="37">
          <cell r="A37" t="str">
            <v>A0750</v>
          </cell>
          <cell r="B37" t="str">
            <v>ARVIANTI JILLY VANESHA MULETE</v>
          </cell>
          <cell r="C37" t="str">
            <v>DELTA</v>
          </cell>
          <cell r="D37" t="str">
            <v>Des 2024</v>
          </cell>
          <cell r="E37">
            <v>45689</v>
          </cell>
          <cell r="F37">
            <v>3</v>
          </cell>
          <cell r="G37">
            <v>45689</v>
          </cell>
          <cell r="H37">
            <v>3</v>
          </cell>
          <cell r="I37">
            <v>45719</v>
          </cell>
          <cell r="J37">
            <v>900000</v>
          </cell>
          <cell r="K37" t="str">
            <v>EKSKLUSIF</v>
          </cell>
        </row>
        <row r="38">
          <cell r="A38" t="str">
            <v>A1349</v>
          </cell>
          <cell r="B38" t="str">
            <v>TISA NORSARI</v>
          </cell>
          <cell r="C38" t="str">
            <v>DELTA</v>
          </cell>
          <cell r="D38" t="str">
            <v>Des 2024</v>
          </cell>
          <cell r="E38">
            <v>45689</v>
          </cell>
          <cell r="F38">
            <v>3</v>
          </cell>
          <cell r="G38">
            <v>45689</v>
          </cell>
          <cell r="H38">
            <v>3</v>
          </cell>
          <cell r="I38">
            <v>45719</v>
          </cell>
          <cell r="J38">
            <v>900000</v>
          </cell>
          <cell r="K38" t="str">
            <v>EKSKLUSIF</v>
          </cell>
        </row>
        <row r="39">
          <cell r="A39" t="str">
            <v>A3743</v>
          </cell>
          <cell r="B39" t="str">
            <v>PUTRI RAMADHANI</v>
          </cell>
          <cell r="C39" t="str">
            <v>DELTA</v>
          </cell>
          <cell r="D39" t="str">
            <v>Des 2024</v>
          </cell>
          <cell r="E39">
            <v>45689</v>
          </cell>
          <cell r="F39">
            <v>3</v>
          </cell>
          <cell r="G39">
            <v>45689</v>
          </cell>
          <cell r="H39">
            <v>3</v>
          </cell>
          <cell r="I39">
            <v>45719</v>
          </cell>
          <cell r="J39">
            <v>900000</v>
          </cell>
          <cell r="K39" t="str">
            <v>EKSKLUSIF</v>
          </cell>
        </row>
        <row r="40">
          <cell r="A40">
            <v>90648</v>
          </cell>
          <cell r="B40" t="str">
            <v>WAHYU IDHAYATI</v>
          </cell>
          <cell r="C40" t="str">
            <v>DELTA</v>
          </cell>
          <cell r="D40" t="str">
            <v>Des 2024</v>
          </cell>
          <cell r="E40">
            <v>45689</v>
          </cell>
          <cell r="F40">
            <v>3</v>
          </cell>
          <cell r="G40">
            <v>45689</v>
          </cell>
          <cell r="H40">
            <v>3</v>
          </cell>
          <cell r="I40">
            <v>45719</v>
          </cell>
          <cell r="J40">
            <v>900000</v>
          </cell>
          <cell r="K40" t="str">
            <v>EKSKLUSIF</v>
          </cell>
        </row>
        <row r="41">
          <cell r="A41">
            <v>92539</v>
          </cell>
          <cell r="B41" t="str">
            <v>ROSIANA</v>
          </cell>
          <cell r="C41" t="str">
            <v>DELTA</v>
          </cell>
          <cell r="D41" t="str">
            <v>Des 2024</v>
          </cell>
          <cell r="E41">
            <v>45689</v>
          </cell>
          <cell r="F41">
            <v>3</v>
          </cell>
          <cell r="G41">
            <v>45689</v>
          </cell>
          <cell r="H41">
            <v>3</v>
          </cell>
          <cell r="I41">
            <v>45719</v>
          </cell>
          <cell r="J41">
            <v>900000</v>
          </cell>
          <cell r="K41" t="str">
            <v>EKSKLUSIF</v>
          </cell>
        </row>
        <row r="42">
          <cell r="A42">
            <v>90694</v>
          </cell>
          <cell r="B42" t="str">
            <v>DAUS DEVYANA</v>
          </cell>
          <cell r="C42" t="str">
            <v>DELTA</v>
          </cell>
          <cell r="D42" t="str">
            <v>Des 2024</v>
          </cell>
          <cell r="E42">
            <v>45689</v>
          </cell>
          <cell r="F42">
            <v>3</v>
          </cell>
          <cell r="G42">
            <v>45689</v>
          </cell>
          <cell r="H42">
            <v>3</v>
          </cell>
          <cell r="I42">
            <v>45719</v>
          </cell>
          <cell r="J42">
            <v>900000</v>
          </cell>
          <cell r="K42" t="str">
            <v>EKSKLUSIF</v>
          </cell>
        </row>
        <row r="43">
          <cell r="A43" t="str">
            <v>A0519</v>
          </cell>
          <cell r="B43" t="str">
            <v>ANASTACIA JULIANA</v>
          </cell>
          <cell r="C43" t="str">
            <v>DELTA</v>
          </cell>
          <cell r="D43" t="str">
            <v>Des 2024</v>
          </cell>
          <cell r="E43">
            <v>45689</v>
          </cell>
          <cell r="F43">
            <v>3</v>
          </cell>
          <cell r="G43">
            <v>45689</v>
          </cell>
          <cell r="H43">
            <v>3</v>
          </cell>
          <cell r="I43">
            <v>45719</v>
          </cell>
          <cell r="J43">
            <v>900000</v>
          </cell>
          <cell r="K43" t="str">
            <v>EKSKLUSIF</v>
          </cell>
        </row>
        <row r="44">
          <cell r="A44" t="str">
            <v>A3479</v>
          </cell>
          <cell r="B44" t="str">
            <v>VASSYA DIAN</v>
          </cell>
          <cell r="C44" t="str">
            <v>DELTA</v>
          </cell>
          <cell r="D44" t="str">
            <v>Des 2024</v>
          </cell>
          <cell r="E44">
            <v>45689</v>
          </cell>
          <cell r="F44">
            <v>3</v>
          </cell>
          <cell r="G44">
            <v>45689</v>
          </cell>
          <cell r="H44">
            <v>3</v>
          </cell>
          <cell r="I44">
            <v>45719</v>
          </cell>
          <cell r="J44">
            <v>900000</v>
          </cell>
          <cell r="K44" t="str">
            <v>EKSKLUSIF</v>
          </cell>
        </row>
        <row r="45">
          <cell r="A45" t="str">
            <v>A3833</v>
          </cell>
          <cell r="B45" t="str">
            <v>MUHAMMAD SUBHAN</v>
          </cell>
          <cell r="C45" t="str">
            <v>DELTA</v>
          </cell>
          <cell r="D45" t="str">
            <v>Des 2024</v>
          </cell>
          <cell r="E45">
            <v>45689</v>
          </cell>
          <cell r="F45">
            <v>3</v>
          </cell>
          <cell r="G45">
            <v>45689</v>
          </cell>
          <cell r="H45">
            <v>3</v>
          </cell>
          <cell r="I45">
            <v>45719</v>
          </cell>
          <cell r="J45">
            <v>900000</v>
          </cell>
          <cell r="K45" t="str">
            <v>EKSKLUSIF</v>
          </cell>
        </row>
        <row r="46">
          <cell r="A46" t="str">
            <v>A1944</v>
          </cell>
          <cell r="B46" t="str">
            <v>MUHAMMAD HILMI AZZAHIDI</v>
          </cell>
          <cell r="C46" t="str">
            <v>DELTA</v>
          </cell>
          <cell r="D46" t="str">
            <v>Des 2024</v>
          </cell>
          <cell r="E46">
            <v>45689</v>
          </cell>
          <cell r="F46">
            <v>3</v>
          </cell>
          <cell r="G46">
            <v>45689</v>
          </cell>
          <cell r="H46">
            <v>3</v>
          </cell>
          <cell r="I46">
            <v>45719</v>
          </cell>
          <cell r="J46">
            <v>900000</v>
          </cell>
          <cell r="K46" t="str">
            <v>EKSKLUSIF</v>
          </cell>
        </row>
        <row r="47">
          <cell r="A47" t="str">
            <v>A0261</v>
          </cell>
          <cell r="B47" t="str">
            <v>CHELSI ANANDA</v>
          </cell>
          <cell r="C47" t="str">
            <v>DELTA</v>
          </cell>
          <cell r="D47" t="str">
            <v>Des 2024</v>
          </cell>
          <cell r="E47">
            <v>45689</v>
          </cell>
          <cell r="F47">
            <v>3</v>
          </cell>
          <cell r="G47">
            <v>45689</v>
          </cell>
          <cell r="H47">
            <v>3</v>
          </cell>
          <cell r="I47">
            <v>45719</v>
          </cell>
          <cell r="J47">
            <v>900000</v>
          </cell>
          <cell r="K47" t="str">
            <v>EKSKLUSIF</v>
          </cell>
        </row>
        <row r="48">
          <cell r="A48" t="str">
            <v>A0745</v>
          </cell>
          <cell r="B48" t="str">
            <v>ANE MELISA MURNI</v>
          </cell>
          <cell r="C48" t="str">
            <v>DELTA</v>
          </cell>
          <cell r="D48" t="str">
            <v>Des 2024</v>
          </cell>
          <cell r="E48">
            <v>45689</v>
          </cell>
          <cell r="F48">
            <v>3</v>
          </cell>
          <cell r="G48">
            <v>45689</v>
          </cell>
          <cell r="H48">
            <v>3</v>
          </cell>
          <cell r="I48">
            <v>45719</v>
          </cell>
          <cell r="J48">
            <v>900000</v>
          </cell>
          <cell r="K48" t="str">
            <v>EKSKLUSIF</v>
          </cell>
        </row>
        <row r="49">
          <cell r="A49" t="str">
            <v>A1118</v>
          </cell>
          <cell r="B49" t="str">
            <v>OKSA ANDRIARDINA</v>
          </cell>
          <cell r="C49" t="str">
            <v>DELTA</v>
          </cell>
          <cell r="D49" t="str">
            <v>Des 2024</v>
          </cell>
          <cell r="E49">
            <v>45689</v>
          </cell>
          <cell r="F49">
            <v>3</v>
          </cell>
          <cell r="G49">
            <v>45689</v>
          </cell>
          <cell r="H49">
            <v>3</v>
          </cell>
          <cell r="I49">
            <v>45719</v>
          </cell>
          <cell r="J49">
            <v>900000</v>
          </cell>
          <cell r="K49" t="str">
            <v>EKSKLUSIF</v>
          </cell>
        </row>
        <row r="50">
          <cell r="A50" t="str">
            <v>A3474</v>
          </cell>
          <cell r="B50" t="str">
            <v>IRMA TRIANA</v>
          </cell>
          <cell r="C50" t="str">
            <v>DELTA</v>
          </cell>
          <cell r="D50" t="str">
            <v>Des 2024</v>
          </cell>
          <cell r="E50">
            <v>45689</v>
          </cell>
          <cell r="F50">
            <v>3</v>
          </cell>
          <cell r="G50">
            <v>45689</v>
          </cell>
          <cell r="H50">
            <v>3</v>
          </cell>
          <cell r="I50">
            <v>45719</v>
          </cell>
          <cell r="J50">
            <v>900000</v>
          </cell>
          <cell r="K50" t="str">
            <v>EKSKLUSIF</v>
          </cell>
        </row>
        <row r="51">
          <cell r="A51" t="str">
            <v>A0320</v>
          </cell>
          <cell r="B51" t="str">
            <v>Deafni Dinda R Utami</v>
          </cell>
          <cell r="C51" t="str">
            <v>DELTA</v>
          </cell>
          <cell r="D51" t="str">
            <v>Des 2024</v>
          </cell>
          <cell r="E51">
            <v>45689</v>
          </cell>
          <cell r="F51">
            <v>3</v>
          </cell>
          <cell r="G51">
            <v>45689</v>
          </cell>
          <cell r="H51">
            <v>3</v>
          </cell>
          <cell r="I51">
            <v>45719</v>
          </cell>
          <cell r="J51">
            <v>900000</v>
          </cell>
          <cell r="K51" t="str">
            <v>EKSKLUSIF</v>
          </cell>
        </row>
        <row r="52">
          <cell r="A52" t="str">
            <v>A0725</v>
          </cell>
          <cell r="B52" t="str">
            <v>NUR KHASANAH</v>
          </cell>
          <cell r="C52" t="str">
            <v>DELTA</v>
          </cell>
          <cell r="D52" t="str">
            <v>Des 2024</v>
          </cell>
          <cell r="E52">
            <v>45689</v>
          </cell>
          <cell r="F52">
            <v>3</v>
          </cell>
          <cell r="G52">
            <v>45689</v>
          </cell>
          <cell r="H52">
            <v>3</v>
          </cell>
          <cell r="I52">
            <v>45719</v>
          </cell>
          <cell r="J52">
            <v>900000</v>
          </cell>
          <cell r="K52" t="str">
            <v>EKSKLUSIF</v>
          </cell>
        </row>
        <row r="53">
          <cell r="A53" t="str">
            <v>A1825</v>
          </cell>
          <cell r="B53" t="str">
            <v>MARLIANA</v>
          </cell>
          <cell r="C53" t="str">
            <v>DELTA</v>
          </cell>
          <cell r="D53" t="str">
            <v>Des 2024</v>
          </cell>
          <cell r="E53">
            <v>45689</v>
          </cell>
          <cell r="F53">
            <v>3</v>
          </cell>
          <cell r="G53">
            <v>45689</v>
          </cell>
          <cell r="H53">
            <v>3</v>
          </cell>
          <cell r="I53">
            <v>45719</v>
          </cell>
          <cell r="J53">
            <v>900000</v>
          </cell>
          <cell r="K53" t="str">
            <v>EKSKLUSIF</v>
          </cell>
        </row>
        <row r="54">
          <cell r="A54" t="str">
            <v>A3218</v>
          </cell>
          <cell r="B54" t="str">
            <v>IRMA SEMBIRING</v>
          </cell>
          <cell r="C54" t="str">
            <v>DELTA</v>
          </cell>
          <cell r="D54" t="str">
            <v>Des 2024</v>
          </cell>
          <cell r="E54">
            <v>45689</v>
          </cell>
          <cell r="F54">
            <v>3</v>
          </cell>
          <cell r="G54">
            <v>45689</v>
          </cell>
          <cell r="H54">
            <v>3</v>
          </cell>
          <cell r="I54">
            <v>45719</v>
          </cell>
          <cell r="J54">
            <v>900000</v>
          </cell>
          <cell r="K54" t="str">
            <v>EKSKLUSIF</v>
          </cell>
        </row>
        <row r="55">
          <cell r="A55" t="str">
            <v>A2961</v>
          </cell>
          <cell r="B55" t="str">
            <v>AGUNG PRASETYADI</v>
          </cell>
          <cell r="C55" t="str">
            <v>DELTA</v>
          </cell>
          <cell r="D55">
            <v>45658</v>
          </cell>
          <cell r="E55">
            <v>45717</v>
          </cell>
          <cell r="F55">
            <v>3</v>
          </cell>
          <cell r="G55">
            <v>45689</v>
          </cell>
          <cell r="H55">
            <v>2</v>
          </cell>
          <cell r="I55">
            <v>45691</v>
          </cell>
          <cell r="J55">
            <v>300000</v>
          </cell>
          <cell r="K55" t="str">
            <v>EKSKLUSIF</v>
          </cell>
        </row>
        <row r="56">
          <cell r="A56" t="str">
            <v>A1461</v>
          </cell>
          <cell r="B56" t="str">
            <v>AKHSA EKA MAHARANI</v>
          </cell>
          <cell r="C56" t="str">
            <v>DELTA</v>
          </cell>
          <cell r="D56">
            <v>45658</v>
          </cell>
          <cell r="E56">
            <v>45717</v>
          </cell>
          <cell r="F56">
            <v>3</v>
          </cell>
          <cell r="G56">
            <v>45689</v>
          </cell>
          <cell r="H56">
            <v>2</v>
          </cell>
          <cell r="I56">
            <v>45691</v>
          </cell>
          <cell r="J56">
            <v>300000</v>
          </cell>
          <cell r="K56" t="str">
            <v>EKSKLUSIF</v>
          </cell>
        </row>
        <row r="57">
          <cell r="A57" t="str">
            <v>A3752</v>
          </cell>
          <cell r="B57" t="str">
            <v>MEYTA ANDIRA</v>
          </cell>
          <cell r="C57" t="str">
            <v>DELTA</v>
          </cell>
          <cell r="D57">
            <v>45658</v>
          </cell>
          <cell r="E57">
            <v>45717</v>
          </cell>
          <cell r="F57">
            <v>3</v>
          </cell>
          <cell r="G57">
            <v>45689</v>
          </cell>
          <cell r="H57">
            <v>2</v>
          </cell>
          <cell r="I57">
            <v>45691</v>
          </cell>
          <cell r="J57">
            <v>300000</v>
          </cell>
          <cell r="K57" t="str">
            <v>EKSKLUSIF</v>
          </cell>
        </row>
        <row r="58">
          <cell r="A58" t="str">
            <v>A1185</v>
          </cell>
          <cell r="B58" t="str">
            <v>SAFA PRAYUDA</v>
          </cell>
          <cell r="C58" t="str">
            <v>DELTA</v>
          </cell>
          <cell r="D58">
            <v>45658</v>
          </cell>
          <cell r="E58">
            <v>45717</v>
          </cell>
          <cell r="F58">
            <v>3</v>
          </cell>
          <cell r="G58">
            <v>45689</v>
          </cell>
          <cell r="H58">
            <v>2</v>
          </cell>
          <cell r="I58">
            <v>45691</v>
          </cell>
          <cell r="J58">
            <v>300000</v>
          </cell>
          <cell r="K58" t="str">
            <v>EKSKLUSIF</v>
          </cell>
        </row>
        <row r="59">
          <cell r="A59" t="str">
            <v>A0817</v>
          </cell>
          <cell r="B59" t="str">
            <v>Yola Valenia</v>
          </cell>
          <cell r="C59" t="str">
            <v>DELTA</v>
          </cell>
          <cell r="D59">
            <v>45658</v>
          </cell>
          <cell r="E59">
            <v>45717</v>
          </cell>
          <cell r="F59">
            <v>3</v>
          </cell>
          <cell r="G59">
            <v>45689</v>
          </cell>
          <cell r="H59">
            <v>2</v>
          </cell>
          <cell r="I59">
            <v>45691</v>
          </cell>
          <cell r="J59">
            <v>300000</v>
          </cell>
          <cell r="K59" t="str">
            <v>EKSKLUSIF</v>
          </cell>
        </row>
        <row r="60">
          <cell r="A60" t="str">
            <v>A1280</v>
          </cell>
          <cell r="B60" t="str">
            <v>Paskha Aprilianingsih</v>
          </cell>
          <cell r="C60" t="str">
            <v>DELTA</v>
          </cell>
          <cell r="D60">
            <v>45658</v>
          </cell>
          <cell r="E60">
            <v>45717</v>
          </cell>
          <cell r="F60">
            <v>3</v>
          </cell>
          <cell r="G60">
            <v>45689</v>
          </cell>
          <cell r="H60">
            <v>2</v>
          </cell>
          <cell r="I60">
            <v>45691</v>
          </cell>
          <cell r="J60">
            <v>300000</v>
          </cell>
          <cell r="K60" t="str">
            <v>EKSKLUSIF</v>
          </cell>
        </row>
        <row r="61">
          <cell r="A61" t="str">
            <v>A1215</v>
          </cell>
          <cell r="B61" t="str">
            <v>Esterina Kusumawati</v>
          </cell>
          <cell r="C61" t="str">
            <v>DELTA</v>
          </cell>
          <cell r="D61">
            <v>45658</v>
          </cell>
          <cell r="E61">
            <v>45717</v>
          </cell>
          <cell r="F61">
            <v>3</v>
          </cell>
          <cell r="G61">
            <v>45689</v>
          </cell>
          <cell r="H61">
            <v>2</v>
          </cell>
          <cell r="I61">
            <v>45691</v>
          </cell>
          <cell r="J61">
            <v>300000</v>
          </cell>
          <cell r="K61" t="str">
            <v>EKSKLUSIF</v>
          </cell>
        </row>
        <row r="62">
          <cell r="A62" t="str">
            <v>A3754</v>
          </cell>
          <cell r="B62" t="str">
            <v>Firda Nur Karima</v>
          </cell>
          <cell r="C62" t="str">
            <v>DELTA</v>
          </cell>
          <cell r="D62">
            <v>45658</v>
          </cell>
          <cell r="E62">
            <v>45717</v>
          </cell>
          <cell r="F62">
            <v>3</v>
          </cell>
          <cell r="G62">
            <v>45689</v>
          </cell>
          <cell r="H62">
            <v>2</v>
          </cell>
          <cell r="I62">
            <v>45691</v>
          </cell>
          <cell r="J62">
            <v>300000</v>
          </cell>
          <cell r="K62" t="str">
            <v>EKSKLUSIF</v>
          </cell>
        </row>
        <row r="63">
          <cell r="A63" t="str">
            <v>A0770</v>
          </cell>
          <cell r="B63" t="str">
            <v>ELZE ZULFANNY</v>
          </cell>
          <cell r="C63" t="str">
            <v>DELTA</v>
          </cell>
          <cell r="D63">
            <v>45658</v>
          </cell>
          <cell r="E63">
            <v>45717</v>
          </cell>
          <cell r="F63">
            <v>3</v>
          </cell>
          <cell r="G63">
            <v>45689</v>
          </cell>
          <cell r="H63">
            <v>2</v>
          </cell>
          <cell r="I63">
            <v>45691</v>
          </cell>
          <cell r="J63">
            <v>300000</v>
          </cell>
          <cell r="K63" t="str">
            <v>EKSKLUSIF</v>
          </cell>
        </row>
        <row r="64">
          <cell r="A64" t="str">
            <v>A1766</v>
          </cell>
          <cell r="B64" t="str">
            <v>Elizabeth Paramita</v>
          </cell>
          <cell r="C64" t="str">
            <v>DELTA</v>
          </cell>
          <cell r="D64">
            <v>45658</v>
          </cell>
          <cell r="E64">
            <v>45717</v>
          </cell>
          <cell r="F64">
            <v>3</v>
          </cell>
          <cell r="G64">
            <v>45689</v>
          </cell>
          <cell r="H64">
            <v>2</v>
          </cell>
          <cell r="I64">
            <v>45691</v>
          </cell>
          <cell r="J64">
            <v>300000</v>
          </cell>
          <cell r="K64" t="str">
            <v>EKSKLUSIF</v>
          </cell>
        </row>
        <row r="65">
          <cell r="A65" t="str">
            <v>A0830</v>
          </cell>
          <cell r="B65" t="str">
            <v>MARGI SURYANI</v>
          </cell>
          <cell r="C65" t="str">
            <v>DELTA</v>
          </cell>
          <cell r="D65">
            <v>45658</v>
          </cell>
          <cell r="E65">
            <v>45717</v>
          </cell>
          <cell r="F65">
            <v>3</v>
          </cell>
          <cell r="G65">
            <v>45689</v>
          </cell>
          <cell r="H65">
            <v>2</v>
          </cell>
          <cell r="I65">
            <v>45691</v>
          </cell>
          <cell r="J65">
            <v>300000</v>
          </cell>
          <cell r="K65" t="str">
            <v>EKSKLUSIF</v>
          </cell>
        </row>
        <row r="66">
          <cell r="A66" t="str">
            <v>A3404</v>
          </cell>
          <cell r="B66" t="str">
            <v>AYU SUKMAWATI</v>
          </cell>
          <cell r="C66" t="str">
            <v>DELTA</v>
          </cell>
          <cell r="D66">
            <v>45658</v>
          </cell>
          <cell r="E66">
            <v>45717</v>
          </cell>
          <cell r="F66">
            <v>3</v>
          </cell>
          <cell r="G66">
            <v>45689</v>
          </cell>
          <cell r="H66">
            <v>2</v>
          </cell>
          <cell r="I66">
            <v>45691</v>
          </cell>
          <cell r="J66">
            <v>300000</v>
          </cell>
          <cell r="K66" t="str">
            <v>EKSKLUSIF</v>
          </cell>
        </row>
        <row r="67">
          <cell r="A67" t="str">
            <v>A1774</v>
          </cell>
          <cell r="B67" t="str">
            <v>MARIA DEWI TIRTA PERWITA SARI</v>
          </cell>
          <cell r="C67" t="str">
            <v>DELTA</v>
          </cell>
          <cell r="D67">
            <v>45658</v>
          </cell>
          <cell r="E67">
            <v>45717</v>
          </cell>
          <cell r="F67">
            <v>3</v>
          </cell>
          <cell r="G67">
            <v>45689</v>
          </cell>
          <cell r="H67">
            <v>2</v>
          </cell>
          <cell r="I67">
            <v>45691</v>
          </cell>
          <cell r="J67">
            <v>300000</v>
          </cell>
          <cell r="K67" t="str">
            <v>EKSKLUSIF</v>
          </cell>
        </row>
        <row r="68">
          <cell r="A68" t="str">
            <v>A0225</v>
          </cell>
          <cell r="B68" t="str">
            <v>RIZAL SAPUTRA</v>
          </cell>
          <cell r="C68" t="str">
            <v>DELTA</v>
          </cell>
          <cell r="D68">
            <v>45658</v>
          </cell>
          <cell r="E68">
            <v>45717</v>
          </cell>
          <cell r="F68">
            <v>3</v>
          </cell>
          <cell r="G68">
            <v>45689</v>
          </cell>
          <cell r="H68">
            <v>2</v>
          </cell>
          <cell r="I68">
            <v>45691</v>
          </cell>
          <cell r="J68">
            <v>300000</v>
          </cell>
          <cell r="K68" t="str">
            <v>EKSKLUSIF</v>
          </cell>
        </row>
        <row r="69">
          <cell r="A69" t="str">
            <v>A1105</v>
          </cell>
          <cell r="B69" t="str">
            <v>ANISA NUR AINI</v>
          </cell>
          <cell r="C69" t="str">
            <v>DELTA</v>
          </cell>
          <cell r="D69">
            <v>45658</v>
          </cell>
          <cell r="E69">
            <v>45717</v>
          </cell>
          <cell r="F69">
            <v>3</v>
          </cell>
          <cell r="G69">
            <v>45689</v>
          </cell>
          <cell r="H69">
            <v>2</v>
          </cell>
          <cell r="I69">
            <v>45691</v>
          </cell>
          <cell r="J69">
            <v>300000</v>
          </cell>
          <cell r="K69" t="str">
            <v>EKSKLUSIF</v>
          </cell>
        </row>
        <row r="70">
          <cell r="A70" t="str">
            <v>A3273</v>
          </cell>
          <cell r="B70" t="str">
            <v>BINTANG MUTIARAJATI</v>
          </cell>
          <cell r="C70" t="str">
            <v>DELTA</v>
          </cell>
          <cell r="D70">
            <v>45658</v>
          </cell>
          <cell r="E70">
            <v>45717</v>
          </cell>
          <cell r="F70">
            <v>3</v>
          </cell>
          <cell r="G70">
            <v>45689</v>
          </cell>
          <cell r="H70">
            <v>2</v>
          </cell>
          <cell r="I70">
            <v>45691</v>
          </cell>
          <cell r="J70">
            <v>300000</v>
          </cell>
          <cell r="K70" t="str">
            <v>EKSKLUSIF</v>
          </cell>
        </row>
        <row r="71">
          <cell r="A71" t="str">
            <v>A2322</v>
          </cell>
          <cell r="B71" t="str">
            <v>Rosi Novi Lutfitasari</v>
          </cell>
          <cell r="C71" t="str">
            <v>DELTA</v>
          </cell>
          <cell r="D71">
            <v>45658</v>
          </cell>
          <cell r="E71">
            <v>45717</v>
          </cell>
          <cell r="F71">
            <v>3</v>
          </cell>
          <cell r="G71">
            <v>45689</v>
          </cell>
          <cell r="H71">
            <v>2</v>
          </cell>
          <cell r="I71">
            <v>45691</v>
          </cell>
          <cell r="J71">
            <v>300000</v>
          </cell>
          <cell r="K71" t="str">
            <v>EKSKLUSIF</v>
          </cell>
        </row>
        <row r="72">
          <cell r="A72" t="str">
            <v>A1357</v>
          </cell>
          <cell r="B72" t="str">
            <v>Agnes Trinitas</v>
          </cell>
          <cell r="C72" t="str">
            <v>DELTA</v>
          </cell>
          <cell r="D72">
            <v>45658</v>
          </cell>
          <cell r="E72">
            <v>45717</v>
          </cell>
          <cell r="F72">
            <v>3</v>
          </cell>
          <cell r="G72">
            <v>45689</v>
          </cell>
          <cell r="H72">
            <v>2</v>
          </cell>
          <cell r="I72">
            <v>45691</v>
          </cell>
          <cell r="J72">
            <v>300000</v>
          </cell>
          <cell r="K72" t="str">
            <v>EKSKLUSIF</v>
          </cell>
        </row>
        <row r="73">
          <cell r="A73" t="str">
            <v>A2255</v>
          </cell>
          <cell r="B73" t="str">
            <v>Eli Santi Sitohang</v>
          </cell>
          <cell r="C73" t="str">
            <v>DELTA</v>
          </cell>
          <cell r="D73">
            <v>45658</v>
          </cell>
          <cell r="E73">
            <v>45717</v>
          </cell>
          <cell r="F73">
            <v>3</v>
          </cell>
          <cell r="G73">
            <v>45689</v>
          </cell>
          <cell r="H73">
            <v>2</v>
          </cell>
          <cell r="I73">
            <v>45691</v>
          </cell>
          <cell r="J73">
            <v>300000</v>
          </cell>
          <cell r="K73" t="str">
            <v>EKSKLUSIF</v>
          </cell>
        </row>
        <row r="74">
          <cell r="A74" t="str">
            <v>A3597</v>
          </cell>
          <cell r="B74" t="str">
            <v>Windi Ayuni Sijabat</v>
          </cell>
          <cell r="C74" t="str">
            <v>DELTA</v>
          </cell>
          <cell r="D74">
            <v>45658</v>
          </cell>
          <cell r="E74">
            <v>45717</v>
          </cell>
          <cell r="F74">
            <v>3</v>
          </cell>
          <cell r="G74">
            <v>45689</v>
          </cell>
          <cell r="H74">
            <v>2</v>
          </cell>
          <cell r="I74">
            <v>45691</v>
          </cell>
          <cell r="J74">
            <v>300000</v>
          </cell>
          <cell r="K74" t="str">
            <v>EKSKLUSIF</v>
          </cell>
        </row>
        <row r="75">
          <cell r="A75" t="str">
            <v>A1096</v>
          </cell>
          <cell r="B75" t="str">
            <v>Nila Haqiqi</v>
          </cell>
          <cell r="C75" t="str">
            <v>DELTA</v>
          </cell>
          <cell r="D75">
            <v>45658</v>
          </cell>
          <cell r="E75">
            <v>45717</v>
          </cell>
          <cell r="F75">
            <v>3</v>
          </cell>
          <cell r="G75">
            <v>45689</v>
          </cell>
          <cell r="H75">
            <v>2</v>
          </cell>
          <cell r="I75">
            <v>45691</v>
          </cell>
          <cell r="J75">
            <v>300000</v>
          </cell>
          <cell r="K75" t="str">
            <v>EKSKLUSIF</v>
          </cell>
        </row>
        <row r="76">
          <cell r="A76" t="str">
            <v>A0874</v>
          </cell>
          <cell r="B76" t="str">
            <v>Galih Mardiana</v>
          </cell>
          <cell r="C76" t="str">
            <v>DELTA</v>
          </cell>
          <cell r="D76">
            <v>45658</v>
          </cell>
          <cell r="E76">
            <v>45717</v>
          </cell>
          <cell r="F76">
            <v>3</v>
          </cell>
          <cell r="G76">
            <v>45689</v>
          </cell>
          <cell r="H76">
            <v>2</v>
          </cell>
          <cell r="I76">
            <v>45691</v>
          </cell>
          <cell r="J76">
            <v>300000</v>
          </cell>
          <cell r="K76" t="str">
            <v>EKSKLUSIF</v>
          </cell>
        </row>
        <row r="77">
          <cell r="A77" t="str">
            <v>A1219</v>
          </cell>
          <cell r="B77" t="str">
            <v>AZIZ ALFISYAHRI</v>
          </cell>
          <cell r="C77" t="str">
            <v>DELTA</v>
          </cell>
          <cell r="D77">
            <v>45658</v>
          </cell>
          <cell r="E77">
            <v>45717</v>
          </cell>
          <cell r="F77">
            <v>3</v>
          </cell>
          <cell r="G77">
            <v>45689</v>
          </cell>
          <cell r="H77">
            <v>2</v>
          </cell>
          <cell r="I77">
            <v>45691</v>
          </cell>
          <cell r="J77">
            <v>300000</v>
          </cell>
          <cell r="K77" t="str">
            <v>EKSKLUSIF</v>
          </cell>
        </row>
        <row r="78">
          <cell r="A78" t="str">
            <v>A1957</v>
          </cell>
          <cell r="B78" t="str">
            <v>FATIA</v>
          </cell>
          <cell r="C78" t="str">
            <v>DELTA</v>
          </cell>
          <cell r="D78">
            <v>45658</v>
          </cell>
          <cell r="E78">
            <v>45717</v>
          </cell>
          <cell r="F78">
            <v>3</v>
          </cell>
          <cell r="G78">
            <v>45689</v>
          </cell>
          <cell r="H78">
            <v>2</v>
          </cell>
          <cell r="I78">
            <v>45691</v>
          </cell>
          <cell r="J78">
            <v>300000</v>
          </cell>
          <cell r="K78" t="str">
            <v>EKSKLUSIF</v>
          </cell>
        </row>
        <row r="79">
          <cell r="A79" t="str">
            <v>A1755</v>
          </cell>
          <cell r="B79" t="str">
            <v>TIFANI ADELIA SYAFITRI</v>
          </cell>
          <cell r="C79" t="str">
            <v>DELTA</v>
          </cell>
          <cell r="D79">
            <v>45658</v>
          </cell>
          <cell r="E79">
            <v>45717</v>
          </cell>
          <cell r="F79">
            <v>3</v>
          </cell>
          <cell r="G79">
            <v>45689</v>
          </cell>
          <cell r="H79">
            <v>2</v>
          </cell>
          <cell r="I79">
            <v>45691</v>
          </cell>
          <cell r="J79">
            <v>300000</v>
          </cell>
          <cell r="K79" t="str">
            <v>EKSKLUSIF</v>
          </cell>
        </row>
        <row r="80">
          <cell r="A80" t="str">
            <v>A1841</v>
          </cell>
          <cell r="B80" t="str">
            <v>ADHINA PUTRIANA KUSUMAWATI</v>
          </cell>
          <cell r="C80" t="str">
            <v>DELTA</v>
          </cell>
          <cell r="D80">
            <v>45658</v>
          </cell>
          <cell r="E80">
            <v>45717</v>
          </cell>
          <cell r="F80">
            <v>3</v>
          </cell>
          <cell r="G80">
            <v>45689</v>
          </cell>
          <cell r="H80">
            <v>2</v>
          </cell>
          <cell r="I80">
            <v>45691</v>
          </cell>
          <cell r="J80">
            <v>300000</v>
          </cell>
          <cell r="K80" t="str">
            <v>EKSKLUSIF</v>
          </cell>
        </row>
        <row r="81">
          <cell r="A81" t="str">
            <v>A1854</v>
          </cell>
          <cell r="B81" t="str">
            <v>SALSABILA OKTAVIMADIANA</v>
          </cell>
          <cell r="C81" t="str">
            <v>DELTA</v>
          </cell>
          <cell r="D81">
            <v>45658</v>
          </cell>
          <cell r="E81">
            <v>45717</v>
          </cell>
          <cell r="F81">
            <v>3</v>
          </cell>
          <cell r="G81">
            <v>45689</v>
          </cell>
          <cell r="H81">
            <v>2</v>
          </cell>
          <cell r="I81">
            <v>45691</v>
          </cell>
          <cell r="J81">
            <v>300000</v>
          </cell>
          <cell r="K81" t="str">
            <v>EKSKLUSIF</v>
          </cell>
        </row>
        <row r="82">
          <cell r="A82" t="str">
            <v>A3599</v>
          </cell>
          <cell r="B82" t="str">
            <v>HANIFAH RAHMADHANI</v>
          </cell>
          <cell r="C82" t="str">
            <v>DELTA</v>
          </cell>
          <cell r="D82">
            <v>45658</v>
          </cell>
          <cell r="E82">
            <v>45717</v>
          </cell>
          <cell r="F82">
            <v>3</v>
          </cell>
          <cell r="G82">
            <v>45689</v>
          </cell>
          <cell r="H82">
            <v>1</v>
          </cell>
          <cell r="I82">
            <v>45660</v>
          </cell>
          <cell r="J82">
            <v>300000</v>
          </cell>
          <cell r="K82" t="str">
            <v>EKSKLUSIF</v>
          </cell>
        </row>
        <row r="83">
          <cell r="A83" t="str">
            <v>A1531</v>
          </cell>
          <cell r="B83" t="str">
            <v>ERIN ALFINATA</v>
          </cell>
          <cell r="C83" t="str">
            <v>DELTA</v>
          </cell>
          <cell r="D83">
            <v>45658</v>
          </cell>
          <cell r="E83">
            <v>45717</v>
          </cell>
          <cell r="F83">
            <v>3</v>
          </cell>
          <cell r="G83">
            <v>45689</v>
          </cell>
          <cell r="H83">
            <v>1</v>
          </cell>
          <cell r="I83">
            <v>45660</v>
          </cell>
          <cell r="J83">
            <v>300000</v>
          </cell>
          <cell r="K83" t="str">
            <v>EKSKLUSIF</v>
          </cell>
        </row>
        <row r="84">
          <cell r="A84" t="str">
            <v>A2507</v>
          </cell>
          <cell r="B84" t="str">
            <v>ARJUNA TANJUNG</v>
          </cell>
          <cell r="C84" t="str">
            <v>DELTA</v>
          </cell>
          <cell r="D84">
            <v>45689</v>
          </cell>
          <cell r="E84">
            <v>45748</v>
          </cell>
          <cell r="F84">
            <v>3</v>
          </cell>
          <cell r="G84">
            <v>45689</v>
          </cell>
          <cell r="H84">
            <v>1</v>
          </cell>
          <cell r="I84">
            <v>45660</v>
          </cell>
          <cell r="J84">
            <v>300000</v>
          </cell>
          <cell r="K84" t="str">
            <v>EKSKLUSIF</v>
          </cell>
        </row>
        <row r="85">
          <cell r="A85" t="str">
            <v>A0458</v>
          </cell>
          <cell r="B85" t="str">
            <v>JOKO SLAMETO</v>
          </cell>
          <cell r="C85" t="str">
            <v>DELTA</v>
          </cell>
          <cell r="D85">
            <v>45689</v>
          </cell>
          <cell r="E85">
            <v>45748</v>
          </cell>
          <cell r="F85">
            <v>3</v>
          </cell>
          <cell r="G85">
            <v>45689</v>
          </cell>
          <cell r="H85">
            <v>1</v>
          </cell>
          <cell r="I85">
            <v>45660</v>
          </cell>
          <cell r="J85">
            <v>300000</v>
          </cell>
          <cell r="K85" t="str">
            <v>EKSKLUSIF</v>
          </cell>
        </row>
        <row r="86">
          <cell r="A86" t="str">
            <v>A1721</v>
          </cell>
          <cell r="B86" t="str">
            <v>MEGA AUDILIA</v>
          </cell>
          <cell r="C86" t="str">
            <v>DELTA</v>
          </cell>
          <cell r="D86">
            <v>45689</v>
          </cell>
          <cell r="E86">
            <v>45748</v>
          </cell>
          <cell r="F86">
            <v>3</v>
          </cell>
          <cell r="G86">
            <v>45689</v>
          </cell>
          <cell r="H86">
            <v>1</v>
          </cell>
          <cell r="I86">
            <v>45660</v>
          </cell>
          <cell r="J86">
            <v>300000</v>
          </cell>
          <cell r="K86" t="str">
            <v>EKSKLUSIF</v>
          </cell>
        </row>
        <row r="87">
          <cell r="A87" t="str">
            <v>A0192</v>
          </cell>
          <cell r="B87" t="str">
            <v>AGNES HAUDI SURYANTIKA</v>
          </cell>
          <cell r="C87" t="str">
            <v>DELTA</v>
          </cell>
          <cell r="D87">
            <v>45689</v>
          </cell>
          <cell r="E87">
            <v>45748</v>
          </cell>
          <cell r="F87">
            <v>3</v>
          </cell>
          <cell r="G87">
            <v>45689</v>
          </cell>
          <cell r="H87">
            <v>1</v>
          </cell>
          <cell r="I87">
            <v>45660</v>
          </cell>
          <cell r="J87">
            <v>300000</v>
          </cell>
          <cell r="K87" t="str">
            <v>EKSKLUSIF</v>
          </cell>
        </row>
        <row r="88">
          <cell r="A88" t="str">
            <v>A1954</v>
          </cell>
          <cell r="B88" t="str">
            <v>JELITA AYUNDA FITRIA</v>
          </cell>
          <cell r="C88" t="str">
            <v>DELTA</v>
          </cell>
          <cell r="D88">
            <v>45689</v>
          </cell>
          <cell r="E88">
            <v>45748</v>
          </cell>
          <cell r="F88">
            <v>3</v>
          </cell>
          <cell r="G88">
            <v>45689</v>
          </cell>
          <cell r="H88">
            <v>1</v>
          </cell>
          <cell r="I88">
            <v>45660</v>
          </cell>
          <cell r="J88">
            <v>300000</v>
          </cell>
          <cell r="K88" t="str">
            <v>EKSKLUSIF</v>
          </cell>
        </row>
        <row r="89">
          <cell r="A89" t="str">
            <v>A3029</v>
          </cell>
          <cell r="B89" t="str">
            <v>EMMIA CLARITA BR TARIGAN</v>
          </cell>
          <cell r="C89" t="str">
            <v>DELTA</v>
          </cell>
          <cell r="D89">
            <v>45689</v>
          </cell>
          <cell r="E89">
            <v>45748</v>
          </cell>
          <cell r="F89">
            <v>3</v>
          </cell>
          <cell r="G89">
            <v>45689</v>
          </cell>
          <cell r="H89">
            <v>1</v>
          </cell>
          <cell r="I89">
            <v>45660</v>
          </cell>
          <cell r="J89">
            <v>300000</v>
          </cell>
          <cell r="K89" t="str">
            <v>EKSKLUSIF</v>
          </cell>
        </row>
        <row r="90">
          <cell r="A90" t="str">
            <v>A1842</v>
          </cell>
          <cell r="B90" t="str">
            <v>KELPIN PONTIUS ARON</v>
          </cell>
          <cell r="C90" t="str">
            <v>DELTA</v>
          </cell>
          <cell r="D90">
            <v>45689</v>
          </cell>
          <cell r="E90">
            <v>45748</v>
          </cell>
          <cell r="F90">
            <v>3</v>
          </cell>
          <cell r="G90">
            <v>45689</v>
          </cell>
          <cell r="H90">
            <v>1</v>
          </cell>
          <cell r="I90">
            <v>45660</v>
          </cell>
          <cell r="J90">
            <v>300000</v>
          </cell>
          <cell r="K90" t="str">
            <v>EKSKLUSIF</v>
          </cell>
        </row>
        <row r="91">
          <cell r="A91" t="str">
            <v>A0879</v>
          </cell>
          <cell r="B91" t="str">
            <v>RISZA ANGGUN DWI ARIANANDA</v>
          </cell>
          <cell r="C91" t="str">
            <v>DELTA</v>
          </cell>
          <cell r="D91">
            <v>45689</v>
          </cell>
          <cell r="E91">
            <v>45748</v>
          </cell>
          <cell r="F91">
            <v>3</v>
          </cell>
          <cell r="G91">
            <v>45689</v>
          </cell>
          <cell r="H91">
            <v>1</v>
          </cell>
          <cell r="I91">
            <v>45660</v>
          </cell>
          <cell r="J91">
            <v>300000</v>
          </cell>
          <cell r="K91" t="str">
            <v>EKSKLUSIF</v>
          </cell>
        </row>
        <row r="92">
          <cell r="A92" t="str">
            <v>A3406</v>
          </cell>
          <cell r="B92" t="str">
            <v>SEPTI MUNTE</v>
          </cell>
          <cell r="C92" t="str">
            <v>DELTA</v>
          </cell>
          <cell r="D92">
            <v>45689</v>
          </cell>
          <cell r="E92">
            <v>45748</v>
          </cell>
          <cell r="F92">
            <v>3</v>
          </cell>
          <cell r="G92">
            <v>45689</v>
          </cell>
          <cell r="H92">
            <v>1</v>
          </cell>
          <cell r="I92">
            <v>45660</v>
          </cell>
          <cell r="J92">
            <v>300000</v>
          </cell>
          <cell r="K92" t="str">
            <v>EKSKLUSIF</v>
          </cell>
        </row>
        <row r="93">
          <cell r="A93">
            <v>92669</v>
          </cell>
          <cell r="B93" t="str">
            <v>APIK KUSUMA AYU</v>
          </cell>
          <cell r="C93" t="str">
            <v>DELTA</v>
          </cell>
          <cell r="D93">
            <v>45689</v>
          </cell>
          <cell r="E93">
            <v>45748</v>
          </cell>
          <cell r="F93">
            <v>3</v>
          </cell>
          <cell r="G93">
            <v>45689</v>
          </cell>
          <cell r="H93">
            <v>1</v>
          </cell>
          <cell r="I93">
            <v>45660</v>
          </cell>
          <cell r="J93">
            <v>300000</v>
          </cell>
          <cell r="K93" t="str">
            <v>EKSKLUSIF</v>
          </cell>
        </row>
        <row r="94">
          <cell r="A94" t="str">
            <v>A2953</v>
          </cell>
          <cell r="B94" t="str">
            <v>NAWANGWULAN DESIKUMALA</v>
          </cell>
          <cell r="C94" t="str">
            <v>DELTA</v>
          </cell>
          <cell r="D94">
            <v>45689</v>
          </cell>
          <cell r="E94">
            <v>45748</v>
          </cell>
          <cell r="F94">
            <v>3</v>
          </cell>
          <cell r="G94">
            <v>45689</v>
          </cell>
          <cell r="H94">
            <v>1</v>
          </cell>
          <cell r="I94">
            <v>45660</v>
          </cell>
          <cell r="J94">
            <v>300000</v>
          </cell>
          <cell r="K94" t="str">
            <v>EKSKLUSIF</v>
          </cell>
        </row>
        <row r="95">
          <cell r="A95" t="str">
            <v>A3259</v>
          </cell>
          <cell r="B95" t="str">
            <v>ALBERTUS CHRISTIAN ADE DARMAWA</v>
          </cell>
          <cell r="C95" t="str">
            <v>DELTA</v>
          </cell>
          <cell r="D95">
            <v>45689</v>
          </cell>
          <cell r="E95">
            <v>45748</v>
          </cell>
          <cell r="F95">
            <v>3</v>
          </cell>
          <cell r="G95">
            <v>45689</v>
          </cell>
          <cell r="H95">
            <v>1</v>
          </cell>
          <cell r="I95">
            <v>45660</v>
          </cell>
          <cell r="J95">
            <v>300000</v>
          </cell>
          <cell r="K95" t="str">
            <v>EKSKLUSIF</v>
          </cell>
        </row>
        <row r="96">
          <cell r="A96" t="str">
            <v>A1773</v>
          </cell>
          <cell r="B96" t="str">
            <v>Melinia Windy E</v>
          </cell>
          <cell r="C96" t="str">
            <v>DELTA</v>
          </cell>
          <cell r="D96">
            <v>45689</v>
          </cell>
          <cell r="E96">
            <v>45748</v>
          </cell>
          <cell r="F96">
            <v>3</v>
          </cell>
          <cell r="G96">
            <v>45689</v>
          </cell>
          <cell r="H96">
            <v>1</v>
          </cell>
          <cell r="I96">
            <v>45660</v>
          </cell>
          <cell r="J96">
            <v>300000</v>
          </cell>
          <cell r="K96" t="str">
            <v>EKSKLUSIF</v>
          </cell>
        </row>
        <row r="97">
          <cell r="A97">
            <v>92622</v>
          </cell>
          <cell r="B97" t="str">
            <v>AYU SUCI NUGROYANTI</v>
          </cell>
          <cell r="C97" t="str">
            <v>DELTA</v>
          </cell>
          <cell r="D97">
            <v>45689</v>
          </cell>
          <cell r="E97">
            <v>45748</v>
          </cell>
          <cell r="F97">
            <v>3</v>
          </cell>
          <cell r="G97">
            <v>45689</v>
          </cell>
          <cell r="H97">
            <v>1</v>
          </cell>
          <cell r="I97">
            <v>45660</v>
          </cell>
          <cell r="J97">
            <v>300000</v>
          </cell>
          <cell r="K97" t="str">
            <v>EKSKLUSIF</v>
          </cell>
        </row>
        <row r="98">
          <cell r="A98" t="str">
            <v>A1762</v>
          </cell>
          <cell r="B98" t="str">
            <v>MUTAHIR ALI</v>
          </cell>
          <cell r="C98" t="str">
            <v>DELTA</v>
          </cell>
          <cell r="D98">
            <v>45689</v>
          </cell>
          <cell r="E98">
            <v>45748</v>
          </cell>
          <cell r="F98">
            <v>3</v>
          </cell>
          <cell r="G98">
            <v>45689</v>
          </cell>
          <cell r="H98">
            <v>1</v>
          </cell>
          <cell r="I98">
            <v>45660</v>
          </cell>
          <cell r="J98">
            <v>300000</v>
          </cell>
          <cell r="K98" t="str">
            <v>EKSKLUSIF</v>
          </cell>
        </row>
        <row r="99">
          <cell r="A99" t="str">
            <v>A1209</v>
          </cell>
          <cell r="B99" t="str">
            <v>ZULFI FAQIH NURUL JANNAH</v>
          </cell>
          <cell r="C99" t="str">
            <v>DELTA</v>
          </cell>
          <cell r="D99">
            <v>45689</v>
          </cell>
          <cell r="E99">
            <v>45748</v>
          </cell>
          <cell r="F99">
            <v>3</v>
          </cell>
          <cell r="G99">
            <v>45689</v>
          </cell>
          <cell r="H99">
            <v>1</v>
          </cell>
          <cell r="I99">
            <v>45660</v>
          </cell>
          <cell r="J99">
            <v>300000</v>
          </cell>
          <cell r="K99" t="str">
            <v>EKSKLUSIF</v>
          </cell>
        </row>
        <row r="100">
          <cell r="A100" t="str">
            <v>A0517</v>
          </cell>
          <cell r="B100" t="str">
            <v>CHATARINA SEPTRYANINGSI</v>
          </cell>
          <cell r="C100" t="str">
            <v>DELTA</v>
          </cell>
          <cell r="D100">
            <v>45689</v>
          </cell>
          <cell r="E100">
            <v>45748</v>
          </cell>
          <cell r="F100">
            <v>3</v>
          </cell>
          <cell r="G100">
            <v>45689</v>
          </cell>
          <cell r="H100">
            <v>1</v>
          </cell>
          <cell r="I100">
            <v>45660</v>
          </cell>
          <cell r="J100">
            <v>300000</v>
          </cell>
          <cell r="K100" t="str">
            <v>EKSKLUSIF</v>
          </cell>
        </row>
        <row r="101">
          <cell r="A101">
            <v>90592</v>
          </cell>
          <cell r="B101" t="str">
            <v>DINI SHINTIA PUTRI</v>
          </cell>
          <cell r="C101" t="str">
            <v>DELTA</v>
          </cell>
          <cell r="D101">
            <v>45689</v>
          </cell>
          <cell r="E101">
            <v>45748</v>
          </cell>
          <cell r="F101">
            <v>3</v>
          </cell>
          <cell r="G101">
            <v>45689</v>
          </cell>
          <cell r="H101">
            <v>1</v>
          </cell>
          <cell r="I101">
            <v>45660</v>
          </cell>
          <cell r="J101">
            <v>300000</v>
          </cell>
          <cell r="K101" t="str">
            <v>EKSKLUSIF</v>
          </cell>
        </row>
        <row r="102">
          <cell r="A102" t="str">
            <v>A1525</v>
          </cell>
          <cell r="B102" t="str">
            <v>MARSIDAH</v>
          </cell>
          <cell r="C102" t="str">
            <v>DELTA</v>
          </cell>
          <cell r="D102">
            <v>45689</v>
          </cell>
          <cell r="E102">
            <v>45748</v>
          </cell>
          <cell r="F102">
            <v>3</v>
          </cell>
          <cell r="G102">
            <v>45689</v>
          </cell>
          <cell r="H102">
            <v>1</v>
          </cell>
          <cell r="I102">
            <v>45660</v>
          </cell>
          <cell r="J102">
            <v>300000</v>
          </cell>
          <cell r="K102" t="str">
            <v>EKSKLUSIF</v>
          </cell>
        </row>
        <row r="103">
          <cell r="A103" t="str">
            <v>A0881</v>
          </cell>
          <cell r="B103" t="str">
            <v>ERINA EKA WULANDARI</v>
          </cell>
          <cell r="C103" t="str">
            <v>DELTA</v>
          </cell>
          <cell r="D103">
            <v>45689</v>
          </cell>
          <cell r="E103">
            <v>45748</v>
          </cell>
          <cell r="F103">
            <v>3</v>
          </cell>
          <cell r="G103">
            <v>45689</v>
          </cell>
          <cell r="H103">
            <v>1</v>
          </cell>
          <cell r="I103">
            <v>45660</v>
          </cell>
          <cell r="J103">
            <v>300000</v>
          </cell>
          <cell r="K103" t="str">
            <v>EKSKLUSIF</v>
          </cell>
        </row>
        <row r="104">
          <cell r="A104">
            <v>92135</v>
          </cell>
          <cell r="B104" t="str">
            <v>ERNAWATI NOFIA</v>
          </cell>
          <cell r="C104" t="str">
            <v>DELTA</v>
          </cell>
          <cell r="D104">
            <v>45689</v>
          </cell>
          <cell r="E104">
            <v>45748</v>
          </cell>
          <cell r="F104">
            <v>3</v>
          </cell>
          <cell r="G104">
            <v>45689</v>
          </cell>
          <cell r="H104">
            <v>1</v>
          </cell>
          <cell r="I104">
            <v>45660</v>
          </cell>
          <cell r="J104">
            <v>300000</v>
          </cell>
          <cell r="K104" t="str">
            <v>EKSKLUSIF</v>
          </cell>
        </row>
        <row r="105">
          <cell r="A105" t="str">
            <v>A1276</v>
          </cell>
          <cell r="B105" t="str">
            <v>⁠SINDI ARLINDA DEWI</v>
          </cell>
          <cell r="C105" t="str">
            <v>DELTA</v>
          </cell>
          <cell r="D105">
            <v>45689</v>
          </cell>
          <cell r="E105">
            <v>45748</v>
          </cell>
          <cell r="F105">
            <v>3</v>
          </cell>
          <cell r="G105">
            <v>45689</v>
          </cell>
          <cell r="H105">
            <v>1</v>
          </cell>
          <cell r="I105">
            <v>45660</v>
          </cell>
          <cell r="J105">
            <v>300000</v>
          </cell>
          <cell r="K105" t="str">
            <v>EKSKLUSIF</v>
          </cell>
        </row>
        <row r="106">
          <cell r="A106" t="str">
            <v>A4152</v>
          </cell>
          <cell r="B106" t="str">
            <v>KAMAL MAULANA RAMADHAN</v>
          </cell>
          <cell r="C106" t="str">
            <v>DELTA</v>
          </cell>
          <cell r="D106">
            <v>45689</v>
          </cell>
          <cell r="E106">
            <v>45748</v>
          </cell>
          <cell r="F106">
            <v>3</v>
          </cell>
          <cell r="G106">
            <v>45689</v>
          </cell>
          <cell r="H106">
            <v>1</v>
          </cell>
          <cell r="I106">
            <v>45660</v>
          </cell>
          <cell r="J106">
            <v>300000</v>
          </cell>
          <cell r="K106" t="str">
            <v>EKSKLUSIF</v>
          </cell>
        </row>
        <row r="107">
          <cell r="A107" t="str">
            <v>A2417</v>
          </cell>
          <cell r="B107" t="str">
            <v>LALANG WINATA BINTANG NANOE</v>
          </cell>
          <cell r="C107" t="str">
            <v>DELTA</v>
          </cell>
          <cell r="D107">
            <v>45689</v>
          </cell>
          <cell r="E107">
            <v>45748</v>
          </cell>
          <cell r="F107">
            <v>3</v>
          </cell>
          <cell r="G107">
            <v>45689</v>
          </cell>
          <cell r="H107">
            <v>1</v>
          </cell>
          <cell r="I107">
            <v>45660</v>
          </cell>
          <cell r="J107">
            <v>300000</v>
          </cell>
          <cell r="K107" t="str">
            <v>EKSKLUSIF</v>
          </cell>
        </row>
        <row r="108">
          <cell r="A108">
            <v>92287</v>
          </cell>
          <cell r="B108" t="str">
            <v>Alyda Rizka Islamiyati</v>
          </cell>
          <cell r="C108" t="str">
            <v>DELTA</v>
          </cell>
          <cell r="D108">
            <v>45689</v>
          </cell>
          <cell r="E108">
            <v>45748</v>
          </cell>
          <cell r="F108">
            <v>3</v>
          </cell>
          <cell r="G108">
            <v>45689</v>
          </cell>
          <cell r="H108">
            <v>1</v>
          </cell>
          <cell r="I108">
            <v>45660</v>
          </cell>
          <cell r="J108">
            <v>300000</v>
          </cell>
          <cell r="K108" t="str">
            <v>EKSKLUSIF</v>
          </cell>
        </row>
        <row r="109">
          <cell r="A109" t="str">
            <v>A2702</v>
          </cell>
          <cell r="B109" t="str">
            <v>DILA FITRIANI</v>
          </cell>
          <cell r="C109" t="str">
            <v>TEMA C2</v>
          </cell>
          <cell r="D109">
            <v>45536</v>
          </cell>
          <cell r="E109">
            <v>45689</v>
          </cell>
          <cell r="F109">
            <v>6</v>
          </cell>
          <cell r="G109">
            <v>45689</v>
          </cell>
          <cell r="H109">
            <v>6</v>
          </cell>
          <cell r="I109">
            <v>45814</v>
          </cell>
          <cell r="J109">
            <v>1600000</v>
          </cell>
          <cell r="K109" t="str">
            <v>EKSKLUSIF</v>
          </cell>
        </row>
        <row r="110">
          <cell r="A110" t="str">
            <v>A4162</v>
          </cell>
          <cell r="B110" t="str">
            <v>FATHUL MUBAROQ</v>
          </cell>
          <cell r="C110" t="str">
            <v>TEMA C2</v>
          </cell>
          <cell r="D110">
            <v>45536</v>
          </cell>
          <cell r="E110">
            <v>45689</v>
          </cell>
          <cell r="F110">
            <v>6</v>
          </cell>
          <cell r="G110">
            <v>45689</v>
          </cell>
          <cell r="H110">
            <v>6</v>
          </cell>
          <cell r="I110">
            <v>45814</v>
          </cell>
          <cell r="J110">
            <v>1600000</v>
          </cell>
          <cell r="K110" t="str">
            <v>EKSKLUSIF</v>
          </cell>
        </row>
        <row r="111">
          <cell r="A111" t="str">
            <v>A3034</v>
          </cell>
          <cell r="B111" t="str">
            <v>MEYTIA EKA PUTRI</v>
          </cell>
          <cell r="C111" t="str">
            <v>TEMA C2</v>
          </cell>
          <cell r="D111">
            <v>45536</v>
          </cell>
          <cell r="E111">
            <v>45689</v>
          </cell>
          <cell r="F111">
            <v>6</v>
          </cell>
          <cell r="G111">
            <v>45689</v>
          </cell>
          <cell r="H111">
            <v>6</v>
          </cell>
          <cell r="I111">
            <v>45814</v>
          </cell>
          <cell r="J111">
            <v>1600000</v>
          </cell>
          <cell r="K111" t="str">
            <v>EKSKLUSIF</v>
          </cell>
        </row>
        <row r="112">
          <cell r="A112" t="str">
            <v>A4011</v>
          </cell>
          <cell r="B112" t="str">
            <v>MUHAMMAD FAJRIADY</v>
          </cell>
          <cell r="C112" t="str">
            <v>TEMA C2</v>
          </cell>
          <cell r="D112">
            <v>45536</v>
          </cell>
          <cell r="E112">
            <v>45689</v>
          </cell>
          <cell r="F112">
            <v>6</v>
          </cell>
          <cell r="G112">
            <v>45689</v>
          </cell>
          <cell r="H112">
            <v>6</v>
          </cell>
          <cell r="I112">
            <v>45814</v>
          </cell>
          <cell r="J112">
            <v>1600000</v>
          </cell>
          <cell r="K112" t="str">
            <v>EKSKLUSIF</v>
          </cell>
        </row>
        <row r="113">
          <cell r="A113" t="str">
            <v>A0786</v>
          </cell>
          <cell r="B113" t="str">
            <v>Arya Ardiansah</v>
          </cell>
          <cell r="C113" t="str">
            <v>TEMA C2</v>
          </cell>
          <cell r="D113" t="str">
            <v>Okt 24</v>
          </cell>
          <cell r="E113">
            <v>45717</v>
          </cell>
          <cell r="F113">
            <v>6</v>
          </cell>
          <cell r="G113">
            <v>45689</v>
          </cell>
          <cell r="H113">
            <v>5</v>
          </cell>
          <cell r="I113">
            <v>45783</v>
          </cell>
          <cell r="J113">
            <v>500000</v>
          </cell>
          <cell r="K113" t="str">
            <v>EKSKLUSIF</v>
          </cell>
        </row>
        <row r="114">
          <cell r="A114" t="str">
            <v>A4024</v>
          </cell>
          <cell r="B114" t="str">
            <v>FITRIA NURUL</v>
          </cell>
          <cell r="C114" t="str">
            <v>TEMA C2</v>
          </cell>
          <cell r="D114">
            <v>45597</v>
          </cell>
          <cell r="E114">
            <v>45748</v>
          </cell>
          <cell r="F114">
            <v>6</v>
          </cell>
          <cell r="G114">
            <v>45689</v>
          </cell>
          <cell r="H114">
            <v>4</v>
          </cell>
          <cell r="I114">
            <v>45753</v>
          </cell>
          <cell r="J114">
            <v>400000</v>
          </cell>
          <cell r="K114" t="str">
            <v>EKSKLUSIF</v>
          </cell>
        </row>
        <row r="115">
          <cell r="A115" t="str">
            <v>A4341</v>
          </cell>
          <cell r="B115" t="str">
            <v>RIZA ULHIDAYAH H</v>
          </cell>
          <cell r="C115" t="str">
            <v>TEMA C2</v>
          </cell>
          <cell r="D115">
            <v>45597</v>
          </cell>
          <cell r="E115">
            <v>45748</v>
          </cell>
          <cell r="F115">
            <v>6</v>
          </cell>
          <cell r="G115">
            <v>45689</v>
          </cell>
          <cell r="H115">
            <v>4</v>
          </cell>
          <cell r="I115">
            <v>45753</v>
          </cell>
          <cell r="J115">
            <v>400000</v>
          </cell>
          <cell r="K115" t="str">
            <v>EKSKLUSIF</v>
          </cell>
        </row>
        <row r="116">
          <cell r="A116" t="str">
            <v>A1638</v>
          </cell>
          <cell r="B116" t="str">
            <v>ERNI DWI WIDYANTI</v>
          </cell>
          <cell r="C116" t="str">
            <v>TEMA C2</v>
          </cell>
          <cell r="D116">
            <v>45597</v>
          </cell>
          <cell r="E116">
            <v>45748</v>
          </cell>
          <cell r="F116">
            <v>6</v>
          </cell>
          <cell r="G116">
            <v>45689</v>
          </cell>
          <cell r="H116">
            <v>4</v>
          </cell>
          <cell r="I116">
            <v>45753</v>
          </cell>
          <cell r="J116">
            <v>400000</v>
          </cell>
          <cell r="K116" t="str">
            <v>EKSKLUSIF</v>
          </cell>
        </row>
        <row r="117">
          <cell r="A117" t="str">
            <v>A4422</v>
          </cell>
          <cell r="B117" t="str">
            <v>NUR SABILA</v>
          </cell>
          <cell r="C117" t="str">
            <v>TEMA C2</v>
          </cell>
          <cell r="D117" t="str">
            <v>Des 2024</v>
          </cell>
          <cell r="E117">
            <v>45689</v>
          </cell>
          <cell r="F117">
            <v>3</v>
          </cell>
          <cell r="G117">
            <v>45689</v>
          </cell>
          <cell r="H117">
            <v>3</v>
          </cell>
          <cell r="I117">
            <v>45719</v>
          </cell>
          <cell r="J117">
            <v>900000</v>
          </cell>
          <cell r="K117" t="str">
            <v>EKSKLUSIF</v>
          </cell>
        </row>
        <row r="118">
          <cell r="A118" t="str">
            <v>A2072</v>
          </cell>
          <cell r="B118" t="str">
            <v>DIANA PUTERI</v>
          </cell>
          <cell r="C118" t="str">
            <v>TEMA C2</v>
          </cell>
          <cell r="D118" t="str">
            <v>Des 2024</v>
          </cell>
          <cell r="E118">
            <v>45689</v>
          </cell>
          <cell r="F118">
            <v>3</v>
          </cell>
          <cell r="G118">
            <v>45689</v>
          </cell>
          <cell r="H118">
            <v>3</v>
          </cell>
          <cell r="I118">
            <v>45719</v>
          </cell>
          <cell r="J118">
            <v>900000</v>
          </cell>
          <cell r="K118" t="str">
            <v>EKSKLUSIF</v>
          </cell>
        </row>
        <row r="119">
          <cell r="A119" t="str">
            <v>A2684</v>
          </cell>
          <cell r="B119" t="str">
            <v>DIMAS VERGIAWAN AFIAT</v>
          </cell>
          <cell r="C119" t="str">
            <v>TEMA C2</v>
          </cell>
          <cell r="D119" t="str">
            <v>Des 2024</v>
          </cell>
          <cell r="E119">
            <v>45689</v>
          </cell>
          <cell r="F119">
            <v>3</v>
          </cell>
          <cell r="G119">
            <v>45689</v>
          </cell>
          <cell r="H119">
            <v>3</v>
          </cell>
          <cell r="I119">
            <v>45719</v>
          </cell>
          <cell r="J119">
            <v>900000</v>
          </cell>
          <cell r="K119" t="str">
            <v>EKSKLUSIF</v>
          </cell>
        </row>
        <row r="120">
          <cell r="A120" t="str">
            <v>A0920</v>
          </cell>
          <cell r="B120" t="str">
            <v>HANGESTI RETNO UTARI</v>
          </cell>
          <cell r="C120" t="str">
            <v>TEMA C2</v>
          </cell>
          <cell r="D120" t="str">
            <v>Des 2024</v>
          </cell>
          <cell r="E120">
            <v>45689</v>
          </cell>
          <cell r="F120">
            <v>3</v>
          </cell>
          <cell r="G120">
            <v>45689</v>
          </cell>
          <cell r="H120">
            <v>3</v>
          </cell>
          <cell r="I120">
            <v>45719</v>
          </cell>
          <cell r="J120">
            <v>900000</v>
          </cell>
          <cell r="K120" t="str">
            <v>EKSKLUSIF</v>
          </cell>
        </row>
        <row r="121">
          <cell r="A121" t="str">
            <v>A0565</v>
          </cell>
          <cell r="B121" t="str">
            <v>PRADIPTA NIWAYANI</v>
          </cell>
          <cell r="C121" t="str">
            <v>TEMA C2</v>
          </cell>
          <cell r="D121" t="str">
            <v>Des 2024</v>
          </cell>
          <cell r="E121">
            <v>45689</v>
          </cell>
          <cell r="F121">
            <v>3</v>
          </cell>
          <cell r="G121">
            <v>45689</v>
          </cell>
          <cell r="H121">
            <v>3</v>
          </cell>
          <cell r="I121">
            <v>45719</v>
          </cell>
          <cell r="J121">
            <v>900000</v>
          </cell>
          <cell r="K121" t="str">
            <v>EKSKLUSIF</v>
          </cell>
        </row>
        <row r="122">
          <cell r="A122" t="str">
            <v>A4270</v>
          </cell>
          <cell r="B122" t="str">
            <v>DELLA OXZA</v>
          </cell>
          <cell r="C122" t="str">
            <v>TEMA C2</v>
          </cell>
          <cell r="D122" t="str">
            <v>Des 2024</v>
          </cell>
          <cell r="E122">
            <v>45689</v>
          </cell>
          <cell r="F122">
            <v>3</v>
          </cell>
          <cell r="G122">
            <v>45689</v>
          </cell>
          <cell r="H122">
            <v>3</v>
          </cell>
          <cell r="I122">
            <v>45719</v>
          </cell>
          <cell r="J122">
            <v>900000</v>
          </cell>
          <cell r="K122" t="str">
            <v>EKSKLUSIF</v>
          </cell>
        </row>
        <row r="123">
          <cell r="A123" t="str">
            <v>A3996</v>
          </cell>
          <cell r="B123" t="str">
            <v>JOANICA INTAN CAHYANDARI</v>
          </cell>
          <cell r="C123" t="str">
            <v>TEMA C2</v>
          </cell>
          <cell r="D123" t="str">
            <v>Des 2024</v>
          </cell>
          <cell r="E123">
            <v>45689</v>
          </cell>
          <cell r="F123">
            <v>3</v>
          </cell>
          <cell r="G123">
            <v>45689</v>
          </cell>
          <cell r="H123">
            <v>3</v>
          </cell>
          <cell r="I123">
            <v>45719</v>
          </cell>
          <cell r="J123">
            <v>900000</v>
          </cell>
          <cell r="K123" t="str">
            <v>EKSKLUSIF</v>
          </cell>
        </row>
        <row r="124">
          <cell r="A124" t="str">
            <v>A4363</v>
          </cell>
          <cell r="B124" t="str">
            <v>RINA IKA LESTARI</v>
          </cell>
          <cell r="C124" t="str">
            <v>TEMA C2</v>
          </cell>
          <cell r="D124" t="str">
            <v>Des 2024</v>
          </cell>
          <cell r="E124">
            <v>45689</v>
          </cell>
          <cell r="F124">
            <v>3</v>
          </cell>
          <cell r="G124">
            <v>45689</v>
          </cell>
          <cell r="H124">
            <v>3</v>
          </cell>
          <cell r="I124">
            <v>45719</v>
          </cell>
          <cell r="J124">
            <v>900000</v>
          </cell>
          <cell r="K124" t="str">
            <v>EKSKLUSIF</v>
          </cell>
        </row>
        <row r="125">
          <cell r="A125">
            <v>92628</v>
          </cell>
          <cell r="B125" t="str">
            <v>Nini Aulia Sari</v>
          </cell>
          <cell r="C125" t="str">
            <v>TEMA C2</v>
          </cell>
          <cell r="D125" t="str">
            <v>Des 2024</v>
          </cell>
          <cell r="E125">
            <v>45689</v>
          </cell>
          <cell r="F125">
            <v>3</v>
          </cell>
          <cell r="G125">
            <v>45689</v>
          </cell>
          <cell r="H125">
            <v>3</v>
          </cell>
          <cell r="I125">
            <v>45719</v>
          </cell>
          <cell r="J125">
            <v>900000</v>
          </cell>
          <cell r="K125" t="str">
            <v>EKSKLUSIF</v>
          </cell>
        </row>
        <row r="126">
          <cell r="A126" t="str">
            <v>A2705</v>
          </cell>
          <cell r="B126" t="str">
            <v>ANTONIA DESI ENDAH KRISTIYANTI</v>
          </cell>
          <cell r="C126" t="str">
            <v>TEMA C2</v>
          </cell>
          <cell r="D126" t="str">
            <v>Des 2024</v>
          </cell>
          <cell r="E126">
            <v>45689</v>
          </cell>
          <cell r="F126">
            <v>3</v>
          </cell>
          <cell r="G126">
            <v>45689</v>
          </cell>
          <cell r="H126">
            <v>3</v>
          </cell>
          <cell r="I126">
            <v>45719</v>
          </cell>
          <cell r="J126">
            <v>900000</v>
          </cell>
          <cell r="K126" t="str">
            <v>EKSKLUSIF</v>
          </cell>
        </row>
        <row r="127">
          <cell r="A127" t="str">
            <v>A4437</v>
          </cell>
          <cell r="B127" t="str">
            <v>MUHAMMAD ILZAM</v>
          </cell>
          <cell r="C127" t="str">
            <v>TEMA C2</v>
          </cell>
          <cell r="D127" t="str">
            <v>Des 2024</v>
          </cell>
          <cell r="E127">
            <v>45689</v>
          </cell>
          <cell r="F127">
            <v>3</v>
          </cell>
          <cell r="G127">
            <v>45689</v>
          </cell>
          <cell r="H127">
            <v>3</v>
          </cell>
          <cell r="I127">
            <v>45719</v>
          </cell>
          <cell r="J127">
            <v>900000</v>
          </cell>
          <cell r="K127" t="str">
            <v>EKSKLUSIF</v>
          </cell>
        </row>
        <row r="128">
          <cell r="A128" t="str">
            <v>A4441</v>
          </cell>
          <cell r="B128" t="str">
            <v>IRWANDA BUDI PANGESTU</v>
          </cell>
          <cell r="C128" t="str">
            <v>TEMA C2</v>
          </cell>
          <cell r="D128" t="str">
            <v>Des 2024</v>
          </cell>
          <cell r="E128">
            <v>45689</v>
          </cell>
          <cell r="F128">
            <v>3</v>
          </cell>
          <cell r="G128">
            <v>45689</v>
          </cell>
          <cell r="H128">
            <v>3</v>
          </cell>
          <cell r="I128">
            <v>45719</v>
          </cell>
          <cell r="J128">
            <v>900000</v>
          </cell>
          <cell r="K128" t="str">
            <v>EKSKLUSIF</v>
          </cell>
        </row>
        <row r="129">
          <cell r="A129" t="str">
            <v>A3766</v>
          </cell>
          <cell r="B129" t="str">
            <v>BESTFEBRI CHRISTY DAMERIA PAKPAHAN</v>
          </cell>
          <cell r="C129" t="str">
            <v>TEMA C2</v>
          </cell>
          <cell r="D129" t="str">
            <v>Des 2024</v>
          </cell>
          <cell r="E129">
            <v>45689</v>
          </cell>
          <cell r="F129">
            <v>3</v>
          </cell>
          <cell r="G129">
            <v>45689</v>
          </cell>
          <cell r="H129">
            <v>3</v>
          </cell>
          <cell r="I129">
            <v>45719</v>
          </cell>
          <cell r="J129">
            <v>900000</v>
          </cell>
          <cell r="K129" t="str">
            <v>EKSKLUSIF</v>
          </cell>
        </row>
        <row r="130">
          <cell r="A130" t="str">
            <v>A4276</v>
          </cell>
          <cell r="B130" t="str">
            <v>UMMI AISYATUL LATIFAH ASARO</v>
          </cell>
          <cell r="C130" t="str">
            <v>TEMA C2</v>
          </cell>
          <cell r="D130" t="str">
            <v>Des 2024</v>
          </cell>
          <cell r="E130">
            <v>45689</v>
          </cell>
          <cell r="F130">
            <v>3</v>
          </cell>
          <cell r="G130">
            <v>45689</v>
          </cell>
          <cell r="H130">
            <v>3</v>
          </cell>
          <cell r="I130">
            <v>45719</v>
          </cell>
          <cell r="J130">
            <v>900000</v>
          </cell>
          <cell r="K130" t="str">
            <v>EKSKLUSIF</v>
          </cell>
        </row>
        <row r="131">
          <cell r="A131" t="str">
            <v>A2014</v>
          </cell>
          <cell r="B131" t="str">
            <v>NUR ANISA</v>
          </cell>
          <cell r="C131" t="str">
            <v>TEMA C2</v>
          </cell>
          <cell r="D131" t="str">
            <v>Des 2024</v>
          </cell>
          <cell r="E131">
            <v>45689</v>
          </cell>
          <cell r="F131">
            <v>3</v>
          </cell>
          <cell r="G131">
            <v>45689</v>
          </cell>
          <cell r="H131">
            <v>3</v>
          </cell>
          <cell r="I131">
            <v>45719</v>
          </cell>
          <cell r="J131">
            <v>900000</v>
          </cell>
          <cell r="K131" t="str">
            <v>EKSKLUSIF</v>
          </cell>
        </row>
        <row r="132">
          <cell r="A132" t="str">
            <v>A4405</v>
          </cell>
          <cell r="B132" t="str">
            <v>SALWA AYU WIGATI</v>
          </cell>
          <cell r="C132" t="str">
            <v>TEMA C2</v>
          </cell>
          <cell r="D132" t="str">
            <v>Des 2024</v>
          </cell>
          <cell r="E132">
            <v>45689</v>
          </cell>
          <cell r="F132">
            <v>3</v>
          </cell>
          <cell r="G132">
            <v>45689</v>
          </cell>
          <cell r="H132">
            <v>3</v>
          </cell>
          <cell r="I132">
            <v>45719</v>
          </cell>
          <cell r="J132">
            <v>900000</v>
          </cell>
          <cell r="K132" t="str">
            <v>EKSKLUSIF</v>
          </cell>
        </row>
        <row r="133">
          <cell r="A133">
            <v>90118</v>
          </cell>
          <cell r="B133" t="str">
            <v>AGRESITABELA PURNANINGRUM</v>
          </cell>
          <cell r="C133" t="str">
            <v>TEMA C2</v>
          </cell>
          <cell r="D133" t="str">
            <v>Des 2024</v>
          </cell>
          <cell r="E133">
            <v>45689</v>
          </cell>
          <cell r="F133">
            <v>3</v>
          </cell>
          <cell r="G133">
            <v>45689</v>
          </cell>
          <cell r="H133">
            <v>3</v>
          </cell>
          <cell r="I133">
            <v>45719</v>
          </cell>
          <cell r="J133">
            <v>900000</v>
          </cell>
          <cell r="K133" t="str">
            <v>EKSKLUSIF</v>
          </cell>
        </row>
        <row r="134">
          <cell r="A134" t="str">
            <v>A0105</v>
          </cell>
          <cell r="B134" t="str">
            <v>SANDA IRIANTO</v>
          </cell>
          <cell r="C134" t="str">
            <v>TEMA C2</v>
          </cell>
          <cell r="D134">
            <v>45658</v>
          </cell>
          <cell r="E134">
            <v>45717</v>
          </cell>
          <cell r="F134">
            <v>3</v>
          </cell>
          <cell r="G134">
            <v>45689</v>
          </cell>
          <cell r="H134">
            <v>2</v>
          </cell>
          <cell r="I134">
            <v>45691</v>
          </cell>
          <cell r="J134">
            <v>300000</v>
          </cell>
          <cell r="K134" t="str">
            <v>EKSKLUSIF</v>
          </cell>
        </row>
        <row r="135">
          <cell r="A135" t="str">
            <v>A3962</v>
          </cell>
          <cell r="B135" t="str">
            <v>SHIDDIQI DIQI</v>
          </cell>
          <cell r="C135" t="str">
            <v>TEMA C2</v>
          </cell>
          <cell r="D135">
            <v>45658</v>
          </cell>
          <cell r="E135">
            <v>45717</v>
          </cell>
          <cell r="F135">
            <v>3</v>
          </cell>
          <cell r="G135">
            <v>45689</v>
          </cell>
          <cell r="H135">
            <v>2</v>
          </cell>
          <cell r="I135">
            <v>45691</v>
          </cell>
          <cell r="J135">
            <v>300000</v>
          </cell>
          <cell r="K135" t="str">
            <v>EKSKLUSIF</v>
          </cell>
        </row>
        <row r="136">
          <cell r="A136" t="str">
            <v>A1428</v>
          </cell>
          <cell r="B136" t="str">
            <v>RIFKA AYU PRADITA</v>
          </cell>
          <cell r="C136" t="str">
            <v>TEMA C2</v>
          </cell>
          <cell r="D136">
            <v>45658</v>
          </cell>
          <cell r="E136">
            <v>45717</v>
          </cell>
          <cell r="F136">
            <v>3</v>
          </cell>
          <cell r="G136">
            <v>45689</v>
          </cell>
          <cell r="H136">
            <v>2</v>
          </cell>
          <cell r="I136">
            <v>45691</v>
          </cell>
          <cell r="J136">
            <v>300000</v>
          </cell>
          <cell r="K136" t="str">
            <v>EKSKLUSIF</v>
          </cell>
        </row>
        <row r="137">
          <cell r="A137" t="str">
            <v>A4369</v>
          </cell>
          <cell r="B137" t="str">
            <v>AULIA PUTRI WULANDARI</v>
          </cell>
          <cell r="C137" t="str">
            <v>TEMA C2</v>
          </cell>
          <cell r="D137">
            <v>45658</v>
          </cell>
          <cell r="E137">
            <v>45717</v>
          </cell>
          <cell r="F137">
            <v>3</v>
          </cell>
          <cell r="G137">
            <v>45689</v>
          </cell>
          <cell r="H137">
            <v>2</v>
          </cell>
          <cell r="I137">
            <v>45691</v>
          </cell>
          <cell r="J137">
            <v>300000</v>
          </cell>
          <cell r="K137" t="str">
            <v>EKSKLUSIF</v>
          </cell>
        </row>
        <row r="138">
          <cell r="A138" t="str">
            <v>A3693</v>
          </cell>
          <cell r="B138" t="str">
            <v>LENSE SITOMPUL</v>
          </cell>
          <cell r="C138" t="str">
            <v>TEMA C2</v>
          </cell>
          <cell r="D138">
            <v>45658</v>
          </cell>
          <cell r="E138">
            <v>45717</v>
          </cell>
          <cell r="F138">
            <v>3</v>
          </cell>
          <cell r="G138">
            <v>45689</v>
          </cell>
          <cell r="H138">
            <v>2</v>
          </cell>
          <cell r="I138">
            <v>45691</v>
          </cell>
          <cell r="J138">
            <v>300000</v>
          </cell>
          <cell r="K138" t="str">
            <v>EKSKLUSIF</v>
          </cell>
        </row>
        <row r="139">
          <cell r="A139" t="str">
            <v>A1250</v>
          </cell>
          <cell r="B139" t="str">
            <v>MAYANG PUTRI INANDA SARI</v>
          </cell>
          <cell r="C139" t="str">
            <v>TEMA C2</v>
          </cell>
          <cell r="D139">
            <v>45658</v>
          </cell>
          <cell r="E139">
            <v>45717</v>
          </cell>
          <cell r="F139">
            <v>3</v>
          </cell>
          <cell r="G139">
            <v>45689</v>
          </cell>
          <cell r="H139">
            <v>2</v>
          </cell>
          <cell r="I139">
            <v>45691</v>
          </cell>
          <cell r="J139">
            <v>300000</v>
          </cell>
          <cell r="K139" t="str">
            <v>EKSKLUSIF</v>
          </cell>
        </row>
        <row r="140">
          <cell r="A140" t="str">
            <v>A1208</v>
          </cell>
          <cell r="B140" t="str">
            <v>RIYAN ISTIQOMAH</v>
          </cell>
          <cell r="C140" t="str">
            <v>TEMA C2</v>
          </cell>
          <cell r="D140">
            <v>45658</v>
          </cell>
          <cell r="E140">
            <v>45717</v>
          </cell>
          <cell r="F140">
            <v>3</v>
          </cell>
          <cell r="G140">
            <v>45689</v>
          </cell>
          <cell r="H140">
            <v>2</v>
          </cell>
          <cell r="I140">
            <v>45691</v>
          </cell>
          <cell r="J140">
            <v>300000</v>
          </cell>
          <cell r="K140" t="str">
            <v>EKSKLUSIF</v>
          </cell>
        </row>
        <row r="141">
          <cell r="A141" t="str">
            <v>A0560</v>
          </cell>
          <cell r="B141" t="str">
            <v>MATHILDA EUNIKE ANDREA R</v>
          </cell>
          <cell r="C141" t="str">
            <v>TEMA C2</v>
          </cell>
          <cell r="D141">
            <v>45658</v>
          </cell>
          <cell r="E141">
            <v>45717</v>
          </cell>
          <cell r="F141">
            <v>3</v>
          </cell>
          <cell r="G141">
            <v>45689</v>
          </cell>
          <cell r="H141">
            <v>2</v>
          </cell>
          <cell r="I141">
            <v>45691</v>
          </cell>
          <cell r="J141">
            <v>300000</v>
          </cell>
          <cell r="K141" t="str">
            <v>EKSKLUSIF</v>
          </cell>
        </row>
        <row r="142">
          <cell r="A142" t="str">
            <v>A2964</v>
          </cell>
          <cell r="B142" t="str">
            <v>AKHAYA ARSYOGA</v>
          </cell>
          <cell r="C142" t="str">
            <v>TEMA C2</v>
          </cell>
          <cell r="D142">
            <v>45658</v>
          </cell>
          <cell r="E142">
            <v>45717</v>
          </cell>
          <cell r="F142">
            <v>3</v>
          </cell>
          <cell r="G142">
            <v>45689</v>
          </cell>
          <cell r="H142">
            <v>2</v>
          </cell>
          <cell r="I142">
            <v>45691</v>
          </cell>
          <cell r="J142">
            <v>300000</v>
          </cell>
          <cell r="K142" t="str">
            <v>EKSKLUSIF</v>
          </cell>
        </row>
        <row r="143">
          <cell r="A143" t="str">
            <v>A4050</v>
          </cell>
          <cell r="B143" t="str">
            <v>DITA PUSPITA SARI</v>
          </cell>
          <cell r="C143" t="str">
            <v>TEMA C2</v>
          </cell>
          <cell r="D143">
            <v>45658</v>
          </cell>
          <cell r="E143">
            <v>45717</v>
          </cell>
          <cell r="F143">
            <v>3</v>
          </cell>
          <cell r="G143">
            <v>45689</v>
          </cell>
          <cell r="H143">
            <v>2</v>
          </cell>
          <cell r="I143">
            <v>45691</v>
          </cell>
          <cell r="J143">
            <v>300000</v>
          </cell>
          <cell r="K143" t="str">
            <v>EKSKLUSIF</v>
          </cell>
        </row>
        <row r="144">
          <cell r="A144" t="str">
            <v>A2300</v>
          </cell>
          <cell r="B144" t="str">
            <v>GRACE SIFRA</v>
          </cell>
          <cell r="C144" t="str">
            <v>TEMA C2</v>
          </cell>
          <cell r="D144">
            <v>45658</v>
          </cell>
          <cell r="E144">
            <v>45717</v>
          </cell>
          <cell r="F144">
            <v>3</v>
          </cell>
          <cell r="G144">
            <v>45689</v>
          </cell>
          <cell r="H144">
            <v>2</v>
          </cell>
          <cell r="I144">
            <v>45691</v>
          </cell>
          <cell r="J144">
            <v>300000</v>
          </cell>
          <cell r="K144" t="str">
            <v>EKSKLUSIF</v>
          </cell>
        </row>
        <row r="145">
          <cell r="A145" t="str">
            <v>A1409</v>
          </cell>
          <cell r="B145" t="str">
            <v>YULIANA</v>
          </cell>
          <cell r="C145" t="str">
            <v>TEMA C2</v>
          </cell>
          <cell r="D145">
            <v>45658</v>
          </cell>
          <cell r="E145">
            <v>45717</v>
          </cell>
          <cell r="F145">
            <v>3</v>
          </cell>
          <cell r="G145">
            <v>45689</v>
          </cell>
          <cell r="H145">
            <v>2</v>
          </cell>
          <cell r="I145">
            <v>45691</v>
          </cell>
          <cell r="J145">
            <v>300000</v>
          </cell>
          <cell r="K145" t="str">
            <v>EKSKLUSIF</v>
          </cell>
        </row>
        <row r="146">
          <cell r="A146" t="str">
            <v>A4470</v>
          </cell>
          <cell r="B146" t="str">
            <v>Syarifatul Mukaromah</v>
          </cell>
          <cell r="C146" t="str">
            <v>TEMA C2</v>
          </cell>
          <cell r="D146">
            <v>45658</v>
          </cell>
          <cell r="E146">
            <v>45717</v>
          </cell>
          <cell r="F146">
            <v>6</v>
          </cell>
          <cell r="G146">
            <v>45689</v>
          </cell>
          <cell r="H146">
            <v>2</v>
          </cell>
          <cell r="I146">
            <v>45694</v>
          </cell>
          <cell r="J146">
            <v>300000</v>
          </cell>
          <cell r="K146" t="str">
            <v>EKSKLUSIF</v>
          </cell>
        </row>
        <row r="147">
          <cell r="A147" t="str">
            <v>A2369</v>
          </cell>
          <cell r="B147" t="str">
            <v>ANIS DIANA SARI</v>
          </cell>
          <cell r="C147" t="str">
            <v>TEMA C2</v>
          </cell>
          <cell r="D147">
            <v>45658</v>
          </cell>
          <cell r="E147">
            <v>45717</v>
          </cell>
          <cell r="F147">
            <v>3</v>
          </cell>
          <cell r="G147">
            <v>45689</v>
          </cell>
          <cell r="H147">
            <v>2</v>
          </cell>
          <cell r="I147">
            <v>45691</v>
          </cell>
          <cell r="J147">
            <v>300000</v>
          </cell>
          <cell r="K147" t="str">
            <v>EKSKLUSIF</v>
          </cell>
        </row>
        <row r="148">
          <cell r="A148" t="str">
            <v>A4089</v>
          </cell>
          <cell r="B148" t="str">
            <v>ADI FIRMANSYAH</v>
          </cell>
          <cell r="C148" t="str">
            <v>TEMA C2</v>
          </cell>
          <cell r="D148">
            <v>45658</v>
          </cell>
          <cell r="E148">
            <v>45717</v>
          </cell>
          <cell r="F148">
            <v>3</v>
          </cell>
          <cell r="G148">
            <v>45689</v>
          </cell>
          <cell r="H148">
            <v>2</v>
          </cell>
          <cell r="I148">
            <v>45691</v>
          </cell>
          <cell r="J148">
            <v>300000</v>
          </cell>
          <cell r="K148" t="str">
            <v>EKSKLUSIF</v>
          </cell>
        </row>
        <row r="149">
          <cell r="A149">
            <v>92347</v>
          </cell>
          <cell r="B149" t="str">
            <v>RAHMAD SABTONO</v>
          </cell>
          <cell r="C149" t="str">
            <v>TEMA C2</v>
          </cell>
          <cell r="D149">
            <v>45658</v>
          </cell>
          <cell r="E149">
            <v>45809</v>
          </cell>
          <cell r="F149">
            <v>6</v>
          </cell>
          <cell r="G149">
            <v>45689</v>
          </cell>
          <cell r="H149">
            <v>2</v>
          </cell>
          <cell r="I149">
            <v>45694</v>
          </cell>
          <cell r="J149">
            <v>300000</v>
          </cell>
          <cell r="K149" t="str">
            <v>EKSKLUSIF</v>
          </cell>
        </row>
        <row r="150">
          <cell r="A150" t="str">
            <v>A3815</v>
          </cell>
          <cell r="B150" t="str">
            <v>ANDREANE AMARISSA</v>
          </cell>
          <cell r="C150" t="str">
            <v>TEMA C2</v>
          </cell>
          <cell r="D150">
            <v>45658</v>
          </cell>
          <cell r="E150">
            <v>45717</v>
          </cell>
          <cell r="F150">
            <v>3</v>
          </cell>
          <cell r="G150">
            <v>45689</v>
          </cell>
          <cell r="H150">
            <v>2</v>
          </cell>
          <cell r="I150">
            <v>45691</v>
          </cell>
          <cell r="J150">
            <v>300000</v>
          </cell>
          <cell r="K150" t="str">
            <v>EKSKLUSIF</v>
          </cell>
        </row>
        <row r="151">
          <cell r="A151" t="str">
            <v>A2574</v>
          </cell>
          <cell r="B151" t="str">
            <v>JATU ASTRI PRADISTA</v>
          </cell>
          <cell r="C151" t="str">
            <v>TEMA C2</v>
          </cell>
          <cell r="D151">
            <v>45658</v>
          </cell>
          <cell r="E151">
            <v>45717</v>
          </cell>
          <cell r="F151">
            <v>3</v>
          </cell>
          <cell r="G151">
            <v>45689</v>
          </cell>
          <cell r="H151">
            <v>2</v>
          </cell>
          <cell r="I151">
            <v>45691</v>
          </cell>
          <cell r="J151">
            <v>300000</v>
          </cell>
          <cell r="K151" t="str">
            <v>EKSKLUSIF</v>
          </cell>
        </row>
        <row r="152">
          <cell r="A152" t="str">
            <v>A3216</v>
          </cell>
          <cell r="B152" t="str">
            <v>INTAN KHOIRUNISA FEBILIANA</v>
          </cell>
          <cell r="C152" t="str">
            <v>TEMA C2</v>
          </cell>
          <cell r="D152">
            <v>45658</v>
          </cell>
          <cell r="E152">
            <v>45717</v>
          </cell>
          <cell r="F152">
            <v>3</v>
          </cell>
          <cell r="G152">
            <v>45689</v>
          </cell>
          <cell r="H152">
            <v>2</v>
          </cell>
          <cell r="I152">
            <v>45691</v>
          </cell>
          <cell r="J152">
            <v>300000</v>
          </cell>
          <cell r="K152" t="str">
            <v>EKSKLUSIF</v>
          </cell>
        </row>
        <row r="153">
          <cell r="A153" t="str">
            <v>A1407</v>
          </cell>
          <cell r="B153" t="str">
            <v>Hardini Komalasari</v>
          </cell>
          <cell r="C153" t="str">
            <v>TEMA C2</v>
          </cell>
          <cell r="D153">
            <v>45658</v>
          </cell>
          <cell r="E153">
            <v>45717</v>
          </cell>
          <cell r="F153">
            <v>3</v>
          </cell>
          <cell r="G153">
            <v>45689</v>
          </cell>
          <cell r="H153">
            <v>2</v>
          </cell>
          <cell r="I153">
            <v>45691</v>
          </cell>
          <cell r="J153">
            <v>300000</v>
          </cell>
          <cell r="K153" t="str">
            <v>EKSKLUSIF</v>
          </cell>
        </row>
        <row r="154">
          <cell r="A154" t="str">
            <v>A0911</v>
          </cell>
          <cell r="B154" t="str">
            <v>ENGELINA GALUH WINDIASARI</v>
          </cell>
          <cell r="C154" t="str">
            <v>TEMA C2</v>
          </cell>
          <cell r="D154">
            <v>45658</v>
          </cell>
          <cell r="E154">
            <v>45809</v>
          </cell>
          <cell r="F154">
            <v>6</v>
          </cell>
          <cell r="G154">
            <v>45689</v>
          </cell>
          <cell r="H154">
            <v>2</v>
          </cell>
          <cell r="I154">
            <v>45694</v>
          </cell>
          <cell r="J154">
            <v>300000</v>
          </cell>
          <cell r="K154" t="str">
            <v>EKSKLUSIF</v>
          </cell>
        </row>
        <row r="155">
          <cell r="A155" t="str">
            <v>A2604</v>
          </cell>
          <cell r="B155" t="str">
            <v>Yusridah Lubis</v>
          </cell>
          <cell r="C155" t="str">
            <v>TEMA C2</v>
          </cell>
          <cell r="D155">
            <v>45658</v>
          </cell>
          <cell r="E155">
            <v>45717</v>
          </cell>
          <cell r="F155">
            <v>3</v>
          </cell>
          <cell r="G155">
            <v>45689</v>
          </cell>
          <cell r="H155">
            <v>2</v>
          </cell>
          <cell r="I155">
            <v>45691</v>
          </cell>
          <cell r="J155">
            <v>300000</v>
          </cell>
          <cell r="K155" t="str">
            <v>EKSKLUSIF</v>
          </cell>
        </row>
        <row r="156">
          <cell r="A156" t="str">
            <v>A3510</v>
          </cell>
          <cell r="B156" t="str">
            <v>ANNISA FADYA</v>
          </cell>
          <cell r="C156" t="str">
            <v>TEMA C2</v>
          </cell>
          <cell r="D156">
            <v>45658</v>
          </cell>
          <cell r="E156">
            <v>45717</v>
          </cell>
          <cell r="F156">
            <v>3</v>
          </cell>
          <cell r="G156">
            <v>45689</v>
          </cell>
          <cell r="H156">
            <v>2</v>
          </cell>
          <cell r="I156">
            <v>45691</v>
          </cell>
          <cell r="J156">
            <v>300000</v>
          </cell>
          <cell r="K156" t="str">
            <v>EKSKLUSIF</v>
          </cell>
        </row>
        <row r="157">
          <cell r="A157" t="str">
            <v>A3220</v>
          </cell>
          <cell r="B157" t="str">
            <v>MUHAMAD AGUNG GUMELAR</v>
          </cell>
          <cell r="C157" t="str">
            <v>TEMA C2</v>
          </cell>
          <cell r="D157">
            <v>45658</v>
          </cell>
          <cell r="E157">
            <v>45717</v>
          </cell>
          <cell r="F157">
            <v>3</v>
          </cell>
          <cell r="G157">
            <v>45689</v>
          </cell>
          <cell r="H157">
            <v>2</v>
          </cell>
          <cell r="I157">
            <v>45691</v>
          </cell>
          <cell r="J157">
            <v>300000</v>
          </cell>
          <cell r="K157" t="str">
            <v>EKSKLUSIF</v>
          </cell>
        </row>
        <row r="158">
          <cell r="A158">
            <v>92192</v>
          </cell>
          <cell r="B158" t="str">
            <v>Bima Bagaskara</v>
          </cell>
          <cell r="C158" t="str">
            <v>TEMA C2</v>
          </cell>
          <cell r="D158">
            <v>45658</v>
          </cell>
          <cell r="E158">
            <v>45717</v>
          </cell>
          <cell r="F158">
            <v>3</v>
          </cell>
          <cell r="G158">
            <v>45689</v>
          </cell>
          <cell r="H158">
            <v>2</v>
          </cell>
          <cell r="I158">
            <v>45691</v>
          </cell>
          <cell r="J158">
            <v>300000</v>
          </cell>
          <cell r="K158" t="str">
            <v>EKSKLUSIF</v>
          </cell>
        </row>
        <row r="159">
          <cell r="A159" t="str">
            <v>A4599</v>
          </cell>
          <cell r="B159" t="str">
            <v>SAIDHA PUTRI</v>
          </cell>
          <cell r="C159" t="str">
            <v>TEMA C2</v>
          </cell>
          <cell r="D159">
            <v>45689</v>
          </cell>
          <cell r="E159">
            <v>45748</v>
          </cell>
          <cell r="F159">
            <v>3</v>
          </cell>
          <cell r="G159">
            <v>45689</v>
          </cell>
          <cell r="H159">
            <v>1</v>
          </cell>
          <cell r="I159">
            <v>45660</v>
          </cell>
          <cell r="J159">
            <v>300000</v>
          </cell>
          <cell r="K159" t="str">
            <v>EKSKLUSIF</v>
          </cell>
        </row>
        <row r="160">
          <cell r="A160" t="str">
            <v>A4287</v>
          </cell>
          <cell r="B160" t="str">
            <v>FARA DHIYA HASFANA</v>
          </cell>
          <cell r="C160" t="str">
            <v>TEMA C2</v>
          </cell>
          <cell r="D160">
            <v>45689</v>
          </cell>
          <cell r="E160">
            <v>45748</v>
          </cell>
          <cell r="F160">
            <v>3</v>
          </cell>
          <cell r="G160">
            <v>45689</v>
          </cell>
          <cell r="H160">
            <v>1</v>
          </cell>
          <cell r="I160">
            <v>45660</v>
          </cell>
          <cell r="J160">
            <v>300000</v>
          </cell>
          <cell r="K160" t="str">
            <v>EKSKLUSIF</v>
          </cell>
        </row>
        <row r="161">
          <cell r="A161" t="str">
            <v>A3306</v>
          </cell>
          <cell r="B161" t="str">
            <v>ILHAM MUHAMMAD DYAN FAUZI</v>
          </cell>
          <cell r="C161" t="str">
            <v>TEMA C2</v>
          </cell>
          <cell r="D161">
            <v>45689</v>
          </cell>
          <cell r="E161">
            <v>45748</v>
          </cell>
          <cell r="F161">
            <v>3</v>
          </cell>
          <cell r="G161">
            <v>45689</v>
          </cell>
          <cell r="H161">
            <v>1</v>
          </cell>
          <cell r="I161">
            <v>45660</v>
          </cell>
          <cell r="J161">
            <v>300000</v>
          </cell>
          <cell r="K161" t="str">
            <v>EKSKLUSIF</v>
          </cell>
        </row>
        <row r="162">
          <cell r="A162" t="str">
            <v>A3305</v>
          </cell>
          <cell r="B162" t="str">
            <v>ARIF NOVIANTO</v>
          </cell>
          <cell r="C162" t="str">
            <v>TEMA C2</v>
          </cell>
          <cell r="D162">
            <v>45689</v>
          </cell>
          <cell r="E162">
            <v>45748</v>
          </cell>
          <cell r="F162">
            <v>3</v>
          </cell>
          <cell r="G162">
            <v>45689</v>
          </cell>
          <cell r="H162">
            <v>1</v>
          </cell>
          <cell r="I162">
            <v>45660</v>
          </cell>
          <cell r="J162">
            <v>300000</v>
          </cell>
          <cell r="K162" t="str">
            <v>EKSKLUSIF</v>
          </cell>
        </row>
        <row r="163">
          <cell r="A163">
            <v>90759</v>
          </cell>
          <cell r="B163" t="str">
            <v>Pertiwi Handayani</v>
          </cell>
          <cell r="C163" t="str">
            <v>TEMA C2</v>
          </cell>
          <cell r="D163">
            <v>45689</v>
          </cell>
          <cell r="E163">
            <v>45748</v>
          </cell>
          <cell r="F163">
            <v>3</v>
          </cell>
          <cell r="G163">
            <v>45689</v>
          </cell>
          <cell r="H163">
            <v>1</v>
          </cell>
          <cell r="I163">
            <v>45660</v>
          </cell>
          <cell r="J163">
            <v>300000</v>
          </cell>
          <cell r="K163" t="str">
            <v>EKSKLUSIF</v>
          </cell>
        </row>
        <row r="164">
          <cell r="A164" t="str">
            <v>A4139</v>
          </cell>
          <cell r="B164" t="str">
            <v>KEYLA REISA IARA</v>
          </cell>
          <cell r="C164" t="str">
            <v>TEMA C3</v>
          </cell>
          <cell r="D164">
            <v>45689</v>
          </cell>
          <cell r="E164">
            <v>45748</v>
          </cell>
          <cell r="F164">
            <v>3</v>
          </cell>
          <cell r="G164">
            <v>45689</v>
          </cell>
          <cell r="H164">
            <v>1</v>
          </cell>
          <cell r="I164">
            <v>45660</v>
          </cell>
          <cell r="J164">
            <v>300000</v>
          </cell>
          <cell r="K164" t="str">
            <v>EKSKLUSIF</v>
          </cell>
        </row>
        <row r="165">
          <cell r="A165" t="str">
            <v>A1244</v>
          </cell>
          <cell r="B165" t="str">
            <v>SHOFIA NOVIANTI</v>
          </cell>
          <cell r="C165" t="str">
            <v>TEMA C2</v>
          </cell>
          <cell r="D165">
            <v>45689</v>
          </cell>
          <cell r="E165">
            <v>45748</v>
          </cell>
          <cell r="F165">
            <v>3</v>
          </cell>
          <cell r="G165">
            <v>45689</v>
          </cell>
          <cell r="H165">
            <v>1</v>
          </cell>
          <cell r="I165">
            <v>45660</v>
          </cell>
          <cell r="J165">
            <v>300000</v>
          </cell>
          <cell r="K165" t="str">
            <v>EKSKLUSIF</v>
          </cell>
        </row>
        <row r="166">
          <cell r="A166" t="str">
            <v>A3333</v>
          </cell>
          <cell r="B166" t="str">
            <v>ZEFANYA HEHAMAHUA</v>
          </cell>
          <cell r="C166" t="str">
            <v>TEMA C2</v>
          </cell>
          <cell r="D166">
            <v>45689</v>
          </cell>
          <cell r="E166">
            <v>45748</v>
          </cell>
          <cell r="F166">
            <v>3</v>
          </cell>
          <cell r="G166">
            <v>45689</v>
          </cell>
          <cell r="H166">
            <v>1</v>
          </cell>
          <cell r="I166">
            <v>45660</v>
          </cell>
          <cell r="J166">
            <v>300000</v>
          </cell>
          <cell r="K166" t="str">
            <v>EKSKLUSIF</v>
          </cell>
        </row>
        <row r="167">
          <cell r="A167" t="str">
            <v>A4273</v>
          </cell>
          <cell r="B167" t="str">
            <v>RUTH TRIS KRISTIANTI</v>
          </cell>
          <cell r="C167" t="str">
            <v>TEMA C2</v>
          </cell>
          <cell r="D167">
            <v>45689</v>
          </cell>
          <cell r="E167">
            <v>45839</v>
          </cell>
          <cell r="F167">
            <v>6</v>
          </cell>
          <cell r="G167">
            <v>45689</v>
          </cell>
          <cell r="H167">
            <v>1</v>
          </cell>
          <cell r="I167">
            <v>45663</v>
          </cell>
          <cell r="J167">
            <v>300000</v>
          </cell>
          <cell r="K167" t="str">
            <v>EKSKLUSIF</v>
          </cell>
        </row>
        <row r="168">
          <cell r="A168" t="str">
            <v>A1059</v>
          </cell>
          <cell r="B168" t="str">
            <v>AZILA ZALWA</v>
          </cell>
          <cell r="C168" t="str">
            <v>TEMA C2</v>
          </cell>
          <cell r="D168">
            <v>45689</v>
          </cell>
          <cell r="E168">
            <v>45748</v>
          </cell>
          <cell r="F168">
            <v>3</v>
          </cell>
          <cell r="G168">
            <v>45689</v>
          </cell>
          <cell r="H168">
            <v>1</v>
          </cell>
          <cell r="I168">
            <v>45660</v>
          </cell>
          <cell r="J168">
            <v>300000</v>
          </cell>
          <cell r="K168" t="str">
            <v>EKSKLUSIF</v>
          </cell>
        </row>
        <row r="169">
          <cell r="A169" t="str">
            <v>A0918</v>
          </cell>
          <cell r="B169" t="str">
            <v>OGIE PRAYOGA</v>
          </cell>
          <cell r="C169" t="str">
            <v>TEMA C2</v>
          </cell>
          <cell r="D169">
            <v>45689</v>
          </cell>
          <cell r="E169">
            <v>45748</v>
          </cell>
          <cell r="F169">
            <v>3</v>
          </cell>
          <cell r="G169">
            <v>45689</v>
          </cell>
          <cell r="H169">
            <v>1</v>
          </cell>
          <cell r="I169">
            <v>45660</v>
          </cell>
          <cell r="J169">
            <v>300000</v>
          </cell>
          <cell r="K169" t="str">
            <v>EKSKLUSIF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A202">
            <v>0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A203">
            <v>0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>
            <v>0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A206">
            <v>0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A207">
            <v>0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</row>
        <row r="208">
          <cell r="A208">
            <v>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</row>
        <row r="209">
          <cell r="A209">
            <v>0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TEMA C1"/>
      <sheetName val="TEMA C2"/>
      <sheetName val="TEMA C3"/>
      <sheetName val="TEMA HAJI"/>
      <sheetName val="PD"/>
      <sheetName val="AAV"/>
      <sheetName val="GC"/>
      <sheetName val="RVO"/>
      <sheetName val="SBPV"/>
      <sheetName val="AKTIF"/>
      <sheetName val="DATABASE"/>
      <sheetName val="Sheet1"/>
      <sheetName val="NEW DATABASE"/>
      <sheetName val="EKS"/>
      <sheetName val="KURANG"/>
      <sheetName val="Sheet2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NPK</v>
          </cell>
          <cell r="B1" t="str">
            <v>NAMA</v>
          </cell>
          <cell r="C1" t="str">
            <v>POSISI</v>
          </cell>
          <cell r="D1" t="str">
            <v>START</v>
          </cell>
          <cell r="E1" t="str">
            <v>FINISH</v>
          </cell>
          <cell r="F1" t="str">
            <v>PERIODE</v>
          </cell>
          <cell r="G1" t="str">
            <v>BULAN INI</v>
          </cell>
          <cell r="H1" t="str">
            <v>BULAN BERJALAN</v>
          </cell>
          <cell r="I1" t="str">
            <v>BULAN EKSLUSIF</v>
          </cell>
          <cell r="J1" t="str">
            <v>RUPIAH</v>
          </cell>
          <cell r="K1">
            <v>0</v>
          </cell>
        </row>
        <row r="2">
          <cell r="A2" t="str">
            <v>A2066</v>
          </cell>
          <cell r="B2" t="str">
            <v>YULIANT EFENDI</v>
          </cell>
          <cell r="C2" t="str">
            <v>AAV</v>
          </cell>
          <cell r="D2" t="str">
            <v>Okt 2024</v>
          </cell>
          <cell r="E2">
            <v>45717</v>
          </cell>
          <cell r="F2">
            <v>6</v>
          </cell>
          <cell r="G2">
            <v>45717</v>
          </cell>
          <cell r="H2">
            <v>6</v>
          </cell>
          <cell r="I2">
            <v>45814</v>
          </cell>
          <cell r="J2">
            <v>1600000</v>
          </cell>
          <cell r="K2" t="str">
            <v>EKSKLUSIF</v>
          </cell>
        </row>
        <row r="3">
          <cell r="A3" t="str">
            <v>A2615</v>
          </cell>
          <cell r="B3" t="str">
            <v>Novita Langkai</v>
          </cell>
          <cell r="C3" t="str">
            <v>AAV</v>
          </cell>
          <cell r="D3">
            <v>45689</v>
          </cell>
          <cell r="E3">
            <v>45839</v>
          </cell>
          <cell r="F3">
            <v>6</v>
          </cell>
          <cell r="G3">
            <v>45717</v>
          </cell>
          <cell r="H3">
            <v>2</v>
          </cell>
          <cell r="I3">
            <v>45694</v>
          </cell>
          <cell r="J3">
            <v>300000</v>
          </cell>
          <cell r="K3" t="str">
            <v>EKSKLUSIF</v>
          </cell>
        </row>
        <row r="4">
          <cell r="A4" t="str">
            <v>A0349</v>
          </cell>
          <cell r="B4" t="str">
            <v>Ahmad Zainal Arifin</v>
          </cell>
          <cell r="C4" t="str">
            <v>AAV</v>
          </cell>
          <cell r="D4">
            <v>45717</v>
          </cell>
          <cell r="E4" t="str">
            <v>Agu 2025</v>
          </cell>
          <cell r="F4">
            <v>6</v>
          </cell>
          <cell r="G4">
            <v>45717</v>
          </cell>
          <cell r="H4">
            <v>1</v>
          </cell>
          <cell r="I4">
            <v>45663</v>
          </cell>
          <cell r="J4">
            <v>300000</v>
          </cell>
          <cell r="K4" t="str">
            <v>EKSKLUSIF</v>
          </cell>
        </row>
        <row r="5">
          <cell r="A5" t="str">
            <v>A2873</v>
          </cell>
          <cell r="B5" t="str">
            <v>CHRISTOPHER LAKSAWANA</v>
          </cell>
          <cell r="C5" t="str">
            <v>AAV</v>
          </cell>
          <cell r="D5">
            <v>45717</v>
          </cell>
          <cell r="E5" t="str">
            <v>Agu 2025</v>
          </cell>
          <cell r="F5">
            <v>6</v>
          </cell>
          <cell r="G5">
            <v>45717</v>
          </cell>
          <cell r="H5">
            <v>1</v>
          </cell>
          <cell r="I5">
            <v>45663</v>
          </cell>
          <cell r="J5">
            <v>300000</v>
          </cell>
          <cell r="K5" t="str">
            <v>EKSKLUSIF</v>
          </cell>
        </row>
        <row r="6">
          <cell r="A6" t="str">
            <v>A2383</v>
          </cell>
          <cell r="B6" t="str">
            <v>RYSMA NUR HIDAYAH</v>
          </cell>
          <cell r="C6" t="str">
            <v>SBPV</v>
          </cell>
          <cell r="D6" t="str">
            <v>Okt 24</v>
          </cell>
          <cell r="E6">
            <v>45717</v>
          </cell>
          <cell r="F6">
            <v>6</v>
          </cell>
          <cell r="G6">
            <v>45717</v>
          </cell>
          <cell r="H6">
            <v>6</v>
          </cell>
          <cell r="I6">
            <v>45814</v>
          </cell>
          <cell r="J6">
            <v>1600000</v>
          </cell>
          <cell r="K6" t="str">
            <v>EKSKLUSIF</v>
          </cell>
        </row>
        <row r="7">
          <cell r="A7" t="str">
            <v>A1971</v>
          </cell>
          <cell r="B7" t="str">
            <v>ANGGI BEATRIKS SERAN</v>
          </cell>
          <cell r="C7" t="str">
            <v>SBPV</v>
          </cell>
          <cell r="D7" t="str">
            <v>Okt 24</v>
          </cell>
          <cell r="E7">
            <v>45717</v>
          </cell>
          <cell r="F7">
            <v>6</v>
          </cell>
          <cell r="G7">
            <v>45717</v>
          </cell>
          <cell r="H7">
            <v>6</v>
          </cell>
          <cell r="I7">
            <v>45814</v>
          </cell>
          <cell r="J7">
            <v>1600000</v>
          </cell>
          <cell r="K7" t="str">
            <v>EKSKLUSIF</v>
          </cell>
        </row>
        <row r="8">
          <cell r="A8" t="str">
            <v>A2001</v>
          </cell>
          <cell r="B8" t="str">
            <v>M MENTARI GAGAT RAYNA</v>
          </cell>
          <cell r="C8" t="str">
            <v>SBPV</v>
          </cell>
          <cell r="D8" t="str">
            <v>Okt 24</v>
          </cell>
          <cell r="E8">
            <v>45717</v>
          </cell>
          <cell r="F8">
            <v>6</v>
          </cell>
          <cell r="G8">
            <v>45717</v>
          </cell>
          <cell r="H8">
            <v>6</v>
          </cell>
          <cell r="I8">
            <v>45814</v>
          </cell>
          <cell r="J8">
            <v>1600000</v>
          </cell>
          <cell r="K8" t="str">
            <v>EKSKLUSIF</v>
          </cell>
        </row>
        <row r="9">
          <cell r="A9">
            <v>92175</v>
          </cell>
          <cell r="B9" t="str">
            <v>AYU AMELIA RESANTI</v>
          </cell>
          <cell r="C9" t="str">
            <v>SBPV</v>
          </cell>
          <cell r="D9">
            <v>45597</v>
          </cell>
          <cell r="E9">
            <v>45748</v>
          </cell>
          <cell r="F9">
            <v>6</v>
          </cell>
          <cell r="G9">
            <v>45717</v>
          </cell>
          <cell r="H9">
            <v>5</v>
          </cell>
          <cell r="I9">
            <v>45783</v>
          </cell>
          <cell r="J9">
            <v>500000</v>
          </cell>
          <cell r="K9" t="str">
            <v>EKSKLUSIF</v>
          </cell>
        </row>
        <row r="10">
          <cell r="A10" t="str">
            <v>A2924</v>
          </cell>
          <cell r="B10" t="str">
            <v>IRA EVELIN SIHALOHO</v>
          </cell>
          <cell r="C10" t="str">
            <v>SBPV</v>
          </cell>
          <cell r="D10" t="str">
            <v>Des 24</v>
          </cell>
          <cell r="E10" t="str">
            <v>Mei  2025</v>
          </cell>
          <cell r="F10">
            <v>6</v>
          </cell>
          <cell r="G10">
            <v>45717</v>
          </cell>
          <cell r="H10">
            <v>4</v>
          </cell>
          <cell r="I10">
            <v>45753</v>
          </cell>
          <cell r="J10">
            <v>400000</v>
          </cell>
          <cell r="K10" t="str">
            <v>EKSKLUSIF</v>
          </cell>
        </row>
        <row r="11">
          <cell r="A11">
            <v>92694</v>
          </cell>
          <cell r="B11" t="str">
            <v>Wahyu Nugroho</v>
          </cell>
          <cell r="C11" t="str">
            <v>RVO</v>
          </cell>
          <cell r="D11" t="str">
            <v>Okt 2024</v>
          </cell>
          <cell r="E11">
            <v>45717</v>
          </cell>
          <cell r="F11">
            <v>6</v>
          </cell>
          <cell r="G11">
            <v>45717</v>
          </cell>
          <cell r="H11">
            <v>6</v>
          </cell>
          <cell r="I11">
            <v>45814</v>
          </cell>
          <cell r="J11">
            <v>1600000</v>
          </cell>
          <cell r="K11" t="str">
            <v>EKSKLUSIF</v>
          </cell>
        </row>
        <row r="12">
          <cell r="A12" t="str">
            <v>A3442</v>
          </cell>
          <cell r="B12" t="str">
            <v>IRFAN FEBRIYANTORO</v>
          </cell>
          <cell r="C12" t="str">
            <v>RVO</v>
          </cell>
          <cell r="D12" t="str">
            <v>Okt 2024</v>
          </cell>
          <cell r="E12">
            <v>45717</v>
          </cell>
          <cell r="F12">
            <v>6</v>
          </cell>
          <cell r="G12">
            <v>45717</v>
          </cell>
          <cell r="H12">
            <v>6</v>
          </cell>
          <cell r="I12">
            <v>45814</v>
          </cell>
          <cell r="J12">
            <v>1600000</v>
          </cell>
          <cell r="K12" t="str">
            <v>EKSKLUSIF</v>
          </cell>
        </row>
        <row r="13">
          <cell r="A13" t="str">
            <v>A0072</v>
          </cell>
          <cell r="B13" t="str">
            <v>Rahmad Dwi Adrian</v>
          </cell>
          <cell r="C13" t="str">
            <v>RVO</v>
          </cell>
          <cell r="D13">
            <v>45597</v>
          </cell>
          <cell r="E13">
            <v>45717</v>
          </cell>
          <cell r="F13">
            <v>6</v>
          </cell>
          <cell r="G13">
            <v>45717</v>
          </cell>
          <cell r="H13">
            <v>5</v>
          </cell>
          <cell r="I13">
            <v>45783</v>
          </cell>
          <cell r="J13">
            <v>500000</v>
          </cell>
          <cell r="K13" t="str">
            <v>EKSKLUSIF</v>
          </cell>
        </row>
        <row r="14">
          <cell r="A14" t="str">
            <v>A3436</v>
          </cell>
          <cell r="B14" t="str">
            <v>Anita Kristiana laia</v>
          </cell>
          <cell r="C14" t="str">
            <v>RVO</v>
          </cell>
          <cell r="D14">
            <v>45658</v>
          </cell>
          <cell r="E14">
            <v>45717</v>
          </cell>
          <cell r="F14">
            <v>3</v>
          </cell>
          <cell r="G14">
            <v>45717</v>
          </cell>
          <cell r="H14">
            <v>3</v>
          </cell>
          <cell r="I14">
            <v>45719</v>
          </cell>
          <cell r="J14">
            <v>900000</v>
          </cell>
          <cell r="K14" t="str">
            <v>EKSKLUSIF</v>
          </cell>
        </row>
        <row r="15">
          <cell r="A15">
            <v>90613</v>
          </cell>
          <cell r="B15" t="str">
            <v>JOHAN AIMAN RAIS</v>
          </cell>
          <cell r="C15" t="str">
            <v>RVO</v>
          </cell>
          <cell r="D15">
            <v>45658</v>
          </cell>
          <cell r="E15">
            <v>45717</v>
          </cell>
          <cell r="F15">
            <v>3</v>
          </cell>
          <cell r="G15">
            <v>45717</v>
          </cell>
          <cell r="H15">
            <v>3</v>
          </cell>
          <cell r="I15">
            <v>45719</v>
          </cell>
          <cell r="J15">
            <v>900000</v>
          </cell>
          <cell r="K15" t="str">
            <v>EKSKLUSIF</v>
          </cell>
        </row>
        <row r="16">
          <cell r="A16">
            <v>92199</v>
          </cell>
          <cell r="B16" t="str">
            <v>Astri kurniawati</v>
          </cell>
          <cell r="C16" t="str">
            <v>RVO</v>
          </cell>
          <cell r="D16">
            <v>45658</v>
          </cell>
          <cell r="E16">
            <v>45717</v>
          </cell>
          <cell r="F16">
            <v>3</v>
          </cell>
          <cell r="G16">
            <v>45717</v>
          </cell>
          <cell r="H16">
            <v>3</v>
          </cell>
          <cell r="I16">
            <v>45719</v>
          </cell>
          <cell r="J16">
            <v>900000</v>
          </cell>
          <cell r="K16" t="str">
            <v>EKSKLUSIF</v>
          </cell>
        </row>
        <row r="17">
          <cell r="A17" t="str">
            <v>A3576</v>
          </cell>
          <cell r="B17" t="str">
            <v>YONATAN ADI SAPUTRO</v>
          </cell>
          <cell r="C17" t="str">
            <v>RVO</v>
          </cell>
          <cell r="D17">
            <v>45689</v>
          </cell>
          <cell r="E17">
            <v>45748</v>
          </cell>
          <cell r="F17">
            <v>3</v>
          </cell>
          <cell r="G17">
            <v>45717</v>
          </cell>
          <cell r="H17">
            <v>2</v>
          </cell>
          <cell r="I17">
            <v>45691</v>
          </cell>
          <cell r="J17">
            <v>300000</v>
          </cell>
          <cell r="K17" t="str">
            <v>EKSKLUSIF</v>
          </cell>
        </row>
        <row r="18">
          <cell r="A18" t="str">
            <v>A3180</v>
          </cell>
          <cell r="B18" t="str">
            <v>Clara Osa Diprastiwi</v>
          </cell>
          <cell r="C18" t="str">
            <v>RVO</v>
          </cell>
          <cell r="D18">
            <v>45689</v>
          </cell>
          <cell r="E18">
            <v>45839</v>
          </cell>
          <cell r="F18">
            <v>6</v>
          </cell>
          <cell r="G18">
            <v>45717</v>
          </cell>
          <cell r="H18">
            <v>2</v>
          </cell>
          <cell r="I18">
            <v>45694</v>
          </cell>
          <cell r="J18">
            <v>300000</v>
          </cell>
          <cell r="K18" t="str">
            <v>EKSKLUSIF</v>
          </cell>
        </row>
        <row r="19">
          <cell r="A19" t="str">
            <v>A3437</v>
          </cell>
          <cell r="B19" t="str">
            <v>Yohana Claudia</v>
          </cell>
          <cell r="C19" t="str">
            <v>RVO</v>
          </cell>
          <cell r="D19">
            <v>45689</v>
          </cell>
          <cell r="E19">
            <v>45748</v>
          </cell>
          <cell r="F19">
            <v>3</v>
          </cell>
          <cell r="G19">
            <v>45717</v>
          </cell>
          <cell r="H19">
            <v>2</v>
          </cell>
          <cell r="I19">
            <v>45691</v>
          </cell>
          <cell r="J19">
            <v>300000</v>
          </cell>
          <cell r="K19" t="str">
            <v>EKSKLUSIF</v>
          </cell>
        </row>
        <row r="20">
          <cell r="A20">
            <v>90317</v>
          </cell>
          <cell r="B20" t="str">
            <v>FILBERT SANCHIA FERDIANSAH MODOK</v>
          </cell>
          <cell r="C20" t="str">
            <v>RVO</v>
          </cell>
          <cell r="D20">
            <v>45689</v>
          </cell>
          <cell r="E20" t="str">
            <v>Agu 2025</v>
          </cell>
          <cell r="F20">
            <v>6</v>
          </cell>
          <cell r="G20">
            <v>45717</v>
          </cell>
          <cell r="H20">
            <v>2</v>
          </cell>
          <cell r="I20">
            <v>45694</v>
          </cell>
          <cell r="J20">
            <v>300000</v>
          </cell>
          <cell r="K20" t="str">
            <v>EKSKLUSIF</v>
          </cell>
        </row>
        <row r="21">
          <cell r="A21">
            <v>90453</v>
          </cell>
          <cell r="B21" t="str">
            <v>SHERLY HAPSARI</v>
          </cell>
          <cell r="C21" t="str">
            <v>RVO</v>
          </cell>
          <cell r="D21">
            <v>45689</v>
          </cell>
          <cell r="E21">
            <v>45748</v>
          </cell>
          <cell r="F21">
            <v>3</v>
          </cell>
          <cell r="G21">
            <v>45717</v>
          </cell>
          <cell r="H21">
            <v>2</v>
          </cell>
          <cell r="I21">
            <v>45691</v>
          </cell>
          <cell r="J21">
            <v>300000</v>
          </cell>
          <cell r="K21" t="str">
            <v>EKSKLUSIF</v>
          </cell>
        </row>
        <row r="22">
          <cell r="A22" t="str">
            <v>A2396</v>
          </cell>
          <cell r="B22" t="str">
            <v>Ilyas Fahmi</v>
          </cell>
          <cell r="C22" t="str">
            <v>RVO</v>
          </cell>
          <cell r="D22">
            <v>45689</v>
          </cell>
          <cell r="E22">
            <v>45839</v>
          </cell>
          <cell r="F22">
            <v>6</v>
          </cell>
          <cell r="G22">
            <v>45717</v>
          </cell>
          <cell r="H22">
            <v>2</v>
          </cell>
          <cell r="I22">
            <v>45694</v>
          </cell>
          <cell r="J22">
            <v>300000</v>
          </cell>
          <cell r="K22" t="str">
            <v>EKSKLUSIF</v>
          </cell>
        </row>
        <row r="23">
          <cell r="A23" t="str">
            <v>A1952</v>
          </cell>
          <cell r="B23" t="str">
            <v>LAURENSIUS AXEL RADITYA PRADANA</v>
          </cell>
          <cell r="C23" t="str">
            <v>RVO</v>
          </cell>
          <cell r="D23">
            <v>45717</v>
          </cell>
          <cell r="E23" t="str">
            <v>Agu 2025</v>
          </cell>
          <cell r="F23">
            <v>6</v>
          </cell>
          <cell r="G23">
            <v>45717</v>
          </cell>
          <cell r="H23">
            <v>1</v>
          </cell>
          <cell r="I23">
            <v>45663</v>
          </cell>
          <cell r="J23">
            <v>300000</v>
          </cell>
          <cell r="K23" t="str">
            <v>EKSKLUSIF</v>
          </cell>
        </row>
        <row r="24">
          <cell r="A24" t="str">
            <v>A0799</v>
          </cell>
          <cell r="B24" t="str">
            <v>VIVI RIZQI HAPSARI</v>
          </cell>
          <cell r="C24" t="str">
            <v>RVO</v>
          </cell>
          <cell r="D24">
            <v>45717</v>
          </cell>
          <cell r="E24" t="str">
            <v>Agu 2025</v>
          </cell>
          <cell r="F24">
            <v>6</v>
          </cell>
          <cell r="G24">
            <v>45717</v>
          </cell>
          <cell r="H24">
            <v>1</v>
          </cell>
          <cell r="I24">
            <v>45663</v>
          </cell>
          <cell r="J24">
            <v>300000</v>
          </cell>
          <cell r="K24" t="str">
            <v>EKSKLUSIF</v>
          </cell>
        </row>
        <row r="25">
          <cell r="A25" t="str">
            <v>A2961</v>
          </cell>
          <cell r="B25" t="str">
            <v>AGUNG PRASETYADI</v>
          </cell>
          <cell r="C25" t="str">
            <v>DELTA</v>
          </cell>
          <cell r="D25">
            <v>45658</v>
          </cell>
          <cell r="E25">
            <v>45717</v>
          </cell>
          <cell r="F25">
            <v>3</v>
          </cell>
          <cell r="G25">
            <v>45717</v>
          </cell>
          <cell r="H25">
            <v>3</v>
          </cell>
          <cell r="I25">
            <v>45719</v>
          </cell>
          <cell r="J25">
            <v>900000</v>
          </cell>
          <cell r="K25" t="str">
            <v>EKSKLUSIF</v>
          </cell>
        </row>
        <row r="26">
          <cell r="A26" t="str">
            <v>A1461</v>
          </cell>
          <cell r="B26" t="str">
            <v>AKHSA EKA MAHARANI</v>
          </cell>
          <cell r="C26" t="str">
            <v>DELTA</v>
          </cell>
          <cell r="D26">
            <v>45658</v>
          </cell>
          <cell r="E26">
            <v>45717</v>
          </cell>
          <cell r="F26">
            <v>3</v>
          </cell>
          <cell r="G26">
            <v>45717</v>
          </cell>
          <cell r="H26">
            <v>3</v>
          </cell>
          <cell r="I26">
            <v>45719</v>
          </cell>
          <cell r="J26">
            <v>900000</v>
          </cell>
          <cell r="K26" t="str">
            <v>EKSKLUSIF</v>
          </cell>
        </row>
        <row r="27">
          <cell r="A27" t="str">
            <v>A3752</v>
          </cell>
          <cell r="B27" t="str">
            <v>MEYTA ANDIRA</v>
          </cell>
          <cell r="C27" t="str">
            <v>DELTA</v>
          </cell>
          <cell r="D27">
            <v>45658</v>
          </cell>
          <cell r="E27">
            <v>45717</v>
          </cell>
          <cell r="F27">
            <v>3</v>
          </cell>
          <cell r="G27">
            <v>45717</v>
          </cell>
          <cell r="H27">
            <v>3</v>
          </cell>
          <cell r="I27">
            <v>45719</v>
          </cell>
          <cell r="J27">
            <v>900000</v>
          </cell>
          <cell r="K27" t="str">
            <v>EKSKLUSIF</v>
          </cell>
        </row>
        <row r="28">
          <cell r="A28" t="str">
            <v>A1185</v>
          </cell>
          <cell r="B28" t="str">
            <v>SAFA PRAYUDA</v>
          </cell>
          <cell r="C28" t="str">
            <v>DELTA</v>
          </cell>
          <cell r="D28">
            <v>45658</v>
          </cell>
          <cell r="E28">
            <v>45717</v>
          </cell>
          <cell r="F28">
            <v>3</v>
          </cell>
          <cell r="G28">
            <v>45717</v>
          </cell>
          <cell r="H28">
            <v>3</v>
          </cell>
          <cell r="I28">
            <v>45719</v>
          </cell>
          <cell r="J28">
            <v>900000</v>
          </cell>
          <cell r="K28" t="str">
            <v>EKSKLUSIF</v>
          </cell>
        </row>
        <row r="29">
          <cell r="A29" t="str">
            <v>A0817</v>
          </cell>
          <cell r="B29" t="str">
            <v>Yola Valenia</v>
          </cell>
          <cell r="C29" t="str">
            <v>DELTA</v>
          </cell>
          <cell r="D29">
            <v>45658</v>
          </cell>
          <cell r="E29">
            <v>45717</v>
          </cell>
          <cell r="F29">
            <v>3</v>
          </cell>
          <cell r="G29">
            <v>45717</v>
          </cell>
          <cell r="H29">
            <v>3</v>
          </cell>
          <cell r="I29">
            <v>45719</v>
          </cell>
          <cell r="J29">
            <v>900000</v>
          </cell>
          <cell r="K29" t="str">
            <v>EKSKLUSIF</v>
          </cell>
        </row>
        <row r="30">
          <cell r="A30" t="str">
            <v>A1280</v>
          </cell>
          <cell r="B30" t="str">
            <v>Paskha Aprilianingsih</v>
          </cell>
          <cell r="C30" t="str">
            <v>DELTA</v>
          </cell>
          <cell r="D30">
            <v>45658</v>
          </cell>
          <cell r="E30">
            <v>45717</v>
          </cell>
          <cell r="F30">
            <v>3</v>
          </cell>
          <cell r="G30">
            <v>45717</v>
          </cell>
          <cell r="H30">
            <v>3</v>
          </cell>
          <cell r="I30">
            <v>45719</v>
          </cell>
          <cell r="J30">
            <v>900000</v>
          </cell>
          <cell r="K30" t="str">
            <v>EKSKLUSIF</v>
          </cell>
        </row>
        <row r="31">
          <cell r="A31" t="str">
            <v>A1215</v>
          </cell>
          <cell r="B31" t="str">
            <v>Esterina Kusumawati</v>
          </cell>
          <cell r="C31" t="str">
            <v>DELTA</v>
          </cell>
          <cell r="D31">
            <v>45658</v>
          </cell>
          <cell r="E31">
            <v>45717</v>
          </cell>
          <cell r="F31">
            <v>3</v>
          </cell>
          <cell r="G31">
            <v>45717</v>
          </cell>
          <cell r="H31">
            <v>3</v>
          </cell>
          <cell r="I31">
            <v>45719</v>
          </cell>
          <cell r="J31">
            <v>900000</v>
          </cell>
          <cell r="K31" t="str">
            <v>EKSKLUSIF</v>
          </cell>
        </row>
        <row r="32">
          <cell r="A32" t="str">
            <v>A3754</v>
          </cell>
          <cell r="B32" t="str">
            <v>Firda Nur Karima</v>
          </cell>
          <cell r="C32" t="str">
            <v>DELTA</v>
          </cell>
          <cell r="D32">
            <v>45658</v>
          </cell>
          <cell r="E32">
            <v>45717</v>
          </cell>
          <cell r="F32">
            <v>3</v>
          </cell>
          <cell r="G32">
            <v>45717</v>
          </cell>
          <cell r="H32">
            <v>3</v>
          </cell>
          <cell r="I32">
            <v>45719</v>
          </cell>
          <cell r="J32">
            <v>900000</v>
          </cell>
          <cell r="K32" t="str">
            <v>EKSKLUSIF</v>
          </cell>
        </row>
        <row r="33">
          <cell r="A33" t="str">
            <v>A0770</v>
          </cell>
          <cell r="B33" t="str">
            <v>ELZE ZULFANNY</v>
          </cell>
          <cell r="C33" t="str">
            <v>DELTA</v>
          </cell>
          <cell r="D33">
            <v>45658</v>
          </cell>
          <cell r="E33">
            <v>45717</v>
          </cell>
          <cell r="F33">
            <v>3</v>
          </cell>
          <cell r="G33">
            <v>45717</v>
          </cell>
          <cell r="H33">
            <v>3</v>
          </cell>
          <cell r="I33">
            <v>45719</v>
          </cell>
          <cell r="J33">
            <v>900000</v>
          </cell>
          <cell r="K33" t="str">
            <v>EKSKLUSIF</v>
          </cell>
        </row>
        <row r="34">
          <cell r="A34" t="str">
            <v>A1766</v>
          </cell>
          <cell r="B34" t="str">
            <v>Elizabeth Paramita</v>
          </cell>
          <cell r="C34" t="str">
            <v>DELTA</v>
          </cell>
          <cell r="D34">
            <v>45658</v>
          </cell>
          <cell r="E34">
            <v>45717</v>
          </cell>
          <cell r="F34">
            <v>3</v>
          </cell>
          <cell r="G34">
            <v>45717</v>
          </cell>
          <cell r="H34">
            <v>3</v>
          </cell>
          <cell r="I34">
            <v>45719</v>
          </cell>
          <cell r="J34">
            <v>900000</v>
          </cell>
          <cell r="K34" t="str">
            <v>EKSKLUSIF</v>
          </cell>
        </row>
        <row r="35">
          <cell r="A35" t="str">
            <v>A0830</v>
          </cell>
          <cell r="B35" t="str">
            <v>MARGI SURYANI</v>
          </cell>
          <cell r="C35" t="str">
            <v>DELTA</v>
          </cell>
          <cell r="D35">
            <v>45658</v>
          </cell>
          <cell r="E35">
            <v>45717</v>
          </cell>
          <cell r="F35">
            <v>3</v>
          </cell>
          <cell r="G35">
            <v>45717</v>
          </cell>
          <cell r="H35">
            <v>3</v>
          </cell>
          <cell r="I35">
            <v>45719</v>
          </cell>
          <cell r="J35">
            <v>900000</v>
          </cell>
          <cell r="K35" t="str">
            <v>EKSKLUSIF</v>
          </cell>
        </row>
        <row r="36">
          <cell r="A36" t="str">
            <v>A3404</v>
          </cell>
          <cell r="B36" t="str">
            <v>AYU SUKMAWATI</v>
          </cell>
          <cell r="C36" t="str">
            <v>DELTA</v>
          </cell>
          <cell r="D36">
            <v>45658</v>
          </cell>
          <cell r="E36">
            <v>45717</v>
          </cell>
          <cell r="F36">
            <v>3</v>
          </cell>
          <cell r="G36">
            <v>45717</v>
          </cell>
          <cell r="H36">
            <v>3</v>
          </cell>
          <cell r="I36">
            <v>45719</v>
          </cell>
          <cell r="J36">
            <v>900000</v>
          </cell>
          <cell r="K36" t="str">
            <v>EKSKLUSIF</v>
          </cell>
        </row>
        <row r="37">
          <cell r="A37" t="str">
            <v>A1774</v>
          </cell>
          <cell r="B37" t="str">
            <v>MARIA DEWI TIRTA PERWITA SARI</v>
          </cell>
          <cell r="C37" t="str">
            <v>DELTA</v>
          </cell>
          <cell r="D37">
            <v>45658</v>
          </cell>
          <cell r="E37">
            <v>45717</v>
          </cell>
          <cell r="F37">
            <v>3</v>
          </cell>
          <cell r="G37">
            <v>45717</v>
          </cell>
          <cell r="H37">
            <v>3</v>
          </cell>
          <cell r="I37">
            <v>45719</v>
          </cell>
          <cell r="J37">
            <v>900000</v>
          </cell>
          <cell r="K37" t="str">
            <v>EKSKLUSIF</v>
          </cell>
        </row>
        <row r="38">
          <cell r="A38" t="str">
            <v>A0225</v>
          </cell>
          <cell r="B38" t="str">
            <v>RIZAL SAPUTRA</v>
          </cell>
          <cell r="C38" t="str">
            <v>DELTA</v>
          </cell>
          <cell r="D38">
            <v>45658</v>
          </cell>
          <cell r="E38">
            <v>45717</v>
          </cell>
          <cell r="F38">
            <v>3</v>
          </cell>
          <cell r="G38">
            <v>45717</v>
          </cell>
          <cell r="H38">
            <v>3</v>
          </cell>
          <cell r="I38">
            <v>45719</v>
          </cell>
          <cell r="J38">
            <v>900000</v>
          </cell>
          <cell r="K38" t="str">
            <v>EKSKLUSIF</v>
          </cell>
        </row>
        <row r="39">
          <cell r="A39" t="str">
            <v>A1105</v>
          </cell>
          <cell r="B39" t="str">
            <v>ANISA NUR AINI</v>
          </cell>
          <cell r="C39" t="str">
            <v>DELTA</v>
          </cell>
          <cell r="D39">
            <v>45658</v>
          </cell>
          <cell r="E39">
            <v>45717</v>
          </cell>
          <cell r="F39">
            <v>3</v>
          </cell>
          <cell r="G39">
            <v>45717</v>
          </cell>
          <cell r="H39">
            <v>3</v>
          </cell>
          <cell r="I39">
            <v>45719</v>
          </cell>
          <cell r="J39">
            <v>900000</v>
          </cell>
          <cell r="K39" t="str">
            <v>EKSKLUSIF</v>
          </cell>
        </row>
        <row r="40">
          <cell r="A40" t="str">
            <v>A3273</v>
          </cell>
          <cell r="B40" t="str">
            <v>BINTANG MUTIARAJATI</v>
          </cell>
          <cell r="C40" t="str">
            <v>DELTA</v>
          </cell>
          <cell r="D40">
            <v>45658</v>
          </cell>
          <cell r="E40">
            <v>45717</v>
          </cell>
          <cell r="F40">
            <v>3</v>
          </cell>
          <cell r="G40">
            <v>45717</v>
          </cell>
          <cell r="H40">
            <v>3</v>
          </cell>
          <cell r="I40">
            <v>45719</v>
          </cell>
          <cell r="J40">
            <v>900000</v>
          </cell>
          <cell r="K40" t="str">
            <v>EKSKLUSIF</v>
          </cell>
        </row>
        <row r="41">
          <cell r="A41" t="str">
            <v>A2322</v>
          </cell>
          <cell r="B41" t="str">
            <v>Rosi Novi Lutfitasari</v>
          </cell>
          <cell r="C41" t="str">
            <v>DELTA</v>
          </cell>
          <cell r="D41">
            <v>45658</v>
          </cell>
          <cell r="E41">
            <v>45717</v>
          </cell>
          <cell r="F41">
            <v>3</v>
          </cell>
          <cell r="G41">
            <v>45717</v>
          </cell>
          <cell r="H41">
            <v>3</v>
          </cell>
          <cell r="I41">
            <v>45719</v>
          </cell>
          <cell r="J41">
            <v>900000</v>
          </cell>
          <cell r="K41" t="str">
            <v>EKSKLUSIF</v>
          </cell>
        </row>
        <row r="42">
          <cell r="A42" t="str">
            <v>A1357</v>
          </cell>
          <cell r="B42" t="str">
            <v>Agnes Trinitas</v>
          </cell>
          <cell r="C42" t="str">
            <v>DELTA</v>
          </cell>
          <cell r="D42">
            <v>45658</v>
          </cell>
          <cell r="E42">
            <v>45717</v>
          </cell>
          <cell r="F42">
            <v>3</v>
          </cell>
          <cell r="G42">
            <v>45717</v>
          </cell>
          <cell r="H42">
            <v>3</v>
          </cell>
          <cell r="I42">
            <v>45719</v>
          </cell>
          <cell r="J42">
            <v>900000</v>
          </cell>
          <cell r="K42" t="str">
            <v>EKSKLUSIF</v>
          </cell>
        </row>
        <row r="43">
          <cell r="A43" t="str">
            <v>A2255</v>
          </cell>
          <cell r="B43" t="str">
            <v>Eli Santi Sitohang</v>
          </cell>
          <cell r="C43" t="str">
            <v>DELTA</v>
          </cell>
          <cell r="D43">
            <v>45658</v>
          </cell>
          <cell r="E43">
            <v>45717</v>
          </cell>
          <cell r="F43">
            <v>3</v>
          </cell>
          <cell r="G43">
            <v>45717</v>
          </cell>
          <cell r="H43">
            <v>3</v>
          </cell>
          <cell r="I43">
            <v>45719</v>
          </cell>
          <cell r="J43">
            <v>900000</v>
          </cell>
          <cell r="K43" t="str">
            <v>EKSKLUSIF</v>
          </cell>
        </row>
        <row r="44">
          <cell r="A44" t="str">
            <v>A3597</v>
          </cell>
          <cell r="B44" t="str">
            <v>Windi Ayuni Sijabat</v>
          </cell>
          <cell r="C44" t="str">
            <v>DELTA</v>
          </cell>
          <cell r="D44">
            <v>45658</v>
          </cell>
          <cell r="E44">
            <v>45717</v>
          </cell>
          <cell r="F44">
            <v>3</v>
          </cell>
          <cell r="G44">
            <v>45717</v>
          </cell>
          <cell r="H44">
            <v>3</v>
          </cell>
          <cell r="I44">
            <v>45719</v>
          </cell>
          <cell r="J44">
            <v>900000</v>
          </cell>
          <cell r="K44" t="str">
            <v>EKSKLUSIF</v>
          </cell>
        </row>
        <row r="45">
          <cell r="A45" t="str">
            <v>A1096</v>
          </cell>
          <cell r="B45" t="str">
            <v>Nila Haqiqi</v>
          </cell>
          <cell r="C45" t="str">
            <v>DELTA</v>
          </cell>
          <cell r="D45">
            <v>45658</v>
          </cell>
          <cell r="E45">
            <v>45717</v>
          </cell>
          <cell r="F45">
            <v>3</v>
          </cell>
          <cell r="G45">
            <v>45717</v>
          </cell>
          <cell r="H45">
            <v>3</v>
          </cell>
          <cell r="I45">
            <v>45719</v>
          </cell>
          <cell r="J45">
            <v>900000</v>
          </cell>
          <cell r="K45" t="str">
            <v>EKSKLUSIF</v>
          </cell>
        </row>
        <row r="46">
          <cell r="A46" t="str">
            <v>A0874</v>
          </cell>
          <cell r="B46" t="str">
            <v>Galih Mardiana</v>
          </cell>
          <cell r="C46" t="str">
            <v>DELTA</v>
          </cell>
          <cell r="D46">
            <v>45658</v>
          </cell>
          <cell r="E46">
            <v>45717</v>
          </cell>
          <cell r="F46">
            <v>3</v>
          </cell>
          <cell r="G46">
            <v>45717</v>
          </cell>
          <cell r="H46">
            <v>3</v>
          </cell>
          <cell r="I46">
            <v>45719</v>
          </cell>
          <cell r="J46">
            <v>900000</v>
          </cell>
          <cell r="K46" t="str">
            <v>EKSKLUSIF</v>
          </cell>
        </row>
        <row r="47">
          <cell r="A47" t="str">
            <v>A1219</v>
          </cell>
          <cell r="B47" t="str">
            <v>AZIZ ALFISYAHRI</v>
          </cell>
          <cell r="C47" t="str">
            <v>DELTA</v>
          </cell>
          <cell r="D47">
            <v>45658</v>
          </cell>
          <cell r="E47">
            <v>45717</v>
          </cell>
          <cell r="F47">
            <v>3</v>
          </cell>
          <cell r="G47">
            <v>45717</v>
          </cell>
          <cell r="H47">
            <v>3</v>
          </cell>
          <cell r="I47">
            <v>45719</v>
          </cell>
          <cell r="J47">
            <v>900000</v>
          </cell>
          <cell r="K47" t="str">
            <v>EKSKLUSIF</v>
          </cell>
        </row>
        <row r="48">
          <cell r="A48" t="str">
            <v>A1957</v>
          </cell>
          <cell r="B48" t="str">
            <v>FATIA</v>
          </cell>
          <cell r="C48" t="str">
            <v>DELTA</v>
          </cell>
          <cell r="D48">
            <v>45658</v>
          </cell>
          <cell r="E48">
            <v>45717</v>
          </cell>
          <cell r="F48">
            <v>3</v>
          </cell>
          <cell r="G48">
            <v>45717</v>
          </cell>
          <cell r="H48">
            <v>3</v>
          </cell>
          <cell r="I48">
            <v>45719</v>
          </cell>
          <cell r="J48">
            <v>900000</v>
          </cell>
          <cell r="K48" t="str">
            <v>EKSKLUSIF</v>
          </cell>
        </row>
        <row r="49">
          <cell r="A49" t="str">
            <v>A1755</v>
          </cell>
          <cell r="B49" t="str">
            <v>TIFANI ADELIA SYAFITRI</v>
          </cell>
          <cell r="C49" t="str">
            <v>DELTA</v>
          </cell>
          <cell r="D49">
            <v>45658</v>
          </cell>
          <cell r="E49">
            <v>45717</v>
          </cell>
          <cell r="F49">
            <v>3</v>
          </cell>
          <cell r="G49">
            <v>45717</v>
          </cell>
          <cell r="H49">
            <v>3</v>
          </cell>
          <cell r="I49">
            <v>45719</v>
          </cell>
          <cell r="J49">
            <v>900000</v>
          </cell>
          <cell r="K49" t="str">
            <v>EKSKLUSIF</v>
          </cell>
        </row>
        <row r="50">
          <cell r="A50" t="str">
            <v>A1841</v>
          </cell>
          <cell r="B50" t="str">
            <v>ADHINA PUTRIANA KUSUMAWATI</v>
          </cell>
          <cell r="C50" t="str">
            <v>DELTA</v>
          </cell>
          <cell r="D50">
            <v>45658</v>
          </cell>
          <cell r="E50">
            <v>45717</v>
          </cell>
          <cell r="F50">
            <v>3</v>
          </cell>
          <cell r="G50">
            <v>45717</v>
          </cell>
          <cell r="H50">
            <v>3</v>
          </cell>
          <cell r="I50">
            <v>45719</v>
          </cell>
          <cell r="J50">
            <v>900000</v>
          </cell>
          <cell r="K50" t="str">
            <v>EKSKLUSIF</v>
          </cell>
        </row>
        <row r="51">
          <cell r="A51" t="str">
            <v>A1854</v>
          </cell>
          <cell r="B51" t="str">
            <v>SALSABILA OKTAVIMADIANA</v>
          </cell>
          <cell r="C51" t="str">
            <v>DELTA</v>
          </cell>
          <cell r="D51">
            <v>45658</v>
          </cell>
          <cell r="E51">
            <v>45717</v>
          </cell>
          <cell r="F51">
            <v>3</v>
          </cell>
          <cell r="G51">
            <v>45717</v>
          </cell>
          <cell r="H51">
            <v>3</v>
          </cell>
          <cell r="I51">
            <v>45719</v>
          </cell>
          <cell r="J51">
            <v>900000</v>
          </cell>
          <cell r="K51" t="str">
            <v>EKSKLUSIF</v>
          </cell>
        </row>
        <row r="52">
          <cell r="A52" t="str">
            <v>A3599</v>
          </cell>
          <cell r="B52" t="str">
            <v>HANIFAH RAHMADHANI</v>
          </cell>
          <cell r="C52" t="str">
            <v>DELTA</v>
          </cell>
          <cell r="D52">
            <v>45658</v>
          </cell>
          <cell r="E52">
            <v>45717</v>
          </cell>
          <cell r="F52">
            <v>3</v>
          </cell>
          <cell r="G52">
            <v>45717</v>
          </cell>
          <cell r="H52">
            <v>3</v>
          </cell>
          <cell r="I52">
            <v>45719</v>
          </cell>
          <cell r="J52">
            <v>900000</v>
          </cell>
          <cell r="K52" t="str">
            <v>EKSKLUSIF</v>
          </cell>
        </row>
        <row r="53">
          <cell r="A53" t="str">
            <v>A1531</v>
          </cell>
          <cell r="B53" t="str">
            <v>ERIN ALFINATA</v>
          </cell>
          <cell r="C53" t="str">
            <v>DELTA</v>
          </cell>
          <cell r="D53">
            <v>45658</v>
          </cell>
          <cell r="E53">
            <v>45717</v>
          </cell>
          <cell r="F53">
            <v>3</v>
          </cell>
          <cell r="G53">
            <v>45717</v>
          </cell>
          <cell r="H53">
            <v>3</v>
          </cell>
          <cell r="I53">
            <v>45719</v>
          </cell>
          <cell r="J53">
            <v>900000</v>
          </cell>
          <cell r="K53" t="str">
            <v>EKSKLUSIF</v>
          </cell>
        </row>
        <row r="54">
          <cell r="A54" t="str">
            <v>A2507</v>
          </cell>
          <cell r="B54" t="str">
            <v>ARJUNA TANJUNG</v>
          </cell>
          <cell r="C54" t="str">
            <v>DELTA</v>
          </cell>
          <cell r="D54">
            <v>45689</v>
          </cell>
          <cell r="E54">
            <v>45748</v>
          </cell>
          <cell r="F54">
            <v>3</v>
          </cell>
          <cell r="G54">
            <v>45717</v>
          </cell>
          <cell r="H54">
            <v>2</v>
          </cell>
          <cell r="I54">
            <v>45691</v>
          </cell>
          <cell r="J54">
            <v>300000</v>
          </cell>
          <cell r="K54" t="str">
            <v>EKSKLUSIF</v>
          </cell>
        </row>
        <row r="55">
          <cell r="A55" t="str">
            <v>A0458</v>
          </cell>
          <cell r="B55" t="str">
            <v>JOKO SLAMETO</v>
          </cell>
          <cell r="C55" t="str">
            <v>DELTA</v>
          </cell>
          <cell r="D55">
            <v>45689</v>
          </cell>
          <cell r="E55">
            <v>45748</v>
          </cell>
          <cell r="F55">
            <v>3</v>
          </cell>
          <cell r="G55">
            <v>45717</v>
          </cell>
          <cell r="H55">
            <v>2</v>
          </cell>
          <cell r="I55">
            <v>45691</v>
          </cell>
          <cell r="J55">
            <v>300000</v>
          </cell>
          <cell r="K55" t="str">
            <v>EKSKLUSIF</v>
          </cell>
        </row>
        <row r="56">
          <cell r="A56" t="str">
            <v>A1721</v>
          </cell>
          <cell r="B56" t="str">
            <v>MEGA AUDILIA</v>
          </cell>
          <cell r="C56" t="str">
            <v>DELTA</v>
          </cell>
          <cell r="D56">
            <v>45689</v>
          </cell>
          <cell r="E56">
            <v>45748</v>
          </cell>
          <cell r="F56">
            <v>3</v>
          </cell>
          <cell r="G56">
            <v>45717</v>
          </cell>
          <cell r="H56">
            <v>2</v>
          </cell>
          <cell r="I56">
            <v>45691</v>
          </cell>
          <cell r="J56">
            <v>300000</v>
          </cell>
          <cell r="K56" t="str">
            <v>EKSKLUSIF</v>
          </cell>
        </row>
        <row r="57">
          <cell r="A57" t="str">
            <v>A0192</v>
          </cell>
          <cell r="B57" t="str">
            <v>AGNES HAUDI SURYANTIKA</v>
          </cell>
          <cell r="C57" t="str">
            <v>DELTA</v>
          </cell>
          <cell r="D57">
            <v>45689</v>
          </cell>
          <cell r="E57">
            <v>45748</v>
          </cell>
          <cell r="F57">
            <v>3</v>
          </cell>
          <cell r="G57">
            <v>45717</v>
          </cell>
          <cell r="H57">
            <v>2</v>
          </cell>
          <cell r="I57">
            <v>45691</v>
          </cell>
          <cell r="J57">
            <v>300000</v>
          </cell>
          <cell r="K57" t="str">
            <v>EKSKLUSIF</v>
          </cell>
        </row>
        <row r="58">
          <cell r="A58" t="str">
            <v>A1954</v>
          </cell>
          <cell r="B58" t="str">
            <v>JELITA AYUNDA FITRIA</v>
          </cell>
          <cell r="C58" t="str">
            <v>DELTA</v>
          </cell>
          <cell r="D58">
            <v>45689</v>
          </cell>
          <cell r="E58">
            <v>45748</v>
          </cell>
          <cell r="F58">
            <v>3</v>
          </cell>
          <cell r="G58">
            <v>45717</v>
          </cell>
          <cell r="H58">
            <v>2</v>
          </cell>
          <cell r="I58">
            <v>45691</v>
          </cell>
          <cell r="J58">
            <v>300000</v>
          </cell>
          <cell r="K58" t="str">
            <v>EKSKLUSIF</v>
          </cell>
        </row>
        <row r="59">
          <cell r="A59" t="str">
            <v>A3029</v>
          </cell>
          <cell r="B59" t="str">
            <v>EMMIA CLARITA BR TARIGAN</v>
          </cell>
          <cell r="C59" t="str">
            <v>DELTA</v>
          </cell>
          <cell r="D59">
            <v>45689</v>
          </cell>
          <cell r="E59">
            <v>45748</v>
          </cell>
          <cell r="F59">
            <v>3</v>
          </cell>
          <cell r="G59">
            <v>45717</v>
          </cell>
          <cell r="H59">
            <v>2</v>
          </cell>
          <cell r="I59">
            <v>45691</v>
          </cell>
          <cell r="J59">
            <v>300000</v>
          </cell>
          <cell r="K59" t="str">
            <v>EKSKLUSIF</v>
          </cell>
        </row>
        <row r="60">
          <cell r="A60" t="str">
            <v>A1842</v>
          </cell>
          <cell r="B60" t="str">
            <v>KELPIN PONTIUS ARON</v>
          </cell>
          <cell r="C60" t="str">
            <v>DELTA</v>
          </cell>
          <cell r="D60">
            <v>45689</v>
          </cell>
          <cell r="E60">
            <v>45748</v>
          </cell>
          <cell r="F60">
            <v>3</v>
          </cell>
          <cell r="G60">
            <v>45717</v>
          </cell>
          <cell r="H60">
            <v>2</v>
          </cell>
          <cell r="I60">
            <v>45691</v>
          </cell>
          <cell r="J60">
            <v>300000</v>
          </cell>
          <cell r="K60" t="str">
            <v>EKSKLUSIF</v>
          </cell>
        </row>
        <row r="61">
          <cell r="A61" t="str">
            <v>A0879</v>
          </cell>
          <cell r="B61" t="str">
            <v>RISZA ANGGUN DWI ARIANANDA</v>
          </cell>
          <cell r="C61" t="str">
            <v>DELTA</v>
          </cell>
          <cell r="D61">
            <v>45689</v>
          </cell>
          <cell r="E61">
            <v>45748</v>
          </cell>
          <cell r="F61">
            <v>3</v>
          </cell>
          <cell r="G61">
            <v>45717</v>
          </cell>
          <cell r="H61">
            <v>2</v>
          </cell>
          <cell r="I61">
            <v>45691</v>
          </cell>
          <cell r="J61">
            <v>300000</v>
          </cell>
          <cell r="K61" t="str">
            <v>EKSKLUSIF</v>
          </cell>
        </row>
        <row r="62">
          <cell r="A62" t="str">
            <v>A3406</v>
          </cell>
          <cell r="B62" t="str">
            <v>SEPTI MUNTE</v>
          </cell>
          <cell r="C62" t="str">
            <v>DELTA</v>
          </cell>
          <cell r="D62">
            <v>45689</v>
          </cell>
          <cell r="E62">
            <v>45748</v>
          </cell>
          <cell r="F62">
            <v>3</v>
          </cell>
          <cell r="G62">
            <v>45717</v>
          </cell>
          <cell r="H62">
            <v>2</v>
          </cell>
          <cell r="I62">
            <v>45691</v>
          </cell>
          <cell r="J62">
            <v>300000</v>
          </cell>
          <cell r="K62" t="str">
            <v>EKSKLUSIF</v>
          </cell>
        </row>
        <row r="63">
          <cell r="A63">
            <v>92669</v>
          </cell>
          <cell r="B63" t="str">
            <v>APIK KUSUMA AYU</v>
          </cell>
          <cell r="C63" t="str">
            <v>DELTA</v>
          </cell>
          <cell r="D63">
            <v>45689</v>
          </cell>
          <cell r="E63">
            <v>45748</v>
          </cell>
          <cell r="F63">
            <v>3</v>
          </cell>
          <cell r="G63">
            <v>45717</v>
          </cell>
          <cell r="H63">
            <v>2</v>
          </cell>
          <cell r="I63">
            <v>45691</v>
          </cell>
          <cell r="J63">
            <v>300000</v>
          </cell>
          <cell r="K63" t="str">
            <v>EKSKLUSIF</v>
          </cell>
        </row>
        <row r="64">
          <cell r="A64" t="str">
            <v>A2953</v>
          </cell>
          <cell r="B64" t="str">
            <v>NAWANGWULAN DESIKUMALA</v>
          </cell>
          <cell r="C64" t="str">
            <v>DELTA</v>
          </cell>
          <cell r="D64">
            <v>45689</v>
          </cell>
          <cell r="E64">
            <v>45748</v>
          </cell>
          <cell r="F64">
            <v>3</v>
          </cell>
          <cell r="G64">
            <v>45717</v>
          </cell>
          <cell r="H64">
            <v>2</v>
          </cell>
          <cell r="I64">
            <v>45691</v>
          </cell>
          <cell r="J64">
            <v>300000</v>
          </cell>
          <cell r="K64" t="str">
            <v>EKSKLUSIF</v>
          </cell>
        </row>
        <row r="65">
          <cell r="A65" t="str">
            <v>A3259</v>
          </cell>
          <cell r="B65" t="str">
            <v>ALBERTUS CHRISTIAN ADE DARMAWA</v>
          </cell>
          <cell r="C65" t="str">
            <v>DELTA</v>
          </cell>
          <cell r="D65">
            <v>45689</v>
          </cell>
          <cell r="E65">
            <v>45748</v>
          </cell>
          <cell r="F65">
            <v>3</v>
          </cell>
          <cell r="G65">
            <v>45717</v>
          </cell>
          <cell r="H65">
            <v>2</v>
          </cell>
          <cell r="I65">
            <v>45691</v>
          </cell>
          <cell r="J65">
            <v>300000</v>
          </cell>
          <cell r="K65" t="str">
            <v>EKSKLUSIF</v>
          </cell>
        </row>
        <row r="66">
          <cell r="A66" t="str">
            <v>A1773</v>
          </cell>
          <cell r="B66" t="str">
            <v>Melinia Windy E</v>
          </cell>
          <cell r="C66" t="str">
            <v>DELTA</v>
          </cell>
          <cell r="D66">
            <v>45689</v>
          </cell>
          <cell r="E66">
            <v>45748</v>
          </cell>
          <cell r="F66">
            <v>3</v>
          </cell>
          <cell r="G66">
            <v>45717</v>
          </cell>
          <cell r="H66">
            <v>2</v>
          </cell>
          <cell r="I66">
            <v>45691</v>
          </cell>
          <cell r="J66">
            <v>300000</v>
          </cell>
          <cell r="K66" t="str">
            <v>EKSKLUSIF</v>
          </cell>
        </row>
        <row r="67">
          <cell r="A67">
            <v>92622</v>
          </cell>
          <cell r="B67" t="str">
            <v>AYU SUCI NUGROYANTI</v>
          </cell>
          <cell r="C67" t="str">
            <v>DELTA</v>
          </cell>
          <cell r="D67">
            <v>45689</v>
          </cell>
          <cell r="E67">
            <v>45748</v>
          </cell>
          <cell r="F67">
            <v>3</v>
          </cell>
          <cell r="G67">
            <v>45717</v>
          </cell>
          <cell r="H67">
            <v>2</v>
          </cell>
          <cell r="I67">
            <v>45691</v>
          </cell>
          <cell r="J67">
            <v>300000</v>
          </cell>
          <cell r="K67" t="str">
            <v>EKSKLUSIF</v>
          </cell>
        </row>
        <row r="68">
          <cell r="A68" t="str">
            <v>A1762</v>
          </cell>
          <cell r="B68" t="str">
            <v>MUTAHIR ALI</v>
          </cell>
          <cell r="C68" t="str">
            <v>DELTA</v>
          </cell>
          <cell r="D68">
            <v>45689</v>
          </cell>
          <cell r="E68">
            <v>45748</v>
          </cell>
          <cell r="F68">
            <v>3</v>
          </cell>
          <cell r="G68">
            <v>45717</v>
          </cell>
          <cell r="H68">
            <v>2</v>
          </cell>
          <cell r="I68">
            <v>45691</v>
          </cell>
          <cell r="J68">
            <v>300000</v>
          </cell>
          <cell r="K68" t="str">
            <v>EKSKLUSIF</v>
          </cell>
        </row>
        <row r="69">
          <cell r="A69" t="str">
            <v>A1209</v>
          </cell>
          <cell r="B69" t="str">
            <v>ZULFI FAQIH NURUL JANNAH</v>
          </cell>
          <cell r="C69" t="str">
            <v>DELTA</v>
          </cell>
          <cell r="D69">
            <v>45689</v>
          </cell>
          <cell r="E69">
            <v>45748</v>
          </cell>
          <cell r="F69">
            <v>3</v>
          </cell>
          <cell r="G69">
            <v>45717</v>
          </cell>
          <cell r="H69">
            <v>2</v>
          </cell>
          <cell r="I69">
            <v>45691</v>
          </cell>
          <cell r="J69">
            <v>300000</v>
          </cell>
          <cell r="K69" t="str">
            <v>EKSKLUSIF</v>
          </cell>
        </row>
        <row r="70">
          <cell r="A70" t="str">
            <v>A0517</v>
          </cell>
          <cell r="B70" t="str">
            <v>CHATARINA SEPTRYANINGSI</v>
          </cell>
          <cell r="C70" t="str">
            <v>DELTA</v>
          </cell>
          <cell r="D70">
            <v>45689</v>
          </cell>
          <cell r="E70">
            <v>45748</v>
          </cell>
          <cell r="F70">
            <v>3</v>
          </cell>
          <cell r="G70">
            <v>45717</v>
          </cell>
          <cell r="H70">
            <v>2</v>
          </cell>
          <cell r="I70">
            <v>45691</v>
          </cell>
          <cell r="J70">
            <v>300000</v>
          </cell>
          <cell r="K70" t="str">
            <v>EKSKLUSIF</v>
          </cell>
        </row>
        <row r="71">
          <cell r="A71">
            <v>90592</v>
          </cell>
          <cell r="B71" t="str">
            <v>DINI SHINTIA PUTRI</v>
          </cell>
          <cell r="C71" t="str">
            <v>DELTA</v>
          </cell>
          <cell r="D71">
            <v>45689</v>
          </cell>
          <cell r="E71">
            <v>45748</v>
          </cell>
          <cell r="F71">
            <v>3</v>
          </cell>
          <cell r="G71">
            <v>45717</v>
          </cell>
          <cell r="H71">
            <v>2</v>
          </cell>
          <cell r="I71">
            <v>45691</v>
          </cell>
          <cell r="J71">
            <v>300000</v>
          </cell>
          <cell r="K71" t="str">
            <v>EKSKLUSIF</v>
          </cell>
        </row>
        <row r="72">
          <cell r="A72" t="str">
            <v>A1525</v>
          </cell>
          <cell r="B72" t="str">
            <v>MARSIDAH</v>
          </cell>
          <cell r="C72" t="str">
            <v>DELTA</v>
          </cell>
          <cell r="D72">
            <v>45689</v>
          </cell>
          <cell r="E72">
            <v>45748</v>
          </cell>
          <cell r="F72">
            <v>3</v>
          </cell>
          <cell r="G72">
            <v>45717</v>
          </cell>
          <cell r="H72">
            <v>2</v>
          </cell>
          <cell r="I72">
            <v>45691</v>
          </cell>
          <cell r="J72">
            <v>300000</v>
          </cell>
          <cell r="K72" t="str">
            <v>EKSKLUSIF</v>
          </cell>
        </row>
        <row r="73">
          <cell r="A73" t="str">
            <v>A0881</v>
          </cell>
          <cell r="B73" t="str">
            <v>ERINA EKA WULANDARI</v>
          </cell>
          <cell r="C73" t="str">
            <v>DELTA</v>
          </cell>
          <cell r="D73">
            <v>45689</v>
          </cell>
          <cell r="E73">
            <v>45748</v>
          </cell>
          <cell r="F73">
            <v>3</v>
          </cell>
          <cell r="G73">
            <v>45717</v>
          </cell>
          <cell r="H73">
            <v>2</v>
          </cell>
          <cell r="I73">
            <v>45691</v>
          </cell>
          <cell r="J73">
            <v>300000</v>
          </cell>
          <cell r="K73" t="str">
            <v>EKSKLUSIF</v>
          </cell>
        </row>
        <row r="74">
          <cell r="A74">
            <v>92135</v>
          </cell>
          <cell r="B74" t="str">
            <v>ERNAWATI NOFIA</v>
          </cell>
          <cell r="C74" t="str">
            <v>DELTA</v>
          </cell>
          <cell r="D74">
            <v>45689</v>
          </cell>
          <cell r="E74">
            <v>45748</v>
          </cell>
          <cell r="F74">
            <v>3</v>
          </cell>
          <cell r="G74">
            <v>45717</v>
          </cell>
          <cell r="H74">
            <v>2</v>
          </cell>
          <cell r="I74">
            <v>45691</v>
          </cell>
          <cell r="J74">
            <v>300000</v>
          </cell>
          <cell r="K74" t="str">
            <v>EKSKLUSIF</v>
          </cell>
        </row>
        <row r="75">
          <cell r="A75" t="str">
            <v>A1276</v>
          </cell>
          <cell r="B75" t="str">
            <v>⁠SINDI ARLINDA DEWI</v>
          </cell>
          <cell r="C75" t="str">
            <v>DELTA</v>
          </cell>
          <cell r="D75">
            <v>45689</v>
          </cell>
          <cell r="E75">
            <v>45748</v>
          </cell>
          <cell r="F75">
            <v>3</v>
          </cell>
          <cell r="G75">
            <v>45717</v>
          </cell>
          <cell r="H75">
            <v>2</v>
          </cell>
          <cell r="I75">
            <v>45691</v>
          </cell>
          <cell r="J75">
            <v>300000</v>
          </cell>
          <cell r="K75" t="str">
            <v>EKSKLUSIF</v>
          </cell>
        </row>
        <row r="76">
          <cell r="A76" t="str">
            <v>A4152</v>
          </cell>
          <cell r="B76" t="str">
            <v>KAMAL MAULANA RAMADHAN</v>
          </cell>
          <cell r="C76" t="str">
            <v>DELTA</v>
          </cell>
          <cell r="D76">
            <v>45689</v>
          </cell>
          <cell r="E76">
            <v>45748</v>
          </cell>
          <cell r="F76">
            <v>3</v>
          </cell>
          <cell r="G76">
            <v>45717</v>
          </cell>
          <cell r="H76">
            <v>2</v>
          </cell>
          <cell r="I76">
            <v>45691</v>
          </cell>
          <cell r="J76">
            <v>300000</v>
          </cell>
          <cell r="K76" t="str">
            <v>EKSKLUSIF</v>
          </cell>
        </row>
        <row r="77">
          <cell r="A77" t="str">
            <v>A2417</v>
          </cell>
          <cell r="B77" t="str">
            <v>LALANG WINATA BINTANG NANOE</v>
          </cell>
          <cell r="C77" t="str">
            <v>DELTA</v>
          </cell>
          <cell r="D77">
            <v>45689</v>
          </cell>
          <cell r="E77">
            <v>45748</v>
          </cell>
          <cell r="F77">
            <v>3</v>
          </cell>
          <cell r="G77">
            <v>45717</v>
          </cell>
          <cell r="H77">
            <v>2</v>
          </cell>
          <cell r="I77">
            <v>45691</v>
          </cell>
          <cell r="J77">
            <v>300000</v>
          </cell>
          <cell r="K77" t="str">
            <v>EKSKLUSIF</v>
          </cell>
        </row>
        <row r="78">
          <cell r="A78">
            <v>92287</v>
          </cell>
          <cell r="B78" t="str">
            <v>Alyda Rizka Islamiyati</v>
          </cell>
          <cell r="C78" t="str">
            <v>DELTA</v>
          </cell>
          <cell r="D78">
            <v>45689</v>
          </cell>
          <cell r="E78">
            <v>45748</v>
          </cell>
          <cell r="F78">
            <v>3</v>
          </cell>
          <cell r="G78">
            <v>45717</v>
          </cell>
          <cell r="H78">
            <v>2</v>
          </cell>
          <cell r="I78">
            <v>45691</v>
          </cell>
          <cell r="J78">
            <v>300000</v>
          </cell>
          <cell r="K78" t="str">
            <v>EKSKLUSIF</v>
          </cell>
        </row>
        <row r="79">
          <cell r="A79" t="str">
            <v>A1360</v>
          </cell>
          <cell r="B79" t="str">
            <v>NURPUTRANTO LAKSONO</v>
          </cell>
          <cell r="C79" t="str">
            <v>DELTA</v>
          </cell>
          <cell r="D79">
            <v>45717</v>
          </cell>
          <cell r="E79" t="str">
            <v>Mei 2025</v>
          </cell>
          <cell r="F79">
            <v>3</v>
          </cell>
          <cell r="G79">
            <v>45717</v>
          </cell>
          <cell r="H79">
            <v>1</v>
          </cell>
          <cell r="I79">
            <v>45660</v>
          </cell>
          <cell r="J79">
            <v>300000</v>
          </cell>
          <cell r="K79" t="str">
            <v>EKSKLUSIF</v>
          </cell>
        </row>
        <row r="80">
          <cell r="A80" t="str">
            <v>A0964</v>
          </cell>
          <cell r="B80" t="str">
            <v>ANISA DESIANTI RAMADHANI</v>
          </cell>
          <cell r="C80" t="str">
            <v>DELTA</v>
          </cell>
          <cell r="D80">
            <v>45717</v>
          </cell>
          <cell r="E80" t="str">
            <v>Mei 2025</v>
          </cell>
          <cell r="F80">
            <v>3</v>
          </cell>
          <cell r="G80">
            <v>45717</v>
          </cell>
          <cell r="H80">
            <v>1</v>
          </cell>
          <cell r="I80">
            <v>45660</v>
          </cell>
          <cell r="J80">
            <v>300000</v>
          </cell>
          <cell r="K80" t="str">
            <v>EKSKLUSIF</v>
          </cell>
        </row>
        <row r="81">
          <cell r="A81" t="str">
            <v>A3833</v>
          </cell>
          <cell r="B81" t="str">
            <v>MUHAMMAD SUBHAN</v>
          </cell>
          <cell r="C81" t="str">
            <v>DELTA</v>
          </cell>
          <cell r="D81">
            <v>45717</v>
          </cell>
          <cell r="E81" t="str">
            <v>Mei 2025</v>
          </cell>
          <cell r="F81">
            <v>3</v>
          </cell>
          <cell r="G81">
            <v>45717</v>
          </cell>
          <cell r="H81">
            <v>1</v>
          </cell>
          <cell r="I81">
            <v>45660</v>
          </cell>
          <cell r="J81">
            <v>300000</v>
          </cell>
          <cell r="K81" t="str">
            <v>EKSKLUSIF</v>
          </cell>
        </row>
        <row r="82">
          <cell r="A82">
            <v>92539</v>
          </cell>
          <cell r="B82" t="str">
            <v>ROSIANA</v>
          </cell>
          <cell r="C82" t="str">
            <v>DELTA</v>
          </cell>
          <cell r="D82">
            <v>45717</v>
          </cell>
          <cell r="E82" t="str">
            <v>Mei 2025</v>
          </cell>
          <cell r="F82">
            <v>3</v>
          </cell>
          <cell r="G82">
            <v>45717</v>
          </cell>
          <cell r="H82">
            <v>1</v>
          </cell>
          <cell r="I82">
            <v>45660</v>
          </cell>
          <cell r="J82">
            <v>300000</v>
          </cell>
          <cell r="K82" t="str">
            <v>EKSKLUSIF</v>
          </cell>
        </row>
        <row r="83">
          <cell r="A83" t="str">
            <v>A0745</v>
          </cell>
          <cell r="B83" t="str">
            <v>ANE MELISA MURNI</v>
          </cell>
          <cell r="C83" t="str">
            <v>DELTA</v>
          </cell>
          <cell r="D83">
            <v>45717</v>
          </cell>
          <cell r="E83" t="str">
            <v>Mei 2025</v>
          </cell>
          <cell r="F83">
            <v>3</v>
          </cell>
          <cell r="G83">
            <v>45717</v>
          </cell>
          <cell r="H83">
            <v>1</v>
          </cell>
          <cell r="I83">
            <v>45660</v>
          </cell>
          <cell r="J83">
            <v>300000</v>
          </cell>
          <cell r="K83" t="str">
            <v>EKSKLUSIF</v>
          </cell>
        </row>
        <row r="84">
          <cell r="A84" t="str">
            <v>A0725</v>
          </cell>
          <cell r="B84" t="str">
            <v>NUR KHASANAH</v>
          </cell>
          <cell r="C84" t="str">
            <v>DELTA</v>
          </cell>
          <cell r="D84">
            <v>45717</v>
          </cell>
          <cell r="E84" t="str">
            <v>Mei 2025</v>
          </cell>
          <cell r="F84">
            <v>3</v>
          </cell>
          <cell r="G84">
            <v>45717</v>
          </cell>
          <cell r="H84">
            <v>1</v>
          </cell>
          <cell r="I84">
            <v>45660</v>
          </cell>
          <cell r="J84">
            <v>300000</v>
          </cell>
          <cell r="K84" t="str">
            <v>EKSKLUSIF</v>
          </cell>
        </row>
        <row r="85">
          <cell r="A85" t="str">
            <v>A3743</v>
          </cell>
          <cell r="B85" t="str">
            <v>PUTRI RAMADHANI</v>
          </cell>
          <cell r="C85" t="str">
            <v>DELTA</v>
          </cell>
          <cell r="D85">
            <v>45717</v>
          </cell>
          <cell r="E85" t="str">
            <v>Mei 2025</v>
          </cell>
          <cell r="F85">
            <v>3</v>
          </cell>
          <cell r="G85">
            <v>45717</v>
          </cell>
          <cell r="H85">
            <v>1</v>
          </cell>
          <cell r="I85">
            <v>45660</v>
          </cell>
          <cell r="J85">
            <v>300000</v>
          </cell>
          <cell r="K85" t="str">
            <v>EKSKLUSIF</v>
          </cell>
        </row>
        <row r="86">
          <cell r="A86" t="str">
            <v>A3785</v>
          </cell>
          <cell r="B86" t="str">
            <v>MUHAMMAD DAFA FEBRIANSYAH</v>
          </cell>
          <cell r="C86" t="str">
            <v>DELTA</v>
          </cell>
          <cell r="D86">
            <v>45717</v>
          </cell>
          <cell r="E86" t="str">
            <v>Mei 2025</v>
          </cell>
          <cell r="F86">
            <v>3</v>
          </cell>
          <cell r="G86">
            <v>45717</v>
          </cell>
          <cell r="H86">
            <v>1</v>
          </cell>
          <cell r="I86">
            <v>45660</v>
          </cell>
          <cell r="J86">
            <v>300000</v>
          </cell>
          <cell r="K86" t="str">
            <v>EKSKLUSIF</v>
          </cell>
        </row>
        <row r="87">
          <cell r="A87" t="str">
            <v>A0519</v>
          </cell>
          <cell r="B87" t="str">
            <v>ANASTACIA JULIANA</v>
          </cell>
          <cell r="C87" t="str">
            <v>DELTA</v>
          </cell>
          <cell r="D87">
            <v>45717</v>
          </cell>
          <cell r="E87" t="str">
            <v>Mei 2025</v>
          </cell>
          <cell r="F87">
            <v>3</v>
          </cell>
          <cell r="G87">
            <v>45717</v>
          </cell>
          <cell r="H87">
            <v>1</v>
          </cell>
          <cell r="I87">
            <v>45660</v>
          </cell>
          <cell r="J87">
            <v>300000</v>
          </cell>
          <cell r="K87" t="str">
            <v>EKSKLUSIF</v>
          </cell>
        </row>
        <row r="88">
          <cell r="A88" t="str">
            <v>A1349</v>
          </cell>
          <cell r="B88" t="str">
            <v>TISA NORSARI</v>
          </cell>
          <cell r="C88" t="str">
            <v>DELTA</v>
          </cell>
          <cell r="D88">
            <v>45717</v>
          </cell>
          <cell r="E88" t="str">
            <v>Mei 2025</v>
          </cell>
          <cell r="F88">
            <v>3</v>
          </cell>
          <cell r="G88">
            <v>45717</v>
          </cell>
          <cell r="H88">
            <v>1</v>
          </cell>
          <cell r="I88">
            <v>45660</v>
          </cell>
          <cell r="J88">
            <v>300000</v>
          </cell>
          <cell r="K88" t="str">
            <v>EKSKLUSIF</v>
          </cell>
        </row>
        <row r="89">
          <cell r="A89" t="str">
            <v>A1651</v>
          </cell>
          <cell r="B89" t="str">
            <v>NUR ROMADANI F</v>
          </cell>
          <cell r="C89" t="str">
            <v>DELTA</v>
          </cell>
          <cell r="D89">
            <v>45717</v>
          </cell>
          <cell r="E89" t="str">
            <v>Mei 2025</v>
          </cell>
          <cell r="F89">
            <v>3</v>
          </cell>
          <cell r="G89">
            <v>45717</v>
          </cell>
          <cell r="H89">
            <v>1</v>
          </cell>
          <cell r="I89">
            <v>45660</v>
          </cell>
          <cell r="J89">
            <v>300000</v>
          </cell>
          <cell r="K89" t="str">
            <v>EKSKLUSIF</v>
          </cell>
        </row>
        <row r="90">
          <cell r="A90" t="str">
            <v>A3476</v>
          </cell>
          <cell r="B90" t="str">
            <v>PRILLA IMADIANA FAJRIN</v>
          </cell>
          <cell r="C90" t="str">
            <v>DELTA</v>
          </cell>
          <cell r="D90">
            <v>45717</v>
          </cell>
          <cell r="E90" t="str">
            <v>Mei 2025</v>
          </cell>
          <cell r="F90">
            <v>3</v>
          </cell>
          <cell r="G90">
            <v>45717</v>
          </cell>
          <cell r="H90">
            <v>1</v>
          </cell>
          <cell r="I90">
            <v>45660</v>
          </cell>
          <cell r="J90">
            <v>300000</v>
          </cell>
          <cell r="K90" t="str">
            <v>EKSKLUSIF</v>
          </cell>
        </row>
        <row r="91">
          <cell r="A91" t="str">
            <v>A3218</v>
          </cell>
          <cell r="B91" t="str">
            <v>Irma Sembiring</v>
          </cell>
          <cell r="C91" t="str">
            <v>DELTA</v>
          </cell>
          <cell r="D91">
            <v>45717</v>
          </cell>
          <cell r="E91" t="str">
            <v>Mei 2025</v>
          </cell>
          <cell r="F91">
            <v>3</v>
          </cell>
          <cell r="G91">
            <v>45717</v>
          </cell>
          <cell r="H91">
            <v>1</v>
          </cell>
          <cell r="I91">
            <v>45660</v>
          </cell>
          <cell r="J91">
            <v>300000</v>
          </cell>
          <cell r="K91" t="str">
            <v>EKSKLUSIF</v>
          </cell>
        </row>
        <row r="92">
          <cell r="A92" t="str">
            <v>A2320</v>
          </cell>
          <cell r="B92" t="str">
            <v>Margarita Polly</v>
          </cell>
          <cell r="C92" t="str">
            <v>DELTA</v>
          </cell>
          <cell r="D92">
            <v>45717</v>
          </cell>
          <cell r="E92" t="str">
            <v>Mei 2025</v>
          </cell>
          <cell r="F92">
            <v>3</v>
          </cell>
          <cell r="G92">
            <v>45717</v>
          </cell>
          <cell r="H92">
            <v>1</v>
          </cell>
          <cell r="I92">
            <v>45660</v>
          </cell>
          <cell r="J92">
            <v>300000</v>
          </cell>
          <cell r="K92" t="str">
            <v>EKSKLUSIF</v>
          </cell>
        </row>
        <row r="93">
          <cell r="A93" t="str">
            <v>A3479</v>
          </cell>
          <cell r="B93" t="str">
            <v>Vassya Dian</v>
          </cell>
          <cell r="C93" t="str">
            <v>DELTA</v>
          </cell>
          <cell r="D93">
            <v>45717</v>
          </cell>
          <cell r="E93" t="str">
            <v>Mei 2025</v>
          </cell>
          <cell r="F93">
            <v>3</v>
          </cell>
          <cell r="G93">
            <v>45717</v>
          </cell>
          <cell r="H93">
            <v>1</v>
          </cell>
          <cell r="I93">
            <v>45660</v>
          </cell>
          <cell r="J93">
            <v>300000</v>
          </cell>
          <cell r="K93" t="str">
            <v>EKSKLUSIF</v>
          </cell>
        </row>
        <row r="94">
          <cell r="A94" t="str">
            <v>A3172</v>
          </cell>
          <cell r="B94" t="str">
            <v>NURYANI NURYANI</v>
          </cell>
          <cell r="C94" t="str">
            <v>DELTA</v>
          </cell>
          <cell r="D94">
            <v>45717</v>
          </cell>
          <cell r="E94" t="str">
            <v>Mei 2025</v>
          </cell>
          <cell r="F94">
            <v>3</v>
          </cell>
          <cell r="G94">
            <v>45717</v>
          </cell>
          <cell r="H94">
            <v>1</v>
          </cell>
          <cell r="I94">
            <v>45660</v>
          </cell>
          <cell r="J94">
            <v>300000</v>
          </cell>
          <cell r="K94" t="str">
            <v>EKSKLUSIF</v>
          </cell>
        </row>
        <row r="95">
          <cell r="A95">
            <v>90648</v>
          </cell>
          <cell r="B95" t="str">
            <v>WAHYU IDHAYATI</v>
          </cell>
          <cell r="C95" t="str">
            <v>DELTA</v>
          </cell>
          <cell r="D95">
            <v>45717</v>
          </cell>
          <cell r="E95" t="str">
            <v>Mei 2025</v>
          </cell>
          <cell r="F95">
            <v>3</v>
          </cell>
          <cell r="G95">
            <v>45717</v>
          </cell>
          <cell r="H95">
            <v>1</v>
          </cell>
          <cell r="I95">
            <v>45660</v>
          </cell>
          <cell r="J95">
            <v>300000</v>
          </cell>
          <cell r="K95" t="str">
            <v>EKSKLUSIF</v>
          </cell>
        </row>
        <row r="96">
          <cell r="A96" t="str">
            <v>A0738</v>
          </cell>
          <cell r="B96" t="str">
            <v>WIRANTI PUTRI</v>
          </cell>
          <cell r="C96" t="str">
            <v>DELTA</v>
          </cell>
          <cell r="D96">
            <v>45717</v>
          </cell>
          <cell r="E96" t="str">
            <v>Mei 2025</v>
          </cell>
          <cell r="F96">
            <v>3</v>
          </cell>
          <cell r="G96">
            <v>45717</v>
          </cell>
          <cell r="H96">
            <v>1</v>
          </cell>
          <cell r="I96">
            <v>45660</v>
          </cell>
          <cell r="J96">
            <v>300000</v>
          </cell>
          <cell r="K96" t="str">
            <v>EKSKLUSIF</v>
          </cell>
        </row>
        <row r="97">
          <cell r="A97" t="str">
            <v>A0261</v>
          </cell>
          <cell r="B97" t="str">
            <v>CHELSI ANANDA</v>
          </cell>
          <cell r="C97" t="str">
            <v>DELTA</v>
          </cell>
          <cell r="D97">
            <v>45717</v>
          </cell>
          <cell r="E97" t="str">
            <v>Mei 2025</v>
          </cell>
          <cell r="F97">
            <v>3</v>
          </cell>
          <cell r="G97">
            <v>45717</v>
          </cell>
          <cell r="H97">
            <v>1</v>
          </cell>
          <cell r="I97">
            <v>45660</v>
          </cell>
          <cell r="J97">
            <v>300000</v>
          </cell>
          <cell r="K97" t="str">
            <v>EKSKLUSIF</v>
          </cell>
        </row>
        <row r="98">
          <cell r="A98" t="str">
            <v>A2925</v>
          </cell>
          <cell r="B98" t="str">
            <v>MARIA GORETTI DIAN PERMATA HADI</v>
          </cell>
          <cell r="C98" t="str">
            <v>DELTA</v>
          </cell>
          <cell r="D98">
            <v>45717</v>
          </cell>
          <cell r="E98" t="str">
            <v>Mei 2025</v>
          </cell>
          <cell r="F98">
            <v>3</v>
          </cell>
          <cell r="G98">
            <v>45717</v>
          </cell>
          <cell r="H98">
            <v>1</v>
          </cell>
          <cell r="I98">
            <v>45660</v>
          </cell>
          <cell r="J98">
            <v>300000</v>
          </cell>
          <cell r="K98" t="str">
            <v>EKSKLUSIF</v>
          </cell>
        </row>
        <row r="99">
          <cell r="A99" t="str">
            <v>A0999</v>
          </cell>
          <cell r="B99" t="str">
            <v>MUH LUTHFI AZIZ</v>
          </cell>
          <cell r="C99" t="str">
            <v>DELTA</v>
          </cell>
          <cell r="D99">
            <v>45717</v>
          </cell>
          <cell r="E99" t="str">
            <v>Mei 2025</v>
          </cell>
          <cell r="F99">
            <v>3</v>
          </cell>
          <cell r="G99">
            <v>45717</v>
          </cell>
          <cell r="H99">
            <v>1</v>
          </cell>
          <cell r="I99">
            <v>45660</v>
          </cell>
          <cell r="J99">
            <v>300000</v>
          </cell>
          <cell r="K99" t="str">
            <v>EKSKLUSIF</v>
          </cell>
        </row>
        <row r="100">
          <cell r="A100" t="str">
            <v>A0969</v>
          </cell>
          <cell r="B100" t="str">
            <v>ANGGI DWI</v>
          </cell>
          <cell r="C100" t="str">
            <v>DELTA</v>
          </cell>
          <cell r="D100">
            <v>45717</v>
          </cell>
          <cell r="E100" t="str">
            <v>Mei 2025</v>
          </cell>
          <cell r="F100">
            <v>3</v>
          </cell>
          <cell r="G100">
            <v>45717</v>
          </cell>
          <cell r="H100">
            <v>1</v>
          </cell>
          <cell r="I100">
            <v>45660</v>
          </cell>
          <cell r="J100">
            <v>300000</v>
          </cell>
          <cell r="K100" t="str">
            <v>EKSKLUSIF</v>
          </cell>
        </row>
        <row r="101">
          <cell r="A101" t="str">
            <v>A0786</v>
          </cell>
          <cell r="B101" t="str">
            <v>Arya Ardiansah</v>
          </cell>
          <cell r="C101" t="str">
            <v>TEMA C2</v>
          </cell>
          <cell r="D101" t="str">
            <v>Okt 24</v>
          </cell>
          <cell r="E101">
            <v>45717</v>
          </cell>
          <cell r="F101">
            <v>6</v>
          </cell>
          <cell r="G101">
            <v>45717</v>
          </cell>
          <cell r="H101">
            <v>6</v>
          </cell>
          <cell r="I101">
            <v>45814</v>
          </cell>
          <cell r="J101">
            <v>1600000</v>
          </cell>
          <cell r="K101" t="str">
            <v>EKSKLUSIF</v>
          </cell>
        </row>
        <row r="102">
          <cell r="A102" t="str">
            <v>A4024</v>
          </cell>
          <cell r="B102" t="str">
            <v>FITRIA NURUL</v>
          </cell>
          <cell r="C102" t="str">
            <v>TEMA C2</v>
          </cell>
          <cell r="D102">
            <v>45597</v>
          </cell>
          <cell r="E102">
            <v>45748</v>
          </cell>
          <cell r="F102">
            <v>6</v>
          </cell>
          <cell r="G102">
            <v>45717</v>
          </cell>
          <cell r="H102">
            <v>5</v>
          </cell>
          <cell r="I102">
            <v>45783</v>
          </cell>
          <cell r="J102">
            <v>500000</v>
          </cell>
          <cell r="K102" t="str">
            <v>EKSKLUSIF</v>
          </cell>
        </row>
        <row r="103">
          <cell r="A103" t="str">
            <v>A4341</v>
          </cell>
          <cell r="B103" t="str">
            <v>RIZA ULHIDAYAH H</v>
          </cell>
          <cell r="C103" t="str">
            <v>TEMA C2</v>
          </cell>
          <cell r="D103">
            <v>45597</v>
          </cell>
          <cell r="E103">
            <v>45748</v>
          </cell>
          <cell r="F103">
            <v>6</v>
          </cell>
          <cell r="G103">
            <v>45717</v>
          </cell>
          <cell r="H103">
            <v>5</v>
          </cell>
          <cell r="I103">
            <v>45783</v>
          </cell>
          <cell r="J103">
            <v>500000</v>
          </cell>
          <cell r="K103" t="str">
            <v>EKSKLUSIF</v>
          </cell>
        </row>
        <row r="104">
          <cell r="A104" t="str">
            <v>A1638</v>
          </cell>
          <cell r="B104" t="str">
            <v>ERNI DWI WIDYANTI</v>
          </cell>
          <cell r="C104" t="str">
            <v>TEMA C2</v>
          </cell>
          <cell r="D104">
            <v>45597</v>
          </cell>
          <cell r="E104">
            <v>45748</v>
          </cell>
          <cell r="F104">
            <v>6</v>
          </cell>
          <cell r="G104">
            <v>45717</v>
          </cell>
          <cell r="H104">
            <v>5</v>
          </cell>
          <cell r="I104">
            <v>45783</v>
          </cell>
          <cell r="J104">
            <v>500000</v>
          </cell>
          <cell r="K104" t="str">
            <v>EKSKLUSIF</v>
          </cell>
        </row>
        <row r="105">
          <cell r="A105" t="str">
            <v>A0105</v>
          </cell>
          <cell r="B105" t="str">
            <v>SANDA IRIANTO</v>
          </cell>
          <cell r="C105" t="str">
            <v>TEMA C2</v>
          </cell>
          <cell r="D105">
            <v>45658</v>
          </cell>
          <cell r="E105">
            <v>45717</v>
          </cell>
          <cell r="F105">
            <v>3</v>
          </cell>
          <cell r="G105">
            <v>45717</v>
          </cell>
          <cell r="H105">
            <v>3</v>
          </cell>
          <cell r="I105">
            <v>45719</v>
          </cell>
          <cell r="J105">
            <v>900000</v>
          </cell>
          <cell r="K105" t="str">
            <v>EKSKLUSIF</v>
          </cell>
        </row>
        <row r="106">
          <cell r="A106" t="str">
            <v>A3962</v>
          </cell>
          <cell r="B106" t="str">
            <v>SHIDDIQI DIQI</v>
          </cell>
          <cell r="C106" t="str">
            <v>TEMA C2</v>
          </cell>
          <cell r="D106">
            <v>45658</v>
          </cell>
          <cell r="E106">
            <v>45717</v>
          </cell>
          <cell r="F106">
            <v>3</v>
          </cell>
          <cell r="G106">
            <v>45717</v>
          </cell>
          <cell r="H106">
            <v>3</v>
          </cell>
          <cell r="I106">
            <v>45719</v>
          </cell>
          <cell r="J106">
            <v>900000</v>
          </cell>
          <cell r="K106" t="str">
            <v>EKSKLUSIF</v>
          </cell>
        </row>
        <row r="107">
          <cell r="A107" t="str">
            <v>A1428</v>
          </cell>
          <cell r="B107" t="str">
            <v>RIFKA AYU PRADITA</v>
          </cell>
          <cell r="C107" t="str">
            <v>TEMA C2</v>
          </cell>
          <cell r="D107">
            <v>45658</v>
          </cell>
          <cell r="E107">
            <v>45717</v>
          </cell>
          <cell r="F107">
            <v>3</v>
          </cell>
          <cell r="G107">
            <v>45717</v>
          </cell>
          <cell r="H107">
            <v>3</v>
          </cell>
          <cell r="I107">
            <v>45719</v>
          </cell>
          <cell r="J107">
            <v>900000</v>
          </cell>
          <cell r="K107" t="str">
            <v>EKSKLUSIF</v>
          </cell>
        </row>
        <row r="108">
          <cell r="A108" t="str">
            <v>A4369</v>
          </cell>
          <cell r="B108" t="str">
            <v>AULIA PUTRI WULANDARI</v>
          </cell>
          <cell r="C108" t="str">
            <v>TEMA C2</v>
          </cell>
          <cell r="D108">
            <v>45658</v>
          </cell>
          <cell r="E108">
            <v>45717</v>
          </cell>
          <cell r="F108">
            <v>3</v>
          </cell>
          <cell r="G108">
            <v>45717</v>
          </cell>
          <cell r="H108">
            <v>3</v>
          </cell>
          <cell r="I108">
            <v>45719</v>
          </cell>
          <cell r="J108">
            <v>900000</v>
          </cell>
          <cell r="K108" t="str">
            <v>EKSKLUSIF</v>
          </cell>
        </row>
        <row r="109">
          <cell r="A109" t="str">
            <v>A3693</v>
          </cell>
          <cell r="B109" t="str">
            <v>LENSE SITOMPUL</v>
          </cell>
          <cell r="C109" t="str">
            <v>TEMA C2</v>
          </cell>
          <cell r="D109">
            <v>45658</v>
          </cell>
          <cell r="E109">
            <v>45717</v>
          </cell>
          <cell r="F109">
            <v>3</v>
          </cell>
          <cell r="G109">
            <v>45717</v>
          </cell>
          <cell r="H109">
            <v>3</v>
          </cell>
          <cell r="I109">
            <v>45719</v>
          </cell>
          <cell r="J109">
            <v>900000</v>
          </cell>
          <cell r="K109" t="str">
            <v>EKSKLUSIF</v>
          </cell>
        </row>
        <row r="110">
          <cell r="A110" t="str">
            <v>A1250</v>
          </cell>
          <cell r="B110" t="str">
            <v>MAYANG PUTRI INANDA SARI</v>
          </cell>
          <cell r="C110" t="str">
            <v>TEMA C2</v>
          </cell>
          <cell r="D110">
            <v>45658</v>
          </cell>
          <cell r="E110">
            <v>45717</v>
          </cell>
          <cell r="F110">
            <v>3</v>
          </cell>
          <cell r="G110">
            <v>45717</v>
          </cell>
          <cell r="H110">
            <v>3</v>
          </cell>
          <cell r="I110">
            <v>45719</v>
          </cell>
          <cell r="J110">
            <v>900000</v>
          </cell>
          <cell r="K110" t="str">
            <v>EKSKLUSIF</v>
          </cell>
        </row>
        <row r="111">
          <cell r="A111" t="str">
            <v>A1208</v>
          </cell>
          <cell r="B111" t="str">
            <v>RIYAN ISTIQOMAH</v>
          </cell>
          <cell r="C111" t="str">
            <v>TEMA C2</v>
          </cell>
          <cell r="D111">
            <v>45658</v>
          </cell>
          <cell r="E111">
            <v>45717</v>
          </cell>
          <cell r="F111">
            <v>3</v>
          </cell>
          <cell r="G111">
            <v>45717</v>
          </cell>
          <cell r="H111">
            <v>3</v>
          </cell>
          <cell r="I111">
            <v>45719</v>
          </cell>
          <cell r="J111">
            <v>900000</v>
          </cell>
          <cell r="K111" t="str">
            <v>EKSKLUSIF</v>
          </cell>
        </row>
        <row r="112">
          <cell r="A112" t="str">
            <v>A0560</v>
          </cell>
          <cell r="B112" t="str">
            <v>MATHILDA EUNIKE ANDREA R</v>
          </cell>
          <cell r="C112" t="str">
            <v>TEMA C2</v>
          </cell>
          <cell r="D112">
            <v>45658</v>
          </cell>
          <cell r="E112">
            <v>45717</v>
          </cell>
          <cell r="F112">
            <v>3</v>
          </cell>
          <cell r="G112">
            <v>45717</v>
          </cell>
          <cell r="H112">
            <v>3</v>
          </cell>
          <cell r="I112">
            <v>45719</v>
          </cell>
          <cell r="J112">
            <v>900000</v>
          </cell>
          <cell r="K112" t="str">
            <v>EKSKLUSIF</v>
          </cell>
        </row>
        <row r="113">
          <cell r="A113" t="str">
            <v>A2964</v>
          </cell>
          <cell r="B113" t="str">
            <v>AKHAYA ARSYOGA</v>
          </cell>
          <cell r="C113" t="str">
            <v>TEMA C2</v>
          </cell>
          <cell r="D113">
            <v>45658</v>
          </cell>
          <cell r="E113">
            <v>45717</v>
          </cell>
          <cell r="F113">
            <v>3</v>
          </cell>
          <cell r="G113">
            <v>45717</v>
          </cell>
          <cell r="H113">
            <v>3</v>
          </cell>
          <cell r="I113">
            <v>45719</v>
          </cell>
          <cell r="J113">
            <v>900000</v>
          </cell>
          <cell r="K113" t="str">
            <v>EKSKLUSIF</v>
          </cell>
        </row>
        <row r="114">
          <cell r="A114" t="str">
            <v>A4050</v>
          </cell>
          <cell r="B114" t="str">
            <v>DITA PUSPITA SARI</v>
          </cell>
          <cell r="C114" t="str">
            <v>TEMA C2</v>
          </cell>
          <cell r="D114">
            <v>45658</v>
          </cell>
          <cell r="E114">
            <v>45717</v>
          </cell>
          <cell r="F114">
            <v>3</v>
          </cell>
          <cell r="G114">
            <v>45717</v>
          </cell>
          <cell r="H114">
            <v>3</v>
          </cell>
          <cell r="I114">
            <v>45719</v>
          </cell>
          <cell r="J114">
            <v>900000</v>
          </cell>
          <cell r="K114" t="str">
            <v>EKSKLUSIF</v>
          </cell>
        </row>
        <row r="115">
          <cell r="A115" t="str">
            <v>A2300</v>
          </cell>
          <cell r="B115" t="str">
            <v>GRACE SIFRA</v>
          </cell>
          <cell r="C115" t="str">
            <v>TEMA C2</v>
          </cell>
          <cell r="D115">
            <v>45658</v>
          </cell>
          <cell r="E115">
            <v>45717</v>
          </cell>
          <cell r="F115">
            <v>3</v>
          </cell>
          <cell r="G115">
            <v>45717</v>
          </cell>
          <cell r="H115">
            <v>3</v>
          </cell>
          <cell r="I115">
            <v>45719</v>
          </cell>
          <cell r="J115">
            <v>900000</v>
          </cell>
          <cell r="K115" t="str">
            <v>EKSKLUSIF</v>
          </cell>
        </row>
        <row r="116">
          <cell r="A116" t="str">
            <v>A1409</v>
          </cell>
          <cell r="B116" t="str">
            <v>YULIANA</v>
          </cell>
          <cell r="C116" t="str">
            <v>TEMA C2</v>
          </cell>
          <cell r="D116">
            <v>45658</v>
          </cell>
          <cell r="E116">
            <v>45717</v>
          </cell>
          <cell r="F116">
            <v>3</v>
          </cell>
          <cell r="G116">
            <v>45717</v>
          </cell>
          <cell r="H116">
            <v>3</v>
          </cell>
          <cell r="I116">
            <v>45719</v>
          </cell>
          <cell r="J116">
            <v>900000</v>
          </cell>
          <cell r="K116" t="str">
            <v>EKSKLUSIF</v>
          </cell>
        </row>
        <row r="117">
          <cell r="A117" t="str">
            <v>A4470</v>
          </cell>
          <cell r="B117" t="str">
            <v>Syarifatul Mukaromah</v>
          </cell>
          <cell r="C117" t="str">
            <v>TEMA C2</v>
          </cell>
          <cell r="D117">
            <v>45658</v>
          </cell>
          <cell r="E117">
            <v>45717</v>
          </cell>
          <cell r="F117">
            <v>6</v>
          </cell>
          <cell r="G117">
            <v>45717</v>
          </cell>
          <cell r="H117">
            <v>3</v>
          </cell>
          <cell r="I117">
            <v>45722</v>
          </cell>
          <cell r="J117">
            <v>400000</v>
          </cell>
          <cell r="K117" t="str">
            <v>EKSKLUSIF</v>
          </cell>
        </row>
        <row r="118">
          <cell r="A118" t="str">
            <v>A2369</v>
          </cell>
          <cell r="B118" t="str">
            <v>ANIS DIANA SARI</v>
          </cell>
          <cell r="C118" t="str">
            <v>TEMA C2</v>
          </cell>
          <cell r="D118">
            <v>45658</v>
          </cell>
          <cell r="E118">
            <v>45717</v>
          </cell>
          <cell r="F118">
            <v>3</v>
          </cell>
          <cell r="G118">
            <v>45717</v>
          </cell>
          <cell r="H118">
            <v>3</v>
          </cell>
          <cell r="I118">
            <v>45719</v>
          </cell>
          <cell r="J118">
            <v>900000</v>
          </cell>
          <cell r="K118" t="str">
            <v>EKSKLUSIF</v>
          </cell>
        </row>
        <row r="119">
          <cell r="A119" t="str">
            <v>A4089</v>
          </cell>
          <cell r="B119" t="str">
            <v>ADI FIRMANSYAH</v>
          </cell>
          <cell r="C119" t="str">
            <v>TEMA C2</v>
          </cell>
          <cell r="D119">
            <v>45658</v>
          </cell>
          <cell r="E119">
            <v>45717</v>
          </cell>
          <cell r="F119">
            <v>3</v>
          </cell>
          <cell r="G119">
            <v>45717</v>
          </cell>
          <cell r="H119">
            <v>3</v>
          </cell>
          <cell r="I119">
            <v>45719</v>
          </cell>
          <cell r="J119">
            <v>900000</v>
          </cell>
          <cell r="K119" t="str">
            <v>EKSKLUSIF</v>
          </cell>
        </row>
        <row r="120">
          <cell r="A120">
            <v>92347</v>
          </cell>
          <cell r="B120" t="str">
            <v>RAHMAD SABTONO</v>
          </cell>
          <cell r="C120" t="str">
            <v>TEMA C2</v>
          </cell>
          <cell r="D120">
            <v>45658</v>
          </cell>
          <cell r="E120">
            <v>45809</v>
          </cell>
          <cell r="F120">
            <v>6</v>
          </cell>
          <cell r="G120">
            <v>45717</v>
          </cell>
          <cell r="H120">
            <v>3</v>
          </cell>
          <cell r="I120">
            <v>45722</v>
          </cell>
          <cell r="J120">
            <v>400000</v>
          </cell>
          <cell r="K120" t="str">
            <v>EKSKLUSIF</v>
          </cell>
        </row>
        <row r="121">
          <cell r="A121" t="str">
            <v>A3815</v>
          </cell>
          <cell r="B121" t="str">
            <v>ANDREANE AMARISSA</v>
          </cell>
          <cell r="C121" t="str">
            <v>TEMA C2</v>
          </cell>
          <cell r="D121">
            <v>45658</v>
          </cell>
          <cell r="E121">
            <v>45717</v>
          </cell>
          <cell r="F121">
            <v>3</v>
          </cell>
          <cell r="G121">
            <v>45717</v>
          </cell>
          <cell r="H121">
            <v>3</v>
          </cell>
          <cell r="I121">
            <v>45719</v>
          </cell>
          <cell r="J121">
            <v>900000</v>
          </cell>
          <cell r="K121" t="str">
            <v>EKSKLUSIF</v>
          </cell>
        </row>
        <row r="122">
          <cell r="A122" t="str">
            <v>A2574</v>
          </cell>
          <cell r="B122" t="str">
            <v>JATU ASTRI PRADISTA</v>
          </cell>
          <cell r="C122" t="str">
            <v>TEMA C2</v>
          </cell>
          <cell r="D122">
            <v>45658</v>
          </cell>
          <cell r="E122">
            <v>45717</v>
          </cell>
          <cell r="F122">
            <v>3</v>
          </cell>
          <cell r="G122">
            <v>45717</v>
          </cell>
          <cell r="H122">
            <v>3</v>
          </cell>
          <cell r="I122">
            <v>45719</v>
          </cell>
          <cell r="J122">
            <v>900000</v>
          </cell>
          <cell r="K122" t="str">
            <v>EKSKLUSIF</v>
          </cell>
        </row>
        <row r="123">
          <cell r="A123" t="str">
            <v>A3216</v>
          </cell>
          <cell r="B123" t="str">
            <v>INTAN KHOIRUNISA FEBILIANA</v>
          </cell>
          <cell r="C123" t="str">
            <v>TEMA C2</v>
          </cell>
          <cell r="D123">
            <v>45658</v>
          </cell>
          <cell r="E123">
            <v>45717</v>
          </cell>
          <cell r="F123">
            <v>3</v>
          </cell>
          <cell r="G123">
            <v>45717</v>
          </cell>
          <cell r="H123">
            <v>3</v>
          </cell>
          <cell r="I123">
            <v>45719</v>
          </cell>
          <cell r="J123">
            <v>900000</v>
          </cell>
          <cell r="K123" t="str">
            <v>EKSKLUSIF</v>
          </cell>
        </row>
        <row r="124">
          <cell r="A124" t="str">
            <v>A1407</v>
          </cell>
          <cell r="B124" t="str">
            <v>Hardini Komalasari</v>
          </cell>
          <cell r="C124" t="str">
            <v>TEMA C2</v>
          </cell>
          <cell r="D124">
            <v>45658</v>
          </cell>
          <cell r="E124">
            <v>45717</v>
          </cell>
          <cell r="F124">
            <v>3</v>
          </cell>
          <cell r="G124">
            <v>45717</v>
          </cell>
          <cell r="H124">
            <v>3</v>
          </cell>
          <cell r="I124">
            <v>45719</v>
          </cell>
          <cell r="J124">
            <v>900000</v>
          </cell>
          <cell r="K124" t="str">
            <v>EKSKLUSIF</v>
          </cell>
        </row>
        <row r="125">
          <cell r="A125" t="str">
            <v>A0911</v>
          </cell>
          <cell r="B125" t="str">
            <v>ENGELINA GALUH WINDIASARI</v>
          </cell>
          <cell r="C125" t="str">
            <v>TEMA C2</v>
          </cell>
          <cell r="D125">
            <v>45658</v>
          </cell>
          <cell r="E125">
            <v>45809</v>
          </cell>
          <cell r="F125">
            <v>6</v>
          </cell>
          <cell r="G125">
            <v>45717</v>
          </cell>
          <cell r="H125">
            <v>3</v>
          </cell>
          <cell r="I125">
            <v>45722</v>
          </cell>
          <cell r="J125">
            <v>400000</v>
          </cell>
          <cell r="K125" t="str">
            <v>EKSKLUSIF</v>
          </cell>
        </row>
        <row r="126">
          <cell r="A126" t="str">
            <v>A2604</v>
          </cell>
          <cell r="B126" t="str">
            <v>Yusridah Lubis</v>
          </cell>
          <cell r="C126" t="str">
            <v>TEMA C2</v>
          </cell>
          <cell r="D126">
            <v>45658</v>
          </cell>
          <cell r="E126">
            <v>45717</v>
          </cell>
          <cell r="F126">
            <v>3</v>
          </cell>
          <cell r="G126">
            <v>45717</v>
          </cell>
          <cell r="H126">
            <v>3</v>
          </cell>
          <cell r="I126">
            <v>45719</v>
          </cell>
          <cell r="J126">
            <v>900000</v>
          </cell>
          <cell r="K126" t="str">
            <v>EKSKLUSIF</v>
          </cell>
        </row>
        <row r="127">
          <cell r="A127" t="str">
            <v>A3510</v>
          </cell>
          <cell r="B127" t="str">
            <v>ANNISA FADYA</v>
          </cell>
          <cell r="C127" t="str">
            <v>TEMA C2</v>
          </cell>
          <cell r="D127">
            <v>45658</v>
          </cell>
          <cell r="E127">
            <v>45717</v>
          </cell>
          <cell r="F127">
            <v>3</v>
          </cell>
          <cell r="G127">
            <v>45717</v>
          </cell>
          <cell r="H127">
            <v>3</v>
          </cell>
          <cell r="I127">
            <v>45719</v>
          </cell>
          <cell r="J127">
            <v>900000</v>
          </cell>
          <cell r="K127" t="str">
            <v>EKSKLUSIF</v>
          </cell>
        </row>
        <row r="128">
          <cell r="A128" t="str">
            <v>A3220</v>
          </cell>
          <cell r="B128" t="str">
            <v>MUHAMAD AGUNG GUMELAR</v>
          </cell>
          <cell r="C128" t="str">
            <v>TEMA C2</v>
          </cell>
          <cell r="D128">
            <v>45658</v>
          </cell>
          <cell r="E128">
            <v>45717</v>
          </cell>
          <cell r="F128">
            <v>3</v>
          </cell>
          <cell r="G128">
            <v>45717</v>
          </cell>
          <cell r="H128">
            <v>3</v>
          </cell>
          <cell r="I128">
            <v>45719</v>
          </cell>
          <cell r="J128">
            <v>900000</v>
          </cell>
          <cell r="K128" t="str">
            <v>EKSKLUSIF</v>
          </cell>
        </row>
        <row r="129">
          <cell r="A129">
            <v>92192</v>
          </cell>
          <cell r="B129" t="str">
            <v>Bima Bagaskara</v>
          </cell>
          <cell r="C129" t="str">
            <v>TEMA C2</v>
          </cell>
          <cell r="D129">
            <v>45658</v>
          </cell>
          <cell r="E129">
            <v>45717</v>
          </cell>
          <cell r="F129">
            <v>3</v>
          </cell>
          <cell r="G129">
            <v>45717</v>
          </cell>
          <cell r="H129">
            <v>3</v>
          </cell>
          <cell r="I129">
            <v>45719</v>
          </cell>
          <cell r="J129">
            <v>900000</v>
          </cell>
          <cell r="K129" t="str">
            <v>EKSKLUSIF</v>
          </cell>
        </row>
        <row r="130">
          <cell r="A130" t="str">
            <v>A4599</v>
          </cell>
          <cell r="B130" t="str">
            <v>SAIDHA PUTRI</v>
          </cell>
          <cell r="C130" t="str">
            <v>TEMA C2</v>
          </cell>
          <cell r="D130">
            <v>45689</v>
          </cell>
          <cell r="E130">
            <v>45748</v>
          </cell>
          <cell r="F130">
            <v>3</v>
          </cell>
          <cell r="G130">
            <v>45717</v>
          </cell>
          <cell r="H130">
            <v>2</v>
          </cell>
          <cell r="I130">
            <v>45691</v>
          </cell>
          <cell r="J130">
            <v>300000</v>
          </cell>
          <cell r="K130" t="str">
            <v>EKSKLUSIF</v>
          </cell>
        </row>
        <row r="131">
          <cell r="A131" t="str">
            <v>A4287</v>
          </cell>
          <cell r="B131" t="str">
            <v>FARA DHIYA HASFANA</v>
          </cell>
          <cell r="C131" t="str">
            <v>TEMA C2</v>
          </cell>
          <cell r="D131">
            <v>45689</v>
          </cell>
          <cell r="E131">
            <v>45748</v>
          </cell>
          <cell r="F131">
            <v>3</v>
          </cell>
          <cell r="G131">
            <v>45717</v>
          </cell>
          <cell r="H131">
            <v>2</v>
          </cell>
          <cell r="I131">
            <v>45691</v>
          </cell>
          <cell r="J131">
            <v>300000</v>
          </cell>
          <cell r="K131" t="str">
            <v>EKSKLUSIF</v>
          </cell>
        </row>
        <row r="132">
          <cell r="A132" t="str">
            <v>A3306</v>
          </cell>
          <cell r="B132" t="str">
            <v>ILHAM MUHAMMAD DYAN FAUZI</v>
          </cell>
          <cell r="C132" t="str">
            <v>TEMA C2</v>
          </cell>
          <cell r="D132">
            <v>45689</v>
          </cell>
          <cell r="E132">
            <v>45748</v>
          </cell>
          <cell r="F132">
            <v>3</v>
          </cell>
          <cell r="G132">
            <v>45717</v>
          </cell>
          <cell r="H132">
            <v>2</v>
          </cell>
          <cell r="I132">
            <v>45691</v>
          </cell>
          <cell r="J132">
            <v>300000</v>
          </cell>
          <cell r="K132" t="str">
            <v>EKSKLUSIF</v>
          </cell>
        </row>
        <row r="133">
          <cell r="A133" t="str">
            <v>A3305</v>
          </cell>
          <cell r="B133" t="str">
            <v>ARIF NOVIANTO</v>
          </cell>
          <cell r="C133" t="str">
            <v>TEMA C2</v>
          </cell>
          <cell r="D133">
            <v>45689</v>
          </cell>
          <cell r="E133">
            <v>45748</v>
          </cell>
          <cell r="F133">
            <v>3</v>
          </cell>
          <cell r="G133">
            <v>45717</v>
          </cell>
          <cell r="H133">
            <v>2</v>
          </cell>
          <cell r="I133">
            <v>45691</v>
          </cell>
          <cell r="J133">
            <v>300000</v>
          </cell>
          <cell r="K133" t="str">
            <v>EKSKLUSIF</v>
          </cell>
        </row>
        <row r="134">
          <cell r="A134">
            <v>90759</v>
          </cell>
          <cell r="B134" t="str">
            <v>Pertiwi Handayani</v>
          </cell>
          <cell r="C134" t="str">
            <v>TEMA C2</v>
          </cell>
          <cell r="D134">
            <v>45689</v>
          </cell>
          <cell r="E134">
            <v>45748</v>
          </cell>
          <cell r="F134">
            <v>3</v>
          </cell>
          <cell r="G134">
            <v>45717</v>
          </cell>
          <cell r="H134">
            <v>2</v>
          </cell>
          <cell r="I134">
            <v>45691</v>
          </cell>
          <cell r="J134">
            <v>300000</v>
          </cell>
          <cell r="K134" t="str">
            <v>EKSKLUSIF</v>
          </cell>
        </row>
        <row r="135">
          <cell r="A135" t="str">
            <v>A4139</v>
          </cell>
          <cell r="B135" t="str">
            <v>KEYLA REISA IARA</v>
          </cell>
          <cell r="C135" t="str">
            <v>TEMA C3</v>
          </cell>
          <cell r="D135">
            <v>45689</v>
          </cell>
          <cell r="E135">
            <v>45748</v>
          </cell>
          <cell r="F135">
            <v>3</v>
          </cell>
          <cell r="G135">
            <v>45717</v>
          </cell>
          <cell r="H135">
            <v>2</v>
          </cell>
          <cell r="I135">
            <v>45691</v>
          </cell>
          <cell r="J135">
            <v>300000</v>
          </cell>
          <cell r="K135" t="str">
            <v>EKSKLUSIF</v>
          </cell>
        </row>
        <row r="136">
          <cell r="A136" t="str">
            <v>A1244</v>
          </cell>
          <cell r="B136" t="str">
            <v>SHOFIA NOVIANTI</v>
          </cell>
          <cell r="C136" t="str">
            <v>TEMA C2</v>
          </cell>
          <cell r="D136">
            <v>45689</v>
          </cell>
          <cell r="E136">
            <v>45748</v>
          </cell>
          <cell r="F136">
            <v>3</v>
          </cell>
          <cell r="G136">
            <v>45717</v>
          </cell>
          <cell r="H136">
            <v>2</v>
          </cell>
          <cell r="I136">
            <v>45691</v>
          </cell>
          <cell r="J136">
            <v>300000</v>
          </cell>
          <cell r="K136" t="str">
            <v>EKSKLUSIF</v>
          </cell>
        </row>
        <row r="137">
          <cell r="A137" t="str">
            <v>A3333</v>
          </cell>
          <cell r="B137" t="str">
            <v>ZEFANYA HEHAMAHUA</v>
          </cell>
          <cell r="C137" t="str">
            <v>TEMA C2</v>
          </cell>
          <cell r="D137">
            <v>45689</v>
          </cell>
          <cell r="E137">
            <v>45748</v>
          </cell>
          <cell r="F137">
            <v>3</v>
          </cell>
          <cell r="G137">
            <v>45717</v>
          </cell>
          <cell r="H137">
            <v>2</v>
          </cell>
          <cell r="I137">
            <v>45691</v>
          </cell>
          <cell r="J137">
            <v>300000</v>
          </cell>
          <cell r="K137" t="str">
            <v>EKSKLUSIF</v>
          </cell>
        </row>
        <row r="138">
          <cell r="A138" t="str">
            <v>A4273</v>
          </cell>
          <cell r="B138" t="str">
            <v>RUTH TRIS KRISTIANTI</v>
          </cell>
          <cell r="C138" t="str">
            <v>TEMA C2</v>
          </cell>
          <cell r="D138">
            <v>45689</v>
          </cell>
          <cell r="E138">
            <v>45839</v>
          </cell>
          <cell r="F138">
            <v>6</v>
          </cell>
          <cell r="G138">
            <v>45717</v>
          </cell>
          <cell r="H138">
            <v>2</v>
          </cell>
          <cell r="I138">
            <v>45694</v>
          </cell>
          <cell r="J138">
            <v>300000</v>
          </cell>
          <cell r="K138" t="str">
            <v>EKSKLUSIF</v>
          </cell>
        </row>
        <row r="139">
          <cell r="A139" t="str">
            <v>A1059</v>
          </cell>
          <cell r="B139" t="str">
            <v>AZILA ZALWA</v>
          </cell>
          <cell r="C139" t="str">
            <v>TEMA C2</v>
          </cell>
          <cell r="D139">
            <v>45689</v>
          </cell>
          <cell r="E139">
            <v>45748</v>
          </cell>
          <cell r="F139">
            <v>3</v>
          </cell>
          <cell r="G139">
            <v>45717</v>
          </cell>
          <cell r="H139">
            <v>2</v>
          </cell>
          <cell r="I139">
            <v>45691</v>
          </cell>
          <cell r="J139">
            <v>300000</v>
          </cell>
          <cell r="K139" t="str">
            <v>EKSKLUSIF</v>
          </cell>
        </row>
        <row r="140">
          <cell r="A140">
            <v>0</v>
          </cell>
          <cell r="B140" t="str">
            <v>OGIE PRAYOGA</v>
          </cell>
          <cell r="C140" t="str">
            <v>TEMA C2</v>
          </cell>
          <cell r="D140">
            <v>45689</v>
          </cell>
          <cell r="E140">
            <v>45748</v>
          </cell>
          <cell r="F140">
            <v>3</v>
          </cell>
          <cell r="G140">
            <v>45717</v>
          </cell>
          <cell r="H140">
            <v>2</v>
          </cell>
          <cell r="I140">
            <v>45691</v>
          </cell>
          <cell r="J140">
            <v>300000</v>
          </cell>
          <cell r="K140" t="str">
            <v>EKSKLUSIF</v>
          </cell>
        </row>
        <row r="141">
          <cell r="A141">
            <v>90118</v>
          </cell>
          <cell r="B141" t="str">
            <v>AGRESITABELA PURNANINGRUM</v>
          </cell>
          <cell r="C141" t="str">
            <v>TEMA C2</v>
          </cell>
          <cell r="D141">
            <v>45717</v>
          </cell>
          <cell r="E141" t="str">
            <v>Agu 2025</v>
          </cell>
          <cell r="F141">
            <v>6</v>
          </cell>
          <cell r="G141">
            <v>45717</v>
          </cell>
          <cell r="H141">
            <v>1</v>
          </cell>
          <cell r="I141">
            <v>45663</v>
          </cell>
          <cell r="J141">
            <v>300000</v>
          </cell>
          <cell r="K141" t="str">
            <v>EKSKLUSIF</v>
          </cell>
        </row>
        <row r="142">
          <cell r="A142" t="str">
            <v>A4363</v>
          </cell>
          <cell r="B142" t="str">
            <v>RINA IKA LESTARI</v>
          </cell>
          <cell r="C142" t="str">
            <v>TEMA C2</v>
          </cell>
          <cell r="D142">
            <v>45717</v>
          </cell>
          <cell r="E142" t="str">
            <v>Mei 2025</v>
          </cell>
          <cell r="F142">
            <v>3</v>
          </cell>
          <cell r="G142">
            <v>45717</v>
          </cell>
          <cell r="H142">
            <v>1</v>
          </cell>
          <cell r="I142">
            <v>45660</v>
          </cell>
          <cell r="J142">
            <v>300000</v>
          </cell>
          <cell r="K142" t="str">
            <v>EKSKLUSIF</v>
          </cell>
        </row>
        <row r="143">
          <cell r="A143" t="str">
            <v>A4285</v>
          </cell>
          <cell r="B143" t="str">
            <v>VINO MUJAHIDIN</v>
          </cell>
          <cell r="C143" t="str">
            <v>TEMA C2</v>
          </cell>
          <cell r="D143">
            <v>45717</v>
          </cell>
          <cell r="E143" t="str">
            <v>Mei 2025</v>
          </cell>
          <cell r="F143">
            <v>3</v>
          </cell>
          <cell r="G143">
            <v>45717</v>
          </cell>
          <cell r="H143">
            <v>1</v>
          </cell>
          <cell r="I143">
            <v>45660</v>
          </cell>
          <cell r="J143">
            <v>300000</v>
          </cell>
          <cell r="K143" t="str">
            <v>EKSKLUSIF</v>
          </cell>
        </row>
        <row r="144">
          <cell r="A144" t="str">
            <v>A4405</v>
          </cell>
          <cell r="B144" t="str">
            <v>SALWA AYU WIGATI</v>
          </cell>
          <cell r="C144" t="str">
            <v>TEMA C2</v>
          </cell>
          <cell r="D144">
            <v>45717</v>
          </cell>
          <cell r="E144" t="str">
            <v>Agu 2025</v>
          </cell>
          <cell r="F144">
            <v>6</v>
          </cell>
          <cell r="G144">
            <v>45717</v>
          </cell>
          <cell r="H144">
            <v>1</v>
          </cell>
          <cell r="I144">
            <v>45663</v>
          </cell>
          <cell r="J144">
            <v>300000</v>
          </cell>
          <cell r="K144" t="str">
            <v>EKSKLUSIF</v>
          </cell>
        </row>
        <row r="145">
          <cell r="A145" t="str">
            <v>A2702</v>
          </cell>
          <cell r="B145" t="str">
            <v>DILA FITRIANI</v>
          </cell>
          <cell r="C145" t="str">
            <v>TEMA C2</v>
          </cell>
          <cell r="D145">
            <v>45717</v>
          </cell>
          <cell r="E145" t="str">
            <v>Mei 2025</v>
          </cell>
          <cell r="F145">
            <v>3</v>
          </cell>
          <cell r="G145">
            <v>45717</v>
          </cell>
          <cell r="H145">
            <v>1</v>
          </cell>
          <cell r="I145">
            <v>45660</v>
          </cell>
          <cell r="J145">
            <v>300000</v>
          </cell>
          <cell r="K145" t="str">
            <v>EKSKLUSIF</v>
          </cell>
        </row>
        <row r="146">
          <cell r="A146" t="str">
            <v>A4680</v>
          </cell>
          <cell r="B146" t="str">
            <v>ALINA KHILMA</v>
          </cell>
          <cell r="C146" t="str">
            <v>TEMA C2</v>
          </cell>
          <cell r="D146">
            <v>45717</v>
          </cell>
          <cell r="E146" t="str">
            <v>Mei 2025</v>
          </cell>
          <cell r="F146">
            <v>3</v>
          </cell>
          <cell r="G146">
            <v>45717</v>
          </cell>
          <cell r="H146">
            <v>1</v>
          </cell>
          <cell r="I146">
            <v>45660</v>
          </cell>
          <cell r="J146">
            <v>300000</v>
          </cell>
          <cell r="K146" t="str">
            <v>EKSKLUSIF</v>
          </cell>
        </row>
        <row r="147">
          <cell r="A147" t="str">
            <v>A4625</v>
          </cell>
          <cell r="B147" t="str">
            <v>ELGA AYU DANI MAYUSTIKA</v>
          </cell>
          <cell r="C147" t="str">
            <v>TEMA C2</v>
          </cell>
          <cell r="D147">
            <v>45717</v>
          </cell>
          <cell r="E147" t="str">
            <v>Mei 2025</v>
          </cell>
          <cell r="F147">
            <v>3</v>
          </cell>
          <cell r="G147">
            <v>45717</v>
          </cell>
          <cell r="H147">
            <v>1</v>
          </cell>
          <cell r="I147">
            <v>45660</v>
          </cell>
          <cell r="J147">
            <v>300000</v>
          </cell>
          <cell r="K147" t="str">
            <v>EKSKLUSIF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A C2 (2)"/>
      <sheetName val="DELTA"/>
      <sheetName val="TEMA C1"/>
      <sheetName val="Sheet6"/>
      <sheetName val="Sheet7"/>
      <sheetName val="TEMA C2"/>
      <sheetName val="TEMA C3"/>
      <sheetName val="TEMA HAJI"/>
      <sheetName val="PD"/>
      <sheetName val="AAV"/>
      <sheetName val="GC"/>
      <sheetName val="RVO"/>
      <sheetName val="SBPV"/>
      <sheetName val="EKS"/>
      <sheetName val="AKTIF"/>
      <sheetName val="DATABASE"/>
      <sheetName val="Sheet1"/>
      <sheetName val="NEW DATABASE"/>
      <sheetName val="KURANG"/>
      <sheetName val="Sheet2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NPK</v>
          </cell>
          <cell r="B1" t="str">
            <v>NAMA</v>
          </cell>
          <cell r="C1" t="str">
            <v>POSISI</v>
          </cell>
          <cell r="D1" t="str">
            <v>START</v>
          </cell>
          <cell r="E1" t="str">
            <v>FINISH</v>
          </cell>
          <cell r="F1" t="str">
            <v>PERIODE</v>
          </cell>
          <cell r="G1" t="str">
            <v>BULAN INI</v>
          </cell>
          <cell r="H1" t="str">
            <v>BULAN BERJALAN</v>
          </cell>
          <cell r="I1" t="str">
            <v>BULAN EKSLUSIF</v>
          </cell>
          <cell r="J1" t="str">
            <v>RUPIAH</v>
          </cell>
          <cell r="K1">
            <v>0</v>
          </cell>
        </row>
        <row r="2">
          <cell r="A2" t="str">
            <v>A2615</v>
          </cell>
          <cell r="B2" t="str">
            <v>Novita Langkai</v>
          </cell>
          <cell r="C2" t="str">
            <v>AAV</v>
          </cell>
          <cell r="D2">
            <v>45689</v>
          </cell>
          <cell r="E2">
            <v>45839</v>
          </cell>
          <cell r="F2">
            <v>6</v>
          </cell>
          <cell r="G2">
            <v>45748</v>
          </cell>
          <cell r="H2">
            <v>3</v>
          </cell>
          <cell r="I2">
            <v>45722</v>
          </cell>
          <cell r="J2">
            <v>400000</v>
          </cell>
          <cell r="K2" t="str">
            <v>EKSKLUSIF</v>
          </cell>
        </row>
        <row r="3">
          <cell r="A3" t="str">
            <v>A0349</v>
          </cell>
          <cell r="B3" t="str">
            <v>Ahmad Zainal Arifin</v>
          </cell>
          <cell r="C3" t="str">
            <v>AAV</v>
          </cell>
          <cell r="D3">
            <v>45717</v>
          </cell>
          <cell r="E3" t="str">
            <v>Agu 2025</v>
          </cell>
          <cell r="F3">
            <v>6</v>
          </cell>
          <cell r="G3">
            <v>45748</v>
          </cell>
          <cell r="H3">
            <v>2</v>
          </cell>
          <cell r="I3">
            <v>45694</v>
          </cell>
          <cell r="J3">
            <v>300000</v>
          </cell>
          <cell r="K3" t="str">
            <v>EKSKLUSIF</v>
          </cell>
        </row>
        <row r="4">
          <cell r="A4" t="str">
            <v>A2873</v>
          </cell>
          <cell r="B4" t="str">
            <v>CHRISTOPHER LAKSAWANA</v>
          </cell>
          <cell r="C4" t="str">
            <v>AAV</v>
          </cell>
          <cell r="D4">
            <v>45717</v>
          </cell>
          <cell r="E4" t="str">
            <v>Agu 2025</v>
          </cell>
          <cell r="F4">
            <v>6</v>
          </cell>
          <cell r="G4">
            <v>45748</v>
          </cell>
          <cell r="H4">
            <v>2</v>
          </cell>
          <cell r="I4">
            <v>45694</v>
          </cell>
          <cell r="J4">
            <v>300000</v>
          </cell>
          <cell r="K4" t="str">
            <v>EKSKLUSIF</v>
          </cell>
        </row>
        <row r="5">
          <cell r="A5" t="str">
            <v>A2066</v>
          </cell>
          <cell r="B5" t="str">
            <v>YULIANT EFENDI</v>
          </cell>
          <cell r="C5" t="str">
            <v>AAV</v>
          </cell>
          <cell r="D5">
            <v>45748</v>
          </cell>
          <cell r="E5">
            <v>45901</v>
          </cell>
          <cell r="F5">
            <v>6</v>
          </cell>
          <cell r="G5">
            <v>45748</v>
          </cell>
          <cell r="H5">
            <v>1</v>
          </cell>
          <cell r="I5">
            <v>45663</v>
          </cell>
          <cell r="J5">
            <v>300000</v>
          </cell>
          <cell r="K5" t="str">
            <v>EKSKLUSIF</v>
          </cell>
        </row>
        <row r="6">
          <cell r="A6">
            <v>92175</v>
          </cell>
          <cell r="B6" t="str">
            <v>AYU AMELIA RESANTI</v>
          </cell>
          <cell r="C6" t="str">
            <v>SBPV</v>
          </cell>
          <cell r="D6">
            <v>45597</v>
          </cell>
          <cell r="E6">
            <v>45748</v>
          </cell>
          <cell r="F6">
            <v>6</v>
          </cell>
          <cell r="G6">
            <v>45748</v>
          </cell>
          <cell r="H6">
            <v>6</v>
          </cell>
          <cell r="I6">
            <v>45814</v>
          </cell>
          <cell r="J6">
            <v>1600000</v>
          </cell>
          <cell r="K6" t="str">
            <v>EKSKLUSIF</v>
          </cell>
        </row>
        <row r="7">
          <cell r="A7" t="str">
            <v>A2924</v>
          </cell>
          <cell r="B7" t="str">
            <v>IRA EVELIN SIHALOHO</v>
          </cell>
          <cell r="C7" t="str">
            <v>SBPV</v>
          </cell>
          <cell r="D7" t="str">
            <v>Des 24</v>
          </cell>
          <cell r="E7" t="str">
            <v>Mei  2025</v>
          </cell>
          <cell r="F7">
            <v>6</v>
          </cell>
          <cell r="G7">
            <v>45748</v>
          </cell>
          <cell r="H7">
            <v>5</v>
          </cell>
          <cell r="I7">
            <v>45783</v>
          </cell>
          <cell r="J7">
            <v>500000</v>
          </cell>
          <cell r="K7" t="str">
            <v>EKSKLUSIF</v>
          </cell>
        </row>
        <row r="8">
          <cell r="A8" t="str">
            <v>A1971</v>
          </cell>
          <cell r="B8" t="str">
            <v>ANGGI BEATRIKS SERAN</v>
          </cell>
          <cell r="C8" t="str">
            <v>SBPV</v>
          </cell>
          <cell r="D8">
            <v>45748</v>
          </cell>
          <cell r="E8" t="str">
            <v>Okt  2025</v>
          </cell>
          <cell r="F8">
            <v>6</v>
          </cell>
          <cell r="G8">
            <v>45748</v>
          </cell>
          <cell r="H8">
            <v>1</v>
          </cell>
          <cell r="I8">
            <v>45663</v>
          </cell>
          <cell r="J8">
            <v>300000</v>
          </cell>
          <cell r="K8" t="str">
            <v>EKSKLUSIF</v>
          </cell>
        </row>
        <row r="9">
          <cell r="A9" t="str">
            <v>A2001</v>
          </cell>
          <cell r="B9" t="str">
            <v>M MENTARI GAGAT RAYNA</v>
          </cell>
          <cell r="C9" t="str">
            <v>SBPV</v>
          </cell>
          <cell r="D9">
            <v>45748</v>
          </cell>
          <cell r="E9" t="str">
            <v>Okt  2025</v>
          </cell>
          <cell r="F9">
            <v>6</v>
          </cell>
          <cell r="G9">
            <v>45748</v>
          </cell>
          <cell r="H9">
            <v>1</v>
          </cell>
          <cell r="I9">
            <v>45663</v>
          </cell>
          <cell r="J9">
            <v>300000</v>
          </cell>
          <cell r="K9" t="str">
            <v>EKSKLUSIF</v>
          </cell>
        </row>
        <row r="10">
          <cell r="A10" t="str">
            <v>A2383</v>
          </cell>
          <cell r="B10" t="str">
            <v>RYSMA NUR HIDAYAH</v>
          </cell>
          <cell r="C10" t="str">
            <v>SBPV</v>
          </cell>
          <cell r="D10">
            <v>45748</v>
          </cell>
          <cell r="E10" t="str">
            <v>Okt  2025</v>
          </cell>
          <cell r="F10">
            <v>6</v>
          </cell>
          <cell r="G10">
            <v>45748</v>
          </cell>
          <cell r="H10">
            <v>1</v>
          </cell>
          <cell r="I10">
            <v>45663</v>
          </cell>
          <cell r="J10">
            <v>300000</v>
          </cell>
          <cell r="K10" t="str">
            <v>EKSKLUSIF</v>
          </cell>
        </row>
        <row r="11">
          <cell r="A11" t="str">
            <v>A0072</v>
          </cell>
          <cell r="B11" t="str">
            <v>Rahmad Dwi Adrian</v>
          </cell>
          <cell r="C11" t="str">
            <v>RVO</v>
          </cell>
          <cell r="D11">
            <v>45597</v>
          </cell>
          <cell r="E11">
            <v>45748</v>
          </cell>
          <cell r="F11">
            <v>6</v>
          </cell>
          <cell r="G11">
            <v>45748</v>
          </cell>
          <cell r="H11">
            <v>6</v>
          </cell>
          <cell r="I11">
            <v>45814</v>
          </cell>
          <cell r="J11">
            <v>1600000</v>
          </cell>
          <cell r="K11" t="str">
            <v>EKSKLUSIF</v>
          </cell>
        </row>
        <row r="12">
          <cell r="A12" t="str">
            <v>A3576</v>
          </cell>
          <cell r="B12" t="str">
            <v>YONATAN ADI SAPUTRO</v>
          </cell>
          <cell r="C12" t="str">
            <v>RVO</v>
          </cell>
          <cell r="D12">
            <v>45689</v>
          </cell>
          <cell r="E12">
            <v>45748</v>
          </cell>
          <cell r="F12">
            <v>3</v>
          </cell>
          <cell r="G12">
            <v>45748</v>
          </cell>
          <cell r="H12">
            <v>3</v>
          </cell>
          <cell r="I12">
            <v>45719</v>
          </cell>
          <cell r="J12">
            <v>900000</v>
          </cell>
          <cell r="K12" t="str">
            <v>EKSKLUSIF</v>
          </cell>
        </row>
        <row r="13">
          <cell r="A13" t="str">
            <v>A3180</v>
          </cell>
          <cell r="B13" t="str">
            <v>Clara Osa Diprastiwi</v>
          </cell>
          <cell r="C13" t="str">
            <v>RVO</v>
          </cell>
          <cell r="D13">
            <v>45689</v>
          </cell>
          <cell r="E13">
            <v>45839</v>
          </cell>
          <cell r="F13">
            <v>6</v>
          </cell>
          <cell r="G13">
            <v>45748</v>
          </cell>
          <cell r="H13">
            <v>3</v>
          </cell>
          <cell r="I13">
            <v>45722</v>
          </cell>
          <cell r="J13">
            <v>400000</v>
          </cell>
          <cell r="K13" t="str">
            <v>EKSKLUSIF</v>
          </cell>
        </row>
        <row r="14">
          <cell r="A14">
            <v>90317</v>
          </cell>
          <cell r="B14" t="str">
            <v>FILBERT SANCHIA FERDIANSAH MODOK</v>
          </cell>
          <cell r="C14" t="str">
            <v>RVO</v>
          </cell>
          <cell r="D14">
            <v>45689</v>
          </cell>
          <cell r="E14" t="str">
            <v>Agu 2025</v>
          </cell>
          <cell r="F14">
            <v>6</v>
          </cell>
          <cell r="G14">
            <v>45748</v>
          </cell>
          <cell r="H14">
            <v>3</v>
          </cell>
          <cell r="I14">
            <v>45722</v>
          </cell>
          <cell r="J14">
            <v>400000</v>
          </cell>
          <cell r="K14" t="str">
            <v>EKSKLUSIF</v>
          </cell>
        </row>
        <row r="15">
          <cell r="A15">
            <v>90453</v>
          </cell>
          <cell r="B15" t="str">
            <v>SHERLY HAPSARI</v>
          </cell>
          <cell r="C15" t="str">
            <v>RVO</v>
          </cell>
          <cell r="D15">
            <v>45689</v>
          </cell>
          <cell r="E15">
            <v>45748</v>
          </cell>
          <cell r="F15">
            <v>3</v>
          </cell>
          <cell r="G15">
            <v>45748</v>
          </cell>
          <cell r="H15">
            <v>3</v>
          </cell>
          <cell r="I15">
            <v>45719</v>
          </cell>
          <cell r="J15">
            <v>900000</v>
          </cell>
          <cell r="K15" t="str">
            <v>EKSKLUSIF</v>
          </cell>
        </row>
        <row r="16">
          <cell r="A16" t="str">
            <v>A2396</v>
          </cell>
          <cell r="B16" t="str">
            <v>Ilyas Fahmi</v>
          </cell>
          <cell r="C16" t="str">
            <v>RVO</v>
          </cell>
          <cell r="D16">
            <v>45689</v>
          </cell>
          <cell r="E16">
            <v>45839</v>
          </cell>
          <cell r="F16">
            <v>6</v>
          </cell>
          <cell r="G16">
            <v>45748</v>
          </cell>
          <cell r="H16">
            <v>3</v>
          </cell>
          <cell r="I16">
            <v>45722</v>
          </cell>
          <cell r="J16">
            <v>400000</v>
          </cell>
          <cell r="K16" t="str">
            <v>EKSKLUSIF</v>
          </cell>
        </row>
        <row r="17">
          <cell r="A17" t="str">
            <v>A1952</v>
          </cell>
          <cell r="B17" t="str">
            <v>LAURENSIUS AXEL RADITYA PRADANA</v>
          </cell>
          <cell r="C17" t="str">
            <v>RVO</v>
          </cell>
          <cell r="D17">
            <v>45717</v>
          </cell>
          <cell r="E17" t="str">
            <v>Agu 2025</v>
          </cell>
          <cell r="F17">
            <v>6</v>
          </cell>
          <cell r="G17">
            <v>45748</v>
          </cell>
          <cell r="H17">
            <v>2</v>
          </cell>
          <cell r="I17">
            <v>45694</v>
          </cell>
          <cell r="J17">
            <v>300000</v>
          </cell>
          <cell r="K17" t="str">
            <v>EKSKLUSIF</v>
          </cell>
        </row>
        <row r="18">
          <cell r="A18" t="str">
            <v>A0799</v>
          </cell>
          <cell r="B18" t="str">
            <v>VIVI RIZQI HAPSARI</v>
          </cell>
          <cell r="C18" t="str">
            <v>RVO</v>
          </cell>
          <cell r="D18">
            <v>45717</v>
          </cell>
          <cell r="E18" t="str">
            <v>Agu 2025</v>
          </cell>
          <cell r="F18">
            <v>6</v>
          </cell>
          <cell r="G18">
            <v>45748</v>
          </cell>
          <cell r="H18">
            <v>2</v>
          </cell>
          <cell r="I18">
            <v>45694</v>
          </cell>
          <cell r="J18">
            <v>300000</v>
          </cell>
          <cell r="K18" t="str">
            <v>EKSKLUSIF</v>
          </cell>
        </row>
        <row r="19">
          <cell r="A19" t="str">
            <v>A0155</v>
          </cell>
          <cell r="B19" t="str">
            <v>Raymon Piterz Godlieb</v>
          </cell>
          <cell r="C19" t="str">
            <v>RVO</v>
          </cell>
          <cell r="D19">
            <v>45748</v>
          </cell>
          <cell r="E19">
            <v>45901</v>
          </cell>
          <cell r="F19">
            <v>6</v>
          </cell>
          <cell r="G19">
            <v>45748</v>
          </cell>
          <cell r="H19">
            <v>1</v>
          </cell>
          <cell r="I19">
            <v>45663</v>
          </cell>
          <cell r="J19">
            <v>300000</v>
          </cell>
          <cell r="K19" t="str">
            <v>EKSKLUSIF</v>
          </cell>
        </row>
        <row r="20">
          <cell r="A20" t="str">
            <v>A3442</v>
          </cell>
          <cell r="B20" t="str">
            <v>Irfan Febriyantoro</v>
          </cell>
          <cell r="C20" t="str">
            <v>RVO</v>
          </cell>
          <cell r="D20">
            <v>45748</v>
          </cell>
          <cell r="E20">
            <v>45901</v>
          </cell>
          <cell r="F20">
            <v>6</v>
          </cell>
          <cell r="G20">
            <v>45748</v>
          </cell>
          <cell r="H20">
            <v>1</v>
          </cell>
          <cell r="I20">
            <v>45663</v>
          </cell>
          <cell r="J20">
            <v>300000</v>
          </cell>
          <cell r="K20" t="str">
            <v>EKSKLUSIF</v>
          </cell>
        </row>
        <row r="21">
          <cell r="A21">
            <v>90613</v>
          </cell>
          <cell r="B21" t="str">
            <v>JOHAN AIMAN RAIS</v>
          </cell>
          <cell r="C21" t="str">
            <v>RVO</v>
          </cell>
          <cell r="D21">
            <v>45748</v>
          </cell>
          <cell r="E21">
            <v>45809</v>
          </cell>
          <cell r="F21">
            <v>3</v>
          </cell>
          <cell r="G21">
            <v>45748</v>
          </cell>
          <cell r="H21">
            <v>1</v>
          </cell>
          <cell r="I21">
            <v>45660</v>
          </cell>
          <cell r="J21">
            <v>300000</v>
          </cell>
          <cell r="K21" t="str">
            <v>EKSKLUSIF</v>
          </cell>
        </row>
        <row r="22">
          <cell r="A22" t="str">
            <v>A0072</v>
          </cell>
          <cell r="B22" t="str">
            <v>Rahmad Dwi Adrian</v>
          </cell>
          <cell r="C22" t="str">
            <v>RVO</v>
          </cell>
          <cell r="D22">
            <v>45748</v>
          </cell>
          <cell r="E22">
            <v>45901</v>
          </cell>
          <cell r="F22">
            <v>6</v>
          </cell>
          <cell r="G22">
            <v>45748</v>
          </cell>
          <cell r="H22">
            <v>1</v>
          </cell>
          <cell r="I22">
            <v>45663</v>
          </cell>
          <cell r="J22">
            <v>300000</v>
          </cell>
          <cell r="K22" t="str">
            <v>EKSKLUSIF</v>
          </cell>
        </row>
        <row r="23">
          <cell r="A23" t="str">
            <v>A3437</v>
          </cell>
          <cell r="B23" t="str">
            <v>Yohana Claudia</v>
          </cell>
          <cell r="C23" t="str">
            <v>RVO</v>
          </cell>
          <cell r="D23">
            <v>45748</v>
          </cell>
          <cell r="E23">
            <v>45901</v>
          </cell>
          <cell r="F23">
            <v>6</v>
          </cell>
          <cell r="G23">
            <v>45748</v>
          </cell>
          <cell r="H23">
            <v>1</v>
          </cell>
          <cell r="I23">
            <v>45663</v>
          </cell>
          <cell r="J23">
            <v>300000</v>
          </cell>
          <cell r="K23" t="str">
            <v>EKSKLUSIF</v>
          </cell>
        </row>
        <row r="24">
          <cell r="A24" t="str">
            <v>A3436</v>
          </cell>
          <cell r="B24" t="str">
            <v>Anita Kristiana Laia</v>
          </cell>
          <cell r="C24" t="str">
            <v>RVO</v>
          </cell>
          <cell r="D24">
            <v>45748</v>
          </cell>
          <cell r="E24">
            <v>45901</v>
          </cell>
          <cell r="F24">
            <v>6</v>
          </cell>
          <cell r="G24">
            <v>45748</v>
          </cell>
          <cell r="H24">
            <v>1</v>
          </cell>
          <cell r="I24">
            <v>45663</v>
          </cell>
          <cell r="J24">
            <v>300000</v>
          </cell>
          <cell r="K24" t="str">
            <v>EKSKLUSIF</v>
          </cell>
        </row>
        <row r="25">
          <cell r="A25" t="str">
            <v>A2507</v>
          </cell>
          <cell r="B25" t="str">
            <v>ARJUNA TANJUNG</v>
          </cell>
          <cell r="C25" t="str">
            <v>DELTA</v>
          </cell>
          <cell r="D25">
            <v>45689</v>
          </cell>
          <cell r="E25">
            <v>45748</v>
          </cell>
          <cell r="F25">
            <v>3</v>
          </cell>
          <cell r="G25">
            <v>45748</v>
          </cell>
          <cell r="H25">
            <v>3</v>
          </cell>
          <cell r="I25">
            <v>45719</v>
          </cell>
          <cell r="J25">
            <v>900000</v>
          </cell>
          <cell r="K25" t="str">
            <v>EKSKLUSIF</v>
          </cell>
        </row>
        <row r="26">
          <cell r="A26" t="str">
            <v>A0458</v>
          </cell>
          <cell r="B26" t="str">
            <v>JOKO SLAMETO</v>
          </cell>
          <cell r="C26" t="str">
            <v>DELTA</v>
          </cell>
          <cell r="D26">
            <v>45689</v>
          </cell>
          <cell r="E26">
            <v>45748</v>
          </cell>
          <cell r="F26">
            <v>3</v>
          </cell>
          <cell r="G26">
            <v>45748</v>
          </cell>
          <cell r="H26">
            <v>3</v>
          </cell>
          <cell r="I26">
            <v>45719</v>
          </cell>
          <cell r="J26">
            <v>900000</v>
          </cell>
          <cell r="K26" t="str">
            <v>EKSKLUSIF</v>
          </cell>
        </row>
        <row r="27">
          <cell r="A27" t="str">
            <v>A1721</v>
          </cell>
          <cell r="B27" t="str">
            <v>MEGA AUDILIA</v>
          </cell>
          <cell r="C27" t="str">
            <v>DELTA</v>
          </cell>
          <cell r="D27">
            <v>45689</v>
          </cell>
          <cell r="E27">
            <v>45748</v>
          </cell>
          <cell r="F27">
            <v>3</v>
          </cell>
          <cell r="G27">
            <v>45748</v>
          </cell>
          <cell r="H27">
            <v>3</v>
          </cell>
          <cell r="I27">
            <v>45719</v>
          </cell>
          <cell r="J27">
            <v>900000</v>
          </cell>
          <cell r="K27" t="str">
            <v>EKSKLUSIF</v>
          </cell>
        </row>
        <row r="28">
          <cell r="A28" t="str">
            <v>A0192</v>
          </cell>
          <cell r="B28" t="str">
            <v>AGNES HAUDI SURYANTIKA</v>
          </cell>
          <cell r="C28" t="str">
            <v>DELTA</v>
          </cell>
          <cell r="D28">
            <v>45689</v>
          </cell>
          <cell r="E28">
            <v>45748</v>
          </cell>
          <cell r="F28">
            <v>3</v>
          </cell>
          <cell r="G28">
            <v>45748</v>
          </cell>
          <cell r="H28">
            <v>3</v>
          </cell>
          <cell r="I28">
            <v>45719</v>
          </cell>
          <cell r="J28">
            <v>900000</v>
          </cell>
          <cell r="K28" t="str">
            <v>EKSKLUSIF</v>
          </cell>
        </row>
        <row r="29">
          <cell r="A29" t="str">
            <v>A1954</v>
          </cell>
          <cell r="B29" t="str">
            <v>JELITA AYUNDA FITRIA</v>
          </cell>
          <cell r="C29" t="str">
            <v>DELTA</v>
          </cell>
          <cell r="D29">
            <v>45689</v>
          </cell>
          <cell r="E29">
            <v>45748</v>
          </cell>
          <cell r="F29">
            <v>3</v>
          </cell>
          <cell r="G29">
            <v>45748</v>
          </cell>
          <cell r="H29">
            <v>3</v>
          </cell>
          <cell r="I29">
            <v>45719</v>
          </cell>
          <cell r="J29">
            <v>900000</v>
          </cell>
          <cell r="K29" t="str">
            <v>EKSKLUSIF</v>
          </cell>
        </row>
        <row r="30">
          <cell r="A30" t="str">
            <v>A3029</v>
          </cell>
          <cell r="B30" t="str">
            <v>EMMIA CLARITA BR TARIGAN</v>
          </cell>
          <cell r="C30" t="str">
            <v>DELTA</v>
          </cell>
          <cell r="D30">
            <v>45689</v>
          </cell>
          <cell r="E30">
            <v>45748</v>
          </cell>
          <cell r="F30">
            <v>3</v>
          </cell>
          <cell r="G30">
            <v>45748</v>
          </cell>
          <cell r="H30">
            <v>3</v>
          </cell>
          <cell r="I30">
            <v>45719</v>
          </cell>
          <cell r="J30">
            <v>900000</v>
          </cell>
          <cell r="K30" t="str">
            <v>EKSKLUSIF</v>
          </cell>
        </row>
        <row r="31">
          <cell r="A31" t="str">
            <v>A1842</v>
          </cell>
          <cell r="B31" t="str">
            <v>KELPIN PONTIUS ARON</v>
          </cell>
          <cell r="C31" t="str">
            <v>DELTA</v>
          </cell>
          <cell r="D31">
            <v>45689</v>
          </cell>
          <cell r="E31">
            <v>45748</v>
          </cell>
          <cell r="F31">
            <v>3</v>
          </cell>
          <cell r="G31">
            <v>45748</v>
          </cell>
          <cell r="H31">
            <v>3</v>
          </cell>
          <cell r="I31">
            <v>45719</v>
          </cell>
          <cell r="J31">
            <v>900000</v>
          </cell>
          <cell r="K31" t="str">
            <v>EKSKLUSIF</v>
          </cell>
        </row>
        <row r="32">
          <cell r="A32" t="str">
            <v>A0879</v>
          </cell>
          <cell r="B32" t="str">
            <v>RISZA ANGGUN DWI ARIANANDA</v>
          </cell>
          <cell r="C32" t="str">
            <v>DELTA</v>
          </cell>
          <cell r="D32">
            <v>45689</v>
          </cell>
          <cell r="E32">
            <v>45748</v>
          </cell>
          <cell r="F32">
            <v>3</v>
          </cell>
          <cell r="G32">
            <v>45748</v>
          </cell>
          <cell r="H32">
            <v>3</v>
          </cell>
          <cell r="I32">
            <v>45719</v>
          </cell>
          <cell r="J32">
            <v>900000</v>
          </cell>
          <cell r="K32" t="str">
            <v>EKSKLUSIF</v>
          </cell>
        </row>
        <row r="33">
          <cell r="A33" t="str">
            <v>A3406</v>
          </cell>
          <cell r="B33" t="str">
            <v>SEPTI MUNTE</v>
          </cell>
          <cell r="C33" t="str">
            <v>DELTA</v>
          </cell>
          <cell r="D33">
            <v>45689</v>
          </cell>
          <cell r="E33">
            <v>45748</v>
          </cell>
          <cell r="F33">
            <v>3</v>
          </cell>
          <cell r="G33">
            <v>45748</v>
          </cell>
          <cell r="H33">
            <v>3</v>
          </cell>
          <cell r="I33">
            <v>45719</v>
          </cell>
          <cell r="J33">
            <v>900000</v>
          </cell>
          <cell r="K33" t="str">
            <v>EKSKLUSIF</v>
          </cell>
        </row>
        <row r="34">
          <cell r="A34">
            <v>92669</v>
          </cell>
          <cell r="B34" t="str">
            <v>APIK KUSUMA AYU</v>
          </cell>
          <cell r="C34" t="str">
            <v>DELTA</v>
          </cell>
          <cell r="D34">
            <v>45689</v>
          </cell>
          <cell r="E34">
            <v>45748</v>
          </cell>
          <cell r="F34">
            <v>3</v>
          </cell>
          <cell r="G34">
            <v>45748</v>
          </cell>
          <cell r="H34">
            <v>3</v>
          </cell>
          <cell r="I34">
            <v>45719</v>
          </cell>
          <cell r="J34">
            <v>900000</v>
          </cell>
          <cell r="K34" t="str">
            <v>EKSKLUSIF</v>
          </cell>
        </row>
        <row r="35">
          <cell r="A35" t="str">
            <v>A2953</v>
          </cell>
          <cell r="B35" t="str">
            <v>NAWANGWULAN DESIKUMALA</v>
          </cell>
          <cell r="C35" t="str">
            <v>DELTA</v>
          </cell>
          <cell r="D35">
            <v>45689</v>
          </cell>
          <cell r="E35">
            <v>45748</v>
          </cell>
          <cell r="F35">
            <v>3</v>
          </cell>
          <cell r="G35">
            <v>45748</v>
          </cell>
          <cell r="H35">
            <v>3</v>
          </cell>
          <cell r="I35">
            <v>45719</v>
          </cell>
          <cell r="J35">
            <v>900000</v>
          </cell>
          <cell r="K35" t="str">
            <v>EKSKLUSIF</v>
          </cell>
        </row>
        <row r="36">
          <cell r="A36" t="str">
            <v>A3259</v>
          </cell>
          <cell r="B36" t="str">
            <v>ALBERTUS CHRISTIAN ADE DARMAWA</v>
          </cell>
          <cell r="C36" t="str">
            <v>DELTA</v>
          </cell>
          <cell r="D36">
            <v>45689</v>
          </cell>
          <cell r="E36">
            <v>45748</v>
          </cell>
          <cell r="F36">
            <v>3</v>
          </cell>
          <cell r="G36">
            <v>45748</v>
          </cell>
          <cell r="H36">
            <v>3</v>
          </cell>
          <cell r="I36">
            <v>45719</v>
          </cell>
          <cell r="J36">
            <v>900000</v>
          </cell>
          <cell r="K36" t="str">
            <v>EKSKLUSIF</v>
          </cell>
        </row>
        <row r="37">
          <cell r="A37" t="str">
            <v>A1773</v>
          </cell>
          <cell r="B37" t="str">
            <v>Melinia Windy E</v>
          </cell>
          <cell r="C37" t="str">
            <v>DELTA</v>
          </cell>
          <cell r="D37">
            <v>45689</v>
          </cell>
          <cell r="E37">
            <v>45748</v>
          </cell>
          <cell r="F37">
            <v>3</v>
          </cell>
          <cell r="G37">
            <v>45748</v>
          </cell>
          <cell r="H37">
            <v>3</v>
          </cell>
          <cell r="I37">
            <v>45719</v>
          </cell>
          <cell r="J37">
            <v>900000</v>
          </cell>
          <cell r="K37" t="str">
            <v>EKSKLUSIF</v>
          </cell>
        </row>
        <row r="38">
          <cell r="A38" t="str">
            <v>A1762</v>
          </cell>
          <cell r="B38" t="str">
            <v>MUTAHIR ALI</v>
          </cell>
          <cell r="C38" t="str">
            <v>DELTA</v>
          </cell>
          <cell r="D38">
            <v>45689</v>
          </cell>
          <cell r="E38">
            <v>45748</v>
          </cell>
          <cell r="F38">
            <v>3</v>
          </cell>
          <cell r="G38">
            <v>45748</v>
          </cell>
          <cell r="H38">
            <v>3</v>
          </cell>
          <cell r="I38">
            <v>45719</v>
          </cell>
          <cell r="J38">
            <v>900000</v>
          </cell>
          <cell r="K38" t="str">
            <v>EKSKLUSIF</v>
          </cell>
        </row>
        <row r="39">
          <cell r="A39" t="str">
            <v>A1209</v>
          </cell>
          <cell r="B39" t="str">
            <v>ZULFI FAQIH NURUL JANNAH</v>
          </cell>
          <cell r="C39" t="str">
            <v>DELTA</v>
          </cell>
          <cell r="D39">
            <v>45689</v>
          </cell>
          <cell r="E39">
            <v>45748</v>
          </cell>
          <cell r="F39">
            <v>3</v>
          </cell>
          <cell r="G39">
            <v>45748</v>
          </cell>
          <cell r="H39">
            <v>3</v>
          </cell>
          <cell r="I39">
            <v>45719</v>
          </cell>
          <cell r="J39">
            <v>900000</v>
          </cell>
          <cell r="K39" t="str">
            <v>EKSKLUSIF</v>
          </cell>
        </row>
        <row r="40">
          <cell r="A40" t="str">
            <v>A0517</v>
          </cell>
          <cell r="B40" t="str">
            <v>CHATARINA SEPTRYANINGSI</v>
          </cell>
          <cell r="C40" t="str">
            <v>DELTA</v>
          </cell>
          <cell r="D40">
            <v>45689</v>
          </cell>
          <cell r="E40">
            <v>45748</v>
          </cell>
          <cell r="F40">
            <v>3</v>
          </cell>
          <cell r="G40">
            <v>45748</v>
          </cell>
          <cell r="H40">
            <v>3</v>
          </cell>
          <cell r="I40">
            <v>45719</v>
          </cell>
          <cell r="J40">
            <v>900000</v>
          </cell>
          <cell r="K40" t="str">
            <v>EKSKLUSIF</v>
          </cell>
        </row>
        <row r="41">
          <cell r="A41">
            <v>90592</v>
          </cell>
          <cell r="B41" t="str">
            <v>DINI SHINTIA PUTRI</v>
          </cell>
          <cell r="C41" t="str">
            <v>DELTA</v>
          </cell>
          <cell r="D41">
            <v>45689</v>
          </cell>
          <cell r="E41">
            <v>45748</v>
          </cell>
          <cell r="F41">
            <v>3</v>
          </cell>
          <cell r="G41">
            <v>45748</v>
          </cell>
          <cell r="H41">
            <v>3</v>
          </cell>
          <cell r="I41">
            <v>45719</v>
          </cell>
          <cell r="J41">
            <v>900000</v>
          </cell>
          <cell r="K41" t="str">
            <v>EKSKLUSIF</v>
          </cell>
        </row>
        <row r="42">
          <cell r="A42" t="str">
            <v>A1525</v>
          </cell>
          <cell r="B42" t="str">
            <v>MARSIDAH</v>
          </cell>
          <cell r="C42" t="str">
            <v>DELTA</v>
          </cell>
          <cell r="D42">
            <v>45689</v>
          </cell>
          <cell r="E42">
            <v>45748</v>
          </cell>
          <cell r="F42">
            <v>3</v>
          </cell>
          <cell r="G42">
            <v>45748</v>
          </cell>
          <cell r="H42">
            <v>3</v>
          </cell>
          <cell r="I42">
            <v>45719</v>
          </cell>
          <cell r="J42">
            <v>900000</v>
          </cell>
          <cell r="K42" t="str">
            <v>EKSKLUSIF</v>
          </cell>
        </row>
        <row r="43">
          <cell r="A43" t="str">
            <v>A0881</v>
          </cell>
          <cell r="B43" t="str">
            <v>ERINA EKA WULANDARI</v>
          </cell>
          <cell r="C43" t="str">
            <v>DELTA</v>
          </cell>
          <cell r="D43">
            <v>45689</v>
          </cell>
          <cell r="E43">
            <v>45748</v>
          </cell>
          <cell r="F43">
            <v>3</v>
          </cell>
          <cell r="G43">
            <v>45748</v>
          </cell>
          <cell r="H43">
            <v>3</v>
          </cell>
          <cell r="I43">
            <v>45719</v>
          </cell>
          <cell r="J43">
            <v>900000</v>
          </cell>
          <cell r="K43" t="str">
            <v>EKSKLUSIF</v>
          </cell>
        </row>
        <row r="44">
          <cell r="A44">
            <v>92135</v>
          </cell>
          <cell r="B44" t="str">
            <v>ERNAWATI NOFIA</v>
          </cell>
          <cell r="C44" t="str">
            <v>DELTA</v>
          </cell>
          <cell r="D44">
            <v>45689</v>
          </cell>
          <cell r="E44">
            <v>45748</v>
          </cell>
          <cell r="F44">
            <v>3</v>
          </cell>
          <cell r="G44">
            <v>45748</v>
          </cell>
          <cell r="H44">
            <v>3</v>
          </cell>
          <cell r="I44">
            <v>45719</v>
          </cell>
          <cell r="J44">
            <v>900000</v>
          </cell>
          <cell r="K44" t="str">
            <v>EKSKLUSIF</v>
          </cell>
        </row>
        <row r="45">
          <cell r="A45" t="str">
            <v>A1276</v>
          </cell>
          <cell r="B45" t="str">
            <v>⁠SINDI ARLINDA DEWI</v>
          </cell>
          <cell r="C45" t="str">
            <v>DELTA</v>
          </cell>
          <cell r="D45">
            <v>45689</v>
          </cell>
          <cell r="E45">
            <v>45748</v>
          </cell>
          <cell r="F45">
            <v>3</v>
          </cell>
          <cell r="G45">
            <v>45748</v>
          </cell>
          <cell r="H45">
            <v>3</v>
          </cell>
          <cell r="I45">
            <v>45719</v>
          </cell>
          <cell r="J45">
            <v>900000</v>
          </cell>
          <cell r="K45" t="str">
            <v>EKSKLUSIF</v>
          </cell>
        </row>
        <row r="46">
          <cell r="A46" t="str">
            <v>A4152</v>
          </cell>
          <cell r="B46" t="str">
            <v>KAMAL MAULANA RAMADHAN</v>
          </cell>
          <cell r="C46" t="str">
            <v>DELTA</v>
          </cell>
          <cell r="D46">
            <v>45689</v>
          </cell>
          <cell r="E46">
            <v>45748</v>
          </cell>
          <cell r="F46">
            <v>3</v>
          </cell>
          <cell r="G46">
            <v>45748</v>
          </cell>
          <cell r="H46">
            <v>3</v>
          </cell>
          <cell r="I46">
            <v>45719</v>
          </cell>
          <cell r="J46">
            <v>900000</v>
          </cell>
          <cell r="K46" t="str">
            <v>EKSKLUSIF</v>
          </cell>
        </row>
        <row r="47">
          <cell r="A47" t="str">
            <v>A2417</v>
          </cell>
          <cell r="B47" t="str">
            <v>LALANG WINATA BINTANG NANOE</v>
          </cell>
          <cell r="C47" t="str">
            <v>DELTA</v>
          </cell>
          <cell r="D47">
            <v>45689</v>
          </cell>
          <cell r="E47">
            <v>45748</v>
          </cell>
          <cell r="F47">
            <v>3</v>
          </cell>
          <cell r="G47">
            <v>45748</v>
          </cell>
          <cell r="H47">
            <v>3</v>
          </cell>
          <cell r="I47">
            <v>45719</v>
          </cell>
          <cell r="J47">
            <v>900000</v>
          </cell>
          <cell r="K47" t="str">
            <v>EKSKLUSIF</v>
          </cell>
        </row>
        <row r="48">
          <cell r="A48">
            <v>92287</v>
          </cell>
          <cell r="B48" t="str">
            <v>Alyda Rizka Islamiyati</v>
          </cell>
          <cell r="C48" t="str">
            <v>DELTA</v>
          </cell>
          <cell r="D48">
            <v>45689</v>
          </cell>
          <cell r="E48">
            <v>45748</v>
          </cell>
          <cell r="F48">
            <v>3</v>
          </cell>
          <cell r="G48">
            <v>45748</v>
          </cell>
          <cell r="H48">
            <v>3</v>
          </cell>
          <cell r="I48">
            <v>45719</v>
          </cell>
          <cell r="J48">
            <v>900000</v>
          </cell>
          <cell r="K48" t="str">
            <v>EKSKLUSIF</v>
          </cell>
        </row>
        <row r="49">
          <cell r="A49" t="str">
            <v>A1360</v>
          </cell>
          <cell r="B49" t="str">
            <v>NURPUTRANTO LAKSONO</v>
          </cell>
          <cell r="C49" t="str">
            <v>DELTA</v>
          </cell>
          <cell r="D49">
            <v>45717</v>
          </cell>
          <cell r="E49" t="str">
            <v>Mei 2025</v>
          </cell>
          <cell r="F49">
            <v>3</v>
          </cell>
          <cell r="G49">
            <v>45748</v>
          </cell>
          <cell r="H49">
            <v>2</v>
          </cell>
          <cell r="I49">
            <v>45691</v>
          </cell>
          <cell r="J49">
            <v>300000</v>
          </cell>
          <cell r="K49" t="str">
            <v>EKSKLUSIF</v>
          </cell>
        </row>
        <row r="50">
          <cell r="A50" t="str">
            <v>A3833</v>
          </cell>
          <cell r="B50" t="str">
            <v>MUHAMMAD SUBHAN</v>
          </cell>
          <cell r="C50" t="str">
            <v>DELTA</v>
          </cell>
          <cell r="D50">
            <v>45717</v>
          </cell>
          <cell r="E50" t="str">
            <v>Mei 2025</v>
          </cell>
          <cell r="F50">
            <v>3</v>
          </cell>
          <cell r="G50">
            <v>45748</v>
          </cell>
          <cell r="H50">
            <v>2</v>
          </cell>
          <cell r="I50">
            <v>45691</v>
          </cell>
          <cell r="J50">
            <v>300000</v>
          </cell>
          <cell r="K50" t="str">
            <v>EKSKLUSIF</v>
          </cell>
        </row>
        <row r="51">
          <cell r="A51">
            <v>92539</v>
          </cell>
          <cell r="B51" t="str">
            <v>ROSIANA</v>
          </cell>
          <cell r="C51" t="str">
            <v>DELTA</v>
          </cell>
          <cell r="D51">
            <v>45717</v>
          </cell>
          <cell r="E51" t="str">
            <v>Mei 2025</v>
          </cell>
          <cell r="F51">
            <v>3</v>
          </cell>
          <cell r="G51">
            <v>45748</v>
          </cell>
          <cell r="H51">
            <v>2</v>
          </cell>
          <cell r="I51">
            <v>45691</v>
          </cell>
          <cell r="J51">
            <v>300000</v>
          </cell>
          <cell r="K51" t="str">
            <v>EKSKLUSIF</v>
          </cell>
        </row>
        <row r="52">
          <cell r="A52" t="str">
            <v>A0745</v>
          </cell>
          <cell r="B52" t="str">
            <v>ANE MELISA MURNI</v>
          </cell>
          <cell r="C52" t="str">
            <v>DELTA</v>
          </cell>
          <cell r="D52">
            <v>45717</v>
          </cell>
          <cell r="E52" t="str">
            <v>Mei 2025</v>
          </cell>
          <cell r="F52">
            <v>3</v>
          </cell>
          <cell r="G52">
            <v>45748</v>
          </cell>
          <cell r="H52">
            <v>2</v>
          </cell>
          <cell r="I52">
            <v>45691</v>
          </cell>
          <cell r="J52">
            <v>300000</v>
          </cell>
          <cell r="K52" t="str">
            <v>EKSKLUSIF</v>
          </cell>
        </row>
        <row r="53">
          <cell r="A53" t="str">
            <v>A0725</v>
          </cell>
          <cell r="B53" t="str">
            <v>NUR KHASANAH</v>
          </cell>
          <cell r="C53" t="str">
            <v>DELTA</v>
          </cell>
          <cell r="D53">
            <v>45717</v>
          </cell>
          <cell r="E53" t="str">
            <v>Mei 2025</v>
          </cell>
          <cell r="F53">
            <v>3</v>
          </cell>
          <cell r="G53">
            <v>45748</v>
          </cell>
          <cell r="H53">
            <v>2</v>
          </cell>
          <cell r="I53">
            <v>45691</v>
          </cell>
          <cell r="J53">
            <v>300000</v>
          </cell>
          <cell r="K53" t="str">
            <v>EKSKLUSIF</v>
          </cell>
        </row>
        <row r="54">
          <cell r="A54" t="str">
            <v>A3785</v>
          </cell>
          <cell r="B54" t="str">
            <v>MUHAMMAD DAFA FEBRIANSYAH</v>
          </cell>
          <cell r="C54" t="str">
            <v>DELTA</v>
          </cell>
          <cell r="D54">
            <v>45717</v>
          </cell>
          <cell r="E54" t="str">
            <v>Mei 2025</v>
          </cell>
          <cell r="F54">
            <v>3</v>
          </cell>
          <cell r="G54">
            <v>45748</v>
          </cell>
          <cell r="H54">
            <v>2</v>
          </cell>
          <cell r="I54">
            <v>45691</v>
          </cell>
          <cell r="J54">
            <v>300000</v>
          </cell>
          <cell r="K54" t="str">
            <v>EKSKLUSIF</v>
          </cell>
        </row>
        <row r="55">
          <cell r="A55" t="str">
            <v>A1349</v>
          </cell>
          <cell r="B55" t="str">
            <v>TISA NORSARI</v>
          </cell>
          <cell r="C55" t="str">
            <v>DELTA</v>
          </cell>
          <cell r="D55">
            <v>45717</v>
          </cell>
          <cell r="E55" t="str">
            <v>Mei 2025</v>
          </cell>
          <cell r="F55">
            <v>3</v>
          </cell>
          <cell r="G55">
            <v>45748</v>
          </cell>
          <cell r="H55">
            <v>2</v>
          </cell>
          <cell r="I55">
            <v>45691</v>
          </cell>
          <cell r="J55">
            <v>300000</v>
          </cell>
          <cell r="K55" t="str">
            <v>EKSKLUSIF</v>
          </cell>
        </row>
        <row r="56">
          <cell r="A56" t="str">
            <v>A1651</v>
          </cell>
          <cell r="B56" t="str">
            <v>NUR ROMADANI F</v>
          </cell>
          <cell r="C56" t="str">
            <v>DELTA</v>
          </cell>
          <cell r="D56">
            <v>45717</v>
          </cell>
          <cell r="E56" t="str">
            <v>Mei 2025</v>
          </cell>
          <cell r="F56">
            <v>3</v>
          </cell>
          <cell r="G56">
            <v>45748</v>
          </cell>
          <cell r="H56">
            <v>2</v>
          </cell>
          <cell r="I56">
            <v>45691</v>
          </cell>
          <cell r="J56">
            <v>300000</v>
          </cell>
          <cell r="K56" t="str">
            <v>EKSKLUSIF</v>
          </cell>
        </row>
        <row r="57">
          <cell r="A57" t="str">
            <v>A3476</v>
          </cell>
          <cell r="B57" t="str">
            <v>PRILLA IMADIANA FAJRIN</v>
          </cell>
          <cell r="C57" t="str">
            <v>DELTA</v>
          </cell>
          <cell r="D57">
            <v>45717</v>
          </cell>
          <cell r="E57" t="str">
            <v>Mei 2025</v>
          </cell>
          <cell r="F57">
            <v>3</v>
          </cell>
          <cell r="G57">
            <v>45748</v>
          </cell>
          <cell r="H57">
            <v>2</v>
          </cell>
          <cell r="I57">
            <v>45691</v>
          </cell>
          <cell r="J57">
            <v>300000</v>
          </cell>
          <cell r="K57" t="str">
            <v>EKSKLUSIF</v>
          </cell>
        </row>
        <row r="58">
          <cell r="A58" t="str">
            <v>A3218</v>
          </cell>
          <cell r="B58" t="str">
            <v>Irma Sembiring</v>
          </cell>
          <cell r="C58" t="str">
            <v>DELTA</v>
          </cell>
          <cell r="D58">
            <v>45717</v>
          </cell>
          <cell r="E58" t="str">
            <v>Mei 2025</v>
          </cell>
          <cell r="F58">
            <v>3</v>
          </cell>
          <cell r="G58">
            <v>45748</v>
          </cell>
          <cell r="H58">
            <v>2</v>
          </cell>
          <cell r="I58">
            <v>45691</v>
          </cell>
          <cell r="J58">
            <v>300000</v>
          </cell>
          <cell r="K58" t="str">
            <v>EKSKLUSIF</v>
          </cell>
        </row>
        <row r="59">
          <cell r="A59" t="str">
            <v>A2320</v>
          </cell>
          <cell r="B59" t="str">
            <v>Margarita Polly</v>
          </cell>
          <cell r="C59" t="str">
            <v>DELTA</v>
          </cell>
          <cell r="D59">
            <v>45717</v>
          </cell>
          <cell r="E59" t="str">
            <v>Mei 2025</v>
          </cell>
          <cell r="F59">
            <v>3</v>
          </cell>
          <cell r="G59">
            <v>45748</v>
          </cell>
          <cell r="H59">
            <v>2</v>
          </cell>
          <cell r="I59">
            <v>45691</v>
          </cell>
          <cell r="J59">
            <v>300000</v>
          </cell>
          <cell r="K59" t="str">
            <v>EKSKLUSIF</v>
          </cell>
        </row>
        <row r="60">
          <cell r="A60" t="str">
            <v>A3479</v>
          </cell>
          <cell r="B60" t="str">
            <v>Vassya Dian</v>
          </cell>
          <cell r="C60" t="str">
            <v>DELTA</v>
          </cell>
          <cell r="D60">
            <v>45717</v>
          </cell>
          <cell r="E60" t="str">
            <v>Mei 2025</v>
          </cell>
          <cell r="F60">
            <v>3</v>
          </cell>
          <cell r="G60">
            <v>45748</v>
          </cell>
          <cell r="H60">
            <v>2</v>
          </cell>
          <cell r="I60">
            <v>45691</v>
          </cell>
          <cell r="J60">
            <v>300000</v>
          </cell>
          <cell r="K60" t="str">
            <v>EKSKLUSIF</v>
          </cell>
        </row>
        <row r="61">
          <cell r="A61" t="str">
            <v>A3172</v>
          </cell>
          <cell r="B61" t="str">
            <v>NURYANI NURYANI</v>
          </cell>
          <cell r="C61" t="str">
            <v>DELTA</v>
          </cell>
          <cell r="D61">
            <v>45717</v>
          </cell>
          <cell r="E61" t="str">
            <v>Mei 2025</v>
          </cell>
          <cell r="F61">
            <v>3</v>
          </cell>
          <cell r="G61">
            <v>45748</v>
          </cell>
          <cell r="H61">
            <v>2</v>
          </cell>
          <cell r="I61">
            <v>45691</v>
          </cell>
          <cell r="J61">
            <v>300000</v>
          </cell>
          <cell r="K61" t="str">
            <v>EKSKLUSIF</v>
          </cell>
        </row>
        <row r="62">
          <cell r="A62">
            <v>90648</v>
          </cell>
          <cell r="B62" t="str">
            <v>WAHYU IDHAYATI</v>
          </cell>
          <cell r="C62" t="str">
            <v>DELTA</v>
          </cell>
          <cell r="D62">
            <v>45717</v>
          </cell>
          <cell r="E62" t="str">
            <v>Mei 2025</v>
          </cell>
          <cell r="F62">
            <v>3</v>
          </cell>
          <cell r="G62">
            <v>45748</v>
          </cell>
          <cell r="H62">
            <v>2</v>
          </cell>
          <cell r="I62">
            <v>45691</v>
          </cell>
          <cell r="J62">
            <v>300000</v>
          </cell>
          <cell r="K62" t="str">
            <v>EKSKLUSIF</v>
          </cell>
        </row>
        <row r="63">
          <cell r="A63" t="str">
            <v>A0378</v>
          </cell>
          <cell r="B63" t="str">
            <v>WIRANTI PUTRI</v>
          </cell>
          <cell r="C63" t="str">
            <v>DELTA</v>
          </cell>
          <cell r="D63">
            <v>45717</v>
          </cell>
          <cell r="E63" t="str">
            <v>Mei 2025</v>
          </cell>
          <cell r="F63">
            <v>3</v>
          </cell>
          <cell r="G63">
            <v>45748</v>
          </cell>
          <cell r="H63">
            <v>2</v>
          </cell>
          <cell r="I63">
            <v>45691</v>
          </cell>
          <cell r="J63">
            <v>300000</v>
          </cell>
          <cell r="K63" t="str">
            <v>EKSKLUSIF</v>
          </cell>
        </row>
        <row r="64">
          <cell r="A64" t="str">
            <v>A0261</v>
          </cell>
          <cell r="B64" t="str">
            <v>CHELSI ANANDA</v>
          </cell>
          <cell r="C64" t="str">
            <v>DELTA</v>
          </cell>
          <cell r="D64">
            <v>45717</v>
          </cell>
          <cell r="E64" t="str">
            <v>Mei 2025</v>
          </cell>
          <cell r="F64">
            <v>3</v>
          </cell>
          <cell r="G64">
            <v>45748</v>
          </cell>
          <cell r="H64">
            <v>2</v>
          </cell>
          <cell r="I64">
            <v>45691</v>
          </cell>
          <cell r="J64">
            <v>300000</v>
          </cell>
          <cell r="K64" t="str">
            <v>EKSKLUSIF</v>
          </cell>
        </row>
        <row r="65">
          <cell r="A65" t="str">
            <v>A2925</v>
          </cell>
          <cell r="B65" t="str">
            <v>MARIA GORETTI DIAN PERMATA HADI</v>
          </cell>
          <cell r="C65" t="str">
            <v>DELTA</v>
          </cell>
          <cell r="D65">
            <v>45717</v>
          </cell>
          <cell r="E65" t="str">
            <v>Mei 2025</v>
          </cell>
          <cell r="F65">
            <v>3</v>
          </cell>
          <cell r="G65">
            <v>45748</v>
          </cell>
          <cell r="H65">
            <v>2</v>
          </cell>
          <cell r="I65">
            <v>45691</v>
          </cell>
          <cell r="J65">
            <v>300000</v>
          </cell>
          <cell r="K65" t="str">
            <v>EKSKLUSIF</v>
          </cell>
        </row>
        <row r="66">
          <cell r="A66" t="str">
            <v>A0999</v>
          </cell>
          <cell r="B66" t="str">
            <v>MUH LUTHFI AZIZ</v>
          </cell>
          <cell r="C66" t="str">
            <v>DELTA</v>
          </cell>
          <cell r="D66">
            <v>45717</v>
          </cell>
          <cell r="E66" t="str">
            <v>Mei 2025</v>
          </cell>
          <cell r="F66">
            <v>3</v>
          </cell>
          <cell r="G66">
            <v>45748</v>
          </cell>
          <cell r="H66">
            <v>2</v>
          </cell>
          <cell r="I66">
            <v>45691</v>
          </cell>
          <cell r="J66">
            <v>300000</v>
          </cell>
          <cell r="K66" t="str">
            <v>EKSKLUSIF</v>
          </cell>
        </row>
        <row r="67">
          <cell r="A67" t="str">
            <v>A0969</v>
          </cell>
          <cell r="B67" t="str">
            <v>ANGGI DWI</v>
          </cell>
          <cell r="C67" t="str">
            <v>DELTA</v>
          </cell>
          <cell r="D67">
            <v>45717</v>
          </cell>
          <cell r="E67" t="str">
            <v>Mei 2025</v>
          </cell>
          <cell r="F67">
            <v>3</v>
          </cell>
          <cell r="G67">
            <v>45748</v>
          </cell>
          <cell r="H67">
            <v>2</v>
          </cell>
          <cell r="I67">
            <v>45691</v>
          </cell>
          <cell r="J67">
            <v>300000</v>
          </cell>
          <cell r="K67" t="str">
            <v>EKSKLUSIF</v>
          </cell>
        </row>
        <row r="68">
          <cell r="A68" t="str">
            <v>A1854</v>
          </cell>
          <cell r="B68" t="str">
            <v>SALSABILA OKTAVIMADIANA</v>
          </cell>
          <cell r="C68" t="str">
            <v>DELTA</v>
          </cell>
          <cell r="D68">
            <v>45748</v>
          </cell>
          <cell r="E68">
            <v>45809</v>
          </cell>
          <cell r="F68">
            <v>3</v>
          </cell>
          <cell r="G68">
            <v>45748</v>
          </cell>
          <cell r="H68">
            <v>1</v>
          </cell>
          <cell r="I68">
            <v>45660</v>
          </cell>
          <cell r="J68">
            <v>300000</v>
          </cell>
          <cell r="K68" t="str">
            <v>EKSKLUSIF</v>
          </cell>
        </row>
        <row r="69">
          <cell r="A69" t="str">
            <v>A1219</v>
          </cell>
          <cell r="B69" t="str">
            <v>AZIZ ALFISYAHRI</v>
          </cell>
          <cell r="C69" t="str">
            <v>DELTA</v>
          </cell>
          <cell r="D69">
            <v>45748</v>
          </cell>
          <cell r="E69">
            <v>45809</v>
          </cell>
          <cell r="F69">
            <v>3</v>
          </cell>
          <cell r="G69">
            <v>45748</v>
          </cell>
          <cell r="H69">
            <v>1</v>
          </cell>
          <cell r="I69">
            <v>45660</v>
          </cell>
          <cell r="J69">
            <v>300000</v>
          </cell>
          <cell r="K69" t="str">
            <v>EKSKLUSIF</v>
          </cell>
        </row>
        <row r="70">
          <cell r="A70" t="str">
            <v>A1957</v>
          </cell>
          <cell r="B70" t="str">
            <v>FATIA</v>
          </cell>
          <cell r="C70" t="str">
            <v>DELTA</v>
          </cell>
          <cell r="D70">
            <v>45748</v>
          </cell>
          <cell r="E70">
            <v>45809</v>
          </cell>
          <cell r="F70">
            <v>3</v>
          </cell>
          <cell r="G70">
            <v>45748</v>
          </cell>
          <cell r="H70">
            <v>1</v>
          </cell>
          <cell r="I70">
            <v>45660</v>
          </cell>
          <cell r="J70">
            <v>300000</v>
          </cell>
          <cell r="K70" t="str">
            <v>EKSKLUSIF</v>
          </cell>
        </row>
        <row r="71">
          <cell r="A71" t="str">
            <v>A1841</v>
          </cell>
          <cell r="B71" t="str">
            <v>Adhina Putriana Kusumawat</v>
          </cell>
          <cell r="C71" t="str">
            <v>DELTA</v>
          </cell>
          <cell r="D71">
            <v>45748</v>
          </cell>
          <cell r="E71">
            <v>45809</v>
          </cell>
          <cell r="F71">
            <v>3</v>
          </cell>
          <cell r="G71">
            <v>45748</v>
          </cell>
          <cell r="H71">
            <v>1</v>
          </cell>
          <cell r="I71">
            <v>45660</v>
          </cell>
          <cell r="J71">
            <v>300000</v>
          </cell>
          <cell r="K71" t="str">
            <v>EKSKLUSIF</v>
          </cell>
        </row>
        <row r="72">
          <cell r="A72" t="str">
            <v>A0830</v>
          </cell>
          <cell r="B72" t="str">
            <v>Margi Suryani</v>
          </cell>
          <cell r="C72" t="str">
            <v>DELTA</v>
          </cell>
          <cell r="D72">
            <v>45748</v>
          </cell>
          <cell r="E72">
            <v>45809</v>
          </cell>
          <cell r="F72">
            <v>3</v>
          </cell>
          <cell r="G72">
            <v>45748</v>
          </cell>
          <cell r="H72">
            <v>1</v>
          </cell>
          <cell r="I72">
            <v>45660</v>
          </cell>
          <cell r="J72">
            <v>300000</v>
          </cell>
          <cell r="K72" t="str">
            <v>EKSKLUSIF</v>
          </cell>
        </row>
        <row r="73">
          <cell r="A73" t="str">
            <v>A0874</v>
          </cell>
          <cell r="B73" t="str">
            <v>Galih Mardiana</v>
          </cell>
          <cell r="C73" t="str">
            <v>DELTA</v>
          </cell>
          <cell r="D73">
            <v>45748</v>
          </cell>
          <cell r="E73">
            <v>45809</v>
          </cell>
          <cell r="F73">
            <v>3</v>
          </cell>
          <cell r="G73">
            <v>45748</v>
          </cell>
          <cell r="H73">
            <v>1</v>
          </cell>
          <cell r="I73">
            <v>45660</v>
          </cell>
          <cell r="J73">
            <v>300000</v>
          </cell>
          <cell r="K73" t="str">
            <v>EKSKLUSIF</v>
          </cell>
        </row>
        <row r="74">
          <cell r="A74" t="str">
            <v>A1096</v>
          </cell>
          <cell r="B74" t="str">
            <v>NILA HAQIQI</v>
          </cell>
          <cell r="C74" t="str">
            <v>DELTA</v>
          </cell>
          <cell r="D74">
            <v>45748</v>
          </cell>
          <cell r="E74">
            <v>45809</v>
          </cell>
          <cell r="F74">
            <v>3</v>
          </cell>
          <cell r="G74">
            <v>45748</v>
          </cell>
          <cell r="H74">
            <v>1</v>
          </cell>
          <cell r="I74">
            <v>45660</v>
          </cell>
          <cell r="J74">
            <v>300000</v>
          </cell>
          <cell r="K74" t="str">
            <v>EKSKLUSIF</v>
          </cell>
        </row>
        <row r="75">
          <cell r="A75" t="str">
            <v>A2255</v>
          </cell>
          <cell r="B75" t="str">
            <v>ELI SANTI SITOHANG</v>
          </cell>
          <cell r="C75" t="str">
            <v>DELTA</v>
          </cell>
          <cell r="D75">
            <v>45748</v>
          </cell>
          <cell r="E75">
            <v>45809</v>
          </cell>
          <cell r="F75">
            <v>3</v>
          </cell>
          <cell r="G75">
            <v>45748</v>
          </cell>
          <cell r="H75">
            <v>1</v>
          </cell>
          <cell r="I75">
            <v>45660</v>
          </cell>
          <cell r="J75">
            <v>300000</v>
          </cell>
          <cell r="K75" t="str">
            <v>EKSKLUSIF</v>
          </cell>
        </row>
        <row r="76">
          <cell r="A76" t="str">
            <v>A1329</v>
          </cell>
          <cell r="B76" t="str">
            <v>NABILA HASNA</v>
          </cell>
          <cell r="C76" t="str">
            <v>DELTA</v>
          </cell>
          <cell r="D76">
            <v>45748</v>
          </cell>
          <cell r="E76">
            <v>45809</v>
          </cell>
          <cell r="F76">
            <v>3</v>
          </cell>
          <cell r="G76">
            <v>45748</v>
          </cell>
          <cell r="H76">
            <v>1</v>
          </cell>
          <cell r="I76">
            <v>45660</v>
          </cell>
          <cell r="J76">
            <v>300000</v>
          </cell>
          <cell r="K76" t="str">
            <v>EKSKLUSIF</v>
          </cell>
        </row>
        <row r="77">
          <cell r="A77" t="str">
            <v>A1280</v>
          </cell>
          <cell r="B77" t="str">
            <v>PASKHA APRILIANINGSIH</v>
          </cell>
          <cell r="C77" t="str">
            <v>DELTA</v>
          </cell>
          <cell r="D77">
            <v>45748</v>
          </cell>
          <cell r="E77">
            <v>45809</v>
          </cell>
          <cell r="F77">
            <v>3</v>
          </cell>
          <cell r="G77">
            <v>45748</v>
          </cell>
          <cell r="H77">
            <v>1</v>
          </cell>
          <cell r="I77">
            <v>45660</v>
          </cell>
          <cell r="J77">
            <v>300000</v>
          </cell>
          <cell r="K77" t="str">
            <v>EKSKLUSIF</v>
          </cell>
        </row>
        <row r="78">
          <cell r="A78" t="str">
            <v>A1215</v>
          </cell>
          <cell r="B78" t="str">
            <v>ESTERINA KUSUMAWATI</v>
          </cell>
          <cell r="C78" t="str">
            <v>DELTA</v>
          </cell>
          <cell r="D78">
            <v>45748</v>
          </cell>
          <cell r="E78">
            <v>45809</v>
          </cell>
          <cell r="F78">
            <v>3</v>
          </cell>
          <cell r="G78">
            <v>45748</v>
          </cell>
          <cell r="H78">
            <v>1</v>
          </cell>
          <cell r="I78">
            <v>45660</v>
          </cell>
          <cell r="J78">
            <v>300000</v>
          </cell>
          <cell r="K78" t="str">
            <v>EKSKLUSIF</v>
          </cell>
        </row>
        <row r="79">
          <cell r="A79" t="str">
            <v>A0770</v>
          </cell>
          <cell r="B79" t="str">
            <v>ELZE ZULFANNY</v>
          </cell>
          <cell r="C79" t="str">
            <v>DELTA</v>
          </cell>
          <cell r="D79">
            <v>45748</v>
          </cell>
          <cell r="E79">
            <v>45809</v>
          </cell>
          <cell r="F79">
            <v>3</v>
          </cell>
          <cell r="G79">
            <v>45748</v>
          </cell>
          <cell r="H79">
            <v>1</v>
          </cell>
          <cell r="I79">
            <v>45660</v>
          </cell>
          <cell r="J79">
            <v>300000</v>
          </cell>
          <cell r="K79" t="str">
            <v>EKSKLUSIF</v>
          </cell>
        </row>
        <row r="80">
          <cell r="A80" t="str">
            <v>A1461</v>
          </cell>
          <cell r="B80" t="str">
            <v>AKHSA EKA MAHARANI</v>
          </cell>
          <cell r="C80" t="str">
            <v>DELTA</v>
          </cell>
          <cell r="D80">
            <v>45748</v>
          </cell>
          <cell r="E80">
            <v>45809</v>
          </cell>
          <cell r="F80">
            <v>3</v>
          </cell>
          <cell r="G80">
            <v>45748</v>
          </cell>
          <cell r="H80">
            <v>1</v>
          </cell>
          <cell r="I80">
            <v>45660</v>
          </cell>
          <cell r="J80">
            <v>300000</v>
          </cell>
          <cell r="K80" t="str">
            <v>EKSKLUSIF</v>
          </cell>
        </row>
        <row r="81">
          <cell r="A81" t="str">
            <v>A2145</v>
          </cell>
          <cell r="B81" t="str">
            <v>LAILY FAJRIYANTI</v>
          </cell>
          <cell r="C81" t="str">
            <v>DELTA</v>
          </cell>
          <cell r="D81">
            <v>45748</v>
          </cell>
          <cell r="E81">
            <v>45809</v>
          </cell>
          <cell r="F81">
            <v>3</v>
          </cell>
          <cell r="G81">
            <v>45748</v>
          </cell>
          <cell r="H81">
            <v>1</v>
          </cell>
          <cell r="I81">
            <v>45660</v>
          </cell>
          <cell r="J81">
            <v>300000</v>
          </cell>
          <cell r="K81" t="str">
            <v>EKSKLUSIF</v>
          </cell>
        </row>
        <row r="82">
          <cell r="A82" t="str">
            <v>A3597</v>
          </cell>
          <cell r="B82" t="str">
            <v>Windi Ayuni Sijabat</v>
          </cell>
          <cell r="C82" t="str">
            <v>DELTA</v>
          </cell>
          <cell r="D82">
            <v>45748</v>
          </cell>
          <cell r="E82">
            <v>45809</v>
          </cell>
          <cell r="F82">
            <v>3</v>
          </cell>
          <cell r="G82">
            <v>45748</v>
          </cell>
          <cell r="H82">
            <v>1</v>
          </cell>
          <cell r="I82">
            <v>45660</v>
          </cell>
          <cell r="J82">
            <v>300000</v>
          </cell>
          <cell r="K82" t="str">
            <v>EKSKLUSIF</v>
          </cell>
        </row>
        <row r="83">
          <cell r="A83" t="str">
            <v>A0750</v>
          </cell>
          <cell r="B83" t="str">
            <v>Arvianti Jilly Vanesha Mulete</v>
          </cell>
          <cell r="C83" t="str">
            <v>DELTA</v>
          </cell>
          <cell r="D83">
            <v>45748</v>
          </cell>
          <cell r="E83">
            <v>45809</v>
          </cell>
          <cell r="F83">
            <v>3</v>
          </cell>
          <cell r="G83">
            <v>45748</v>
          </cell>
          <cell r="H83">
            <v>1</v>
          </cell>
          <cell r="I83">
            <v>45660</v>
          </cell>
          <cell r="J83">
            <v>300000</v>
          </cell>
          <cell r="K83" t="str">
            <v>EKSKLUSIF</v>
          </cell>
        </row>
        <row r="84">
          <cell r="A84" t="str">
            <v>A3321</v>
          </cell>
          <cell r="B84" t="str">
            <v>DESTI RAHMAWATI</v>
          </cell>
          <cell r="C84" t="str">
            <v>DELTA</v>
          </cell>
          <cell r="D84">
            <v>45748</v>
          </cell>
          <cell r="E84">
            <v>45809</v>
          </cell>
          <cell r="F84">
            <v>3</v>
          </cell>
          <cell r="G84">
            <v>45748</v>
          </cell>
          <cell r="H84">
            <v>1</v>
          </cell>
          <cell r="I84">
            <v>45660</v>
          </cell>
          <cell r="J84">
            <v>300000</v>
          </cell>
          <cell r="K84" t="str">
            <v>EKSKLUSIF</v>
          </cell>
        </row>
        <row r="85">
          <cell r="A85" t="str">
            <v>A0320</v>
          </cell>
          <cell r="B85" t="str">
            <v>Deafni Dinda R Utami</v>
          </cell>
          <cell r="C85" t="str">
            <v>DELTA</v>
          </cell>
          <cell r="D85">
            <v>45748</v>
          </cell>
          <cell r="E85">
            <v>45809</v>
          </cell>
          <cell r="F85">
            <v>3</v>
          </cell>
          <cell r="G85">
            <v>45748</v>
          </cell>
          <cell r="H85">
            <v>1</v>
          </cell>
          <cell r="I85">
            <v>45660</v>
          </cell>
          <cell r="J85">
            <v>300000</v>
          </cell>
          <cell r="K85" t="str">
            <v>EKSKLUSIF</v>
          </cell>
        </row>
        <row r="86">
          <cell r="A86" t="str">
            <v>A1185</v>
          </cell>
          <cell r="B86" t="str">
            <v>SAFA PRAYUDA</v>
          </cell>
          <cell r="C86" t="str">
            <v>DELTA</v>
          </cell>
          <cell r="D86">
            <v>45748</v>
          </cell>
          <cell r="E86">
            <v>45809</v>
          </cell>
          <cell r="F86">
            <v>3</v>
          </cell>
          <cell r="G86">
            <v>45748</v>
          </cell>
          <cell r="H86">
            <v>1</v>
          </cell>
          <cell r="I86">
            <v>45660</v>
          </cell>
          <cell r="J86">
            <v>300000</v>
          </cell>
          <cell r="K86" t="str">
            <v>EKSKLUSIF</v>
          </cell>
        </row>
        <row r="87">
          <cell r="A87" t="str">
            <v>A1755</v>
          </cell>
          <cell r="B87" t="str">
            <v>TIFANI ADELIA SYAFITRI</v>
          </cell>
          <cell r="C87" t="str">
            <v>DELTA</v>
          </cell>
          <cell r="D87">
            <v>45748</v>
          </cell>
          <cell r="E87">
            <v>45809</v>
          </cell>
          <cell r="F87">
            <v>3</v>
          </cell>
          <cell r="G87">
            <v>45748</v>
          </cell>
          <cell r="H87">
            <v>1</v>
          </cell>
          <cell r="I87">
            <v>45660</v>
          </cell>
          <cell r="J87">
            <v>300000</v>
          </cell>
          <cell r="K87" t="str">
            <v>EKSKLUSIF</v>
          </cell>
        </row>
        <row r="88">
          <cell r="A88" t="str">
            <v>A3599</v>
          </cell>
          <cell r="B88" t="str">
            <v>HANIFAH RAHMADHANI</v>
          </cell>
          <cell r="C88" t="str">
            <v>DELTA</v>
          </cell>
          <cell r="D88">
            <v>45748</v>
          </cell>
          <cell r="E88">
            <v>45809</v>
          </cell>
          <cell r="F88">
            <v>3</v>
          </cell>
          <cell r="G88">
            <v>45748</v>
          </cell>
          <cell r="H88">
            <v>1</v>
          </cell>
          <cell r="I88">
            <v>45660</v>
          </cell>
          <cell r="J88">
            <v>300000</v>
          </cell>
          <cell r="K88" t="str">
            <v>EKSKLUSIF</v>
          </cell>
        </row>
        <row r="89">
          <cell r="A89" t="str">
            <v>A3826</v>
          </cell>
          <cell r="B89" t="str">
            <v>IRENE INTAN PRADISTA</v>
          </cell>
          <cell r="C89" t="str">
            <v>DELTA</v>
          </cell>
          <cell r="D89">
            <v>45748</v>
          </cell>
          <cell r="E89">
            <v>45809</v>
          </cell>
          <cell r="F89">
            <v>3</v>
          </cell>
          <cell r="G89">
            <v>45748</v>
          </cell>
          <cell r="H89">
            <v>1</v>
          </cell>
          <cell r="I89">
            <v>45660</v>
          </cell>
          <cell r="J89">
            <v>300000</v>
          </cell>
          <cell r="K89" t="str">
            <v>EKSKLUSIF</v>
          </cell>
        </row>
        <row r="90">
          <cell r="A90" t="str">
            <v>A0964</v>
          </cell>
          <cell r="B90" t="str">
            <v>Anisa Desianti Ramadhani</v>
          </cell>
          <cell r="C90" t="str">
            <v>DELTA</v>
          </cell>
          <cell r="D90">
            <v>45748</v>
          </cell>
          <cell r="E90">
            <v>45809</v>
          </cell>
          <cell r="F90">
            <v>3</v>
          </cell>
          <cell r="G90">
            <v>45748</v>
          </cell>
          <cell r="H90">
            <v>1</v>
          </cell>
          <cell r="I90">
            <v>45660</v>
          </cell>
          <cell r="J90">
            <v>300000</v>
          </cell>
          <cell r="K90" t="str">
            <v>EKSKLUSIF</v>
          </cell>
        </row>
        <row r="91">
          <cell r="A91" t="str">
            <v>A4024</v>
          </cell>
          <cell r="B91" t="str">
            <v>FITRIA NURUL</v>
          </cell>
          <cell r="C91" t="str">
            <v>TEMA C2</v>
          </cell>
          <cell r="D91">
            <v>45597</v>
          </cell>
          <cell r="E91">
            <v>45748</v>
          </cell>
          <cell r="F91">
            <v>6</v>
          </cell>
          <cell r="G91">
            <v>45748</v>
          </cell>
          <cell r="H91">
            <v>6</v>
          </cell>
          <cell r="I91">
            <v>45814</v>
          </cell>
          <cell r="J91">
            <v>1600000</v>
          </cell>
          <cell r="K91" t="str">
            <v>EKSKLUSIF</v>
          </cell>
        </row>
        <row r="92">
          <cell r="A92" t="str">
            <v>A4341</v>
          </cell>
          <cell r="B92" t="str">
            <v>RIZA ULHIDAYAH H</v>
          </cell>
          <cell r="C92" t="str">
            <v>TEMA C2</v>
          </cell>
          <cell r="D92">
            <v>45597</v>
          </cell>
          <cell r="E92">
            <v>45748</v>
          </cell>
          <cell r="F92">
            <v>6</v>
          </cell>
          <cell r="G92">
            <v>45748</v>
          </cell>
          <cell r="H92">
            <v>6</v>
          </cell>
          <cell r="I92">
            <v>45814</v>
          </cell>
          <cell r="J92">
            <v>1600000</v>
          </cell>
          <cell r="K92" t="str">
            <v>EKSKLUSIF</v>
          </cell>
        </row>
        <row r="93">
          <cell r="A93" t="str">
            <v>A1638</v>
          </cell>
          <cell r="B93" t="str">
            <v>ERNI DWI WIDYANTI</v>
          </cell>
          <cell r="C93" t="str">
            <v>TEMA C2</v>
          </cell>
          <cell r="D93">
            <v>45597</v>
          </cell>
          <cell r="E93">
            <v>45748</v>
          </cell>
          <cell r="F93">
            <v>6</v>
          </cell>
          <cell r="G93">
            <v>45748</v>
          </cell>
          <cell r="H93">
            <v>6</v>
          </cell>
          <cell r="I93">
            <v>45814</v>
          </cell>
          <cell r="J93">
            <v>1600000</v>
          </cell>
          <cell r="K93" t="str">
            <v>EKSKLUSIF</v>
          </cell>
        </row>
        <row r="94">
          <cell r="A94" t="str">
            <v>A4470</v>
          </cell>
          <cell r="B94" t="str">
            <v>Syarifatul Mukaromah</v>
          </cell>
          <cell r="C94" t="str">
            <v>TEMA C2</v>
          </cell>
          <cell r="D94">
            <v>45658</v>
          </cell>
          <cell r="E94">
            <v>45809</v>
          </cell>
          <cell r="F94">
            <v>6</v>
          </cell>
          <cell r="G94">
            <v>45748</v>
          </cell>
          <cell r="H94">
            <v>4</v>
          </cell>
          <cell r="I94">
            <v>45753</v>
          </cell>
          <cell r="J94">
            <v>400000</v>
          </cell>
          <cell r="K94" t="str">
            <v>EKSKLUSIF</v>
          </cell>
        </row>
        <row r="95">
          <cell r="A95" t="str">
            <v>A2369</v>
          </cell>
          <cell r="B95" t="str">
            <v>ANIS DIANA SARI</v>
          </cell>
          <cell r="C95" t="str">
            <v>TEMA C2</v>
          </cell>
          <cell r="D95">
            <v>45658</v>
          </cell>
          <cell r="E95">
            <v>45809</v>
          </cell>
          <cell r="F95">
            <v>6</v>
          </cell>
          <cell r="G95">
            <v>45748</v>
          </cell>
          <cell r="H95">
            <v>4</v>
          </cell>
          <cell r="I95">
            <v>45753</v>
          </cell>
          <cell r="J95">
            <v>400000</v>
          </cell>
          <cell r="K95" t="str">
            <v>EKSKLUSIF</v>
          </cell>
        </row>
        <row r="96">
          <cell r="A96">
            <v>92347</v>
          </cell>
          <cell r="B96" t="str">
            <v>RAHMAD SABTONO</v>
          </cell>
          <cell r="C96" t="str">
            <v>TEMA C2</v>
          </cell>
          <cell r="D96">
            <v>45658</v>
          </cell>
          <cell r="E96">
            <v>45809</v>
          </cell>
          <cell r="F96">
            <v>6</v>
          </cell>
          <cell r="G96">
            <v>45748</v>
          </cell>
          <cell r="H96">
            <v>4</v>
          </cell>
          <cell r="I96">
            <v>45753</v>
          </cell>
          <cell r="J96">
            <v>400000</v>
          </cell>
          <cell r="K96" t="str">
            <v>EKSKLUSIF</v>
          </cell>
        </row>
        <row r="97">
          <cell r="A97" t="str">
            <v>A0911</v>
          </cell>
          <cell r="B97" t="str">
            <v>ENGELINA GALUH WINDIASARI</v>
          </cell>
          <cell r="C97" t="str">
            <v>TEMA C2</v>
          </cell>
          <cell r="D97">
            <v>45658</v>
          </cell>
          <cell r="E97">
            <v>45809</v>
          </cell>
          <cell r="F97">
            <v>6</v>
          </cell>
          <cell r="G97">
            <v>45748</v>
          </cell>
          <cell r="H97">
            <v>4</v>
          </cell>
          <cell r="I97">
            <v>45753</v>
          </cell>
          <cell r="J97">
            <v>400000</v>
          </cell>
          <cell r="K97" t="str">
            <v>EKSKLUSIF</v>
          </cell>
        </row>
        <row r="98">
          <cell r="A98" t="str">
            <v>A4599</v>
          </cell>
          <cell r="B98" t="str">
            <v>SAIDHA PUTRI</v>
          </cell>
          <cell r="C98" t="str">
            <v>TEMA C2</v>
          </cell>
          <cell r="D98">
            <v>45689</v>
          </cell>
          <cell r="E98">
            <v>45748</v>
          </cell>
          <cell r="F98">
            <v>3</v>
          </cell>
          <cell r="G98">
            <v>45748</v>
          </cell>
          <cell r="H98">
            <v>3</v>
          </cell>
          <cell r="I98">
            <v>45719</v>
          </cell>
          <cell r="J98">
            <v>900000</v>
          </cell>
          <cell r="K98" t="str">
            <v>EKSKLUSIF</v>
          </cell>
        </row>
        <row r="99">
          <cell r="A99" t="str">
            <v>A4287</v>
          </cell>
          <cell r="B99" t="str">
            <v>FARA DHIYA HASFANA</v>
          </cell>
          <cell r="C99" t="str">
            <v>TEMA C2</v>
          </cell>
          <cell r="D99">
            <v>45689</v>
          </cell>
          <cell r="E99">
            <v>45748</v>
          </cell>
          <cell r="F99">
            <v>3</v>
          </cell>
          <cell r="G99">
            <v>45748</v>
          </cell>
          <cell r="H99">
            <v>3</v>
          </cell>
          <cell r="I99">
            <v>45719</v>
          </cell>
          <cell r="J99">
            <v>900000</v>
          </cell>
          <cell r="K99" t="str">
            <v>EKSKLUSIF</v>
          </cell>
        </row>
        <row r="100">
          <cell r="A100" t="str">
            <v>A3305</v>
          </cell>
          <cell r="B100" t="str">
            <v>ARIF NOVIANTO</v>
          </cell>
          <cell r="C100" t="str">
            <v>TEMA C2</v>
          </cell>
          <cell r="D100">
            <v>45689</v>
          </cell>
          <cell r="E100">
            <v>45748</v>
          </cell>
          <cell r="F100">
            <v>3</v>
          </cell>
          <cell r="G100">
            <v>45748</v>
          </cell>
          <cell r="H100">
            <v>3</v>
          </cell>
          <cell r="I100">
            <v>45719</v>
          </cell>
          <cell r="J100">
            <v>900000</v>
          </cell>
          <cell r="K100" t="str">
            <v>EKSKLUSIF</v>
          </cell>
        </row>
        <row r="101">
          <cell r="A101">
            <v>90759</v>
          </cell>
          <cell r="B101" t="str">
            <v>Pertiwi Handayani</v>
          </cell>
          <cell r="C101" t="str">
            <v>TEMA C2</v>
          </cell>
          <cell r="D101">
            <v>45689</v>
          </cell>
          <cell r="E101">
            <v>45839</v>
          </cell>
          <cell r="F101">
            <v>6</v>
          </cell>
          <cell r="G101">
            <v>45748</v>
          </cell>
          <cell r="H101">
            <v>3</v>
          </cell>
          <cell r="I101">
            <v>45722</v>
          </cell>
          <cell r="J101">
            <v>400000</v>
          </cell>
          <cell r="K101" t="str">
            <v>EKSKLUSIF</v>
          </cell>
        </row>
        <row r="102">
          <cell r="A102" t="str">
            <v>A4139</v>
          </cell>
          <cell r="B102" t="str">
            <v>KEYLA REISA IARA</v>
          </cell>
          <cell r="C102" t="str">
            <v>TEMA C3</v>
          </cell>
          <cell r="D102">
            <v>45689</v>
          </cell>
          <cell r="E102">
            <v>45748</v>
          </cell>
          <cell r="F102">
            <v>3</v>
          </cell>
          <cell r="G102">
            <v>45748</v>
          </cell>
          <cell r="H102">
            <v>3</v>
          </cell>
          <cell r="I102">
            <v>45719</v>
          </cell>
          <cell r="J102">
            <v>900000</v>
          </cell>
          <cell r="K102" t="str">
            <v>EKSKLUSIF</v>
          </cell>
        </row>
        <row r="103">
          <cell r="A103" t="str">
            <v>A1244</v>
          </cell>
          <cell r="B103" t="str">
            <v>SHOFIA NOVIANTI</v>
          </cell>
          <cell r="C103" t="str">
            <v>TEMA C2</v>
          </cell>
          <cell r="D103">
            <v>45689</v>
          </cell>
          <cell r="E103">
            <v>45748</v>
          </cell>
          <cell r="F103">
            <v>3</v>
          </cell>
          <cell r="G103">
            <v>45748</v>
          </cell>
          <cell r="H103">
            <v>3</v>
          </cell>
          <cell r="I103">
            <v>45719</v>
          </cell>
          <cell r="J103">
            <v>900000</v>
          </cell>
          <cell r="K103" t="str">
            <v>EKSKLUSIF</v>
          </cell>
        </row>
        <row r="104">
          <cell r="A104" t="str">
            <v>A3333</v>
          </cell>
          <cell r="B104" t="str">
            <v>ZEFANYA HEHAMAHUA</v>
          </cell>
          <cell r="C104" t="str">
            <v>TEMA C2</v>
          </cell>
          <cell r="D104">
            <v>45689</v>
          </cell>
          <cell r="E104">
            <v>45748</v>
          </cell>
          <cell r="F104">
            <v>3</v>
          </cell>
          <cell r="G104">
            <v>45748</v>
          </cell>
          <cell r="H104">
            <v>3</v>
          </cell>
          <cell r="I104">
            <v>45719</v>
          </cell>
          <cell r="J104">
            <v>900000</v>
          </cell>
          <cell r="K104" t="str">
            <v>EKSKLUSIF</v>
          </cell>
        </row>
        <row r="105">
          <cell r="A105" t="str">
            <v>A4273</v>
          </cell>
          <cell r="B105" t="str">
            <v>RUTH TRIS KRISTIANTI</v>
          </cell>
          <cell r="C105" t="str">
            <v>TEMA C2</v>
          </cell>
          <cell r="D105">
            <v>45689</v>
          </cell>
          <cell r="E105">
            <v>45839</v>
          </cell>
          <cell r="F105">
            <v>6</v>
          </cell>
          <cell r="G105">
            <v>45748</v>
          </cell>
          <cell r="H105">
            <v>3</v>
          </cell>
          <cell r="I105">
            <v>45722</v>
          </cell>
          <cell r="J105">
            <v>400000</v>
          </cell>
          <cell r="K105" t="str">
            <v>EKSKLUSIF</v>
          </cell>
        </row>
        <row r="106">
          <cell r="A106" t="str">
            <v>A1059</v>
          </cell>
          <cell r="B106" t="str">
            <v>AZILA ZALWA</v>
          </cell>
          <cell r="C106" t="str">
            <v>TEMA C2</v>
          </cell>
          <cell r="D106">
            <v>45689</v>
          </cell>
          <cell r="E106">
            <v>45748</v>
          </cell>
          <cell r="F106">
            <v>3</v>
          </cell>
          <cell r="G106">
            <v>45748</v>
          </cell>
          <cell r="H106">
            <v>3</v>
          </cell>
          <cell r="I106">
            <v>45719</v>
          </cell>
          <cell r="J106">
            <v>900000</v>
          </cell>
          <cell r="K106" t="str">
            <v>EKSKLUSIF</v>
          </cell>
        </row>
        <row r="107">
          <cell r="A107">
            <v>90118</v>
          </cell>
          <cell r="B107" t="str">
            <v>AGRESITABELA PURNANINGRUM</v>
          </cell>
          <cell r="C107" t="str">
            <v>TEMA C2</v>
          </cell>
          <cell r="D107">
            <v>45717</v>
          </cell>
          <cell r="E107" t="str">
            <v>Agu 2025</v>
          </cell>
          <cell r="F107">
            <v>6</v>
          </cell>
          <cell r="G107">
            <v>45748</v>
          </cell>
          <cell r="H107">
            <v>2</v>
          </cell>
          <cell r="I107">
            <v>45694</v>
          </cell>
          <cell r="J107">
            <v>300000</v>
          </cell>
          <cell r="K107" t="str">
            <v>EKSKLUSIF</v>
          </cell>
        </row>
        <row r="108">
          <cell r="A108" t="str">
            <v>A4363</v>
          </cell>
          <cell r="B108" t="str">
            <v>RINA IKA LESTARI</v>
          </cell>
          <cell r="C108" t="str">
            <v>TEMA C2</v>
          </cell>
          <cell r="D108">
            <v>45717</v>
          </cell>
          <cell r="E108" t="str">
            <v>Mei-25</v>
          </cell>
          <cell r="F108">
            <v>3</v>
          </cell>
          <cell r="G108">
            <v>45748</v>
          </cell>
          <cell r="H108">
            <v>2</v>
          </cell>
          <cell r="I108">
            <v>45691</v>
          </cell>
          <cell r="J108">
            <v>300000</v>
          </cell>
          <cell r="K108" t="str">
            <v>EKSKLUSIF</v>
          </cell>
        </row>
        <row r="109">
          <cell r="A109" t="str">
            <v>A4285</v>
          </cell>
          <cell r="B109" t="str">
            <v>VINO MUJAHIDIN</v>
          </cell>
          <cell r="C109" t="str">
            <v>TEMA C2</v>
          </cell>
          <cell r="D109">
            <v>45717</v>
          </cell>
          <cell r="E109" t="str">
            <v>Mei-25</v>
          </cell>
          <cell r="F109">
            <v>3</v>
          </cell>
          <cell r="G109">
            <v>45748</v>
          </cell>
          <cell r="H109">
            <v>2</v>
          </cell>
          <cell r="I109">
            <v>45691</v>
          </cell>
          <cell r="J109">
            <v>300000</v>
          </cell>
          <cell r="K109" t="str">
            <v>EKSKLUSIF</v>
          </cell>
        </row>
        <row r="110">
          <cell r="A110" t="str">
            <v>A4405</v>
          </cell>
          <cell r="B110" t="str">
            <v>SALWA AYU WIGATI</v>
          </cell>
          <cell r="C110" t="str">
            <v>TEMA C2</v>
          </cell>
          <cell r="D110">
            <v>45717</v>
          </cell>
          <cell r="E110" t="str">
            <v>Agu 2025</v>
          </cell>
          <cell r="F110">
            <v>6</v>
          </cell>
          <cell r="G110">
            <v>45748</v>
          </cell>
          <cell r="H110">
            <v>2</v>
          </cell>
          <cell r="I110">
            <v>45694</v>
          </cell>
          <cell r="J110">
            <v>300000</v>
          </cell>
          <cell r="K110" t="str">
            <v>EKSKLUSIF</v>
          </cell>
        </row>
        <row r="111">
          <cell r="A111" t="str">
            <v>A2702</v>
          </cell>
          <cell r="B111" t="str">
            <v>DILA FITRIANI</v>
          </cell>
          <cell r="C111" t="str">
            <v>TEMA C2</v>
          </cell>
          <cell r="D111">
            <v>45717</v>
          </cell>
          <cell r="E111" t="str">
            <v>Mei-25</v>
          </cell>
          <cell r="F111">
            <v>3</v>
          </cell>
          <cell r="G111">
            <v>45748</v>
          </cell>
          <cell r="H111">
            <v>2</v>
          </cell>
          <cell r="I111">
            <v>45691</v>
          </cell>
          <cell r="J111">
            <v>300000</v>
          </cell>
          <cell r="K111" t="str">
            <v>EKSKLUSIF</v>
          </cell>
        </row>
        <row r="112">
          <cell r="A112" t="str">
            <v>A4680</v>
          </cell>
          <cell r="B112" t="str">
            <v>ALINA KHILMA</v>
          </cell>
          <cell r="C112" t="str">
            <v>TEMA C2</v>
          </cell>
          <cell r="D112">
            <v>45717</v>
          </cell>
          <cell r="E112" t="str">
            <v>Mei-25</v>
          </cell>
          <cell r="F112">
            <v>3</v>
          </cell>
          <cell r="G112">
            <v>45748</v>
          </cell>
          <cell r="H112">
            <v>2</v>
          </cell>
          <cell r="I112">
            <v>45691</v>
          </cell>
          <cell r="J112">
            <v>300000</v>
          </cell>
          <cell r="K112" t="str">
            <v>EKSKLUSIF</v>
          </cell>
        </row>
        <row r="113">
          <cell r="A113" t="str">
            <v>A3070</v>
          </cell>
          <cell r="B113" t="str">
            <v>Azizul Anse</v>
          </cell>
          <cell r="C113" t="str">
            <v>TEMA C2</v>
          </cell>
          <cell r="D113">
            <v>45717</v>
          </cell>
          <cell r="E113" t="str">
            <v>Mei-25</v>
          </cell>
          <cell r="F113">
            <v>3</v>
          </cell>
          <cell r="G113">
            <v>45748</v>
          </cell>
          <cell r="H113">
            <v>2</v>
          </cell>
          <cell r="I113">
            <v>45691</v>
          </cell>
          <cell r="J113">
            <v>300000</v>
          </cell>
          <cell r="K113" t="str">
            <v>EKSKLUSIF</v>
          </cell>
        </row>
        <row r="114">
          <cell r="A114" t="str">
            <v>A1428</v>
          </cell>
          <cell r="B114" t="str">
            <v>RIFKA AYU PRADITA</v>
          </cell>
          <cell r="C114" t="str">
            <v>TEMA C2</v>
          </cell>
          <cell r="D114">
            <v>45748</v>
          </cell>
          <cell r="E114">
            <v>45809</v>
          </cell>
          <cell r="F114">
            <v>3</v>
          </cell>
          <cell r="G114">
            <v>45748</v>
          </cell>
          <cell r="H114">
            <v>1</v>
          </cell>
          <cell r="I114">
            <v>45660</v>
          </cell>
          <cell r="J114">
            <v>300000</v>
          </cell>
          <cell r="K114" t="str">
            <v>EKSKLUSIF</v>
          </cell>
        </row>
        <row r="115">
          <cell r="A115" t="str">
            <v>A3693</v>
          </cell>
          <cell r="B115" t="str">
            <v>LENSE SITOMPUL</v>
          </cell>
          <cell r="C115" t="str">
            <v>TEMA C2</v>
          </cell>
          <cell r="D115">
            <v>45748</v>
          </cell>
          <cell r="E115">
            <v>45809</v>
          </cell>
          <cell r="F115">
            <v>3</v>
          </cell>
          <cell r="G115">
            <v>45748</v>
          </cell>
          <cell r="H115">
            <v>1</v>
          </cell>
          <cell r="I115">
            <v>45660</v>
          </cell>
          <cell r="J115">
            <v>300000</v>
          </cell>
          <cell r="K115" t="str">
            <v>EKSKLUSIF</v>
          </cell>
        </row>
        <row r="116">
          <cell r="A116" t="str">
            <v>A1407</v>
          </cell>
          <cell r="B116" t="str">
            <v>Hardini Komalasari</v>
          </cell>
          <cell r="C116" t="str">
            <v>TEMA C2</v>
          </cell>
          <cell r="D116">
            <v>45748</v>
          </cell>
          <cell r="E116">
            <v>45809</v>
          </cell>
          <cell r="F116">
            <v>3</v>
          </cell>
          <cell r="G116">
            <v>45748</v>
          </cell>
          <cell r="H116">
            <v>1</v>
          </cell>
          <cell r="I116">
            <v>45660</v>
          </cell>
          <cell r="J116">
            <v>300000</v>
          </cell>
          <cell r="K116" t="str">
            <v>EKSKLUSIF</v>
          </cell>
        </row>
        <row r="117">
          <cell r="A117" t="str">
            <v>A4784</v>
          </cell>
          <cell r="B117" t="str">
            <v>ANTONIUS TOTTI PANJI PUSPA ADI</v>
          </cell>
          <cell r="C117" t="str">
            <v>TEMA C2</v>
          </cell>
          <cell r="D117">
            <v>45748</v>
          </cell>
          <cell r="E117">
            <v>45809</v>
          </cell>
          <cell r="F117">
            <v>3</v>
          </cell>
          <cell r="G117">
            <v>45748</v>
          </cell>
          <cell r="H117">
            <v>1</v>
          </cell>
          <cell r="I117">
            <v>45660</v>
          </cell>
          <cell r="J117">
            <v>300000</v>
          </cell>
          <cell r="K117" t="str">
            <v>EKSKLUSIF</v>
          </cell>
        </row>
        <row r="118">
          <cell r="A118" t="str">
            <v>A4845</v>
          </cell>
          <cell r="B118" t="str">
            <v>MUHAMAD HERGI SUPRAYOGI</v>
          </cell>
          <cell r="C118" t="str">
            <v>TEMA C2</v>
          </cell>
          <cell r="D118">
            <v>45748</v>
          </cell>
          <cell r="E118">
            <v>45809</v>
          </cell>
          <cell r="F118">
            <v>3</v>
          </cell>
          <cell r="G118">
            <v>45748</v>
          </cell>
          <cell r="H118">
            <v>1</v>
          </cell>
          <cell r="I118">
            <v>45660</v>
          </cell>
          <cell r="J118">
            <v>300000</v>
          </cell>
          <cell r="K118" t="str">
            <v>EKSKLUSIF</v>
          </cell>
        </row>
        <row r="119">
          <cell r="A119" t="str">
            <v>A3659</v>
          </cell>
          <cell r="B119" t="str">
            <v>ERVINA MARSA AYUNINGTYAS</v>
          </cell>
          <cell r="C119" t="str">
            <v>TEMA C2</v>
          </cell>
          <cell r="D119">
            <v>45748</v>
          </cell>
          <cell r="E119">
            <v>45901</v>
          </cell>
          <cell r="F119">
            <v>6</v>
          </cell>
          <cell r="G119">
            <v>45748</v>
          </cell>
          <cell r="H119">
            <v>1</v>
          </cell>
          <cell r="I119">
            <v>45663</v>
          </cell>
          <cell r="J119">
            <v>300000</v>
          </cell>
          <cell r="K119" t="str">
            <v>EKSKLUSIF</v>
          </cell>
        </row>
        <row r="120">
          <cell r="A120" t="str">
            <v>A4050</v>
          </cell>
          <cell r="B120" t="str">
            <v>DITA PUSPITA SARI</v>
          </cell>
          <cell r="C120" t="str">
            <v>TEMA C2</v>
          </cell>
          <cell r="D120">
            <v>45748</v>
          </cell>
          <cell r="E120">
            <v>45809</v>
          </cell>
          <cell r="F120">
            <v>3</v>
          </cell>
          <cell r="G120">
            <v>45748</v>
          </cell>
          <cell r="H120">
            <v>1</v>
          </cell>
          <cell r="I120">
            <v>45660</v>
          </cell>
          <cell r="J120">
            <v>300000</v>
          </cell>
          <cell r="K120" t="str">
            <v>EKSKLUSIF</v>
          </cell>
        </row>
        <row r="121">
          <cell r="A121" t="str">
            <v>A0105</v>
          </cell>
          <cell r="B121" t="str">
            <v>SANDA IRIANTO</v>
          </cell>
          <cell r="C121" t="str">
            <v>TEMA C2</v>
          </cell>
          <cell r="D121">
            <v>45748</v>
          </cell>
          <cell r="E121">
            <v>45809</v>
          </cell>
          <cell r="F121">
            <v>3</v>
          </cell>
          <cell r="G121">
            <v>45748</v>
          </cell>
          <cell r="H121">
            <v>1</v>
          </cell>
          <cell r="I121">
            <v>45660</v>
          </cell>
          <cell r="J121">
            <v>300000</v>
          </cell>
          <cell r="K121" t="str">
            <v>EKSKLUSIF</v>
          </cell>
        </row>
        <row r="122">
          <cell r="A122" t="str">
            <v>A0786</v>
          </cell>
          <cell r="B122" t="str">
            <v>Arya Ardiansah</v>
          </cell>
          <cell r="C122" t="str">
            <v>TEMA C2</v>
          </cell>
          <cell r="D122">
            <v>45748</v>
          </cell>
          <cell r="E122">
            <v>45809</v>
          </cell>
          <cell r="F122">
            <v>3</v>
          </cell>
          <cell r="G122">
            <v>45748</v>
          </cell>
          <cell r="H122">
            <v>1</v>
          </cell>
          <cell r="I122">
            <v>45660</v>
          </cell>
          <cell r="J122">
            <v>300000</v>
          </cell>
          <cell r="K122" t="str">
            <v>EKSKLUSIF</v>
          </cell>
        </row>
        <row r="123">
          <cell r="A123" t="str">
            <v>A4856</v>
          </cell>
          <cell r="B123" t="str">
            <v>BETI INDRI JULIANTI</v>
          </cell>
          <cell r="C123" t="str">
            <v>TEMA C2</v>
          </cell>
          <cell r="D123">
            <v>45748</v>
          </cell>
          <cell r="E123">
            <v>45901</v>
          </cell>
          <cell r="F123">
            <v>6</v>
          </cell>
          <cell r="G123">
            <v>45748</v>
          </cell>
          <cell r="H123">
            <v>1</v>
          </cell>
          <cell r="I123">
            <v>45663</v>
          </cell>
          <cell r="J123">
            <v>300000</v>
          </cell>
          <cell r="K123" t="str">
            <v>EKSKLUSIF</v>
          </cell>
        </row>
        <row r="124">
          <cell r="A124" t="str">
            <v>A4842</v>
          </cell>
          <cell r="B124" t="str">
            <v>WIDYA PURNA PUTRI INSANI</v>
          </cell>
          <cell r="C124" t="str">
            <v>TEMA C2</v>
          </cell>
          <cell r="D124">
            <v>45748</v>
          </cell>
          <cell r="E124">
            <v>45809</v>
          </cell>
          <cell r="F124">
            <v>3</v>
          </cell>
          <cell r="G124">
            <v>45748</v>
          </cell>
          <cell r="H124">
            <v>1</v>
          </cell>
          <cell r="I124">
            <v>45660</v>
          </cell>
          <cell r="J124">
            <v>300000</v>
          </cell>
          <cell r="K124" t="str">
            <v>EKSKLUSIF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A C2 (2)"/>
      <sheetName val="DELTA"/>
      <sheetName val="TEMA C1"/>
      <sheetName val="Sheet6"/>
      <sheetName val="Sheet7"/>
      <sheetName val="TEMA C2"/>
      <sheetName val="TEMA C3"/>
      <sheetName val="TEMA HAJI"/>
      <sheetName val="PD"/>
      <sheetName val="AAV"/>
      <sheetName val="GC"/>
      <sheetName val="RVO"/>
      <sheetName val="SBPV"/>
      <sheetName val="AKTIF"/>
      <sheetName val="DATABASE"/>
      <sheetName val="EKS"/>
      <sheetName val="Sheet1"/>
      <sheetName val="NEW DATABASE"/>
      <sheetName val="KURANG"/>
      <sheetName val="Sheet2"/>
      <sheetName val="Sheet3"/>
      <sheetName val="Sheet8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NPK</v>
          </cell>
          <cell r="B1" t="str">
            <v>NAMA</v>
          </cell>
          <cell r="C1" t="str">
            <v>POSISI</v>
          </cell>
          <cell r="D1" t="str">
            <v>START</v>
          </cell>
          <cell r="E1" t="str">
            <v>FINISH</v>
          </cell>
          <cell r="F1" t="str">
            <v>PERIODE</v>
          </cell>
          <cell r="G1" t="str">
            <v>BULAN INI</v>
          </cell>
          <cell r="H1" t="str">
            <v>BULAN BERJALAN</v>
          </cell>
          <cell r="I1" t="str">
            <v>BULAN EKSLUSIF</v>
          </cell>
          <cell r="J1" t="str">
            <v>RUPIAH</v>
          </cell>
          <cell r="K1">
            <v>0</v>
          </cell>
        </row>
        <row r="2">
          <cell r="A2" t="str">
            <v>A2615</v>
          </cell>
          <cell r="B2" t="str">
            <v>Novita Langkai</v>
          </cell>
          <cell r="C2" t="str">
            <v>AAV</v>
          </cell>
          <cell r="D2">
            <v>45689</v>
          </cell>
          <cell r="E2">
            <v>45839</v>
          </cell>
          <cell r="F2">
            <v>6</v>
          </cell>
          <cell r="G2" t="str">
            <v>Mei-25</v>
          </cell>
          <cell r="H2">
            <v>4</v>
          </cell>
          <cell r="I2">
            <v>45753</v>
          </cell>
          <cell r="J2">
            <v>400000</v>
          </cell>
          <cell r="K2" t="str">
            <v>EKSKLUSIF</v>
          </cell>
        </row>
        <row r="3">
          <cell r="A3" t="str">
            <v>A0349</v>
          </cell>
          <cell r="B3" t="str">
            <v>Ahmad Zainal Arifin</v>
          </cell>
          <cell r="C3" t="str">
            <v>AAV</v>
          </cell>
          <cell r="D3">
            <v>45717</v>
          </cell>
          <cell r="E3" t="str">
            <v>Agu 2025</v>
          </cell>
          <cell r="F3">
            <v>6</v>
          </cell>
          <cell r="G3" t="str">
            <v>Mei-25</v>
          </cell>
          <cell r="H3">
            <v>3</v>
          </cell>
          <cell r="I3">
            <v>45722</v>
          </cell>
          <cell r="J3">
            <v>400000</v>
          </cell>
          <cell r="K3" t="str">
            <v>EKSKLUSIF</v>
          </cell>
        </row>
        <row r="4">
          <cell r="A4" t="str">
            <v>A2873</v>
          </cell>
          <cell r="B4" t="str">
            <v>CHRISTOPHER LAKSAWANA</v>
          </cell>
          <cell r="C4" t="str">
            <v>AAV</v>
          </cell>
          <cell r="D4">
            <v>45717</v>
          </cell>
          <cell r="E4" t="str">
            <v>Agu 2025</v>
          </cell>
          <cell r="F4">
            <v>6</v>
          </cell>
          <cell r="G4" t="str">
            <v>Mei-25</v>
          </cell>
          <cell r="H4">
            <v>3</v>
          </cell>
          <cell r="I4">
            <v>45722</v>
          </cell>
          <cell r="J4">
            <v>400000</v>
          </cell>
          <cell r="K4" t="str">
            <v>EKSKLUSIF</v>
          </cell>
        </row>
        <row r="5">
          <cell r="A5" t="str">
            <v>A2066</v>
          </cell>
          <cell r="B5" t="str">
            <v>YULIANT EFENDI</v>
          </cell>
          <cell r="C5" t="str">
            <v>AAV</v>
          </cell>
          <cell r="D5">
            <v>45748</v>
          </cell>
          <cell r="E5">
            <v>45901</v>
          </cell>
          <cell r="F5">
            <v>6</v>
          </cell>
          <cell r="G5" t="str">
            <v>Mei-25</v>
          </cell>
          <cell r="H5">
            <v>2</v>
          </cell>
          <cell r="I5">
            <v>45694</v>
          </cell>
          <cell r="J5">
            <v>300000</v>
          </cell>
          <cell r="K5" t="str">
            <v>EKSKLUSIF</v>
          </cell>
        </row>
        <row r="6">
          <cell r="A6" t="str">
            <v>A2924</v>
          </cell>
          <cell r="B6" t="str">
            <v>IRA EVELIN SIHALOHO</v>
          </cell>
          <cell r="C6" t="str">
            <v>SBPV</v>
          </cell>
          <cell r="D6" t="str">
            <v>Des 2024</v>
          </cell>
          <cell r="E6" t="str">
            <v>Mei 2025</v>
          </cell>
          <cell r="F6">
            <v>6</v>
          </cell>
          <cell r="G6" t="str">
            <v>Mei-25</v>
          </cell>
          <cell r="H6">
            <v>6</v>
          </cell>
          <cell r="I6">
            <v>45814</v>
          </cell>
          <cell r="J6">
            <v>1600000</v>
          </cell>
          <cell r="K6" t="str">
            <v>EKSKLUSIF</v>
          </cell>
        </row>
        <row r="7">
          <cell r="A7" t="str">
            <v>A1971</v>
          </cell>
          <cell r="B7" t="str">
            <v>ANGGI BEATRIKS SERAN</v>
          </cell>
          <cell r="C7" t="str">
            <v>SBPV</v>
          </cell>
          <cell r="D7">
            <v>45748</v>
          </cell>
          <cell r="E7">
            <v>45901</v>
          </cell>
          <cell r="F7">
            <v>6</v>
          </cell>
          <cell r="G7" t="str">
            <v>Mei-25</v>
          </cell>
          <cell r="H7">
            <v>2</v>
          </cell>
          <cell r="I7">
            <v>45694</v>
          </cell>
          <cell r="J7">
            <v>300000</v>
          </cell>
          <cell r="K7" t="str">
            <v>EKSKLUSIF</v>
          </cell>
        </row>
        <row r="8">
          <cell r="A8" t="str">
            <v>A2001</v>
          </cell>
          <cell r="B8" t="str">
            <v>M MENTARI GAGAT RAYNA</v>
          </cell>
          <cell r="C8" t="str">
            <v>SBPV</v>
          </cell>
          <cell r="D8">
            <v>45748</v>
          </cell>
          <cell r="E8">
            <v>45901</v>
          </cell>
          <cell r="F8">
            <v>6</v>
          </cell>
          <cell r="G8" t="str">
            <v>Mei-25</v>
          </cell>
          <cell r="H8">
            <v>2</v>
          </cell>
          <cell r="I8">
            <v>45694</v>
          </cell>
          <cell r="J8">
            <v>300000</v>
          </cell>
          <cell r="K8" t="str">
            <v>EKSKLUSIF</v>
          </cell>
        </row>
        <row r="9">
          <cell r="A9" t="str">
            <v>A2383</v>
          </cell>
          <cell r="B9" t="str">
            <v>RYSMA NUR HIDAYAH</v>
          </cell>
          <cell r="C9" t="str">
            <v>SBPV</v>
          </cell>
          <cell r="D9">
            <v>45748</v>
          </cell>
          <cell r="E9">
            <v>45901</v>
          </cell>
          <cell r="F9">
            <v>6</v>
          </cell>
          <cell r="G9" t="str">
            <v>Mei-25</v>
          </cell>
          <cell r="H9">
            <v>2</v>
          </cell>
          <cell r="I9">
            <v>45694</v>
          </cell>
          <cell r="J9">
            <v>300000</v>
          </cell>
          <cell r="K9" t="str">
            <v>EKSKLUSIF</v>
          </cell>
        </row>
        <row r="10">
          <cell r="A10">
            <v>92175</v>
          </cell>
          <cell r="B10" t="str">
            <v>AYU AMELIA RESANTI</v>
          </cell>
          <cell r="C10" t="str">
            <v>SBPV</v>
          </cell>
          <cell r="D10" t="str">
            <v>Mei 2025</v>
          </cell>
          <cell r="E10" t="str">
            <v>Okt  2025</v>
          </cell>
          <cell r="F10">
            <v>6</v>
          </cell>
          <cell r="G10" t="str">
            <v>Mei-25</v>
          </cell>
          <cell r="H10">
            <v>1</v>
          </cell>
          <cell r="I10">
            <v>45663</v>
          </cell>
          <cell r="J10">
            <v>300000</v>
          </cell>
          <cell r="K10" t="str">
            <v>EKSKLUSIF</v>
          </cell>
        </row>
        <row r="11">
          <cell r="A11" t="str">
            <v>A3180</v>
          </cell>
          <cell r="B11" t="str">
            <v>Clara Osa Diprastiwi</v>
          </cell>
          <cell r="C11" t="str">
            <v>RVO</v>
          </cell>
          <cell r="D11">
            <v>45689</v>
          </cell>
          <cell r="E11">
            <v>45839</v>
          </cell>
          <cell r="F11">
            <v>6</v>
          </cell>
          <cell r="G11" t="str">
            <v>Mei-25</v>
          </cell>
          <cell r="H11">
            <v>4</v>
          </cell>
          <cell r="I11">
            <v>45753</v>
          </cell>
          <cell r="J11">
            <v>400000</v>
          </cell>
          <cell r="K11" t="str">
            <v>EKSKLUSIF</v>
          </cell>
        </row>
        <row r="12">
          <cell r="A12">
            <v>90317</v>
          </cell>
          <cell r="B12" t="str">
            <v>FILBERT SANCHIA FERDIANSAH MODOK</v>
          </cell>
          <cell r="C12" t="str">
            <v>RVO</v>
          </cell>
          <cell r="D12">
            <v>45689</v>
          </cell>
          <cell r="E12">
            <v>45839</v>
          </cell>
          <cell r="F12">
            <v>6</v>
          </cell>
          <cell r="G12" t="str">
            <v>Mei-25</v>
          </cell>
          <cell r="H12">
            <v>4</v>
          </cell>
          <cell r="I12">
            <v>45753</v>
          </cell>
          <cell r="J12">
            <v>400000</v>
          </cell>
          <cell r="K12" t="str">
            <v>EKSKLUSIF</v>
          </cell>
        </row>
        <row r="13">
          <cell r="A13" t="str">
            <v>A2396</v>
          </cell>
          <cell r="B13" t="str">
            <v>Ilyas Fahmi</v>
          </cell>
          <cell r="C13" t="str">
            <v>RVO</v>
          </cell>
          <cell r="D13">
            <v>45689</v>
          </cell>
          <cell r="E13">
            <v>45839</v>
          </cell>
          <cell r="F13">
            <v>6</v>
          </cell>
          <cell r="G13" t="str">
            <v>Mei-25</v>
          </cell>
          <cell r="H13">
            <v>4</v>
          </cell>
          <cell r="I13">
            <v>45753</v>
          </cell>
          <cell r="J13">
            <v>400000</v>
          </cell>
          <cell r="K13" t="str">
            <v>EKSKLUSIF</v>
          </cell>
        </row>
        <row r="14">
          <cell r="A14" t="str">
            <v>A1952</v>
          </cell>
          <cell r="B14" t="str">
            <v>LAURENSIUS AXEL RADITYA PRADANA</v>
          </cell>
          <cell r="C14" t="str">
            <v>RVO</v>
          </cell>
          <cell r="D14">
            <v>45717</v>
          </cell>
          <cell r="E14" t="str">
            <v>Agu 2025</v>
          </cell>
          <cell r="F14">
            <v>6</v>
          </cell>
          <cell r="G14" t="str">
            <v>Mei-25</v>
          </cell>
          <cell r="H14">
            <v>3</v>
          </cell>
          <cell r="I14">
            <v>45722</v>
          </cell>
          <cell r="J14">
            <v>400000</v>
          </cell>
          <cell r="K14" t="str">
            <v>EKSKLUSIF</v>
          </cell>
        </row>
        <row r="15">
          <cell r="A15" t="str">
            <v>A0799</v>
          </cell>
          <cell r="B15" t="str">
            <v>VIVI RIZQI HAPSARI</v>
          </cell>
          <cell r="C15" t="str">
            <v>RVO</v>
          </cell>
          <cell r="D15">
            <v>45717</v>
          </cell>
          <cell r="E15" t="str">
            <v>Agu 2025</v>
          </cell>
          <cell r="F15">
            <v>6</v>
          </cell>
          <cell r="G15" t="str">
            <v>Mei-25</v>
          </cell>
          <cell r="H15">
            <v>3</v>
          </cell>
          <cell r="I15">
            <v>45722</v>
          </cell>
          <cell r="J15">
            <v>400000</v>
          </cell>
          <cell r="K15" t="str">
            <v>EKSKLUSIF</v>
          </cell>
        </row>
        <row r="16">
          <cell r="A16" t="str">
            <v>A0155</v>
          </cell>
          <cell r="B16" t="str">
            <v>Raymon Piterz Godlieb</v>
          </cell>
          <cell r="C16" t="str">
            <v>RVO</v>
          </cell>
          <cell r="D16">
            <v>45748</v>
          </cell>
          <cell r="E16">
            <v>45901</v>
          </cell>
          <cell r="F16">
            <v>6</v>
          </cell>
          <cell r="G16" t="str">
            <v>Mei-25</v>
          </cell>
          <cell r="H16">
            <v>2</v>
          </cell>
          <cell r="I16">
            <v>45694</v>
          </cell>
          <cell r="J16">
            <v>300000</v>
          </cell>
          <cell r="K16" t="str">
            <v>EKSKLUSIF</v>
          </cell>
        </row>
        <row r="17">
          <cell r="A17" t="str">
            <v>A3442</v>
          </cell>
          <cell r="B17" t="str">
            <v>Irfan Febriyantoro</v>
          </cell>
          <cell r="C17" t="str">
            <v>RVO</v>
          </cell>
          <cell r="D17">
            <v>45748</v>
          </cell>
          <cell r="E17">
            <v>45901</v>
          </cell>
          <cell r="F17">
            <v>6</v>
          </cell>
          <cell r="G17" t="str">
            <v>Mei-25</v>
          </cell>
          <cell r="H17">
            <v>2</v>
          </cell>
          <cell r="I17">
            <v>45694</v>
          </cell>
          <cell r="J17">
            <v>300000</v>
          </cell>
          <cell r="K17" t="str">
            <v>EKSKLUSIF</v>
          </cell>
        </row>
        <row r="18">
          <cell r="A18">
            <v>90613</v>
          </cell>
          <cell r="B18" t="str">
            <v>JOHAN AIMAN RAIS</v>
          </cell>
          <cell r="C18" t="str">
            <v>RVO</v>
          </cell>
          <cell r="D18">
            <v>45748</v>
          </cell>
          <cell r="E18">
            <v>45809</v>
          </cell>
          <cell r="F18">
            <v>3</v>
          </cell>
          <cell r="G18" t="str">
            <v>Mei-25</v>
          </cell>
          <cell r="H18">
            <v>2</v>
          </cell>
          <cell r="I18">
            <v>45691</v>
          </cell>
          <cell r="J18">
            <v>300000</v>
          </cell>
          <cell r="K18" t="str">
            <v>EKSKLUSIF</v>
          </cell>
        </row>
        <row r="19">
          <cell r="A19" t="str">
            <v>A0072</v>
          </cell>
          <cell r="B19" t="str">
            <v>Rahmad Dwi Adrian</v>
          </cell>
          <cell r="C19" t="str">
            <v>RVO</v>
          </cell>
          <cell r="D19">
            <v>45748</v>
          </cell>
          <cell r="E19">
            <v>45901</v>
          </cell>
          <cell r="F19">
            <v>6</v>
          </cell>
          <cell r="G19" t="str">
            <v>Mei-25</v>
          </cell>
          <cell r="H19">
            <v>2</v>
          </cell>
          <cell r="I19">
            <v>45694</v>
          </cell>
          <cell r="J19">
            <v>300000</v>
          </cell>
          <cell r="K19" t="str">
            <v>EKSKLUSIF</v>
          </cell>
        </row>
        <row r="20">
          <cell r="A20" t="str">
            <v>A3437</v>
          </cell>
          <cell r="B20" t="str">
            <v>Yohana Claudia</v>
          </cell>
          <cell r="C20" t="str">
            <v>RVO</v>
          </cell>
          <cell r="D20">
            <v>45748</v>
          </cell>
          <cell r="E20">
            <v>45901</v>
          </cell>
          <cell r="F20">
            <v>6</v>
          </cell>
          <cell r="G20" t="str">
            <v>Mei-25</v>
          </cell>
          <cell r="H20">
            <v>2</v>
          </cell>
          <cell r="I20">
            <v>45694</v>
          </cell>
          <cell r="J20">
            <v>300000</v>
          </cell>
          <cell r="K20" t="str">
            <v>EKSKLUSIF</v>
          </cell>
        </row>
        <row r="21">
          <cell r="A21" t="str">
            <v>A3436</v>
          </cell>
          <cell r="B21" t="str">
            <v>Anita Kristiana Laia</v>
          </cell>
          <cell r="C21" t="str">
            <v>RVO</v>
          </cell>
          <cell r="D21">
            <v>45748</v>
          </cell>
          <cell r="E21">
            <v>45901</v>
          </cell>
          <cell r="F21">
            <v>6</v>
          </cell>
          <cell r="G21" t="str">
            <v>Mei-25</v>
          </cell>
          <cell r="H21">
            <v>2</v>
          </cell>
          <cell r="I21">
            <v>45694</v>
          </cell>
          <cell r="J21">
            <v>300000</v>
          </cell>
          <cell r="K21" t="str">
            <v>EKSKLUSIF</v>
          </cell>
        </row>
        <row r="22">
          <cell r="A22" t="str">
            <v>A0137</v>
          </cell>
          <cell r="B22" t="str">
            <v>Dhian karunia</v>
          </cell>
          <cell r="C22" t="str">
            <v>RVO</v>
          </cell>
          <cell r="D22" t="str">
            <v>Mei 2025</v>
          </cell>
          <cell r="E22" t="str">
            <v>Okt 2025</v>
          </cell>
          <cell r="F22">
            <v>6</v>
          </cell>
          <cell r="G22" t="str">
            <v>Mei-25</v>
          </cell>
          <cell r="H22">
            <v>1</v>
          </cell>
          <cell r="I22">
            <v>45663</v>
          </cell>
          <cell r="J22">
            <v>300000</v>
          </cell>
          <cell r="K22" t="str">
            <v>EKSKLUSIF</v>
          </cell>
        </row>
        <row r="23">
          <cell r="A23" t="str">
            <v>A3576</v>
          </cell>
          <cell r="B23" t="str">
            <v>YONATAN ADI SAPUTRO</v>
          </cell>
          <cell r="C23" t="str">
            <v>RVO</v>
          </cell>
          <cell r="D23" t="str">
            <v>Mei 2025</v>
          </cell>
          <cell r="E23" t="str">
            <v>Okt 2025</v>
          </cell>
          <cell r="F23">
            <v>6</v>
          </cell>
          <cell r="G23" t="str">
            <v>Mei-25</v>
          </cell>
          <cell r="H23">
            <v>1</v>
          </cell>
          <cell r="I23">
            <v>45663</v>
          </cell>
          <cell r="J23">
            <v>300000</v>
          </cell>
          <cell r="K23" t="str">
            <v>EKSKLUSIF</v>
          </cell>
        </row>
        <row r="24">
          <cell r="A24">
            <v>90453</v>
          </cell>
          <cell r="B24" t="str">
            <v>SHERLY HAPSARI</v>
          </cell>
          <cell r="C24" t="str">
            <v>RVO</v>
          </cell>
          <cell r="D24" t="str">
            <v>Mei 2025</v>
          </cell>
          <cell r="E24">
            <v>45839</v>
          </cell>
          <cell r="F24">
            <v>3</v>
          </cell>
          <cell r="G24" t="str">
            <v>Mei-25</v>
          </cell>
          <cell r="H24">
            <v>1</v>
          </cell>
          <cell r="I24">
            <v>45660</v>
          </cell>
          <cell r="J24">
            <v>300000</v>
          </cell>
          <cell r="K24" t="str">
            <v>EKSKLUSIF</v>
          </cell>
        </row>
        <row r="25">
          <cell r="A25">
            <v>92709</v>
          </cell>
          <cell r="B25" t="str">
            <v xml:space="preserve">Dany Ahmad Farrastio </v>
          </cell>
          <cell r="C25" t="str">
            <v>RVO</v>
          </cell>
          <cell r="D25" t="str">
            <v>Mei 2025</v>
          </cell>
          <cell r="E25" t="str">
            <v>Okt 2025</v>
          </cell>
          <cell r="F25">
            <v>6</v>
          </cell>
          <cell r="G25" t="str">
            <v>Mei-25</v>
          </cell>
          <cell r="H25">
            <v>1</v>
          </cell>
          <cell r="I25">
            <v>45663</v>
          </cell>
          <cell r="J25">
            <v>300000</v>
          </cell>
          <cell r="K25" t="str">
            <v>EKSKLUSIF</v>
          </cell>
        </row>
        <row r="26">
          <cell r="A26">
            <v>92000</v>
          </cell>
          <cell r="B26" t="str">
            <v>ACHMAD KURNIAWAN</v>
          </cell>
          <cell r="C26" t="str">
            <v>RVO</v>
          </cell>
          <cell r="D26" t="str">
            <v>Mei 2025</v>
          </cell>
          <cell r="E26">
            <v>45839</v>
          </cell>
          <cell r="F26">
            <v>3</v>
          </cell>
          <cell r="G26" t="str">
            <v>Mei-25</v>
          </cell>
          <cell r="H26">
            <v>1</v>
          </cell>
          <cell r="I26">
            <v>45660</v>
          </cell>
          <cell r="J26">
            <v>300000</v>
          </cell>
          <cell r="K26" t="str">
            <v>EKSKLUSIF</v>
          </cell>
        </row>
        <row r="27">
          <cell r="A27" t="str">
            <v>A1360</v>
          </cell>
          <cell r="B27" t="str">
            <v>NURPUTRANTO LAKSONO</v>
          </cell>
          <cell r="C27" t="str">
            <v>DELTA</v>
          </cell>
          <cell r="D27">
            <v>45717</v>
          </cell>
          <cell r="E27" t="str">
            <v>Mei 2025</v>
          </cell>
          <cell r="F27">
            <v>3</v>
          </cell>
          <cell r="G27" t="str">
            <v>Mei-25</v>
          </cell>
          <cell r="H27">
            <v>3</v>
          </cell>
          <cell r="I27">
            <v>45719</v>
          </cell>
          <cell r="J27">
            <v>900000</v>
          </cell>
          <cell r="K27" t="str">
            <v>EKSKLUSIF</v>
          </cell>
        </row>
        <row r="28">
          <cell r="A28" t="str">
            <v>A3833</v>
          </cell>
          <cell r="B28" t="str">
            <v>MUHAMMAD SUBHAN</v>
          </cell>
          <cell r="C28" t="str">
            <v>DELTA</v>
          </cell>
          <cell r="D28">
            <v>45717</v>
          </cell>
          <cell r="E28" t="str">
            <v>Mei 2025</v>
          </cell>
          <cell r="F28">
            <v>3</v>
          </cell>
          <cell r="G28" t="str">
            <v>Mei-25</v>
          </cell>
          <cell r="H28">
            <v>3</v>
          </cell>
          <cell r="I28">
            <v>45719</v>
          </cell>
          <cell r="J28">
            <v>900000</v>
          </cell>
          <cell r="K28" t="str">
            <v>EKSKLUSIF</v>
          </cell>
        </row>
        <row r="29">
          <cell r="A29">
            <v>92539</v>
          </cell>
          <cell r="B29" t="str">
            <v>ROSIANA</v>
          </cell>
          <cell r="C29" t="str">
            <v>DELTA</v>
          </cell>
          <cell r="D29">
            <v>45717</v>
          </cell>
          <cell r="E29" t="str">
            <v>Mei 2025</v>
          </cell>
          <cell r="F29">
            <v>3</v>
          </cell>
          <cell r="G29" t="str">
            <v>Mei-25</v>
          </cell>
          <cell r="H29">
            <v>3</v>
          </cell>
          <cell r="I29">
            <v>45719</v>
          </cell>
          <cell r="J29">
            <v>900000</v>
          </cell>
          <cell r="K29" t="str">
            <v>EKSKLUSIF</v>
          </cell>
        </row>
        <row r="30">
          <cell r="A30" t="str">
            <v>A0745</v>
          </cell>
          <cell r="B30" t="str">
            <v>ANE MELISA MURNI</v>
          </cell>
          <cell r="C30" t="str">
            <v>DELTA</v>
          </cell>
          <cell r="D30">
            <v>45717</v>
          </cell>
          <cell r="E30" t="str">
            <v>Mei 2025</v>
          </cell>
          <cell r="F30">
            <v>3</v>
          </cell>
          <cell r="G30" t="str">
            <v>Mei-25</v>
          </cell>
          <cell r="H30">
            <v>3</v>
          </cell>
          <cell r="I30">
            <v>45719</v>
          </cell>
          <cell r="J30">
            <v>900000</v>
          </cell>
          <cell r="K30" t="str">
            <v>EKSKLUSIF</v>
          </cell>
        </row>
        <row r="31">
          <cell r="A31" t="str">
            <v>A0725</v>
          </cell>
          <cell r="B31" t="str">
            <v>NUR KHASANAH</v>
          </cell>
          <cell r="C31" t="str">
            <v>DELTA</v>
          </cell>
          <cell r="D31">
            <v>45717</v>
          </cell>
          <cell r="E31" t="str">
            <v>Mei 2025</v>
          </cell>
          <cell r="F31">
            <v>3</v>
          </cell>
          <cell r="G31" t="str">
            <v>Mei-25</v>
          </cell>
          <cell r="H31">
            <v>3</v>
          </cell>
          <cell r="I31">
            <v>45719</v>
          </cell>
          <cell r="J31">
            <v>900000</v>
          </cell>
          <cell r="K31" t="str">
            <v>EKSKLUSIF</v>
          </cell>
        </row>
        <row r="32">
          <cell r="A32" t="str">
            <v>A3785</v>
          </cell>
          <cell r="B32" t="str">
            <v>MUHAMMAD DAFA FEBRIANSYAH</v>
          </cell>
          <cell r="C32" t="str">
            <v>DELTA</v>
          </cell>
          <cell r="D32">
            <v>45717</v>
          </cell>
          <cell r="E32" t="str">
            <v>Mei 2025</v>
          </cell>
          <cell r="F32">
            <v>3</v>
          </cell>
          <cell r="G32" t="str">
            <v>Mei-25</v>
          </cell>
          <cell r="H32">
            <v>3</v>
          </cell>
          <cell r="I32">
            <v>45719</v>
          </cell>
          <cell r="J32">
            <v>900000</v>
          </cell>
          <cell r="K32" t="str">
            <v>EKSKLUSIF</v>
          </cell>
        </row>
        <row r="33">
          <cell r="A33" t="str">
            <v>A1349</v>
          </cell>
          <cell r="B33" t="str">
            <v>TISA NORSARI</v>
          </cell>
          <cell r="C33" t="str">
            <v>DELTA</v>
          </cell>
          <cell r="D33">
            <v>45717</v>
          </cell>
          <cell r="E33" t="str">
            <v>Mei 2025</v>
          </cell>
          <cell r="F33">
            <v>3</v>
          </cell>
          <cell r="G33" t="str">
            <v>Mei-25</v>
          </cell>
          <cell r="H33">
            <v>3</v>
          </cell>
          <cell r="I33">
            <v>45719</v>
          </cell>
          <cell r="J33">
            <v>900000</v>
          </cell>
          <cell r="K33" t="str">
            <v>EKSKLUSIF</v>
          </cell>
        </row>
        <row r="34">
          <cell r="A34" t="str">
            <v>A1651</v>
          </cell>
          <cell r="B34" t="str">
            <v>NUR ROMADANI F</v>
          </cell>
          <cell r="C34" t="str">
            <v>DELTA</v>
          </cell>
          <cell r="D34">
            <v>45717</v>
          </cell>
          <cell r="E34" t="str">
            <v>Mei 2025</v>
          </cell>
          <cell r="F34">
            <v>3</v>
          </cell>
          <cell r="G34" t="str">
            <v>Mei-25</v>
          </cell>
          <cell r="H34">
            <v>3</v>
          </cell>
          <cell r="I34">
            <v>45719</v>
          </cell>
          <cell r="J34">
            <v>900000</v>
          </cell>
          <cell r="K34" t="str">
            <v>EKSKLUSIF</v>
          </cell>
        </row>
        <row r="35">
          <cell r="A35" t="str">
            <v>A3476</v>
          </cell>
          <cell r="B35" t="str">
            <v>PRILLA IMADIANA FAJRIN</v>
          </cell>
          <cell r="C35" t="str">
            <v>DELTA</v>
          </cell>
          <cell r="D35">
            <v>45717</v>
          </cell>
          <cell r="E35" t="str">
            <v>Mei 2025</v>
          </cell>
          <cell r="F35">
            <v>3</v>
          </cell>
          <cell r="G35" t="str">
            <v>Mei-25</v>
          </cell>
          <cell r="H35">
            <v>3</v>
          </cell>
          <cell r="I35">
            <v>45719</v>
          </cell>
          <cell r="J35">
            <v>900000</v>
          </cell>
          <cell r="K35" t="str">
            <v>EKSKLUSIF</v>
          </cell>
        </row>
        <row r="36">
          <cell r="A36" t="str">
            <v>A3218</v>
          </cell>
          <cell r="B36" t="str">
            <v>Irma Sembiring</v>
          </cell>
          <cell r="C36" t="str">
            <v>DELTA</v>
          </cell>
          <cell r="D36">
            <v>45717</v>
          </cell>
          <cell r="E36" t="str">
            <v>Mei 2025</v>
          </cell>
          <cell r="F36">
            <v>3</v>
          </cell>
          <cell r="G36" t="str">
            <v>Mei-25</v>
          </cell>
          <cell r="H36">
            <v>3</v>
          </cell>
          <cell r="I36">
            <v>45719</v>
          </cell>
          <cell r="J36">
            <v>900000</v>
          </cell>
          <cell r="K36" t="str">
            <v>EKSKLUSIF</v>
          </cell>
        </row>
        <row r="37">
          <cell r="A37" t="str">
            <v>A2320</v>
          </cell>
          <cell r="B37" t="str">
            <v>Margarita Polly</v>
          </cell>
          <cell r="C37" t="str">
            <v>DELTA</v>
          </cell>
          <cell r="D37">
            <v>45717</v>
          </cell>
          <cell r="E37" t="str">
            <v>Mei 2025</v>
          </cell>
          <cell r="F37">
            <v>3</v>
          </cell>
          <cell r="G37" t="str">
            <v>Mei-25</v>
          </cell>
          <cell r="H37">
            <v>3</v>
          </cell>
          <cell r="I37">
            <v>45719</v>
          </cell>
          <cell r="J37">
            <v>900000</v>
          </cell>
          <cell r="K37" t="str">
            <v>EKSKLUSIF</v>
          </cell>
        </row>
        <row r="38">
          <cell r="A38" t="str">
            <v>A3479</v>
          </cell>
          <cell r="B38" t="str">
            <v>Vassya Dian</v>
          </cell>
          <cell r="C38" t="str">
            <v>DELTA</v>
          </cell>
          <cell r="D38">
            <v>45717</v>
          </cell>
          <cell r="E38" t="str">
            <v>Mei 2025</v>
          </cell>
          <cell r="F38">
            <v>3</v>
          </cell>
          <cell r="G38" t="str">
            <v>Mei-25</v>
          </cell>
          <cell r="H38">
            <v>3</v>
          </cell>
          <cell r="I38">
            <v>45719</v>
          </cell>
          <cell r="J38">
            <v>900000</v>
          </cell>
          <cell r="K38" t="str">
            <v>EKSKLUSIF</v>
          </cell>
        </row>
        <row r="39">
          <cell r="A39" t="str">
            <v>A3172</v>
          </cell>
          <cell r="B39" t="str">
            <v>NURYANI NURYANI</v>
          </cell>
          <cell r="C39" t="str">
            <v>DELTA</v>
          </cell>
          <cell r="D39">
            <v>45717</v>
          </cell>
          <cell r="E39" t="str">
            <v>Mei 2025</v>
          </cell>
          <cell r="F39">
            <v>3</v>
          </cell>
          <cell r="G39" t="str">
            <v>Mei-25</v>
          </cell>
          <cell r="H39">
            <v>3</v>
          </cell>
          <cell r="I39">
            <v>45719</v>
          </cell>
          <cell r="J39">
            <v>900000</v>
          </cell>
          <cell r="K39" t="str">
            <v>EKSKLUSIF</v>
          </cell>
        </row>
        <row r="40">
          <cell r="A40">
            <v>90648</v>
          </cell>
          <cell r="B40" t="str">
            <v>WAHYU IDHAYATI</v>
          </cell>
          <cell r="C40" t="str">
            <v>DELTA</v>
          </cell>
          <cell r="D40">
            <v>45717</v>
          </cell>
          <cell r="E40" t="str">
            <v>Mei 2025</v>
          </cell>
          <cell r="F40">
            <v>3</v>
          </cell>
          <cell r="G40" t="str">
            <v>Mei-25</v>
          </cell>
          <cell r="H40">
            <v>3</v>
          </cell>
          <cell r="I40">
            <v>45719</v>
          </cell>
          <cell r="J40">
            <v>900000</v>
          </cell>
          <cell r="K40" t="str">
            <v>EKSKLUSIF</v>
          </cell>
        </row>
        <row r="41">
          <cell r="A41" t="str">
            <v>A0378</v>
          </cell>
          <cell r="B41" t="str">
            <v>WIRANTI PUTRI</v>
          </cell>
          <cell r="C41" t="str">
            <v>DELTA</v>
          </cell>
          <cell r="D41">
            <v>45717</v>
          </cell>
          <cell r="E41" t="str">
            <v>Mei 2025</v>
          </cell>
          <cell r="F41">
            <v>3</v>
          </cell>
          <cell r="G41" t="str">
            <v>Mei-25</v>
          </cell>
          <cell r="H41">
            <v>3</v>
          </cell>
          <cell r="I41">
            <v>45719</v>
          </cell>
          <cell r="J41">
            <v>900000</v>
          </cell>
          <cell r="K41" t="str">
            <v>EKSKLUSIF</v>
          </cell>
        </row>
        <row r="42">
          <cell r="A42" t="str">
            <v>A0261</v>
          </cell>
          <cell r="B42" t="str">
            <v>CHELSI ANANDA</v>
          </cell>
          <cell r="C42" t="str">
            <v>DELTA</v>
          </cell>
          <cell r="D42">
            <v>45717</v>
          </cell>
          <cell r="E42" t="str">
            <v>Mei 2025</v>
          </cell>
          <cell r="F42">
            <v>3</v>
          </cell>
          <cell r="G42" t="str">
            <v>Mei-25</v>
          </cell>
          <cell r="H42">
            <v>3</v>
          </cell>
          <cell r="I42">
            <v>45719</v>
          </cell>
          <cell r="J42">
            <v>900000</v>
          </cell>
          <cell r="K42" t="str">
            <v>EKSKLUSIF</v>
          </cell>
        </row>
        <row r="43">
          <cell r="A43" t="str">
            <v>A2925</v>
          </cell>
          <cell r="B43" t="str">
            <v>MARIA GORETTI DIAN PERMATA HADI</v>
          </cell>
          <cell r="C43" t="str">
            <v>DELTA</v>
          </cell>
          <cell r="D43">
            <v>45717</v>
          </cell>
          <cell r="E43" t="str">
            <v>Mei 2025</v>
          </cell>
          <cell r="F43">
            <v>3</v>
          </cell>
          <cell r="G43" t="str">
            <v>Mei-25</v>
          </cell>
          <cell r="H43">
            <v>3</v>
          </cell>
          <cell r="I43">
            <v>45719</v>
          </cell>
          <cell r="J43">
            <v>900000</v>
          </cell>
          <cell r="K43" t="str">
            <v>EKSKLUSIF</v>
          </cell>
        </row>
        <row r="44">
          <cell r="A44" t="str">
            <v>A0999</v>
          </cell>
          <cell r="B44" t="str">
            <v>MUH LUTHFI AZIZ</v>
          </cell>
          <cell r="C44" t="str">
            <v>DELTA</v>
          </cell>
          <cell r="D44">
            <v>45717</v>
          </cell>
          <cell r="E44" t="str">
            <v>Mei 2025</v>
          </cell>
          <cell r="F44">
            <v>3</v>
          </cell>
          <cell r="G44" t="str">
            <v>Mei-25</v>
          </cell>
          <cell r="H44">
            <v>3</v>
          </cell>
          <cell r="I44">
            <v>45719</v>
          </cell>
          <cell r="J44">
            <v>900000</v>
          </cell>
          <cell r="K44" t="str">
            <v>EKSKLUSIF</v>
          </cell>
        </row>
        <row r="45">
          <cell r="A45" t="str">
            <v>A0969</v>
          </cell>
          <cell r="B45" t="str">
            <v>ANGGI DWI</v>
          </cell>
          <cell r="C45" t="str">
            <v>DELTA</v>
          </cell>
          <cell r="D45">
            <v>45717</v>
          </cell>
          <cell r="E45" t="str">
            <v>Mei 2025</v>
          </cell>
          <cell r="F45">
            <v>3</v>
          </cell>
          <cell r="G45" t="str">
            <v>Mei-25</v>
          </cell>
          <cell r="H45">
            <v>3</v>
          </cell>
          <cell r="I45">
            <v>45719</v>
          </cell>
          <cell r="J45">
            <v>900000</v>
          </cell>
          <cell r="K45" t="str">
            <v>EKSKLUSIF</v>
          </cell>
        </row>
        <row r="46">
          <cell r="A46" t="str">
            <v>A1854</v>
          </cell>
          <cell r="B46" t="str">
            <v>SALSABILA OKTAVIMADIANA</v>
          </cell>
          <cell r="C46" t="str">
            <v>DELTA</v>
          </cell>
          <cell r="D46">
            <v>45748</v>
          </cell>
          <cell r="E46">
            <v>45809</v>
          </cell>
          <cell r="F46">
            <v>3</v>
          </cell>
          <cell r="G46" t="str">
            <v>Mei-25</v>
          </cell>
          <cell r="H46">
            <v>2</v>
          </cell>
          <cell r="I46">
            <v>45691</v>
          </cell>
          <cell r="J46">
            <v>300000</v>
          </cell>
          <cell r="K46" t="str">
            <v>EKSKLUSIF</v>
          </cell>
        </row>
        <row r="47">
          <cell r="A47" t="str">
            <v>A1219</v>
          </cell>
          <cell r="B47" t="str">
            <v>AZIZ ALFISYAHRI</v>
          </cell>
          <cell r="C47" t="str">
            <v>DELTA</v>
          </cell>
          <cell r="D47">
            <v>45748</v>
          </cell>
          <cell r="E47">
            <v>45809</v>
          </cell>
          <cell r="F47">
            <v>3</v>
          </cell>
          <cell r="G47" t="str">
            <v>Mei-25</v>
          </cell>
          <cell r="H47">
            <v>2</v>
          </cell>
          <cell r="I47">
            <v>45691</v>
          </cell>
          <cell r="J47">
            <v>300000</v>
          </cell>
          <cell r="K47" t="str">
            <v>EKSKLUSIF</v>
          </cell>
        </row>
        <row r="48">
          <cell r="A48" t="str">
            <v>A1957</v>
          </cell>
          <cell r="B48" t="str">
            <v>FATIA</v>
          </cell>
          <cell r="C48" t="str">
            <v>DELTA</v>
          </cell>
          <cell r="D48">
            <v>45748</v>
          </cell>
          <cell r="E48">
            <v>45809</v>
          </cell>
          <cell r="F48">
            <v>3</v>
          </cell>
          <cell r="G48" t="str">
            <v>Mei-25</v>
          </cell>
          <cell r="H48">
            <v>2</v>
          </cell>
          <cell r="I48">
            <v>45691</v>
          </cell>
          <cell r="J48">
            <v>300000</v>
          </cell>
          <cell r="K48" t="str">
            <v>EKSKLUSIF</v>
          </cell>
        </row>
        <row r="49">
          <cell r="A49" t="str">
            <v>A1841</v>
          </cell>
          <cell r="B49" t="str">
            <v>Adhina Putriana Kusumawat</v>
          </cell>
          <cell r="C49" t="str">
            <v>DELTA</v>
          </cell>
          <cell r="D49">
            <v>45748</v>
          </cell>
          <cell r="E49">
            <v>45809</v>
          </cell>
          <cell r="F49">
            <v>3</v>
          </cell>
          <cell r="G49" t="str">
            <v>Mei-25</v>
          </cell>
          <cell r="H49">
            <v>2</v>
          </cell>
          <cell r="I49">
            <v>45691</v>
          </cell>
          <cell r="J49">
            <v>300000</v>
          </cell>
          <cell r="K49" t="str">
            <v>EKSKLUSIF</v>
          </cell>
        </row>
        <row r="50">
          <cell r="A50" t="str">
            <v>A0830</v>
          </cell>
          <cell r="B50" t="str">
            <v>Margi Suryani</v>
          </cell>
          <cell r="C50" t="str">
            <v>DELTA</v>
          </cell>
          <cell r="D50">
            <v>45748</v>
          </cell>
          <cell r="E50">
            <v>45809</v>
          </cell>
          <cell r="F50">
            <v>3</v>
          </cell>
          <cell r="G50" t="str">
            <v>Mei-25</v>
          </cell>
          <cell r="H50">
            <v>2</v>
          </cell>
          <cell r="I50">
            <v>45691</v>
          </cell>
          <cell r="J50">
            <v>300000</v>
          </cell>
          <cell r="K50" t="str">
            <v>EKSKLUSIF</v>
          </cell>
        </row>
        <row r="51">
          <cell r="A51" t="str">
            <v>A0874</v>
          </cell>
          <cell r="B51" t="str">
            <v>Galih Mardiana</v>
          </cell>
          <cell r="C51" t="str">
            <v>DELTA</v>
          </cell>
          <cell r="D51">
            <v>45748</v>
          </cell>
          <cell r="E51">
            <v>45809</v>
          </cell>
          <cell r="F51">
            <v>3</v>
          </cell>
          <cell r="G51" t="str">
            <v>Mei-25</v>
          </cell>
          <cell r="H51">
            <v>2</v>
          </cell>
          <cell r="I51">
            <v>45691</v>
          </cell>
          <cell r="J51">
            <v>300000</v>
          </cell>
          <cell r="K51" t="str">
            <v>EKSKLUSIF</v>
          </cell>
        </row>
        <row r="52">
          <cell r="A52" t="str">
            <v>A1096</v>
          </cell>
          <cell r="B52" t="str">
            <v>NILA HAQIQI</v>
          </cell>
          <cell r="C52" t="str">
            <v>DELTA</v>
          </cell>
          <cell r="D52">
            <v>45748</v>
          </cell>
          <cell r="E52">
            <v>45809</v>
          </cell>
          <cell r="F52">
            <v>3</v>
          </cell>
          <cell r="G52" t="str">
            <v>Mei-25</v>
          </cell>
          <cell r="H52">
            <v>2</v>
          </cell>
          <cell r="I52">
            <v>45691</v>
          </cell>
          <cell r="J52">
            <v>300000</v>
          </cell>
          <cell r="K52" t="str">
            <v>EKSKLUSIF</v>
          </cell>
        </row>
        <row r="53">
          <cell r="A53" t="str">
            <v>A2255</v>
          </cell>
          <cell r="B53" t="str">
            <v>ELI SANTI SITOHANG</v>
          </cell>
          <cell r="C53" t="str">
            <v>DELTA</v>
          </cell>
          <cell r="D53">
            <v>45748</v>
          </cell>
          <cell r="E53">
            <v>45809</v>
          </cell>
          <cell r="F53">
            <v>3</v>
          </cell>
          <cell r="G53" t="str">
            <v>Mei-25</v>
          </cell>
          <cell r="H53">
            <v>2</v>
          </cell>
          <cell r="I53">
            <v>45691</v>
          </cell>
          <cell r="J53">
            <v>300000</v>
          </cell>
          <cell r="K53" t="str">
            <v>EKSKLUSIF</v>
          </cell>
        </row>
        <row r="54">
          <cell r="A54" t="str">
            <v>A1329</v>
          </cell>
          <cell r="B54" t="str">
            <v>NABILA HASNA</v>
          </cell>
          <cell r="C54" t="str">
            <v>DELTA</v>
          </cell>
          <cell r="D54">
            <v>45748</v>
          </cell>
          <cell r="E54">
            <v>45809</v>
          </cell>
          <cell r="F54">
            <v>3</v>
          </cell>
          <cell r="G54" t="str">
            <v>Mei-25</v>
          </cell>
          <cell r="H54">
            <v>2</v>
          </cell>
          <cell r="I54">
            <v>45691</v>
          </cell>
          <cell r="J54">
            <v>300000</v>
          </cell>
          <cell r="K54" t="str">
            <v>EKSKLUSIF</v>
          </cell>
        </row>
        <row r="55">
          <cell r="A55" t="str">
            <v>A1280</v>
          </cell>
          <cell r="B55" t="str">
            <v>PASKHA APRILIANINGSIH</v>
          </cell>
          <cell r="C55" t="str">
            <v>DELTA</v>
          </cell>
          <cell r="D55">
            <v>45748</v>
          </cell>
          <cell r="E55">
            <v>45809</v>
          </cell>
          <cell r="F55">
            <v>3</v>
          </cell>
          <cell r="G55" t="str">
            <v>Mei-25</v>
          </cell>
          <cell r="H55">
            <v>2</v>
          </cell>
          <cell r="I55">
            <v>45691</v>
          </cell>
          <cell r="J55">
            <v>300000</v>
          </cell>
          <cell r="K55" t="str">
            <v>EKSKLUSIF</v>
          </cell>
        </row>
        <row r="56">
          <cell r="A56" t="str">
            <v>A1215</v>
          </cell>
          <cell r="B56" t="str">
            <v>ESTERINA KUSUMAWATI</v>
          </cell>
          <cell r="C56" t="str">
            <v>DELTA</v>
          </cell>
          <cell r="D56">
            <v>45748</v>
          </cell>
          <cell r="E56">
            <v>45809</v>
          </cell>
          <cell r="F56">
            <v>3</v>
          </cell>
          <cell r="G56" t="str">
            <v>Mei-25</v>
          </cell>
          <cell r="H56">
            <v>2</v>
          </cell>
          <cell r="I56">
            <v>45691</v>
          </cell>
          <cell r="J56">
            <v>300000</v>
          </cell>
          <cell r="K56" t="str">
            <v>EKSKLUSIF</v>
          </cell>
        </row>
        <row r="57">
          <cell r="A57" t="str">
            <v>A0770</v>
          </cell>
          <cell r="B57" t="str">
            <v>ELZE ZULFANNY</v>
          </cell>
          <cell r="C57" t="str">
            <v>DELTA</v>
          </cell>
          <cell r="D57">
            <v>45748</v>
          </cell>
          <cell r="E57">
            <v>45809</v>
          </cell>
          <cell r="F57">
            <v>3</v>
          </cell>
          <cell r="G57" t="str">
            <v>Mei-25</v>
          </cell>
          <cell r="H57">
            <v>2</v>
          </cell>
          <cell r="I57">
            <v>45691</v>
          </cell>
          <cell r="J57">
            <v>300000</v>
          </cell>
          <cell r="K57" t="str">
            <v>EKSKLUSIF</v>
          </cell>
        </row>
        <row r="58">
          <cell r="A58" t="str">
            <v>A1461</v>
          </cell>
          <cell r="B58" t="str">
            <v>AKHSA EKA MAHARANI</v>
          </cell>
          <cell r="C58" t="str">
            <v>DELTA</v>
          </cell>
          <cell r="D58">
            <v>45748</v>
          </cell>
          <cell r="E58">
            <v>45809</v>
          </cell>
          <cell r="F58">
            <v>3</v>
          </cell>
          <cell r="G58" t="str">
            <v>Mei-25</v>
          </cell>
          <cell r="H58">
            <v>2</v>
          </cell>
          <cell r="I58">
            <v>45691</v>
          </cell>
          <cell r="J58">
            <v>300000</v>
          </cell>
          <cell r="K58" t="str">
            <v>EKSKLUSIF</v>
          </cell>
        </row>
        <row r="59">
          <cell r="A59" t="str">
            <v>A2145</v>
          </cell>
          <cell r="B59" t="str">
            <v>LAILY FAJRIYANTI</v>
          </cell>
          <cell r="C59" t="str">
            <v>DELTA</v>
          </cell>
          <cell r="D59">
            <v>45748</v>
          </cell>
          <cell r="E59">
            <v>45809</v>
          </cell>
          <cell r="F59">
            <v>3</v>
          </cell>
          <cell r="G59" t="str">
            <v>Mei-25</v>
          </cell>
          <cell r="H59">
            <v>2</v>
          </cell>
          <cell r="I59">
            <v>45691</v>
          </cell>
          <cell r="J59">
            <v>300000</v>
          </cell>
          <cell r="K59" t="str">
            <v>EKSKLUSIF</v>
          </cell>
        </row>
        <row r="60">
          <cell r="A60" t="str">
            <v>A3597</v>
          </cell>
          <cell r="B60" t="str">
            <v>Windi Ayuni Sijabat</v>
          </cell>
          <cell r="C60" t="str">
            <v>DELTA</v>
          </cell>
          <cell r="D60">
            <v>45748</v>
          </cell>
          <cell r="E60">
            <v>45809</v>
          </cell>
          <cell r="F60">
            <v>3</v>
          </cell>
          <cell r="G60" t="str">
            <v>Mei-25</v>
          </cell>
          <cell r="H60">
            <v>2</v>
          </cell>
          <cell r="I60">
            <v>45691</v>
          </cell>
          <cell r="J60">
            <v>300000</v>
          </cell>
          <cell r="K60" t="str">
            <v>EKSKLUSIF</v>
          </cell>
        </row>
        <row r="61">
          <cell r="A61" t="str">
            <v>A3321</v>
          </cell>
          <cell r="B61" t="str">
            <v>DESTI RAHMAWATI</v>
          </cell>
          <cell r="C61" t="str">
            <v>DELTA</v>
          </cell>
          <cell r="D61">
            <v>45748</v>
          </cell>
          <cell r="E61">
            <v>45809</v>
          </cell>
          <cell r="F61">
            <v>3</v>
          </cell>
          <cell r="G61" t="str">
            <v>Mei-25</v>
          </cell>
          <cell r="H61">
            <v>2</v>
          </cell>
          <cell r="I61">
            <v>45691</v>
          </cell>
          <cell r="J61">
            <v>300000</v>
          </cell>
          <cell r="K61" t="str">
            <v>EKSKLUSIF</v>
          </cell>
        </row>
        <row r="62">
          <cell r="A62" t="str">
            <v>A0320</v>
          </cell>
          <cell r="B62" t="str">
            <v>Deafni Dinda R Utami</v>
          </cell>
          <cell r="C62" t="str">
            <v>DELTA</v>
          </cell>
          <cell r="D62">
            <v>45748</v>
          </cell>
          <cell r="E62">
            <v>45809</v>
          </cell>
          <cell r="F62">
            <v>3</v>
          </cell>
          <cell r="G62" t="str">
            <v>Mei-25</v>
          </cell>
          <cell r="H62">
            <v>2</v>
          </cell>
          <cell r="I62">
            <v>45691</v>
          </cell>
          <cell r="J62">
            <v>300000</v>
          </cell>
          <cell r="K62" t="str">
            <v>EKSKLUSIF</v>
          </cell>
        </row>
        <row r="63">
          <cell r="A63" t="str">
            <v>A1185</v>
          </cell>
          <cell r="B63" t="str">
            <v>SAFA PRAYUDA</v>
          </cell>
          <cell r="C63" t="str">
            <v>DELTA</v>
          </cell>
          <cell r="D63">
            <v>45748</v>
          </cell>
          <cell r="E63">
            <v>45809</v>
          </cell>
          <cell r="F63">
            <v>3</v>
          </cell>
          <cell r="G63" t="str">
            <v>Mei-25</v>
          </cell>
          <cell r="H63">
            <v>2</v>
          </cell>
          <cell r="I63">
            <v>45691</v>
          </cell>
          <cell r="J63">
            <v>300000</v>
          </cell>
          <cell r="K63" t="str">
            <v>EKSKLUSIF</v>
          </cell>
        </row>
        <row r="64">
          <cell r="A64" t="str">
            <v>A1755</v>
          </cell>
          <cell r="B64" t="str">
            <v>TIFANI ADELIA SYAFITRI</v>
          </cell>
          <cell r="C64" t="str">
            <v>DELTA</v>
          </cell>
          <cell r="D64">
            <v>45748</v>
          </cell>
          <cell r="E64">
            <v>45809</v>
          </cell>
          <cell r="F64">
            <v>3</v>
          </cell>
          <cell r="G64" t="str">
            <v>Mei-25</v>
          </cell>
          <cell r="H64">
            <v>2</v>
          </cell>
          <cell r="I64">
            <v>45691</v>
          </cell>
          <cell r="J64">
            <v>300000</v>
          </cell>
          <cell r="K64" t="str">
            <v>EKSKLUSIF</v>
          </cell>
        </row>
        <row r="65">
          <cell r="A65" t="str">
            <v>A3599</v>
          </cell>
          <cell r="B65" t="str">
            <v>HANIFAH RAHMADHANI</v>
          </cell>
          <cell r="C65" t="str">
            <v>DELTA</v>
          </cell>
          <cell r="D65">
            <v>45748</v>
          </cell>
          <cell r="E65">
            <v>45809</v>
          </cell>
          <cell r="F65">
            <v>3</v>
          </cell>
          <cell r="G65" t="str">
            <v>Mei-25</v>
          </cell>
          <cell r="H65">
            <v>2</v>
          </cell>
          <cell r="I65">
            <v>45691</v>
          </cell>
          <cell r="J65">
            <v>300000</v>
          </cell>
          <cell r="K65" t="str">
            <v>EKSKLUSIF</v>
          </cell>
        </row>
        <row r="66">
          <cell r="A66" t="str">
            <v>A3826</v>
          </cell>
          <cell r="B66" t="str">
            <v>IRENE INTAN PRADISTA</v>
          </cell>
          <cell r="C66" t="str">
            <v>DELTA</v>
          </cell>
          <cell r="D66">
            <v>45748</v>
          </cell>
          <cell r="E66">
            <v>45809</v>
          </cell>
          <cell r="F66">
            <v>3</v>
          </cell>
          <cell r="G66" t="str">
            <v>Mei-25</v>
          </cell>
          <cell r="H66">
            <v>2</v>
          </cell>
          <cell r="I66">
            <v>45691</v>
          </cell>
          <cell r="J66">
            <v>300000</v>
          </cell>
          <cell r="K66" t="str">
            <v>EKSKLUSIF</v>
          </cell>
        </row>
        <row r="67">
          <cell r="A67" t="str">
            <v>A0964</v>
          </cell>
          <cell r="B67" t="str">
            <v>Anisa Desianti Ramadhani</v>
          </cell>
          <cell r="C67" t="str">
            <v>DELTA</v>
          </cell>
          <cell r="D67">
            <v>45748</v>
          </cell>
          <cell r="E67">
            <v>45809</v>
          </cell>
          <cell r="F67">
            <v>3</v>
          </cell>
          <cell r="G67" t="str">
            <v>Mei-25</v>
          </cell>
          <cell r="H67">
            <v>2</v>
          </cell>
          <cell r="I67">
            <v>45691</v>
          </cell>
          <cell r="J67">
            <v>300000</v>
          </cell>
          <cell r="K67" t="str">
            <v>EKSKLUSIF</v>
          </cell>
        </row>
        <row r="68">
          <cell r="A68">
            <v>90592</v>
          </cell>
          <cell r="B68" t="str">
            <v>DINI SHINTIA PUTRI</v>
          </cell>
          <cell r="C68" t="str">
            <v>DELTA</v>
          </cell>
          <cell r="D68" t="str">
            <v>Mei 2025</v>
          </cell>
          <cell r="E68">
            <v>45839</v>
          </cell>
          <cell r="F68">
            <v>3</v>
          </cell>
          <cell r="G68" t="str">
            <v>Mei-25</v>
          </cell>
          <cell r="H68">
            <v>1</v>
          </cell>
          <cell r="I68">
            <v>45660</v>
          </cell>
          <cell r="J68">
            <v>300000</v>
          </cell>
          <cell r="K68" t="str">
            <v>EKSKLUSIF</v>
          </cell>
        </row>
        <row r="69">
          <cell r="A69" t="str">
            <v>A4609</v>
          </cell>
          <cell r="B69" t="str">
            <v>DIEGA RAHASINATRA</v>
          </cell>
          <cell r="C69" t="str">
            <v>DELTA</v>
          </cell>
          <cell r="D69" t="str">
            <v>Mei 2025</v>
          </cell>
          <cell r="E69">
            <v>45839</v>
          </cell>
          <cell r="F69">
            <v>3</v>
          </cell>
          <cell r="G69" t="str">
            <v>Mei-25</v>
          </cell>
          <cell r="H69">
            <v>1</v>
          </cell>
          <cell r="I69">
            <v>45660</v>
          </cell>
          <cell r="J69">
            <v>300000</v>
          </cell>
          <cell r="K69" t="str">
            <v>EKSKLUSIF</v>
          </cell>
        </row>
        <row r="70">
          <cell r="A70" t="str">
            <v>A0812</v>
          </cell>
          <cell r="B70" t="str">
            <v>HERLINI NUR AZIZAH</v>
          </cell>
          <cell r="C70" t="str">
            <v>DELTA</v>
          </cell>
          <cell r="D70" t="str">
            <v>Mei 2025</v>
          </cell>
          <cell r="E70">
            <v>45839</v>
          </cell>
          <cell r="F70">
            <v>3</v>
          </cell>
          <cell r="G70" t="str">
            <v>Mei-25</v>
          </cell>
          <cell r="H70">
            <v>1</v>
          </cell>
          <cell r="I70">
            <v>45660</v>
          </cell>
          <cell r="J70">
            <v>300000</v>
          </cell>
          <cell r="K70" t="str">
            <v>EKSKLUSIF</v>
          </cell>
        </row>
        <row r="71">
          <cell r="A71" t="str">
            <v>A3558</v>
          </cell>
          <cell r="B71" t="str">
            <v>ANDI SOFIE FEBRINA SALSHABILA</v>
          </cell>
          <cell r="C71" t="str">
            <v>DELTA</v>
          </cell>
          <cell r="D71" t="str">
            <v>Mei 2025</v>
          </cell>
          <cell r="E71">
            <v>45839</v>
          </cell>
          <cell r="F71">
            <v>3</v>
          </cell>
          <cell r="G71" t="str">
            <v>Mei-25</v>
          </cell>
          <cell r="H71">
            <v>1</v>
          </cell>
          <cell r="I71">
            <v>45660</v>
          </cell>
          <cell r="J71">
            <v>300000</v>
          </cell>
          <cell r="K71" t="str">
            <v>EKSKLUSIF</v>
          </cell>
        </row>
        <row r="72">
          <cell r="A72" t="str">
            <v>A0818</v>
          </cell>
          <cell r="B72" t="str">
            <v>AGIS DWI RAHMAWATI</v>
          </cell>
          <cell r="C72" t="str">
            <v>DELTA</v>
          </cell>
          <cell r="D72" t="str">
            <v>Mei 2025</v>
          </cell>
          <cell r="E72">
            <v>45839</v>
          </cell>
          <cell r="F72">
            <v>3</v>
          </cell>
          <cell r="G72" t="str">
            <v>Mei-25</v>
          </cell>
          <cell r="H72">
            <v>1</v>
          </cell>
          <cell r="I72">
            <v>45660</v>
          </cell>
          <cell r="J72">
            <v>300000</v>
          </cell>
          <cell r="K72" t="str">
            <v>EKSKLUSIF</v>
          </cell>
        </row>
        <row r="73">
          <cell r="A73">
            <v>90694</v>
          </cell>
          <cell r="B73" t="str">
            <v>DAUS DEVYANA</v>
          </cell>
          <cell r="C73" t="str">
            <v>DELTA</v>
          </cell>
          <cell r="D73" t="str">
            <v>Mei 2025</v>
          </cell>
          <cell r="E73">
            <v>45839</v>
          </cell>
          <cell r="F73">
            <v>3</v>
          </cell>
          <cell r="G73" t="str">
            <v>Mei-25</v>
          </cell>
          <cell r="H73">
            <v>1</v>
          </cell>
          <cell r="I73">
            <v>45660</v>
          </cell>
          <cell r="J73">
            <v>300000</v>
          </cell>
          <cell r="K73" t="str">
            <v>EKSKLUSIF</v>
          </cell>
        </row>
        <row r="74">
          <cell r="A74" t="str">
            <v>A0517</v>
          </cell>
          <cell r="B74" t="str">
            <v>CHATARINA SEPTRYANINGSIH</v>
          </cell>
          <cell r="C74" t="str">
            <v>DELTA</v>
          </cell>
          <cell r="D74" t="str">
            <v>Mei 2025</v>
          </cell>
          <cell r="E74">
            <v>45839</v>
          </cell>
          <cell r="F74">
            <v>3</v>
          </cell>
          <cell r="G74" t="str">
            <v>Mei-25</v>
          </cell>
          <cell r="H74">
            <v>1</v>
          </cell>
          <cell r="I74">
            <v>45660</v>
          </cell>
          <cell r="J74">
            <v>300000</v>
          </cell>
          <cell r="K74" t="str">
            <v>EKSKLUSIF</v>
          </cell>
        </row>
        <row r="75">
          <cell r="A75" t="str">
            <v>A0879</v>
          </cell>
          <cell r="B75" t="str">
            <v>RISZA ANGGUN DWI ARIANANDA</v>
          </cell>
          <cell r="C75" t="str">
            <v>DELTA</v>
          </cell>
          <cell r="D75" t="str">
            <v>Mei 2025</v>
          </cell>
          <cell r="E75">
            <v>45839</v>
          </cell>
          <cell r="F75">
            <v>3</v>
          </cell>
          <cell r="G75" t="str">
            <v>Mei-25</v>
          </cell>
          <cell r="H75">
            <v>1</v>
          </cell>
          <cell r="I75">
            <v>45660</v>
          </cell>
          <cell r="J75">
            <v>300000</v>
          </cell>
          <cell r="K75" t="str">
            <v>EKSKLUSIF</v>
          </cell>
        </row>
        <row r="76">
          <cell r="A76" t="str">
            <v>A3406</v>
          </cell>
          <cell r="B76" t="str">
            <v>SEPTI MUNTE</v>
          </cell>
          <cell r="C76" t="str">
            <v>DELTA</v>
          </cell>
          <cell r="D76" t="str">
            <v>Mei 2025</v>
          </cell>
          <cell r="E76">
            <v>45839</v>
          </cell>
          <cell r="F76">
            <v>3</v>
          </cell>
          <cell r="G76" t="str">
            <v>Mei-25</v>
          </cell>
          <cell r="H76">
            <v>1</v>
          </cell>
          <cell r="I76">
            <v>45660</v>
          </cell>
          <cell r="J76">
            <v>300000</v>
          </cell>
          <cell r="K76" t="str">
            <v>EKSKLUSIF</v>
          </cell>
        </row>
        <row r="77">
          <cell r="A77" t="str">
            <v>A2462</v>
          </cell>
          <cell r="B77" t="str">
            <v>KHUSNUL KHATIMAH</v>
          </cell>
          <cell r="C77" t="str">
            <v>DELTA</v>
          </cell>
          <cell r="D77" t="str">
            <v>Mei 2025</v>
          </cell>
          <cell r="E77">
            <v>45839</v>
          </cell>
          <cell r="F77">
            <v>3</v>
          </cell>
          <cell r="G77" t="str">
            <v>Mei-25</v>
          </cell>
          <cell r="H77">
            <v>1</v>
          </cell>
          <cell r="I77">
            <v>45660</v>
          </cell>
          <cell r="J77">
            <v>300000</v>
          </cell>
          <cell r="K77" t="str">
            <v>EKSKLUSIF</v>
          </cell>
        </row>
        <row r="78">
          <cell r="A78" t="str">
            <v>A0986</v>
          </cell>
          <cell r="B78" t="str">
            <v>Dimas Adam Jordan</v>
          </cell>
          <cell r="C78" t="str">
            <v>DELTA</v>
          </cell>
          <cell r="D78" t="str">
            <v>Mei 2025</v>
          </cell>
          <cell r="E78">
            <v>45839</v>
          </cell>
          <cell r="F78">
            <v>3</v>
          </cell>
          <cell r="G78" t="str">
            <v>Mei-25</v>
          </cell>
          <cell r="H78">
            <v>1</v>
          </cell>
          <cell r="I78">
            <v>45660</v>
          </cell>
          <cell r="J78">
            <v>300000</v>
          </cell>
          <cell r="K78" t="str">
            <v>EKSKLUSIF</v>
          </cell>
        </row>
        <row r="79">
          <cell r="A79">
            <v>90653</v>
          </cell>
          <cell r="B79" t="str">
            <v xml:space="preserve">Weni Saputri </v>
          </cell>
          <cell r="C79" t="str">
            <v>DELTA</v>
          </cell>
          <cell r="D79" t="str">
            <v>Mei 2025</v>
          </cell>
          <cell r="E79">
            <v>45839</v>
          </cell>
          <cell r="F79">
            <v>3</v>
          </cell>
          <cell r="G79" t="str">
            <v>Mei-25</v>
          </cell>
          <cell r="H79">
            <v>1</v>
          </cell>
          <cell r="I79">
            <v>45660</v>
          </cell>
          <cell r="J79">
            <v>300000</v>
          </cell>
          <cell r="K79" t="str">
            <v>EKSKLUSIF</v>
          </cell>
        </row>
        <row r="80">
          <cell r="A80" t="str">
            <v>A3404</v>
          </cell>
          <cell r="B80" t="str">
            <v>Ayu sukmawati</v>
          </cell>
          <cell r="C80" t="str">
            <v>DELTA</v>
          </cell>
          <cell r="D80" t="str">
            <v>Mei 2025</v>
          </cell>
          <cell r="E80">
            <v>45839</v>
          </cell>
          <cell r="F80">
            <v>3</v>
          </cell>
          <cell r="G80" t="str">
            <v>Mei-25</v>
          </cell>
          <cell r="H80">
            <v>1</v>
          </cell>
          <cell r="I80">
            <v>45660</v>
          </cell>
          <cell r="J80">
            <v>300000</v>
          </cell>
          <cell r="K80" t="str">
            <v>EKSKLUSIF</v>
          </cell>
        </row>
        <row r="81">
          <cell r="A81" t="str">
            <v>A1774</v>
          </cell>
          <cell r="B81" t="str">
            <v xml:space="preserve">Maria Dewi Tirta Perwita Sari </v>
          </cell>
          <cell r="C81" t="str">
            <v>DELTA</v>
          </cell>
          <cell r="D81" t="str">
            <v>Mei 2025</v>
          </cell>
          <cell r="E81">
            <v>45839</v>
          </cell>
          <cell r="F81">
            <v>3</v>
          </cell>
          <cell r="G81" t="str">
            <v>Mei-25</v>
          </cell>
          <cell r="H81">
            <v>1</v>
          </cell>
          <cell r="I81">
            <v>45660</v>
          </cell>
          <cell r="J81">
            <v>300000</v>
          </cell>
          <cell r="K81" t="str">
            <v>EKSKLUSIF</v>
          </cell>
        </row>
        <row r="82">
          <cell r="A82" t="str">
            <v>A1954</v>
          </cell>
          <cell r="B82" t="str">
            <v>⁠Jelita Ayunda Fitria</v>
          </cell>
          <cell r="C82" t="str">
            <v>DELTA</v>
          </cell>
          <cell r="D82" t="str">
            <v>Mei 2025</v>
          </cell>
          <cell r="E82">
            <v>45839</v>
          </cell>
          <cell r="F82">
            <v>3</v>
          </cell>
          <cell r="G82" t="str">
            <v>Mei-25</v>
          </cell>
          <cell r="H82">
            <v>1</v>
          </cell>
          <cell r="I82">
            <v>45660</v>
          </cell>
          <cell r="J82">
            <v>300000</v>
          </cell>
          <cell r="K82" t="str">
            <v>EKSKLUSIF</v>
          </cell>
        </row>
        <row r="83">
          <cell r="A83" t="str">
            <v>A0821</v>
          </cell>
          <cell r="B83" t="str">
            <v>Indriana Damayanti</v>
          </cell>
          <cell r="C83" t="str">
            <v>DELTA</v>
          </cell>
          <cell r="D83" t="str">
            <v>Mei 2025</v>
          </cell>
          <cell r="E83">
            <v>45839</v>
          </cell>
          <cell r="F83">
            <v>3</v>
          </cell>
          <cell r="G83" t="str">
            <v>Mei-25</v>
          </cell>
          <cell r="H83">
            <v>1</v>
          </cell>
          <cell r="I83">
            <v>45660</v>
          </cell>
          <cell r="J83">
            <v>300000</v>
          </cell>
          <cell r="K83" t="str">
            <v>EKSKLUSIF</v>
          </cell>
        </row>
        <row r="84">
          <cell r="A84" t="str">
            <v>A4703</v>
          </cell>
          <cell r="B84" t="str">
            <v>Jesica Arnold</v>
          </cell>
          <cell r="C84" t="str">
            <v>DELTA</v>
          </cell>
          <cell r="D84" t="str">
            <v>Mei 2025</v>
          </cell>
          <cell r="E84">
            <v>45839</v>
          </cell>
          <cell r="F84">
            <v>3</v>
          </cell>
          <cell r="G84" t="str">
            <v>Mei-25</v>
          </cell>
          <cell r="H84">
            <v>1</v>
          </cell>
          <cell r="I84">
            <v>45660</v>
          </cell>
          <cell r="J84">
            <v>300000</v>
          </cell>
          <cell r="K84" t="str">
            <v>EKSKLUSIF</v>
          </cell>
        </row>
        <row r="85">
          <cell r="A85">
            <v>92287</v>
          </cell>
          <cell r="B85" t="str">
            <v>ALYDA RIZKA ISLAMIYATI</v>
          </cell>
          <cell r="C85" t="str">
            <v>DELTA</v>
          </cell>
          <cell r="D85" t="str">
            <v>Mei 2025</v>
          </cell>
          <cell r="E85">
            <v>45839</v>
          </cell>
          <cell r="F85">
            <v>3</v>
          </cell>
          <cell r="G85" t="str">
            <v>Mei-25</v>
          </cell>
          <cell r="H85">
            <v>1</v>
          </cell>
          <cell r="I85">
            <v>45660</v>
          </cell>
          <cell r="J85">
            <v>300000</v>
          </cell>
          <cell r="K85" t="str">
            <v>EKSKLUSIF</v>
          </cell>
        </row>
        <row r="86">
          <cell r="A86">
            <v>92135</v>
          </cell>
          <cell r="B86" t="str">
            <v>ERNAWATI NOFIA RINDIANI</v>
          </cell>
          <cell r="C86" t="str">
            <v>DELTA</v>
          </cell>
          <cell r="D86" t="str">
            <v>Mei 2025</v>
          </cell>
          <cell r="E86">
            <v>45839</v>
          </cell>
          <cell r="F86">
            <v>3</v>
          </cell>
          <cell r="G86" t="str">
            <v>Mei-25</v>
          </cell>
          <cell r="H86">
            <v>1</v>
          </cell>
          <cell r="I86">
            <v>45660</v>
          </cell>
          <cell r="J86">
            <v>300000</v>
          </cell>
          <cell r="K86" t="str">
            <v>EKSKLUSIF</v>
          </cell>
        </row>
        <row r="87">
          <cell r="A87" t="str">
            <v>A3029</v>
          </cell>
          <cell r="B87" t="str">
            <v>EMMIA CLARITA BR TARIGAN</v>
          </cell>
          <cell r="C87" t="str">
            <v>DELTA</v>
          </cell>
          <cell r="D87" t="str">
            <v>Mei 2025</v>
          </cell>
          <cell r="E87">
            <v>45839</v>
          </cell>
          <cell r="F87">
            <v>3</v>
          </cell>
          <cell r="G87" t="str">
            <v>Mei-25</v>
          </cell>
          <cell r="H87">
            <v>1</v>
          </cell>
          <cell r="I87">
            <v>45660</v>
          </cell>
          <cell r="J87">
            <v>300000</v>
          </cell>
          <cell r="K87" t="str">
            <v>EKSKLUSIF</v>
          </cell>
        </row>
        <row r="88">
          <cell r="A88" t="str">
            <v>A0881</v>
          </cell>
          <cell r="B88" t="str">
            <v>ERINA EKA WULANDARI</v>
          </cell>
          <cell r="C88" t="str">
            <v>DELTA</v>
          </cell>
          <cell r="D88" t="str">
            <v>Mei 2025</v>
          </cell>
          <cell r="E88">
            <v>45839</v>
          </cell>
          <cell r="F88">
            <v>3</v>
          </cell>
          <cell r="G88" t="str">
            <v>Mei-25</v>
          </cell>
          <cell r="H88">
            <v>1</v>
          </cell>
          <cell r="I88">
            <v>45660</v>
          </cell>
          <cell r="J88">
            <v>300000</v>
          </cell>
          <cell r="K88" t="str">
            <v>EKSKLUSIF</v>
          </cell>
        </row>
        <row r="89">
          <cell r="A89">
            <v>92504</v>
          </cell>
          <cell r="B89" t="str">
            <v>ARTIKA YUNITA ARDI</v>
          </cell>
          <cell r="C89" t="str">
            <v>DELTA</v>
          </cell>
          <cell r="D89" t="str">
            <v>Mei 2025</v>
          </cell>
          <cell r="E89">
            <v>45839</v>
          </cell>
          <cell r="F89">
            <v>3</v>
          </cell>
          <cell r="G89" t="str">
            <v>Mei-25</v>
          </cell>
          <cell r="H89">
            <v>1</v>
          </cell>
          <cell r="I89">
            <v>45660</v>
          </cell>
          <cell r="J89">
            <v>300000</v>
          </cell>
          <cell r="K89" t="str">
            <v>EKSKLUSIF</v>
          </cell>
        </row>
        <row r="90">
          <cell r="A90" t="str">
            <v>A2944</v>
          </cell>
          <cell r="B90" t="str">
            <v>I LUH LAKSMI EKA DEWI</v>
          </cell>
          <cell r="C90" t="str">
            <v>DELTA</v>
          </cell>
          <cell r="D90" t="str">
            <v>Mei 2025</v>
          </cell>
          <cell r="E90">
            <v>45839</v>
          </cell>
          <cell r="F90">
            <v>3</v>
          </cell>
          <cell r="G90" t="str">
            <v>Mei-25</v>
          </cell>
          <cell r="H90">
            <v>1</v>
          </cell>
          <cell r="I90">
            <v>45660</v>
          </cell>
          <cell r="J90">
            <v>300000</v>
          </cell>
          <cell r="K90" t="str">
            <v>EKSKLUSIF</v>
          </cell>
        </row>
        <row r="91">
          <cell r="A91" t="str">
            <v>A2507</v>
          </cell>
          <cell r="B91" t="str">
            <v>ARJUNA TANJUNG</v>
          </cell>
          <cell r="C91" t="str">
            <v>DELTA</v>
          </cell>
          <cell r="D91" t="str">
            <v>Mei 2025</v>
          </cell>
          <cell r="E91">
            <v>45839</v>
          </cell>
          <cell r="F91">
            <v>3</v>
          </cell>
          <cell r="G91" t="str">
            <v>Mei-25</v>
          </cell>
          <cell r="H91">
            <v>1</v>
          </cell>
          <cell r="I91">
            <v>45660</v>
          </cell>
          <cell r="J91">
            <v>300000</v>
          </cell>
          <cell r="K91" t="str">
            <v>EKSKLUSIF</v>
          </cell>
        </row>
        <row r="92">
          <cell r="A92" t="str">
            <v>A1525</v>
          </cell>
          <cell r="B92" t="str">
            <v>MARSIDAH</v>
          </cell>
          <cell r="C92" t="str">
            <v>DELTA</v>
          </cell>
          <cell r="D92" t="str">
            <v>Mei 2025</v>
          </cell>
          <cell r="E92">
            <v>45839</v>
          </cell>
          <cell r="F92">
            <v>3</v>
          </cell>
          <cell r="G92" t="str">
            <v>Mei-25</v>
          </cell>
          <cell r="H92">
            <v>1</v>
          </cell>
          <cell r="I92">
            <v>45660</v>
          </cell>
          <cell r="J92">
            <v>300000</v>
          </cell>
          <cell r="K92" t="str">
            <v>EKSKLUSIF</v>
          </cell>
        </row>
        <row r="93">
          <cell r="A93" t="str">
            <v>A1842</v>
          </cell>
          <cell r="B93" t="str">
            <v>KELPIN PONTIUS ARON</v>
          </cell>
          <cell r="C93" t="str">
            <v>DELTA</v>
          </cell>
          <cell r="D93" t="str">
            <v>Mei 2025</v>
          </cell>
          <cell r="E93">
            <v>45839</v>
          </cell>
          <cell r="F93">
            <v>3</v>
          </cell>
          <cell r="G93" t="str">
            <v>Mei-25</v>
          </cell>
          <cell r="H93">
            <v>1</v>
          </cell>
          <cell r="I93">
            <v>45660</v>
          </cell>
          <cell r="J93">
            <v>300000</v>
          </cell>
          <cell r="K93" t="str">
            <v>EKSKLUSIF</v>
          </cell>
        </row>
        <row r="94">
          <cell r="A94" t="str">
            <v>A2953</v>
          </cell>
          <cell r="B94" t="str">
            <v>NAWANGWULAN DESIKUMALA</v>
          </cell>
          <cell r="C94" t="str">
            <v>DELTA</v>
          </cell>
          <cell r="D94" t="str">
            <v>Mei 2025</v>
          </cell>
          <cell r="E94">
            <v>45839</v>
          </cell>
          <cell r="F94">
            <v>3</v>
          </cell>
          <cell r="G94" t="str">
            <v>Mei-25</v>
          </cell>
          <cell r="H94">
            <v>1</v>
          </cell>
          <cell r="I94">
            <v>45660</v>
          </cell>
          <cell r="J94">
            <v>300000</v>
          </cell>
          <cell r="K94" t="str">
            <v>EKSKLUSIF</v>
          </cell>
        </row>
        <row r="95">
          <cell r="A95" t="str">
            <v>A1762</v>
          </cell>
          <cell r="B95" t="str">
            <v>MUTAHIR ALI</v>
          </cell>
          <cell r="C95" t="str">
            <v>DELTA</v>
          </cell>
          <cell r="D95" t="str">
            <v>Mei 2025</v>
          </cell>
          <cell r="E95">
            <v>45839</v>
          </cell>
          <cell r="F95">
            <v>3</v>
          </cell>
          <cell r="G95" t="str">
            <v>Mei-25</v>
          </cell>
          <cell r="H95">
            <v>1</v>
          </cell>
          <cell r="I95">
            <v>45660</v>
          </cell>
          <cell r="J95">
            <v>300000</v>
          </cell>
          <cell r="K95" t="str">
            <v>EKSKLUSIF</v>
          </cell>
        </row>
        <row r="96">
          <cell r="A96" t="str">
            <v>A0192</v>
          </cell>
          <cell r="B96" t="str">
            <v>AGNES HAUDI SURYANTIKA</v>
          </cell>
          <cell r="C96" t="str">
            <v>DELTA</v>
          </cell>
          <cell r="D96" t="str">
            <v>Mei 2025</v>
          </cell>
          <cell r="E96">
            <v>45839</v>
          </cell>
          <cell r="F96">
            <v>3</v>
          </cell>
          <cell r="G96" t="str">
            <v>Mei-25</v>
          </cell>
          <cell r="H96">
            <v>1</v>
          </cell>
          <cell r="I96">
            <v>45660</v>
          </cell>
          <cell r="J96">
            <v>300000</v>
          </cell>
          <cell r="K96" t="str">
            <v>EKSKLUSIF</v>
          </cell>
        </row>
        <row r="97">
          <cell r="A97" t="str">
            <v>A3259</v>
          </cell>
          <cell r="B97" t="str">
            <v>ALBERTUS CHRISTIAN ADE DARMAWA</v>
          </cell>
          <cell r="C97" t="str">
            <v>DELTA</v>
          </cell>
          <cell r="D97" t="str">
            <v>Mei 2025</v>
          </cell>
          <cell r="E97">
            <v>45839</v>
          </cell>
          <cell r="F97">
            <v>3</v>
          </cell>
          <cell r="G97" t="str">
            <v>Mei-25</v>
          </cell>
          <cell r="H97">
            <v>1</v>
          </cell>
          <cell r="I97">
            <v>45660</v>
          </cell>
          <cell r="J97">
            <v>300000</v>
          </cell>
          <cell r="K97" t="str">
            <v>EKSKLUSIF</v>
          </cell>
        </row>
        <row r="98">
          <cell r="A98" t="str">
            <v>A1773</v>
          </cell>
          <cell r="B98" t="str">
            <v>MELINIA WINDY ERLIYA</v>
          </cell>
          <cell r="C98" t="str">
            <v>DELTA</v>
          </cell>
          <cell r="D98" t="str">
            <v>Mei 2025</v>
          </cell>
          <cell r="E98">
            <v>45839</v>
          </cell>
          <cell r="F98">
            <v>3</v>
          </cell>
          <cell r="G98" t="str">
            <v>Mei-25</v>
          </cell>
          <cell r="H98">
            <v>1</v>
          </cell>
          <cell r="I98">
            <v>45660</v>
          </cell>
          <cell r="J98">
            <v>300000</v>
          </cell>
          <cell r="K98" t="str">
            <v>EKSKLUSIF</v>
          </cell>
        </row>
        <row r="99">
          <cell r="A99" t="str">
            <v>A1209</v>
          </cell>
          <cell r="B99" t="str">
            <v>ZULFI FAQIH NURUL JANNAH</v>
          </cell>
          <cell r="C99" t="str">
            <v>DELTA</v>
          </cell>
          <cell r="D99" t="str">
            <v>Mei 2025</v>
          </cell>
          <cell r="E99">
            <v>45839</v>
          </cell>
          <cell r="F99">
            <v>3</v>
          </cell>
          <cell r="G99" t="str">
            <v>Mei-25</v>
          </cell>
          <cell r="H99">
            <v>1</v>
          </cell>
          <cell r="I99">
            <v>45660</v>
          </cell>
          <cell r="J99">
            <v>300000</v>
          </cell>
          <cell r="K99" t="str">
            <v>EKSKLUSIF</v>
          </cell>
        </row>
        <row r="100">
          <cell r="A100" t="str">
            <v>A2322</v>
          </cell>
          <cell r="B100" t="str">
            <v>ROSI NOVI LUTFITASARI</v>
          </cell>
          <cell r="C100" t="str">
            <v>DELTA</v>
          </cell>
          <cell r="D100" t="str">
            <v>Mei 2025</v>
          </cell>
          <cell r="E100">
            <v>45839</v>
          </cell>
          <cell r="F100">
            <v>3</v>
          </cell>
          <cell r="G100" t="str">
            <v>Mei-25</v>
          </cell>
          <cell r="H100">
            <v>1</v>
          </cell>
          <cell r="I100">
            <v>45660</v>
          </cell>
          <cell r="J100">
            <v>300000</v>
          </cell>
          <cell r="K100" t="str">
            <v>EKSKLUSIF</v>
          </cell>
        </row>
        <row r="101">
          <cell r="A101" t="str">
            <v>A0817</v>
          </cell>
          <cell r="B101" t="str">
            <v>YOLA VALENIA</v>
          </cell>
          <cell r="C101" t="str">
            <v>DELTA</v>
          </cell>
          <cell r="D101" t="str">
            <v>Mei 2025</v>
          </cell>
          <cell r="E101">
            <v>45839</v>
          </cell>
          <cell r="F101">
            <v>3</v>
          </cell>
          <cell r="G101" t="str">
            <v>Mei-25</v>
          </cell>
          <cell r="H101">
            <v>1</v>
          </cell>
          <cell r="I101">
            <v>45660</v>
          </cell>
          <cell r="J101">
            <v>300000</v>
          </cell>
          <cell r="K101" t="str">
            <v>EKSKLUSIF</v>
          </cell>
        </row>
        <row r="102">
          <cell r="A102" t="str">
            <v>A1766</v>
          </cell>
          <cell r="B102" t="str">
            <v>ELIZABETH PARAMITA</v>
          </cell>
          <cell r="C102" t="str">
            <v>DELTA</v>
          </cell>
          <cell r="D102" t="str">
            <v>Mei 2025</v>
          </cell>
          <cell r="E102">
            <v>45839</v>
          </cell>
          <cell r="F102">
            <v>3</v>
          </cell>
          <cell r="G102" t="str">
            <v>Mei-25</v>
          </cell>
          <cell r="H102">
            <v>1</v>
          </cell>
          <cell r="I102">
            <v>45660</v>
          </cell>
          <cell r="J102">
            <v>300000</v>
          </cell>
          <cell r="K102" t="str">
            <v>EKSKLUSIF</v>
          </cell>
        </row>
        <row r="103">
          <cell r="A103" t="str">
            <v>A4152</v>
          </cell>
          <cell r="B103" t="str">
            <v>KAMAL MAULANA RAMADHAN</v>
          </cell>
          <cell r="C103" t="str">
            <v>DELTA</v>
          </cell>
          <cell r="D103" t="str">
            <v>Mei 2025</v>
          </cell>
          <cell r="E103">
            <v>45839</v>
          </cell>
          <cell r="F103">
            <v>3</v>
          </cell>
          <cell r="G103" t="str">
            <v>Mei-25</v>
          </cell>
          <cell r="H103">
            <v>1</v>
          </cell>
          <cell r="I103">
            <v>45660</v>
          </cell>
          <cell r="J103">
            <v>300000</v>
          </cell>
          <cell r="K103" t="str">
            <v>EKSKLUSIF</v>
          </cell>
        </row>
        <row r="104">
          <cell r="A104">
            <v>92669</v>
          </cell>
          <cell r="B104" t="str">
            <v>APIK KUSUMA AYU</v>
          </cell>
          <cell r="C104" t="str">
            <v>DELTA</v>
          </cell>
          <cell r="D104" t="str">
            <v>Mei 2025</v>
          </cell>
          <cell r="E104">
            <v>45839</v>
          </cell>
          <cell r="F104">
            <v>3</v>
          </cell>
          <cell r="G104" t="str">
            <v>Mei-25</v>
          </cell>
          <cell r="H104">
            <v>1</v>
          </cell>
          <cell r="I104">
            <v>45660</v>
          </cell>
          <cell r="J104">
            <v>300000</v>
          </cell>
          <cell r="K104" t="str">
            <v>EKSKLUSIF</v>
          </cell>
        </row>
        <row r="105">
          <cell r="A105" t="str">
            <v>A2417</v>
          </cell>
          <cell r="B105" t="str">
            <v>LALANG WINATA BINTANG</v>
          </cell>
          <cell r="C105" t="str">
            <v>DELTA</v>
          </cell>
          <cell r="D105" t="str">
            <v>Mei 2025</v>
          </cell>
          <cell r="E105">
            <v>45839</v>
          </cell>
          <cell r="F105">
            <v>3</v>
          </cell>
          <cell r="G105" t="str">
            <v>Mei-25</v>
          </cell>
          <cell r="H105">
            <v>1</v>
          </cell>
          <cell r="I105">
            <v>45660</v>
          </cell>
          <cell r="J105">
            <v>300000</v>
          </cell>
          <cell r="K105" t="str">
            <v>EKSKLUSIF</v>
          </cell>
        </row>
        <row r="106">
          <cell r="A106" t="str">
            <v>A1276</v>
          </cell>
          <cell r="B106" t="str">
            <v>⁠SINDI ARLINDA DEWI</v>
          </cell>
          <cell r="C106" t="str">
            <v>DELTA</v>
          </cell>
          <cell r="D106" t="str">
            <v>Mei 2025</v>
          </cell>
          <cell r="E106">
            <v>45839</v>
          </cell>
          <cell r="F106">
            <v>3</v>
          </cell>
          <cell r="G106" t="str">
            <v>Mei-25</v>
          </cell>
          <cell r="H106">
            <v>1</v>
          </cell>
          <cell r="I106">
            <v>45660</v>
          </cell>
          <cell r="J106">
            <v>300000</v>
          </cell>
          <cell r="K106" t="str">
            <v>EKSKLUSIF</v>
          </cell>
        </row>
        <row r="107">
          <cell r="A107" t="str">
            <v>A4470</v>
          </cell>
          <cell r="B107" t="str">
            <v>Syarifatul Mukaromah</v>
          </cell>
          <cell r="C107" t="str">
            <v>TEMA C2</v>
          </cell>
          <cell r="D107">
            <v>45658</v>
          </cell>
          <cell r="E107">
            <v>45809</v>
          </cell>
          <cell r="F107">
            <v>6</v>
          </cell>
          <cell r="G107" t="str">
            <v>Mei-25</v>
          </cell>
          <cell r="H107">
            <v>5</v>
          </cell>
          <cell r="I107">
            <v>45783</v>
          </cell>
          <cell r="J107">
            <v>500000</v>
          </cell>
          <cell r="K107" t="str">
            <v>EKSKLUSIF</v>
          </cell>
        </row>
        <row r="108">
          <cell r="A108" t="str">
            <v>A2369</v>
          </cell>
          <cell r="B108" t="str">
            <v>ANIS DIANA SARI</v>
          </cell>
          <cell r="C108" t="str">
            <v>TEMA C2</v>
          </cell>
          <cell r="D108">
            <v>45658</v>
          </cell>
          <cell r="E108">
            <v>45809</v>
          </cell>
          <cell r="F108">
            <v>6</v>
          </cell>
          <cell r="G108" t="str">
            <v>Mei-25</v>
          </cell>
          <cell r="H108">
            <v>5</v>
          </cell>
          <cell r="I108">
            <v>45783</v>
          </cell>
          <cell r="J108">
            <v>500000</v>
          </cell>
          <cell r="K108" t="str">
            <v>EKSKLUSIF</v>
          </cell>
        </row>
        <row r="109">
          <cell r="A109" t="str">
            <v>A0911</v>
          </cell>
          <cell r="B109" t="str">
            <v>ENGELINA GALUH WINDIASARI</v>
          </cell>
          <cell r="C109" t="str">
            <v>TEMA C2</v>
          </cell>
          <cell r="D109">
            <v>45658</v>
          </cell>
          <cell r="E109">
            <v>45809</v>
          </cell>
          <cell r="F109">
            <v>6</v>
          </cell>
          <cell r="G109" t="str">
            <v>Mei-25</v>
          </cell>
          <cell r="H109">
            <v>5</v>
          </cell>
          <cell r="I109">
            <v>45783</v>
          </cell>
          <cell r="J109">
            <v>500000</v>
          </cell>
          <cell r="K109" t="str">
            <v>EKSKLUSIF</v>
          </cell>
        </row>
        <row r="110">
          <cell r="A110">
            <v>90759</v>
          </cell>
          <cell r="B110" t="str">
            <v>Pertiwi Handayani</v>
          </cell>
          <cell r="C110" t="str">
            <v>TEMA C2</v>
          </cell>
          <cell r="D110">
            <v>45689</v>
          </cell>
          <cell r="E110">
            <v>45839</v>
          </cell>
          <cell r="F110">
            <v>6</v>
          </cell>
          <cell r="G110" t="str">
            <v>Mei-25</v>
          </cell>
          <cell r="H110">
            <v>4</v>
          </cell>
          <cell r="I110">
            <v>45753</v>
          </cell>
          <cell r="J110">
            <v>400000</v>
          </cell>
          <cell r="K110" t="str">
            <v>EKSKLUSIF</v>
          </cell>
        </row>
        <row r="111">
          <cell r="A111" t="str">
            <v>A4273</v>
          </cell>
          <cell r="B111" t="str">
            <v>RUTH TRIS KRISTIANTI</v>
          </cell>
          <cell r="C111" t="str">
            <v>TEMA C2</v>
          </cell>
          <cell r="D111">
            <v>45689</v>
          </cell>
          <cell r="E111">
            <v>45839</v>
          </cell>
          <cell r="F111">
            <v>6</v>
          </cell>
          <cell r="G111" t="str">
            <v>Mei-25</v>
          </cell>
          <cell r="H111">
            <v>4</v>
          </cell>
          <cell r="I111">
            <v>45753</v>
          </cell>
          <cell r="J111">
            <v>400000</v>
          </cell>
          <cell r="K111" t="str">
            <v>EKSKLUSIF</v>
          </cell>
        </row>
        <row r="112">
          <cell r="A112">
            <v>90118</v>
          </cell>
          <cell r="B112" t="str">
            <v>AGRESITABELA PURNANINGRUM</v>
          </cell>
          <cell r="C112" t="str">
            <v>TEMA C2</v>
          </cell>
          <cell r="D112">
            <v>45717</v>
          </cell>
          <cell r="E112" t="str">
            <v>Agu 2025</v>
          </cell>
          <cell r="F112">
            <v>6</v>
          </cell>
          <cell r="G112" t="str">
            <v>Mei-25</v>
          </cell>
          <cell r="H112">
            <v>3</v>
          </cell>
          <cell r="I112">
            <v>45722</v>
          </cell>
          <cell r="J112">
            <v>400000</v>
          </cell>
          <cell r="K112" t="str">
            <v>EKSKLUSIF</v>
          </cell>
        </row>
        <row r="113">
          <cell r="A113" t="str">
            <v>A4363</v>
          </cell>
          <cell r="B113" t="str">
            <v>RINA IKA LESTARI</v>
          </cell>
          <cell r="C113" t="str">
            <v>TEMA C2</v>
          </cell>
          <cell r="D113">
            <v>45717</v>
          </cell>
          <cell r="E113" t="str">
            <v>Mei 2025</v>
          </cell>
          <cell r="F113">
            <v>3</v>
          </cell>
          <cell r="G113" t="str">
            <v>Mei-25</v>
          </cell>
          <cell r="H113">
            <v>3</v>
          </cell>
          <cell r="I113">
            <v>45719</v>
          </cell>
          <cell r="J113">
            <v>900000</v>
          </cell>
          <cell r="K113" t="str">
            <v>EKSKLUSIF</v>
          </cell>
        </row>
        <row r="114">
          <cell r="A114" t="str">
            <v>A4285</v>
          </cell>
          <cell r="B114" t="str">
            <v>VINO MUJAHIDIN</v>
          </cell>
          <cell r="C114" t="str">
            <v>TEMA C2</v>
          </cell>
          <cell r="D114">
            <v>45717</v>
          </cell>
          <cell r="E114" t="str">
            <v>Mei 2025</v>
          </cell>
          <cell r="F114">
            <v>3</v>
          </cell>
          <cell r="G114" t="str">
            <v>Mei-25</v>
          </cell>
          <cell r="H114">
            <v>3</v>
          </cell>
          <cell r="I114">
            <v>45719</v>
          </cell>
          <cell r="J114">
            <v>900000</v>
          </cell>
          <cell r="K114" t="str">
            <v>EKSKLUSIF</v>
          </cell>
        </row>
        <row r="115">
          <cell r="A115" t="str">
            <v>A4405</v>
          </cell>
          <cell r="B115" t="str">
            <v>SALWA AYU WIGATI</v>
          </cell>
          <cell r="C115" t="str">
            <v>TEMA C2</v>
          </cell>
          <cell r="D115">
            <v>45717</v>
          </cell>
          <cell r="E115" t="str">
            <v>Agu 2025</v>
          </cell>
          <cell r="F115">
            <v>6</v>
          </cell>
          <cell r="G115" t="str">
            <v>Mei-25</v>
          </cell>
          <cell r="H115">
            <v>3</v>
          </cell>
          <cell r="I115">
            <v>45722</v>
          </cell>
          <cell r="J115">
            <v>400000</v>
          </cell>
          <cell r="K115" t="str">
            <v>EKSKLUSIF</v>
          </cell>
        </row>
        <row r="116">
          <cell r="A116" t="str">
            <v/>
          </cell>
          <cell r="B116" t="str">
            <v>DILA FITRIANI</v>
          </cell>
          <cell r="C116" t="str">
            <v>TEMA C2</v>
          </cell>
          <cell r="D116">
            <v>45717</v>
          </cell>
          <cell r="E116" t="str">
            <v>Mei 2025</v>
          </cell>
          <cell r="F116">
            <v>3</v>
          </cell>
          <cell r="G116" t="str">
            <v>Mei-25</v>
          </cell>
          <cell r="H116">
            <v>3</v>
          </cell>
          <cell r="I116">
            <v>45719</v>
          </cell>
          <cell r="J116">
            <v>900000</v>
          </cell>
          <cell r="K116" t="str">
            <v>EKSKLUSIF</v>
          </cell>
        </row>
        <row r="117">
          <cell r="A117" t="str">
            <v>A4680</v>
          </cell>
          <cell r="B117" t="str">
            <v>ALINA KHILMA</v>
          </cell>
          <cell r="C117" t="str">
            <v>TEMA C2</v>
          </cell>
          <cell r="D117">
            <v>45717</v>
          </cell>
          <cell r="E117" t="str">
            <v>Mei 2025</v>
          </cell>
          <cell r="F117">
            <v>3</v>
          </cell>
          <cell r="G117" t="str">
            <v>Mei-25</v>
          </cell>
          <cell r="H117">
            <v>3</v>
          </cell>
          <cell r="I117">
            <v>45719</v>
          </cell>
          <cell r="J117">
            <v>900000</v>
          </cell>
          <cell r="K117" t="str">
            <v>EKSKLUSIF</v>
          </cell>
        </row>
        <row r="118">
          <cell r="A118" t="str">
            <v>A3070</v>
          </cell>
          <cell r="B118" t="str">
            <v>Azizul Anse</v>
          </cell>
          <cell r="C118" t="str">
            <v>TEMA C2</v>
          </cell>
          <cell r="D118">
            <v>45717</v>
          </cell>
          <cell r="E118" t="str">
            <v>Mei 2025</v>
          </cell>
          <cell r="F118">
            <v>3</v>
          </cell>
          <cell r="G118" t="str">
            <v>Mei-25</v>
          </cell>
          <cell r="H118">
            <v>3</v>
          </cell>
          <cell r="I118">
            <v>45719</v>
          </cell>
          <cell r="J118">
            <v>900000</v>
          </cell>
          <cell r="K118" t="str">
            <v>EKSKLUSIF</v>
          </cell>
        </row>
        <row r="119">
          <cell r="A119" t="str">
            <v>A1428</v>
          </cell>
          <cell r="B119" t="str">
            <v>RIFKA AYU PRADITA</v>
          </cell>
          <cell r="C119" t="str">
            <v>TEMA C2</v>
          </cell>
          <cell r="D119">
            <v>45748</v>
          </cell>
          <cell r="E119">
            <v>45809</v>
          </cell>
          <cell r="F119">
            <v>3</v>
          </cell>
          <cell r="G119" t="str">
            <v>Mei-25</v>
          </cell>
          <cell r="H119">
            <v>2</v>
          </cell>
          <cell r="I119">
            <v>45691</v>
          </cell>
          <cell r="J119">
            <v>300000</v>
          </cell>
          <cell r="K119" t="str">
            <v>EKSKLUSIF</v>
          </cell>
        </row>
        <row r="120">
          <cell r="A120" t="str">
            <v>A3693</v>
          </cell>
          <cell r="B120" t="str">
            <v>LENSE SITOMPUL</v>
          </cell>
          <cell r="C120" t="str">
            <v>TEMA C2</v>
          </cell>
          <cell r="D120">
            <v>45748</v>
          </cell>
          <cell r="E120">
            <v>45809</v>
          </cell>
          <cell r="F120">
            <v>3</v>
          </cell>
          <cell r="G120" t="str">
            <v>Mei-25</v>
          </cell>
          <cell r="H120">
            <v>2</v>
          </cell>
          <cell r="I120">
            <v>45691</v>
          </cell>
          <cell r="J120">
            <v>300000</v>
          </cell>
          <cell r="K120" t="str">
            <v>EKSKLUSIF</v>
          </cell>
        </row>
        <row r="121">
          <cell r="A121" t="str">
            <v>A1407</v>
          </cell>
          <cell r="B121" t="str">
            <v>Hardini Komalasari</v>
          </cell>
          <cell r="C121" t="str">
            <v>TEMA C2</v>
          </cell>
          <cell r="D121">
            <v>45748</v>
          </cell>
          <cell r="E121">
            <v>45809</v>
          </cell>
          <cell r="F121">
            <v>3</v>
          </cell>
          <cell r="G121" t="str">
            <v>Mei-25</v>
          </cell>
          <cell r="H121">
            <v>2</v>
          </cell>
          <cell r="I121">
            <v>45691</v>
          </cell>
          <cell r="J121">
            <v>300000</v>
          </cell>
          <cell r="K121" t="str">
            <v>EKSKLUSIF</v>
          </cell>
        </row>
        <row r="122">
          <cell r="A122" t="str">
            <v>A4784</v>
          </cell>
          <cell r="B122" t="str">
            <v>ANTONIUS TOTTI PANJI PUSPA ADI</v>
          </cell>
          <cell r="C122" t="str">
            <v>TEMA C2</v>
          </cell>
          <cell r="D122">
            <v>45748</v>
          </cell>
          <cell r="E122">
            <v>45809</v>
          </cell>
          <cell r="F122">
            <v>3</v>
          </cell>
          <cell r="G122" t="str">
            <v>Mei-25</v>
          </cell>
          <cell r="H122">
            <v>2</v>
          </cell>
          <cell r="I122">
            <v>45691</v>
          </cell>
          <cell r="J122">
            <v>300000</v>
          </cell>
          <cell r="K122" t="str">
            <v>EKSKLUSIF</v>
          </cell>
        </row>
        <row r="123">
          <cell r="A123" t="str">
            <v>A4050</v>
          </cell>
          <cell r="B123" t="str">
            <v>DITA PUSPITA SARI</v>
          </cell>
          <cell r="C123" t="str">
            <v>TEMA C2</v>
          </cell>
          <cell r="D123">
            <v>45748</v>
          </cell>
          <cell r="E123">
            <v>45809</v>
          </cell>
          <cell r="F123">
            <v>3</v>
          </cell>
          <cell r="G123" t="str">
            <v>Mei-25</v>
          </cell>
          <cell r="H123">
            <v>2</v>
          </cell>
          <cell r="I123">
            <v>45691</v>
          </cell>
          <cell r="J123">
            <v>300000</v>
          </cell>
          <cell r="K123" t="str">
            <v>EKSKLUSIF</v>
          </cell>
        </row>
        <row r="124">
          <cell r="A124" t="str">
            <v>A0105</v>
          </cell>
          <cell r="B124" t="str">
            <v>SANDA IRIANTO</v>
          </cell>
          <cell r="C124" t="str">
            <v>TEMA C2</v>
          </cell>
          <cell r="D124">
            <v>45748</v>
          </cell>
          <cell r="E124">
            <v>45809</v>
          </cell>
          <cell r="F124">
            <v>3</v>
          </cell>
          <cell r="G124" t="str">
            <v>Mei-25</v>
          </cell>
          <cell r="H124">
            <v>2</v>
          </cell>
          <cell r="I124">
            <v>45691</v>
          </cell>
          <cell r="J124">
            <v>300000</v>
          </cell>
          <cell r="K124" t="str">
            <v>EKSKLUSIF</v>
          </cell>
        </row>
        <row r="125">
          <cell r="A125" t="str">
            <v>A0786</v>
          </cell>
          <cell r="B125" t="str">
            <v>Arya Ardiansah</v>
          </cell>
          <cell r="C125" t="str">
            <v>TEMA C2</v>
          </cell>
          <cell r="D125">
            <v>45748</v>
          </cell>
          <cell r="E125">
            <v>45809</v>
          </cell>
          <cell r="F125">
            <v>3</v>
          </cell>
          <cell r="G125" t="str">
            <v>Mei-25</v>
          </cell>
          <cell r="H125">
            <v>2</v>
          </cell>
          <cell r="I125">
            <v>45691</v>
          </cell>
          <cell r="J125">
            <v>300000</v>
          </cell>
          <cell r="K125" t="str">
            <v>EKSKLUSIF</v>
          </cell>
        </row>
        <row r="126">
          <cell r="A126" t="str">
            <v>A4856</v>
          </cell>
          <cell r="B126" t="str">
            <v>BETI INDRI JULIANTI</v>
          </cell>
          <cell r="C126" t="str">
            <v>TEMA C2</v>
          </cell>
          <cell r="D126">
            <v>45748</v>
          </cell>
          <cell r="E126">
            <v>45901</v>
          </cell>
          <cell r="F126">
            <v>6</v>
          </cell>
          <cell r="G126" t="str">
            <v>Mei-25</v>
          </cell>
          <cell r="H126">
            <v>2</v>
          </cell>
          <cell r="I126">
            <v>45694</v>
          </cell>
          <cell r="J126">
            <v>300000</v>
          </cell>
          <cell r="K126" t="str">
            <v>EKSKLUSIF</v>
          </cell>
        </row>
        <row r="127">
          <cell r="A127" t="str">
            <v>A4842</v>
          </cell>
          <cell r="B127" t="str">
            <v>WIDYA PURNA PUTRI INSANI</v>
          </cell>
          <cell r="C127" t="str">
            <v>TEMA C2</v>
          </cell>
          <cell r="D127">
            <v>45748</v>
          </cell>
          <cell r="E127">
            <v>45809</v>
          </cell>
          <cell r="F127">
            <v>3</v>
          </cell>
          <cell r="G127" t="str">
            <v>Mei-25</v>
          </cell>
          <cell r="H127">
            <v>2</v>
          </cell>
          <cell r="I127">
            <v>45691</v>
          </cell>
          <cell r="J127">
            <v>300000</v>
          </cell>
          <cell r="K127" t="str">
            <v>EKSKLUSIF</v>
          </cell>
        </row>
        <row r="128">
          <cell r="A128" t="str">
            <v>A4599</v>
          </cell>
          <cell r="B128" t="str">
            <v>SAIDHA PUTRI</v>
          </cell>
          <cell r="C128" t="str">
            <v>TEMA C2</v>
          </cell>
          <cell r="D128" t="str">
            <v>Mei 2025</v>
          </cell>
          <cell r="E128" t="str">
            <v>Okt 2025</v>
          </cell>
          <cell r="F128">
            <v>6</v>
          </cell>
          <cell r="G128" t="str">
            <v>Mei-25</v>
          </cell>
          <cell r="H128">
            <v>1</v>
          </cell>
          <cell r="I128">
            <v>45663</v>
          </cell>
          <cell r="J128">
            <v>300000</v>
          </cell>
          <cell r="K128" t="str">
            <v>EKSKLUSIF</v>
          </cell>
        </row>
        <row r="129">
          <cell r="A129" t="str">
            <v>A4449</v>
          </cell>
          <cell r="B129" t="str">
            <v>Hernanda Nur Rahmawati</v>
          </cell>
          <cell r="C129" t="str">
            <v>TEMA C2</v>
          </cell>
          <cell r="D129" t="str">
            <v>Mei 2025</v>
          </cell>
          <cell r="E129">
            <v>45839</v>
          </cell>
          <cell r="F129">
            <v>3</v>
          </cell>
          <cell r="G129" t="str">
            <v>Mei-25</v>
          </cell>
          <cell r="H129">
            <v>1</v>
          </cell>
          <cell r="I129">
            <v>45660</v>
          </cell>
          <cell r="J129">
            <v>300000</v>
          </cell>
          <cell r="K129" t="str">
            <v>EKSKLUSIF</v>
          </cell>
        </row>
        <row r="130">
          <cell r="A130" t="str">
            <v>A4141</v>
          </cell>
          <cell r="B130" t="str">
            <v>AILSA SHELEY</v>
          </cell>
          <cell r="C130" t="str">
            <v>TEMA C2</v>
          </cell>
          <cell r="D130" t="str">
            <v>Mei 2025</v>
          </cell>
          <cell r="E130">
            <v>45839</v>
          </cell>
          <cell r="F130">
            <v>3</v>
          </cell>
          <cell r="G130" t="str">
            <v>Mei-25</v>
          </cell>
          <cell r="H130">
            <v>1</v>
          </cell>
          <cell r="I130">
            <v>45660</v>
          </cell>
          <cell r="J130">
            <v>300000</v>
          </cell>
          <cell r="K130" t="str">
            <v>EKSKLUSIF</v>
          </cell>
        </row>
        <row r="131">
          <cell r="A131">
            <v>92628</v>
          </cell>
          <cell r="B131" t="str">
            <v>NINI AULIA SARI</v>
          </cell>
          <cell r="C131" t="str">
            <v>TEMA C2</v>
          </cell>
          <cell r="D131" t="str">
            <v>Mei 2025</v>
          </cell>
          <cell r="E131">
            <v>45839</v>
          </cell>
          <cell r="F131">
            <v>3</v>
          </cell>
          <cell r="G131" t="str">
            <v>Mei-25</v>
          </cell>
          <cell r="H131">
            <v>1</v>
          </cell>
          <cell r="I131">
            <v>45660</v>
          </cell>
          <cell r="J131">
            <v>300000</v>
          </cell>
          <cell r="K131" t="str">
            <v>EKSKLUSIF</v>
          </cell>
        </row>
        <row r="132">
          <cell r="A132" t="str">
            <v>A1250</v>
          </cell>
          <cell r="B132" t="str">
            <v>Mayang Putri Inanda Sari</v>
          </cell>
          <cell r="C132" t="str">
            <v>TEMA C2</v>
          </cell>
          <cell r="D132" t="str">
            <v>Mei 2025</v>
          </cell>
          <cell r="E132">
            <v>45839</v>
          </cell>
          <cell r="F132">
            <v>3</v>
          </cell>
          <cell r="G132" t="str">
            <v>Mei-25</v>
          </cell>
          <cell r="H132">
            <v>1</v>
          </cell>
          <cell r="I132">
            <v>45660</v>
          </cell>
          <cell r="J132">
            <v>300000</v>
          </cell>
          <cell r="K132" t="str">
            <v>EKSKLUSIF</v>
          </cell>
        </row>
        <row r="133">
          <cell r="A133" t="str">
            <v>A4011</v>
          </cell>
          <cell r="B133" t="str">
            <v>Muhammad Devansyah Fajriady</v>
          </cell>
          <cell r="C133" t="str">
            <v>TEMA C2</v>
          </cell>
          <cell r="D133" t="str">
            <v>Mei 2025</v>
          </cell>
          <cell r="E133">
            <v>45839</v>
          </cell>
          <cell r="F133">
            <v>3</v>
          </cell>
          <cell r="G133" t="str">
            <v>Mei-25</v>
          </cell>
          <cell r="H133">
            <v>1</v>
          </cell>
          <cell r="I133">
            <v>45660</v>
          </cell>
          <cell r="J133">
            <v>300000</v>
          </cell>
          <cell r="K133" t="str">
            <v>EKSKLUSIF</v>
          </cell>
        </row>
        <row r="134">
          <cell r="A134" t="str">
            <v>A1638</v>
          </cell>
          <cell r="B134" t="str">
            <v>ERNI DWI WIDYANTI</v>
          </cell>
          <cell r="C134" t="str">
            <v>TEMA C2</v>
          </cell>
          <cell r="D134" t="str">
            <v>Mei 2025</v>
          </cell>
          <cell r="E134">
            <v>45839</v>
          </cell>
          <cell r="F134">
            <v>3</v>
          </cell>
          <cell r="G134" t="str">
            <v>Mei-25</v>
          </cell>
          <cell r="H134">
            <v>1</v>
          </cell>
          <cell r="I134">
            <v>45660</v>
          </cell>
          <cell r="J134">
            <v>300000</v>
          </cell>
          <cell r="K134" t="str">
            <v>EKSKLUSIF</v>
          </cell>
        </row>
        <row r="135">
          <cell r="A135" t="str">
            <v>A4369</v>
          </cell>
          <cell r="B135" t="str">
            <v>AULIA PUTRI WULANDARI</v>
          </cell>
          <cell r="C135" t="str">
            <v>TEMA C2</v>
          </cell>
          <cell r="D135" t="str">
            <v>Mei 2025</v>
          </cell>
          <cell r="E135">
            <v>45839</v>
          </cell>
          <cell r="F135">
            <v>3</v>
          </cell>
          <cell r="G135" t="str">
            <v>Mei-25</v>
          </cell>
          <cell r="H135">
            <v>1</v>
          </cell>
          <cell r="I135">
            <v>45660</v>
          </cell>
          <cell r="J135">
            <v>300000</v>
          </cell>
          <cell r="K135" t="str">
            <v>EKSKLUSIF</v>
          </cell>
        </row>
        <row r="136">
          <cell r="A136" t="str">
            <v>A0944</v>
          </cell>
          <cell r="B136" t="str">
            <v>SHAKIRA GIZELA DEWI PUTRI NANDIA</v>
          </cell>
          <cell r="C136" t="str">
            <v>TEMA C2</v>
          </cell>
          <cell r="D136" t="str">
            <v>Mei 2025</v>
          </cell>
          <cell r="E136">
            <v>45839</v>
          </cell>
          <cell r="F136">
            <v>3</v>
          </cell>
          <cell r="G136" t="str">
            <v>Mei-25</v>
          </cell>
          <cell r="H136">
            <v>1</v>
          </cell>
          <cell r="I136">
            <v>45660</v>
          </cell>
          <cell r="J136">
            <v>300000</v>
          </cell>
          <cell r="K136" t="str">
            <v>EKSKLUSIF</v>
          </cell>
        </row>
        <row r="137">
          <cell r="A137">
            <v>90332</v>
          </cell>
          <cell r="B137" t="str">
            <v>Mira Putri Mulia</v>
          </cell>
          <cell r="C137" t="str">
            <v>TEMA C2</v>
          </cell>
          <cell r="D137" t="str">
            <v>Mei 2025</v>
          </cell>
          <cell r="E137">
            <v>45839</v>
          </cell>
          <cell r="F137">
            <v>3</v>
          </cell>
          <cell r="G137" t="str">
            <v>Mei-25</v>
          </cell>
          <cell r="H137">
            <v>1</v>
          </cell>
          <cell r="I137">
            <v>45660</v>
          </cell>
          <cell r="J137">
            <v>300000</v>
          </cell>
          <cell r="K137" t="str">
            <v>EKSKLUSIF</v>
          </cell>
        </row>
        <row r="138">
          <cell r="A138" t="str">
            <v>A4270</v>
          </cell>
          <cell r="B138" t="str">
            <v>Della Oxza</v>
          </cell>
          <cell r="C138" t="str">
            <v>TEMA C2</v>
          </cell>
          <cell r="D138" t="str">
            <v>Mei 2025</v>
          </cell>
          <cell r="E138">
            <v>45839</v>
          </cell>
          <cell r="F138">
            <v>3</v>
          </cell>
          <cell r="G138" t="str">
            <v>Mei-25</v>
          </cell>
          <cell r="H138">
            <v>1</v>
          </cell>
          <cell r="I138">
            <v>45660</v>
          </cell>
          <cell r="J138">
            <v>300000</v>
          </cell>
          <cell r="K138" t="str">
            <v>EKSKLUSIF</v>
          </cell>
        </row>
        <row r="139">
          <cell r="A139" t="str">
            <v>A4046</v>
          </cell>
          <cell r="B139" t="str">
            <v>Daniel Rio Andika Putra</v>
          </cell>
          <cell r="C139" t="str">
            <v>TEMA C2</v>
          </cell>
          <cell r="D139" t="str">
            <v>Mei 2025</v>
          </cell>
          <cell r="E139">
            <v>45839</v>
          </cell>
          <cell r="F139">
            <v>3</v>
          </cell>
          <cell r="G139" t="str">
            <v>Mei-25</v>
          </cell>
          <cell r="H139">
            <v>1</v>
          </cell>
          <cell r="I139">
            <v>45660</v>
          </cell>
          <cell r="J139">
            <v>300000</v>
          </cell>
          <cell r="K139" t="str">
            <v>EKSKLUSIF</v>
          </cell>
        </row>
        <row r="140">
          <cell r="A140" t="str">
            <v>A1409</v>
          </cell>
          <cell r="B140" t="str">
            <v>YULIANA</v>
          </cell>
          <cell r="C140" t="str">
            <v>TEMA C2</v>
          </cell>
          <cell r="D140" t="str">
            <v>Mei 2025</v>
          </cell>
          <cell r="E140">
            <v>45839</v>
          </cell>
          <cell r="F140">
            <v>3</v>
          </cell>
          <cell r="G140" t="str">
            <v>Mei-25</v>
          </cell>
          <cell r="H140">
            <v>1</v>
          </cell>
          <cell r="I140">
            <v>45660</v>
          </cell>
          <cell r="J140">
            <v>300000</v>
          </cell>
          <cell r="K140" t="str">
            <v>EKSKLUSIF</v>
          </cell>
        </row>
        <row r="141">
          <cell r="A141" t="str">
            <v>A4846</v>
          </cell>
          <cell r="B141" t="str">
            <v>Anggel Metha Octavia Rissonia</v>
          </cell>
          <cell r="C141" t="str">
            <v>TEMA C2</v>
          </cell>
          <cell r="D141" t="str">
            <v>Mei 2025</v>
          </cell>
          <cell r="E141">
            <v>45839</v>
          </cell>
          <cell r="F141">
            <v>3</v>
          </cell>
          <cell r="G141" t="str">
            <v>Mei-25</v>
          </cell>
          <cell r="H141">
            <v>1</v>
          </cell>
          <cell r="I141">
            <v>45660</v>
          </cell>
          <cell r="J141">
            <v>300000</v>
          </cell>
          <cell r="K141" t="str">
            <v>EKSKLUSIF</v>
          </cell>
        </row>
        <row r="142">
          <cell r="A142" t="str">
            <v>A0056</v>
          </cell>
          <cell r="B142" t="str">
            <v>Elsa Salsabila</v>
          </cell>
          <cell r="C142" t="str">
            <v>TEMA C2</v>
          </cell>
          <cell r="D142" t="str">
            <v>Mei 2025</v>
          </cell>
          <cell r="E142">
            <v>45839</v>
          </cell>
          <cell r="F142">
            <v>3</v>
          </cell>
          <cell r="G142" t="str">
            <v>Mei-25</v>
          </cell>
          <cell r="H142">
            <v>1</v>
          </cell>
          <cell r="I142">
            <v>45660</v>
          </cell>
          <cell r="J142">
            <v>300000</v>
          </cell>
          <cell r="K142" t="str">
            <v>EKSKLUSIF</v>
          </cell>
        </row>
        <row r="143">
          <cell r="A143" t="str">
            <v>A1496</v>
          </cell>
          <cell r="B143" t="str">
            <v>Indah Puspita Dewi</v>
          </cell>
          <cell r="C143" t="str">
            <v>TEMA C2</v>
          </cell>
          <cell r="D143" t="str">
            <v>Mei 2025</v>
          </cell>
          <cell r="E143">
            <v>45839</v>
          </cell>
          <cell r="F143">
            <v>3</v>
          </cell>
          <cell r="G143" t="str">
            <v>Mei-25</v>
          </cell>
          <cell r="H143">
            <v>1</v>
          </cell>
          <cell r="I143">
            <v>45660</v>
          </cell>
          <cell r="J143">
            <v>300000</v>
          </cell>
          <cell r="K143" t="str">
            <v>EKSKLUSIF</v>
          </cell>
        </row>
        <row r="144">
          <cell r="A144" t="str">
            <v>A2574</v>
          </cell>
          <cell r="B144" t="str">
            <v>JATU ASTRI PRADISTA</v>
          </cell>
          <cell r="C144" t="str">
            <v>TEMA C2</v>
          </cell>
          <cell r="D144" t="str">
            <v>Mei 2025</v>
          </cell>
          <cell r="E144">
            <v>45839</v>
          </cell>
          <cell r="F144">
            <v>3</v>
          </cell>
          <cell r="G144" t="str">
            <v>Mei-25</v>
          </cell>
          <cell r="H144">
            <v>1</v>
          </cell>
          <cell r="I144">
            <v>45660</v>
          </cell>
          <cell r="J144">
            <v>300000</v>
          </cell>
          <cell r="K144" t="str">
            <v>EKSKLUSIF</v>
          </cell>
        </row>
        <row r="145">
          <cell r="A145" t="str">
            <v>A4341</v>
          </cell>
          <cell r="B145" t="str">
            <v>RIZA ULHIDAYAH</v>
          </cell>
          <cell r="C145" t="str">
            <v>TEMA C2</v>
          </cell>
          <cell r="D145" t="str">
            <v>Mei 2025</v>
          </cell>
          <cell r="E145">
            <v>45839</v>
          </cell>
          <cell r="F145">
            <v>3</v>
          </cell>
          <cell r="G145" t="str">
            <v>Mei-25</v>
          </cell>
          <cell r="H145">
            <v>1</v>
          </cell>
          <cell r="I145">
            <v>45660</v>
          </cell>
          <cell r="J145">
            <v>300000</v>
          </cell>
          <cell r="K145" t="str">
            <v>EKSKLUSIF</v>
          </cell>
        </row>
        <row r="146">
          <cell r="A146" t="str">
            <v>A1208</v>
          </cell>
          <cell r="B146" t="str">
            <v>RIYAN ISTIQOMAH</v>
          </cell>
          <cell r="C146" t="str">
            <v>TEMA C2</v>
          </cell>
          <cell r="D146" t="str">
            <v>Mei 2025</v>
          </cell>
          <cell r="E146" t="str">
            <v>Okt 2025</v>
          </cell>
          <cell r="F146">
            <v>6</v>
          </cell>
          <cell r="G146" t="str">
            <v>Mei-25</v>
          </cell>
          <cell r="H146">
            <v>1</v>
          </cell>
          <cell r="I146">
            <v>45663</v>
          </cell>
          <cell r="J146">
            <v>300000</v>
          </cell>
          <cell r="K146" t="str">
            <v>EKSKLUSIF</v>
          </cell>
        </row>
        <row r="147">
          <cell r="A147" t="str">
            <v>A4942</v>
          </cell>
          <cell r="B147" t="str">
            <v>MARIA MONIKA DEA MOLO</v>
          </cell>
          <cell r="C147" t="str">
            <v>TEMA C2</v>
          </cell>
          <cell r="D147" t="str">
            <v>Mei 2025</v>
          </cell>
          <cell r="E147">
            <v>45839</v>
          </cell>
          <cell r="F147">
            <v>3</v>
          </cell>
          <cell r="G147" t="str">
            <v>Mei-25</v>
          </cell>
          <cell r="H147">
            <v>1</v>
          </cell>
          <cell r="I147">
            <v>45660</v>
          </cell>
          <cell r="J147">
            <v>300000</v>
          </cell>
          <cell r="K147" t="str">
            <v>EKSKLUSIF</v>
          </cell>
        </row>
        <row r="148">
          <cell r="A148" t="str">
            <v>A4941</v>
          </cell>
          <cell r="B148" t="str">
            <v>ISABELLA ALVIANI</v>
          </cell>
          <cell r="C148" t="str">
            <v>TEMA C2</v>
          </cell>
          <cell r="D148" t="str">
            <v>Mei 2025</v>
          </cell>
          <cell r="E148">
            <v>45839</v>
          </cell>
          <cell r="F148">
            <v>3</v>
          </cell>
          <cell r="G148" t="str">
            <v>Mei-25</v>
          </cell>
          <cell r="H148">
            <v>1</v>
          </cell>
          <cell r="I148">
            <v>45660</v>
          </cell>
          <cell r="J148">
            <v>300000</v>
          </cell>
          <cell r="K148" t="str">
            <v>EKSKLUSIF</v>
          </cell>
        </row>
        <row r="149">
          <cell r="A149" t="str">
            <v>A4024</v>
          </cell>
          <cell r="B149" t="str">
            <v>FITRIA NURUL</v>
          </cell>
          <cell r="C149" t="str">
            <v>TEMA C2</v>
          </cell>
          <cell r="D149" t="str">
            <v>Mei 2025</v>
          </cell>
          <cell r="E149">
            <v>45839</v>
          </cell>
          <cell r="F149">
            <v>3</v>
          </cell>
          <cell r="G149" t="str">
            <v>Mei-25</v>
          </cell>
          <cell r="H149">
            <v>1</v>
          </cell>
          <cell r="I149">
            <v>45660</v>
          </cell>
          <cell r="J149">
            <v>300000</v>
          </cell>
          <cell r="K149" t="str">
            <v>EKSKLUSIF</v>
          </cell>
        </row>
        <row r="150">
          <cell r="A150" t="str">
            <v>A1059</v>
          </cell>
          <cell r="B150" t="str">
            <v>AZILA ZALWA</v>
          </cell>
          <cell r="C150" t="str">
            <v>TEMA C2</v>
          </cell>
          <cell r="D150" t="str">
            <v>Mei 2025</v>
          </cell>
          <cell r="E150">
            <v>45839</v>
          </cell>
          <cell r="F150">
            <v>3</v>
          </cell>
          <cell r="G150" t="str">
            <v>Mei-25</v>
          </cell>
          <cell r="H150">
            <v>1</v>
          </cell>
          <cell r="I150">
            <v>45660</v>
          </cell>
          <cell r="J150">
            <v>300000</v>
          </cell>
          <cell r="K150" t="str">
            <v>EKSKLUSIF</v>
          </cell>
        </row>
        <row r="151">
          <cell r="A151" t="str">
            <v>A4785</v>
          </cell>
          <cell r="B151" t="str">
            <v>Mohammad Luthfi Akbar</v>
          </cell>
          <cell r="C151" t="str">
            <v>TEMA C2</v>
          </cell>
          <cell r="D151" t="str">
            <v>Mei 2025</v>
          </cell>
          <cell r="E151">
            <v>45839</v>
          </cell>
          <cell r="F151">
            <v>3</v>
          </cell>
          <cell r="G151" t="str">
            <v>Mei-25</v>
          </cell>
          <cell r="H151">
            <v>1</v>
          </cell>
          <cell r="I151">
            <v>45660</v>
          </cell>
          <cell r="J151">
            <v>300000</v>
          </cell>
          <cell r="K151" t="str">
            <v>EKSKLUSIF</v>
          </cell>
        </row>
        <row r="152">
          <cell r="A152" t="str">
            <v>A4367</v>
          </cell>
          <cell r="B152" t="str">
            <v>SISWI HARDIYANTI RUKMANA DEWI</v>
          </cell>
          <cell r="C152" t="str">
            <v>TEMA C2</v>
          </cell>
          <cell r="D152" t="str">
            <v>Mei 2025</v>
          </cell>
          <cell r="E152">
            <v>45839</v>
          </cell>
          <cell r="F152">
            <v>3</v>
          </cell>
          <cell r="G152" t="str">
            <v>Mei-25</v>
          </cell>
          <cell r="H152">
            <v>1</v>
          </cell>
          <cell r="I152">
            <v>45660</v>
          </cell>
          <cell r="J152">
            <v>300000</v>
          </cell>
          <cell r="K152" t="str">
            <v>EKSKLUSIF</v>
          </cell>
        </row>
        <row r="153">
          <cell r="A153" t="str">
            <v>A4139</v>
          </cell>
          <cell r="B153" t="str">
            <v>KEYLA REISA IARA</v>
          </cell>
          <cell r="C153" t="str">
            <v>TEMA C2</v>
          </cell>
          <cell r="D153" t="str">
            <v>Mei 2025</v>
          </cell>
          <cell r="E153">
            <v>45839</v>
          </cell>
          <cell r="F153">
            <v>3</v>
          </cell>
          <cell r="G153" t="str">
            <v>Mei-25</v>
          </cell>
          <cell r="H153">
            <v>1</v>
          </cell>
          <cell r="I153">
            <v>45660</v>
          </cell>
          <cell r="J153">
            <v>300000</v>
          </cell>
          <cell r="K153" t="str">
            <v>EKSKLUSIF</v>
          </cell>
        </row>
        <row r="154">
          <cell r="A154" t="str">
            <v>A4940</v>
          </cell>
          <cell r="B154" t="str">
            <v>BENEDICTUS BAGAS ATARONA MBEMBOK</v>
          </cell>
          <cell r="C154" t="str">
            <v>TEMA C2</v>
          </cell>
          <cell r="D154" t="str">
            <v>Mei 2025</v>
          </cell>
          <cell r="E154">
            <v>45839</v>
          </cell>
          <cell r="F154">
            <v>3</v>
          </cell>
          <cell r="G154" t="str">
            <v>Mei-25</v>
          </cell>
          <cell r="H154">
            <v>1</v>
          </cell>
          <cell r="I154">
            <v>45660</v>
          </cell>
          <cell r="J154">
            <v>300000</v>
          </cell>
          <cell r="K154" t="str">
            <v>EKSKLUSIF</v>
          </cell>
        </row>
        <row r="155">
          <cell r="A155" t="str">
            <v>A4287</v>
          </cell>
          <cell r="B155" t="str">
            <v>FARA DHIYA HASFANA</v>
          </cell>
          <cell r="C155" t="str">
            <v>TEMA C2</v>
          </cell>
          <cell r="D155" t="str">
            <v>Mei 2025</v>
          </cell>
          <cell r="E155" t="str">
            <v>Okt 2025</v>
          </cell>
          <cell r="F155">
            <v>6</v>
          </cell>
          <cell r="G155" t="str">
            <v>Mei-25</v>
          </cell>
          <cell r="H155">
            <v>1</v>
          </cell>
          <cell r="I155">
            <v>45663</v>
          </cell>
          <cell r="J155">
            <v>300000</v>
          </cell>
          <cell r="K155" t="str">
            <v>EKSKLUSIF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3">
          <cell r="A3" t="str">
            <v>NPK</v>
          </cell>
          <cell r="B3" t="str">
            <v>NAMA</v>
          </cell>
          <cell r="C3" t="str">
            <v>FUNGSI</v>
          </cell>
          <cell r="D3" t="str">
            <v>KETERANGAN</v>
          </cell>
        </row>
        <row r="4">
          <cell r="A4" t="str">
            <v>A2615</v>
          </cell>
          <cell r="B4" t="str">
            <v>Novita Langkai</v>
          </cell>
          <cell r="C4" t="str">
            <v>AAV</v>
          </cell>
          <cell r="D4" t="str">
            <v>EKSKLUSIF</v>
          </cell>
        </row>
        <row r="5">
          <cell r="A5" t="str">
            <v>A0349</v>
          </cell>
          <cell r="B5" t="str">
            <v>Ahmad Zainal Arifin</v>
          </cell>
          <cell r="C5" t="str">
            <v>AAV</v>
          </cell>
          <cell r="D5" t="str">
            <v>EKSKLUSIF</v>
          </cell>
        </row>
        <row r="6">
          <cell r="A6" t="str">
            <v>A2873</v>
          </cell>
          <cell r="B6" t="str">
            <v>CHRISTOPHER LAKSAWANA</v>
          </cell>
          <cell r="C6" t="str">
            <v>AAV</v>
          </cell>
          <cell r="D6" t="str">
            <v>EKSKLUSIF</v>
          </cell>
        </row>
        <row r="7">
          <cell r="A7" t="str">
            <v>A2066</v>
          </cell>
          <cell r="B7" t="str">
            <v>YULIANT EFENDI</v>
          </cell>
          <cell r="C7" t="str">
            <v>AAV</v>
          </cell>
          <cell r="D7" t="str">
            <v>EKSKLUSIF</v>
          </cell>
        </row>
        <row r="8">
          <cell r="A8" t="str">
            <v>A1971</v>
          </cell>
          <cell r="B8" t="str">
            <v>ANGGI BEATRIKS SERAN</v>
          </cell>
          <cell r="C8" t="str">
            <v>SBPV</v>
          </cell>
          <cell r="D8" t="str">
            <v>EKSKLUSIF</v>
          </cell>
        </row>
        <row r="9">
          <cell r="A9" t="str">
            <v>A2001</v>
          </cell>
          <cell r="B9" t="str">
            <v>M MENTARI GAGAT RAYNA</v>
          </cell>
          <cell r="C9" t="str">
            <v>SBPV</v>
          </cell>
          <cell r="D9" t="str">
            <v>EKSKLUSIF</v>
          </cell>
        </row>
        <row r="10">
          <cell r="A10" t="str">
            <v>A2383</v>
          </cell>
          <cell r="B10" t="str">
            <v>RYSMA NUR HIDAYAH</v>
          </cell>
          <cell r="C10" t="str">
            <v>SBPV</v>
          </cell>
          <cell r="D10" t="str">
            <v>EKSKLUSIF</v>
          </cell>
        </row>
        <row r="11">
          <cell r="A11">
            <v>92175</v>
          </cell>
          <cell r="B11" t="str">
            <v>AYU AMELIA RESANTI</v>
          </cell>
          <cell r="C11" t="str">
            <v>SBPV</v>
          </cell>
          <cell r="D11" t="str">
            <v>EKSKLUSIF</v>
          </cell>
        </row>
        <row r="12">
          <cell r="A12" t="str">
            <v>A2924</v>
          </cell>
          <cell r="B12" t="str">
            <v>IRA EVELIN SIHALOHO</v>
          </cell>
          <cell r="C12" t="str">
            <v>SBPV</v>
          </cell>
          <cell r="D12" t="str">
            <v>EKSKLUSIF</v>
          </cell>
        </row>
        <row r="13">
          <cell r="A13" t="str">
            <v>A3180</v>
          </cell>
          <cell r="B13" t="str">
            <v>Clara Osa Diprastiwi</v>
          </cell>
          <cell r="C13" t="str">
            <v>RVO</v>
          </cell>
          <cell r="D13" t="str">
            <v>EKSKLUSIF</v>
          </cell>
        </row>
        <row r="14">
          <cell r="A14">
            <v>90317</v>
          </cell>
          <cell r="B14" t="str">
            <v>FILBERT SANCHIA FERDIANSAH MODOK</v>
          </cell>
          <cell r="C14" t="str">
            <v>RVO</v>
          </cell>
          <cell r="D14" t="str">
            <v>EKSKLUSIF</v>
          </cell>
        </row>
        <row r="15">
          <cell r="A15" t="str">
            <v>A2396</v>
          </cell>
          <cell r="B15" t="str">
            <v>Ilyas Fahmi</v>
          </cell>
          <cell r="C15" t="str">
            <v>RVO</v>
          </cell>
          <cell r="D15" t="str">
            <v>EKSKLUSIF</v>
          </cell>
        </row>
        <row r="16">
          <cell r="A16" t="str">
            <v>A1952</v>
          </cell>
          <cell r="B16" t="str">
            <v>LAURENSIUS AXEL RADITYA PRADANA</v>
          </cell>
          <cell r="C16" t="str">
            <v>RVO</v>
          </cell>
          <cell r="D16" t="str">
            <v>EKSKLUSIF</v>
          </cell>
        </row>
        <row r="17">
          <cell r="A17" t="str">
            <v>A0799</v>
          </cell>
          <cell r="B17" t="str">
            <v>VIVI RIZQI HAPSARI</v>
          </cell>
          <cell r="C17" t="str">
            <v>RVO</v>
          </cell>
          <cell r="D17" t="str">
            <v>EKSKLUSIF</v>
          </cell>
        </row>
        <row r="18">
          <cell r="A18" t="str">
            <v>A0155</v>
          </cell>
          <cell r="B18" t="str">
            <v>Raymon Piterz Godlieb</v>
          </cell>
          <cell r="C18" t="str">
            <v>RVO</v>
          </cell>
          <cell r="D18" t="str">
            <v>EKSKLUSIF</v>
          </cell>
        </row>
        <row r="19">
          <cell r="A19" t="str">
            <v>A3442</v>
          </cell>
          <cell r="B19" t="str">
            <v>Irfan Febriyantoro</v>
          </cell>
          <cell r="C19" t="str">
            <v>RVO</v>
          </cell>
          <cell r="D19" t="str">
            <v>EKSKLUSIF</v>
          </cell>
        </row>
        <row r="20">
          <cell r="A20">
            <v>90613</v>
          </cell>
          <cell r="B20" t="str">
            <v>JOHAN AIMAN RAIS</v>
          </cell>
          <cell r="C20" t="str">
            <v>RVO</v>
          </cell>
          <cell r="D20" t="str">
            <v>EKSKLUSIF</v>
          </cell>
        </row>
        <row r="21">
          <cell r="A21" t="str">
            <v>A0072</v>
          </cell>
          <cell r="B21" t="str">
            <v>Rahmad Dwi Adrian</v>
          </cell>
          <cell r="C21" t="str">
            <v>RVO</v>
          </cell>
          <cell r="D21" t="str">
            <v>EKSKLUSIF</v>
          </cell>
        </row>
        <row r="22">
          <cell r="A22" t="str">
            <v>A3437</v>
          </cell>
          <cell r="B22" t="str">
            <v>Yohana Claudia</v>
          </cell>
          <cell r="C22" t="str">
            <v>RVO</v>
          </cell>
          <cell r="D22" t="str">
            <v>EKSKLUSIF</v>
          </cell>
        </row>
        <row r="23">
          <cell r="A23" t="str">
            <v>A3436</v>
          </cell>
          <cell r="B23" t="str">
            <v>Anita Kristiana Laia</v>
          </cell>
          <cell r="C23" t="str">
            <v>RVO</v>
          </cell>
          <cell r="D23" t="str">
            <v>EKSKLUSIF</v>
          </cell>
        </row>
        <row r="24">
          <cell r="A24" t="str">
            <v>A0137</v>
          </cell>
          <cell r="B24" t="str">
            <v>Dhian karunia</v>
          </cell>
          <cell r="C24" t="str">
            <v>RVO</v>
          </cell>
          <cell r="D24" t="str">
            <v>EKSKLUSIF</v>
          </cell>
        </row>
        <row r="25">
          <cell r="A25" t="str">
            <v>A3576</v>
          </cell>
          <cell r="B25" t="str">
            <v>YONATAN ADI SAPUTRO</v>
          </cell>
          <cell r="C25" t="str">
            <v>RVO</v>
          </cell>
          <cell r="D25" t="str">
            <v>EKSKLUSIF</v>
          </cell>
        </row>
        <row r="26">
          <cell r="A26">
            <v>90453</v>
          </cell>
          <cell r="B26" t="str">
            <v>SHERLY HAPSARI</v>
          </cell>
          <cell r="C26" t="str">
            <v>RVO</v>
          </cell>
          <cell r="D26" t="str">
            <v>EKSKLUSIF</v>
          </cell>
        </row>
        <row r="27">
          <cell r="A27">
            <v>92709</v>
          </cell>
          <cell r="B27" t="str">
            <v xml:space="preserve">Dany Ahmad Farrastio </v>
          </cell>
          <cell r="C27" t="str">
            <v>RVO</v>
          </cell>
          <cell r="D27" t="str">
            <v>EKSKLUSIF</v>
          </cell>
        </row>
        <row r="28">
          <cell r="A28">
            <v>92000</v>
          </cell>
          <cell r="B28" t="str">
            <v>ACHMAD KURNIAWAN</v>
          </cell>
          <cell r="C28" t="str">
            <v>RVO</v>
          </cell>
          <cell r="D28" t="str">
            <v>EKSKLUSIF</v>
          </cell>
        </row>
        <row r="29">
          <cell r="A29">
            <v>92694</v>
          </cell>
          <cell r="B29" t="str">
            <v>Wahyu Nugroho</v>
          </cell>
          <cell r="C29" t="str">
            <v>RVO</v>
          </cell>
          <cell r="D29" t="str">
            <v>EKSKLUSIF</v>
          </cell>
        </row>
        <row r="30">
          <cell r="A30">
            <v>90933</v>
          </cell>
          <cell r="B30" t="str">
            <v>REZA DESTI VAUZIA</v>
          </cell>
          <cell r="C30" t="str">
            <v>RVO</v>
          </cell>
          <cell r="D30" t="str">
            <v>EKSKLUSIF</v>
          </cell>
        </row>
        <row r="31">
          <cell r="A31">
            <v>92717</v>
          </cell>
          <cell r="B31" t="str">
            <v>Gresmilen bilgis</v>
          </cell>
          <cell r="C31" t="str">
            <v>RVO</v>
          </cell>
          <cell r="D31" t="str">
            <v>EKSKLUSIF</v>
          </cell>
        </row>
        <row r="32">
          <cell r="A32">
            <v>92494</v>
          </cell>
          <cell r="B32" t="str">
            <v>Nurmansyah Amirudin</v>
          </cell>
          <cell r="C32" t="str">
            <v>RVO</v>
          </cell>
          <cell r="D32" t="str">
            <v>EKSKLUSIF</v>
          </cell>
        </row>
        <row r="33">
          <cell r="A33" t="str">
            <v>A1854</v>
          </cell>
          <cell r="B33" t="str">
            <v>SALSABILA OKTAVIMADIANA</v>
          </cell>
          <cell r="C33" t="str">
            <v>DELTA</v>
          </cell>
          <cell r="D33" t="str">
            <v>EKSKLUSIF</v>
          </cell>
        </row>
        <row r="34">
          <cell r="A34" t="str">
            <v>A1219</v>
          </cell>
          <cell r="B34" t="str">
            <v>AZIZ ALFISYAHRI</v>
          </cell>
          <cell r="C34" t="str">
            <v>DELTA</v>
          </cell>
          <cell r="D34" t="str">
            <v>EKSKLUSIF</v>
          </cell>
        </row>
        <row r="35">
          <cell r="A35" t="str">
            <v>A1957</v>
          </cell>
          <cell r="B35" t="str">
            <v>FATIA</v>
          </cell>
          <cell r="C35" t="str">
            <v>DELTA</v>
          </cell>
          <cell r="D35" t="str">
            <v>EKSKLUSIF</v>
          </cell>
        </row>
        <row r="36">
          <cell r="A36" t="str">
            <v>A1841</v>
          </cell>
          <cell r="B36" t="str">
            <v>Adhina Putriana Kusumawat</v>
          </cell>
          <cell r="C36" t="str">
            <v>DELTA</v>
          </cell>
          <cell r="D36" t="str">
            <v>EKSKLUSIF</v>
          </cell>
        </row>
        <row r="37">
          <cell r="A37" t="str">
            <v>A0830</v>
          </cell>
          <cell r="B37" t="str">
            <v>Margi Suryani</v>
          </cell>
          <cell r="C37" t="str">
            <v>DELTA</v>
          </cell>
          <cell r="D37" t="str">
            <v>EKSKLUSIF</v>
          </cell>
        </row>
        <row r="38">
          <cell r="A38" t="str">
            <v>A0874</v>
          </cell>
          <cell r="B38" t="str">
            <v>Galih Mardiana</v>
          </cell>
          <cell r="C38" t="str">
            <v>DELTA</v>
          </cell>
          <cell r="D38" t="str">
            <v>EKSKLUSIF</v>
          </cell>
        </row>
        <row r="39">
          <cell r="A39" t="str">
            <v>A1096</v>
          </cell>
          <cell r="B39" t="str">
            <v>NILA HAQIQI</v>
          </cell>
          <cell r="C39" t="str">
            <v>DELTA</v>
          </cell>
          <cell r="D39" t="str">
            <v>EKSKLUSIF</v>
          </cell>
        </row>
        <row r="40">
          <cell r="A40" t="str">
            <v>A2255</v>
          </cell>
          <cell r="B40" t="str">
            <v>ELI SANTI SITOHANG</v>
          </cell>
          <cell r="C40" t="str">
            <v>DELTA</v>
          </cell>
          <cell r="D40" t="str">
            <v>EKSKLUSIF</v>
          </cell>
        </row>
        <row r="41">
          <cell r="A41" t="str">
            <v>A1329</v>
          </cell>
          <cell r="B41" t="str">
            <v>NABILA HASNA</v>
          </cell>
          <cell r="C41" t="str">
            <v>DELTA</v>
          </cell>
          <cell r="D41" t="str">
            <v>EKSKLUSIF</v>
          </cell>
        </row>
        <row r="42">
          <cell r="A42" t="str">
            <v>A1280</v>
          </cell>
          <cell r="B42" t="str">
            <v>PASKHA APRILIANINGSIH</v>
          </cell>
          <cell r="C42" t="str">
            <v>DELTA</v>
          </cell>
          <cell r="D42" t="str">
            <v>EKSKLUSIF</v>
          </cell>
        </row>
        <row r="43">
          <cell r="A43" t="str">
            <v>A1215</v>
          </cell>
          <cell r="B43" t="str">
            <v>ESTERINA KUSUMAWATI</v>
          </cell>
          <cell r="C43" t="str">
            <v>DELTA</v>
          </cell>
          <cell r="D43" t="str">
            <v>EKSKLUSIF</v>
          </cell>
        </row>
        <row r="44">
          <cell r="A44" t="str">
            <v>A0770</v>
          </cell>
          <cell r="B44" t="str">
            <v>ELZE ZULFANNY</v>
          </cell>
          <cell r="C44" t="str">
            <v>DELTA</v>
          </cell>
          <cell r="D44" t="str">
            <v>EKSKLUSIF</v>
          </cell>
        </row>
        <row r="45">
          <cell r="A45" t="str">
            <v>A1461</v>
          </cell>
          <cell r="B45" t="str">
            <v>AKHSA EKA MAHARANI</v>
          </cell>
          <cell r="C45" t="str">
            <v>DELTA</v>
          </cell>
          <cell r="D45" t="str">
            <v>EKSKLUSIF</v>
          </cell>
        </row>
        <row r="46">
          <cell r="A46" t="str">
            <v>A2145</v>
          </cell>
          <cell r="B46" t="str">
            <v>LAILY FAJRIYANTI</v>
          </cell>
          <cell r="C46" t="str">
            <v>DELTA</v>
          </cell>
          <cell r="D46" t="str">
            <v>EKSKLUSIF</v>
          </cell>
        </row>
        <row r="47">
          <cell r="A47" t="str">
            <v>A3321</v>
          </cell>
          <cell r="B47" t="str">
            <v>DESTI RAHMAWATI</v>
          </cell>
          <cell r="C47" t="str">
            <v>DELTA</v>
          </cell>
          <cell r="D47" t="str">
            <v>EKSKLUSIF</v>
          </cell>
        </row>
        <row r="48">
          <cell r="A48" t="str">
            <v>A0320</v>
          </cell>
          <cell r="B48" t="str">
            <v>Deafni Dinda R Utami</v>
          </cell>
          <cell r="C48" t="str">
            <v>DELTA</v>
          </cell>
          <cell r="D48" t="str">
            <v>EKSKLUSIF</v>
          </cell>
        </row>
        <row r="49">
          <cell r="A49" t="str">
            <v>A1185</v>
          </cell>
          <cell r="B49" t="str">
            <v>SAFA PRAYUDA</v>
          </cell>
          <cell r="C49" t="str">
            <v>DELTA</v>
          </cell>
          <cell r="D49" t="str">
            <v>EKSKLUSIF</v>
          </cell>
        </row>
        <row r="50">
          <cell r="A50" t="str">
            <v>A1755</v>
          </cell>
          <cell r="B50" t="str">
            <v>TIFANI ADELIA SYAFITRI</v>
          </cell>
          <cell r="C50" t="str">
            <v>DELTA</v>
          </cell>
          <cell r="D50" t="str">
            <v>EKSKLUSIF</v>
          </cell>
        </row>
        <row r="51">
          <cell r="A51" t="str">
            <v>A3599</v>
          </cell>
          <cell r="B51" t="str">
            <v>HANIFAH RAHMADHANI</v>
          </cell>
          <cell r="C51" t="str">
            <v>DELTA</v>
          </cell>
          <cell r="D51" t="str">
            <v>EKSKLUSIF</v>
          </cell>
        </row>
        <row r="52">
          <cell r="A52" t="str">
            <v>A3826</v>
          </cell>
          <cell r="B52" t="str">
            <v>IRENE INTAN PRADISTA</v>
          </cell>
          <cell r="C52" t="str">
            <v>DELTA</v>
          </cell>
          <cell r="D52" t="str">
            <v>EKSKLUSIF</v>
          </cell>
        </row>
        <row r="53">
          <cell r="A53" t="str">
            <v>A0964</v>
          </cell>
          <cell r="B53" t="str">
            <v>Anisa Desianti Ramadhani</v>
          </cell>
          <cell r="C53" t="str">
            <v>DELTA</v>
          </cell>
          <cell r="D53" t="str">
            <v>EKSKLUSIF</v>
          </cell>
        </row>
        <row r="54">
          <cell r="A54">
            <v>90592</v>
          </cell>
          <cell r="B54" t="str">
            <v>DINI SHINTIA PUTRI</v>
          </cell>
          <cell r="C54" t="str">
            <v>DELTA</v>
          </cell>
          <cell r="D54" t="str">
            <v>EKSKLUSIF</v>
          </cell>
        </row>
        <row r="55">
          <cell r="A55" t="str">
            <v>A4609</v>
          </cell>
          <cell r="B55" t="str">
            <v>DIEGA RAHASINATRA</v>
          </cell>
          <cell r="C55" t="str">
            <v>DELTA</v>
          </cell>
          <cell r="D55" t="str">
            <v>EKSKLUSIF</v>
          </cell>
        </row>
        <row r="56">
          <cell r="A56" t="str">
            <v>A0812</v>
          </cell>
          <cell r="B56" t="str">
            <v>HERLINI NUR AZIZAH</v>
          </cell>
          <cell r="C56" t="str">
            <v>DELTA</v>
          </cell>
          <cell r="D56" t="str">
            <v>EKSKLUSIF</v>
          </cell>
        </row>
        <row r="57">
          <cell r="A57" t="str">
            <v>A3558</v>
          </cell>
          <cell r="B57" t="str">
            <v>ANDI SOFIE FEBRINA SALSHABILA</v>
          </cell>
          <cell r="C57" t="str">
            <v>DELTA</v>
          </cell>
          <cell r="D57" t="str">
            <v>EKSKLUSIF</v>
          </cell>
        </row>
        <row r="58">
          <cell r="A58" t="str">
            <v>A0818</v>
          </cell>
          <cell r="B58" t="str">
            <v>AGIS DWI RAHMAWATI</v>
          </cell>
          <cell r="C58" t="str">
            <v>DELTA</v>
          </cell>
          <cell r="D58" t="str">
            <v>EKSKLUSIF</v>
          </cell>
        </row>
        <row r="59">
          <cell r="A59">
            <v>90694</v>
          </cell>
          <cell r="B59" t="str">
            <v>DAUS DEVYANA</v>
          </cell>
          <cell r="C59" t="str">
            <v>DELTA</v>
          </cell>
          <cell r="D59" t="str">
            <v>EKSKLUSIF</v>
          </cell>
        </row>
        <row r="60">
          <cell r="A60" t="str">
            <v>A0517</v>
          </cell>
          <cell r="B60" t="str">
            <v>CHATARINA SEPTRYANINGSIH</v>
          </cell>
          <cell r="C60" t="str">
            <v>DELTA</v>
          </cell>
          <cell r="D60" t="str">
            <v>EKSKLUSIF</v>
          </cell>
        </row>
        <row r="61">
          <cell r="A61" t="str">
            <v>A0879</v>
          </cell>
          <cell r="B61" t="str">
            <v>RISZA ANGGUN DWI ARIANANDA</v>
          </cell>
          <cell r="C61" t="str">
            <v>DELTA</v>
          </cell>
          <cell r="D61" t="str">
            <v>EKSKLUSIF</v>
          </cell>
        </row>
        <row r="62">
          <cell r="A62" t="str">
            <v>A3406</v>
          </cell>
          <cell r="B62" t="str">
            <v>SEPTI MUNTE</v>
          </cell>
          <cell r="C62" t="str">
            <v>DELTA</v>
          </cell>
          <cell r="D62" t="str">
            <v>EKSKLUSIF</v>
          </cell>
        </row>
        <row r="63">
          <cell r="A63" t="str">
            <v>A2462</v>
          </cell>
          <cell r="B63" t="str">
            <v>KHUSNUL KHATIMAH</v>
          </cell>
          <cell r="C63" t="str">
            <v>DELTA</v>
          </cell>
          <cell r="D63" t="str">
            <v>EKSKLUSIF</v>
          </cell>
        </row>
        <row r="64">
          <cell r="A64" t="str">
            <v>A0986</v>
          </cell>
          <cell r="B64" t="str">
            <v>Dimas Adam Jordan</v>
          </cell>
          <cell r="C64" t="str">
            <v>DELTA</v>
          </cell>
          <cell r="D64" t="str">
            <v>EKSKLUSIF</v>
          </cell>
        </row>
        <row r="65">
          <cell r="A65">
            <v>90653</v>
          </cell>
          <cell r="B65" t="str">
            <v xml:space="preserve">Weni Saputri </v>
          </cell>
          <cell r="C65" t="str">
            <v>DELTA</v>
          </cell>
          <cell r="D65" t="str">
            <v>EKSKLUSIF</v>
          </cell>
        </row>
        <row r="66">
          <cell r="A66" t="str">
            <v>A3404</v>
          </cell>
          <cell r="B66" t="str">
            <v>Ayu sukmawati</v>
          </cell>
          <cell r="C66" t="str">
            <v>DELTA</v>
          </cell>
          <cell r="D66" t="str">
            <v>EKSKLUSIF</v>
          </cell>
        </row>
        <row r="67">
          <cell r="A67" t="str">
            <v>A1954</v>
          </cell>
          <cell r="B67" t="str">
            <v>⁠Jelita Ayunda Fitria</v>
          </cell>
          <cell r="C67" t="str">
            <v>DELTA</v>
          </cell>
          <cell r="D67" t="str">
            <v>EKSKLUSIF</v>
          </cell>
        </row>
        <row r="68">
          <cell r="A68" t="str">
            <v>A0821</v>
          </cell>
          <cell r="B68" t="str">
            <v>Indriana Damayanti</v>
          </cell>
          <cell r="C68" t="str">
            <v>DELTA</v>
          </cell>
          <cell r="D68" t="str">
            <v>EKSKLUSIF</v>
          </cell>
        </row>
        <row r="69">
          <cell r="A69" t="str">
            <v>A4703</v>
          </cell>
          <cell r="B69" t="str">
            <v>Jesica Arnold</v>
          </cell>
          <cell r="C69" t="str">
            <v>DELTA</v>
          </cell>
          <cell r="D69" t="str">
            <v>EKSKLUSIF</v>
          </cell>
        </row>
        <row r="70">
          <cell r="A70">
            <v>92287</v>
          </cell>
          <cell r="B70" t="str">
            <v>ALYDA RIZKA ISLAMIYATI</v>
          </cell>
          <cell r="C70" t="str">
            <v>DELTA</v>
          </cell>
          <cell r="D70" t="str">
            <v>EKSKLUSIF</v>
          </cell>
        </row>
        <row r="71">
          <cell r="A71">
            <v>92135</v>
          </cell>
          <cell r="B71" t="str">
            <v>ERNAWATI NOFIA RINDIANI</v>
          </cell>
          <cell r="C71" t="str">
            <v>DELTA</v>
          </cell>
          <cell r="D71" t="str">
            <v>EKSKLUSIF</v>
          </cell>
        </row>
        <row r="72">
          <cell r="A72" t="str">
            <v>A3029</v>
          </cell>
          <cell r="B72" t="str">
            <v>EMMIA CLARITA BR TARIGAN</v>
          </cell>
          <cell r="C72" t="str">
            <v>DELTA</v>
          </cell>
          <cell r="D72" t="str">
            <v>EKSKLUSIF</v>
          </cell>
        </row>
        <row r="73">
          <cell r="A73" t="str">
            <v>A0881</v>
          </cell>
          <cell r="B73" t="str">
            <v>ERINA EKA WULANDARI</v>
          </cell>
          <cell r="C73" t="str">
            <v>DELTA</v>
          </cell>
          <cell r="D73" t="str">
            <v>EKSKLUSIF</v>
          </cell>
        </row>
        <row r="74">
          <cell r="A74">
            <v>92504</v>
          </cell>
          <cell r="B74" t="str">
            <v>ARTIKA YUNITA ARDI</v>
          </cell>
          <cell r="C74" t="str">
            <v>DELTA</v>
          </cell>
          <cell r="D74" t="str">
            <v>EKSKLUSIF</v>
          </cell>
        </row>
        <row r="75">
          <cell r="A75" t="str">
            <v>A2944</v>
          </cell>
          <cell r="B75" t="str">
            <v>I LUH LAKSMI EKA DEWI</v>
          </cell>
          <cell r="C75" t="str">
            <v>DELTA</v>
          </cell>
          <cell r="D75" t="str">
            <v>EKSKLUSIF</v>
          </cell>
        </row>
        <row r="76">
          <cell r="A76" t="str">
            <v>A2507</v>
          </cell>
          <cell r="B76" t="str">
            <v>ARJUNA TANJUNG</v>
          </cell>
          <cell r="C76" t="str">
            <v>DELTA</v>
          </cell>
          <cell r="D76" t="str">
            <v>EKSKLUSIF</v>
          </cell>
        </row>
        <row r="77">
          <cell r="A77" t="str">
            <v>A1525</v>
          </cell>
          <cell r="B77" t="str">
            <v>MARSIDAH</v>
          </cell>
          <cell r="C77" t="str">
            <v>DELTA</v>
          </cell>
          <cell r="D77" t="str">
            <v>EKSKLUSIF</v>
          </cell>
        </row>
        <row r="78">
          <cell r="A78" t="str">
            <v>A1842</v>
          </cell>
          <cell r="B78" t="str">
            <v>KELPIN PONTIUS ARON</v>
          </cell>
          <cell r="C78" t="str">
            <v>DELTA</v>
          </cell>
          <cell r="D78" t="str">
            <v>EKSKLUSIF</v>
          </cell>
        </row>
        <row r="79">
          <cell r="A79" t="str">
            <v>A2953</v>
          </cell>
          <cell r="B79" t="str">
            <v>NAWANGWULAN DESIKUMALA</v>
          </cell>
          <cell r="C79" t="str">
            <v>DELTA</v>
          </cell>
          <cell r="D79" t="str">
            <v>EKSKLUSIF</v>
          </cell>
        </row>
        <row r="80">
          <cell r="A80" t="str">
            <v>A1762</v>
          </cell>
          <cell r="B80" t="str">
            <v>MUTAHIR ALI</v>
          </cell>
          <cell r="C80" t="str">
            <v>DELTA</v>
          </cell>
          <cell r="D80" t="str">
            <v>EKSKLUSIF</v>
          </cell>
        </row>
        <row r="81">
          <cell r="A81" t="str">
            <v>A0192</v>
          </cell>
          <cell r="B81" t="str">
            <v>AGNES HAUDI SURYANTIKA</v>
          </cell>
          <cell r="C81" t="str">
            <v>DELTA</v>
          </cell>
          <cell r="D81" t="str">
            <v>EKSKLUSIF</v>
          </cell>
        </row>
        <row r="82">
          <cell r="A82" t="str">
            <v>A3259</v>
          </cell>
          <cell r="B82" t="str">
            <v>ALBERTUS CHRISTIAN ADE DARMAWA</v>
          </cell>
          <cell r="C82" t="str">
            <v>DELTA</v>
          </cell>
          <cell r="D82" t="str">
            <v>EKSKLUSIF</v>
          </cell>
        </row>
        <row r="83">
          <cell r="A83" t="str">
            <v>A1773</v>
          </cell>
          <cell r="B83" t="str">
            <v>MELINIA WINDY ERLIYA</v>
          </cell>
          <cell r="C83" t="str">
            <v>DELTA</v>
          </cell>
          <cell r="D83" t="str">
            <v>EKSKLUSIF</v>
          </cell>
        </row>
        <row r="84">
          <cell r="A84" t="str">
            <v>A1209</v>
          </cell>
          <cell r="B84" t="str">
            <v>ZULFI FAQIH NURUL JANNAH</v>
          </cell>
          <cell r="C84" t="str">
            <v>DELTA</v>
          </cell>
          <cell r="D84" t="str">
            <v>EKSKLUSIF</v>
          </cell>
        </row>
        <row r="85">
          <cell r="A85" t="str">
            <v>A2322</v>
          </cell>
          <cell r="B85" t="str">
            <v>ROSI NOVI LUTFITASARI</v>
          </cell>
          <cell r="C85" t="str">
            <v>DELTA</v>
          </cell>
          <cell r="D85" t="str">
            <v>EKSKLUSIF</v>
          </cell>
        </row>
        <row r="86">
          <cell r="A86" t="str">
            <v>A0817</v>
          </cell>
          <cell r="B86" t="str">
            <v>YOLA VALENIA</v>
          </cell>
          <cell r="C86" t="str">
            <v>DELTA</v>
          </cell>
          <cell r="D86" t="str">
            <v>EKSKLUSIF</v>
          </cell>
        </row>
        <row r="87">
          <cell r="A87" t="str">
            <v>A1766</v>
          </cell>
          <cell r="B87" t="str">
            <v>ELIZABETH PARAMITA</v>
          </cell>
          <cell r="C87" t="str">
            <v>DELTA</v>
          </cell>
          <cell r="D87" t="str">
            <v>EKSKLUSIF</v>
          </cell>
        </row>
        <row r="88">
          <cell r="A88" t="str">
            <v>A4152</v>
          </cell>
          <cell r="B88" t="str">
            <v>KAMAL MAULANA RAMADHAN</v>
          </cell>
          <cell r="C88" t="str">
            <v>DELTA</v>
          </cell>
          <cell r="D88" t="str">
            <v>EKSKLUSIF</v>
          </cell>
        </row>
        <row r="89">
          <cell r="A89">
            <v>92669</v>
          </cell>
          <cell r="B89" t="str">
            <v>APIK KUSUMA AYU</v>
          </cell>
          <cell r="C89" t="str">
            <v>DELTA</v>
          </cell>
          <cell r="D89" t="str">
            <v>EKSKLUSIF</v>
          </cell>
        </row>
        <row r="90">
          <cell r="A90" t="str">
            <v>A2417</v>
          </cell>
          <cell r="B90" t="str">
            <v>LALANG WINATA BINTANG</v>
          </cell>
          <cell r="C90" t="str">
            <v>DELTA</v>
          </cell>
          <cell r="D90" t="str">
            <v>EKSKLUSIF</v>
          </cell>
        </row>
        <row r="91">
          <cell r="A91" t="str">
            <v>A1276</v>
          </cell>
          <cell r="B91" t="str">
            <v>⁠SINDI ARLINDA DEWI</v>
          </cell>
          <cell r="C91" t="str">
            <v>DELTA</v>
          </cell>
          <cell r="D91" t="str">
            <v>EKSKLUSIF</v>
          </cell>
        </row>
        <row r="92">
          <cell r="A92" t="str">
            <v>A1349</v>
          </cell>
          <cell r="B92" t="str">
            <v>TISA NORSARI</v>
          </cell>
          <cell r="C92" t="str">
            <v>DELTA</v>
          </cell>
          <cell r="D92" t="str">
            <v>EKSKLUSIF</v>
          </cell>
        </row>
        <row r="93">
          <cell r="A93" t="str">
            <v>A3476</v>
          </cell>
          <cell r="B93" t="str">
            <v>PRILLA IMADIANA FAJRIN</v>
          </cell>
          <cell r="C93" t="str">
            <v>DELTA</v>
          </cell>
          <cell r="D93" t="str">
            <v>EKSKLUSIF</v>
          </cell>
        </row>
        <row r="94">
          <cell r="A94" t="str">
            <v>A1651</v>
          </cell>
          <cell r="B94" t="str">
            <v>NUR ROMADANI F</v>
          </cell>
          <cell r="C94" t="str">
            <v>DELTA</v>
          </cell>
          <cell r="D94" t="str">
            <v>EKSKLUSIF</v>
          </cell>
        </row>
        <row r="95">
          <cell r="A95">
            <v>92539</v>
          </cell>
          <cell r="B95" t="str">
            <v>Rosiana</v>
          </cell>
          <cell r="C95" t="str">
            <v>DELTA</v>
          </cell>
          <cell r="D95" t="str">
            <v>EKSKLUSIF</v>
          </cell>
        </row>
        <row r="96">
          <cell r="A96" t="str">
            <v>A2510</v>
          </cell>
          <cell r="B96" t="str">
            <v>Thifal Khansa Nabila</v>
          </cell>
          <cell r="C96" t="str">
            <v>DELTA</v>
          </cell>
          <cell r="D96" t="str">
            <v>EKSKLUSIF</v>
          </cell>
        </row>
        <row r="97">
          <cell r="A97" t="str">
            <v>A3833</v>
          </cell>
          <cell r="B97" t="str">
            <v>MUHAMMAD SUBHAN</v>
          </cell>
          <cell r="C97" t="str">
            <v>DELTA</v>
          </cell>
          <cell r="D97" t="str">
            <v>EKSKLUSIF</v>
          </cell>
        </row>
        <row r="98">
          <cell r="A98" t="str">
            <v>A3218</v>
          </cell>
          <cell r="B98" t="str">
            <v>Irma Sembiring</v>
          </cell>
          <cell r="C98" t="str">
            <v>DELTA</v>
          </cell>
          <cell r="D98" t="str">
            <v>EKSKLUSIF</v>
          </cell>
        </row>
        <row r="99">
          <cell r="A99" t="str">
            <v>A3935</v>
          </cell>
          <cell r="B99" t="str">
            <v>Marsel Hamandika</v>
          </cell>
          <cell r="C99" t="str">
            <v>DELTA</v>
          </cell>
          <cell r="D99" t="str">
            <v>EKSKLUSIF</v>
          </cell>
        </row>
        <row r="100">
          <cell r="A100">
            <v>90648</v>
          </cell>
          <cell r="B100" t="str">
            <v>WAHYU IDHAYATI</v>
          </cell>
          <cell r="C100" t="str">
            <v>DELTA</v>
          </cell>
          <cell r="D100" t="str">
            <v>EKSKLUSIF</v>
          </cell>
        </row>
        <row r="101">
          <cell r="A101" t="str">
            <v>A0261</v>
          </cell>
          <cell r="B101" t="str">
            <v>CHELSI ANANDA</v>
          </cell>
          <cell r="C101" t="str">
            <v>DELTA</v>
          </cell>
          <cell r="D101" t="str">
            <v>EKSKLUSIF</v>
          </cell>
        </row>
        <row r="102">
          <cell r="A102" t="str">
            <v>A0378</v>
          </cell>
          <cell r="B102" t="str">
            <v xml:space="preserve">WIRANTI PUTRI </v>
          </cell>
          <cell r="C102" t="str">
            <v>DELTA</v>
          </cell>
          <cell r="D102" t="str">
            <v>EKSKLUSIF</v>
          </cell>
        </row>
        <row r="103">
          <cell r="A103" t="str">
            <v>A2925</v>
          </cell>
          <cell r="B103" t="str">
            <v>MARIA GORETTI DIAN PH</v>
          </cell>
          <cell r="C103" t="str">
            <v>DELTA</v>
          </cell>
          <cell r="D103" t="str">
            <v>EKSKLUSIF</v>
          </cell>
        </row>
        <row r="104">
          <cell r="A104" t="str">
            <v>A3754</v>
          </cell>
          <cell r="B104" t="str">
            <v>FIRDA NUR KARIMA</v>
          </cell>
          <cell r="C104" t="str">
            <v>DELTA</v>
          </cell>
          <cell r="D104" t="str">
            <v>EKSKLUSIF</v>
          </cell>
        </row>
        <row r="105">
          <cell r="A105" t="str">
            <v>A1360</v>
          </cell>
          <cell r="B105" t="str">
            <v>NURPUTRANTO LAKSONO</v>
          </cell>
          <cell r="C105" t="str">
            <v>DELTA</v>
          </cell>
          <cell r="D105" t="str">
            <v>EKSKLUSIF</v>
          </cell>
        </row>
        <row r="106">
          <cell r="A106" t="str">
            <v>A4538</v>
          </cell>
          <cell r="B106" t="str">
            <v>SILVIA SINURAT</v>
          </cell>
          <cell r="C106" t="str">
            <v>DELTA</v>
          </cell>
          <cell r="D106" t="str">
            <v>EKSKLUSIF</v>
          </cell>
        </row>
        <row r="107">
          <cell r="A107" t="str">
            <v>A3752</v>
          </cell>
          <cell r="B107" t="str">
            <v>MEYTA ANDIRA</v>
          </cell>
          <cell r="C107" t="str">
            <v>DELTA</v>
          </cell>
          <cell r="D107" t="str">
            <v>EKSKLUSIF</v>
          </cell>
        </row>
        <row r="108">
          <cell r="A108" t="str">
            <v>A0969</v>
          </cell>
          <cell r="B108" t="str">
            <v>ANGGI DWI</v>
          </cell>
          <cell r="C108" t="str">
            <v>DELTA</v>
          </cell>
          <cell r="D108" t="str">
            <v>EKSKLUSIF</v>
          </cell>
        </row>
        <row r="109">
          <cell r="A109" t="str">
            <v>A0999</v>
          </cell>
          <cell r="B109" t="str">
            <v>MUH LUTHFI AZIZ</v>
          </cell>
          <cell r="C109" t="str">
            <v>DELTA</v>
          </cell>
          <cell r="D109" t="str">
            <v>EKSKLUSIF</v>
          </cell>
        </row>
        <row r="110">
          <cell r="A110" t="str">
            <v>A0458</v>
          </cell>
          <cell r="B110" t="str">
            <v>JOKO SLAMETO</v>
          </cell>
          <cell r="C110" t="str">
            <v>DELTA</v>
          </cell>
          <cell r="D110" t="str">
            <v>EKSKLUSIF</v>
          </cell>
        </row>
        <row r="111">
          <cell r="A111" t="str">
            <v>A0725</v>
          </cell>
          <cell r="B111" t="str">
            <v>NUR KHASANAH</v>
          </cell>
          <cell r="C111" t="str">
            <v>DELTA</v>
          </cell>
          <cell r="D111" t="str">
            <v>EKSKLUSIF</v>
          </cell>
        </row>
        <row r="112">
          <cell r="A112" t="str">
            <v>A3785</v>
          </cell>
          <cell r="B112" t="str">
            <v>MUHAMMAD DAFA FEBRIANSYAH</v>
          </cell>
          <cell r="C112" t="str">
            <v>DELTA</v>
          </cell>
          <cell r="D112" t="str">
            <v>EKSKLUSIF</v>
          </cell>
        </row>
        <row r="113">
          <cell r="A113" t="str">
            <v>A1556</v>
          </cell>
          <cell r="B113" t="str">
            <v>ISMA AUDIA PRABAWATI</v>
          </cell>
          <cell r="C113" t="str">
            <v>DELTA</v>
          </cell>
          <cell r="D113" t="str">
            <v>EKSKLUSIF</v>
          </cell>
        </row>
        <row r="114">
          <cell r="A114" t="str">
            <v>A4470</v>
          </cell>
          <cell r="B114" t="str">
            <v>Syarifatul Mukaromah</v>
          </cell>
          <cell r="C114" t="str">
            <v>TEMA C2</v>
          </cell>
          <cell r="D114" t="str">
            <v>EKSKLUSIF</v>
          </cell>
        </row>
        <row r="115">
          <cell r="A115" t="str">
            <v>A2369</v>
          </cell>
          <cell r="B115" t="str">
            <v>ANIS DIANA SARI</v>
          </cell>
          <cell r="C115" t="str">
            <v>TEMA C2</v>
          </cell>
          <cell r="D115" t="str">
            <v>EKSKLUSIF</v>
          </cell>
        </row>
        <row r="116">
          <cell r="A116" t="str">
            <v>A0911</v>
          </cell>
          <cell r="B116" t="str">
            <v>ENGELINA GALUH WINDIASARI</v>
          </cell>
          <cell r="C116" t="str">
            <v>TEMA C2</v>
          </cell>
          <cell r="D116" t="str">
            <v>EKSKLUSIF</v>
          </cell>
        </row>
        <row r="117">
          <cell r="A117">
            <v>90759</v>
          </cell>
          <cell r="B117" t="str">
            <v>Pertiwi Handayani</v>
          </cell>
          <cell r="C117" t="str">
            <v>TEMA C2</v>
          </cell>
          <cell r="D117" t="str">
            <v>EKSKLUSIF</v>
          </cell>
        </row>
        <row r="118">
          <cell r="A118" t="str">
            <v>A4273</v>
          </cell>
          <cell r="B118" t="str">
            <v>RUTH TRIS KRISTIANTI</v>
          </cell>
          <cell r="C118" t="str">
            <v>TEMA C2</v>
          </cell>
          <cell r="D118" t="str">
            <v>EKSKLUSIF</v>
          </cell>
        </row>
        <row r="119">
          <cell r="A119">
            <v>90118</v>
          </cell>
          <cell r="B119" t="str">
            <v>AGRESITABELA PURNANINGRUM</v>
          </cell>
          <cell r="C119" t="str">
            <v>TEMA C2</v>
          </cell>
          <cell r="D119" t="str">
            <v>EKSKLUSIF</v>
          </cell>
        </row>
        <row r="120">
          <cell r="A120" t="str">
            <v>A4405</v>
          </cell>
          <cell r="B120" t="str">
            <v>SALWA AYU WIGATI</v>
          </cell>
          <cell r="C120" t="str">
            <v>TEMA C2</v>
          </cell>
          <cell r="D120" t="str">
            <v>EKSKLUSIF</v>
          </cell>
        </row>
        <row r="121">
          <cell r="A121" t="str">
            <v>A1428</v>
          </cell>
          <cell r="B121" t="str">
            <v>RIFKA AYU PRADITA</v>
          </cell>
          <cell r="C121" t="str">
            <v>TEMA C2</v>
          </cell>
          <cell r="D121" t="str">
            <v>EKSKLUSIF</v>
          </cell>
        </row>
        <row r="122">
          <cell r="A122" t="str">
            <v>A3693</v>
          </cell>
          <cell r="B122" t="str">
            <v>LENSE SITOMPUL</v>
          </cell>
          <cell r="C122" t="str">
            <v>TEMA C2</v>
          </cell>
          <cell r="D122" t="str">
            <v>EKSKLUSIF</v>
          </cell>
        </row>
        <row r="123">
          <cell r="A123" t="str">
            <v>A1407</v>
          </cell>
          <cell r="B123" t="str">
            <v>Hardini Komalasari</v>
          </cell>
          <cell r="C123" t="str">
            <v>TEMA C2</v>
          </cell>
          <cell r="D123" t="str">
            <v>EKSKLUSIF</v>
          </cell>
        </row>
        <row r="124">
          <cell r="A124" t="str">
            <v>A4784</v>
          </cell>
          <cell r="B124" t="str">
            <v>ANTONIUS TOTTI PANJI PUSPA ADI</v>
          </cell>
          <cell r="C124" t="str">
            <v>TEMA C2</v>
          </cell>
          <cell r="D124" t="str">
            <v>EKSKLUSIF</v>
          </cell>
        </row>
        <row r="125">
          <cell r="A125" t="str">
            <v>A4050</v>
          </cell>
          <cell r="B125" t="str">
            <v>DITA PUSPITA SARI</v>
          </cell>
          <cell r="C125" t="str">
            <v>TEMA C2</v>
          </cell>
          <cell r="D125" t="str">
            <v>EKSKLUSIF</v>
          </cell>
        </row>
        <row r="126">
          <cell r="A126" t="str">
            <v>A0105</v>
          </cell>
          <cell r="B126" t="str">
            <v>SANDA IRIANTO</v>
          </cell>
          <cell r="C126" t="str">
            <v>TEMA C2</v>
          </cell>
          <cell r="D126" t="str">
            <v>EKSKLUSIF</v>
          </cell>
        </row>
        <row r="127">
          <cell r="A127" t="str">
            <v>A4856</v>
          </cell>
          <cell r="B127" t="str">
            <v>BETI INDRI JULIANTI</v>
          </cell>
          <cell r="C127" t="str">
            <v>TEMA C2</v>
          </cell>
          <cell r="D127" t="str">
            <v>EKSKLUSIF</v>
          </cell>
        </row>
        <row r="128">
          <cell r="A128" t="str">
            <v>A4842</v>
          </cell>
          <cell r="B128" t="str">
            <v>WIDYA PURNA PUTRI INSANI</v>
          </cell>
          <cell r="C128" t="str">
            <v>TEMA C2</v>
          </cell>
          <cell r="D128" t="str">
            <v>EKSKLUSIF</v>
          </cell>
        </row>
        <row r="129">
          <cell r="A129" t="str">
            <v>A4599</v>
          </cell>
          <cell r="B129" t="str">
            <v>SAIDHA PUTRI</v>
          </cell>
          <cell r="C129" t="str">
            <v>TEMA C2</v>
          </cell>
          <cell r="D129" t="str">
            <v>EKSKLUSIF</v>
          </cell>
        </row>
        <row r="130">
          <cell r="A130" t="str">
            <v>A4449</v>
          </cell>
          <cell r="B130" t="str">
            <v>Hernanda Nur Rahmawati</v>
          </cell>
          <cell r="C130" t="str">
            <v>TEMA C2</v>
          </cell>
          <cell r="D130" t="str">
            <v>EKSKLUSIF</v>
          </cell>
        </row>
        <row r="131">
          <cell r="A131" t="str">
            <v>A4141</v>
          </cell>
          <cell r="B131" t="str">
            <v>AILSA SHELEY</v>
          </cell>
          <cell r="C131" t="str">
            <v>TEMA C2</v>
          </cell>
          <cell r="D131" t="str">
            <v>EKSKLUSIF</v>
          </cell>
        </row>
        <row r="132">
          <cell r="A132">
            <v>92628</v>
          </cell>
          <cell r="B132" t="str">
            <v>NINI AULIA SARI</v>
          </cell>
          <cell r="C132" t="str">
            <v>TEMA C2</v>
          </cell>
          <cell r="D132" t="str">
            <v>EKSKLUSIF</v>
          </cell>
        </row>
        <row r="133">
          <cell r="A133" t="str">
            <v>A1250</v>
          </cell>
          <cell r="B133" t="str">
            <v>Mayang Putri Inanda Sari</v>
          </cell>
          <cell r="C133" t="str">
            <v>TEMA C2</v>
          </cell>
          <cell r="D133" t="str">
            <v>EKSKLUSIF</v>
          </cell>
        </row>
        <row r="134">
          <cell r="A134" t="str">
            <v>A4011</v>
          </cell>
          <cell r="B134" t="str">
            <v>Muhammad Devansyah Fajriady</v>
          </cell>
          <cell r="C134" t="str">
            <v>TEMA C2</v>
          </cell>
          <cell r="D134" t="str">
            <v>EKSKLUSIF</v>
          </cell>
        </row>
        <row r="135">
          <cell r="A135" t="str">
            <v>A1638</v>
          </cell>
          <cell r="B135" t="str">
            <v>ERNI DWI WIDYANTI</v>
          </cell>
          <cell r="C135" t="str">
            <v>TEMA C2</v>
          </cell>
          <cell r="D135" t="str">
            <v>EKSKLUSIF</v>
          </cell>
        </row>
        <row r="136">
          <cell r="A136" t="str">
            <v>A4369</v>
          </cell>
          <cell r="B136" t="str">
            <v>AULIA PUTRI WULANDARI</v>
          </cell>
          <cell r="C136" t="str">
            <v>TEMA C2</v>
          </cell>
          <cell r="D136" t="str">
            <v>EKSKLUSIF</v>
          </cell>
        </row>
        <row r="137">
          <cell r="A137" t="str">
            <v>A0944</v>
          </cell>
          <cell r="B137" t="str">
            <v>SHAKIRA GIZELA DEWI PUTRI NANDIA</v>
          </cell>
          <cell r="C137" t="str">
            <v>TEMA C2</v>
          </cell>
          <cell r="D137" t="str">
            <v>EKSKLUSIF</v>
          </cell>
        </row>
        <row r="138">
          <cell r="A138">
            <v>90332</v>
          </cell>
          <cell r="B138" t="str">
            <v>Mira Putri Mulia</v>
          </cell>
          <cell r="C138" t="str">
            <v>TEMA C2</v>
          </cell>
          <cell r="D138" t="str">
            <v>EKSKLUSIF</v>
          </cell>
        </row>
        <row r="139">
          <cell r="A139" t="str">
            <v>A4270</v>
          </cell>
          <cell r="B139" t="str">
            <v>Della Oxza</v>
          </cell>
          <cell r="C139" t="str">
            <v>TEMA C2</v>
          </cell>
          <cell r="D139" t="str">
            <v>EKSKLUSIF</v>
          </cell>
        </row>
        <row r="140">
          <cell r="A140" t="str">
            <v>A4046</v>
          </cell>
          <cell r="B140" t="str">
            <v>Daniel Rio Andika Putra</v>
          </cell>
          <cell r="C140" t="str">
            <v>TEMA C2</v>
          </cell>
          <cell r="D140" t="str">
            <v>EKSKLUSIF</v>
          </cell>
        </row>
        <row r="141">
          <cell r="A141" t="str">
            <v>A1409</v>
          </cell>
          <cell r="B141" t="str">
            <v>YULIANA</v>
          </cell>
          <cell r="C141" t="str">
            <v>TEMA C2</v>
          </cell>
          <cell r="D141" t="str">
            <v>EKSKLUSIF</v>
          </cell>
        </row>
        <row r="142">
          <cell r="A142" t="str">
            <v>A4846</v>
          </cell>
          <cell r="B142" t="str">
            <v>Anggel Metha Octavia Rissonia</v>
          </cell>
          <cell r="C142" t="str">
            <v>TEMA C2</v>
          </cell>
          <cell r="D142" t="str">
            <v>EKSKLUSIF</v>
          </cell>
        </row>
        <row r="143">
          <cell r="A143" t="str">
            <v>A0056</v>
          </cell>
          <cell r="B143" t="str">
            <v>Elsa Salsabila</v>
          </cell>
          <cell r="C143" t="str">
            <v>TEMA C2</v>
          </cell>
          <cell r="D143" t="str">
            <v>EKSKLUSIF</v>
          </cell>
        </row>
        <row r="144">
          <cell r="A144" t="str">
            <v>A1496</v>
          </cell>
          <cell r="B144" t="str">
            <v>Indah Puspita Dewi</v>
          </cell>
          <cell r="C144" t="str">
            <v>TEMA C2</v>
          </cell>
          <cell r="D144" t="str">
            <v>EKSKLUSIF</v>
          </cell>
        </row>
        <row r="145">
          <cell r="A145" t="str">
            <v>A2574</v>
          </cell>
          <cell r="B145" t="str">
            <v>JATU ASTRI PRADISTA</v>
          </cell>
          <cell r="C145" t="str">
            <v>TEMA C2</v>
          </cell>
          <cell r="D145" t="str">
            <v>EKSKLUSIF</v>
          </cell>
        </row>
        <row r="146">
          <cell r="A146" t="str">
            <v>A4341</v>
          </cell>
          <cell r="B146" t="str">
            <v>RIZA ULHIDAYAH</v>
          </cell>
          <cell r="C146" t="str">
            <v>TEMA C2</v>
          </cell>
          <cell r="D146" t="str">
            <v>EKSKLUSIF</v>
          </cell>
        </row>
        <row r="147">
          <cell r="A147" t="str">
            <v>A1208</v>
          </cell>
          <cell r="B147" t="str">
            <v>RIYAN ISTIQOMAH</v>
          </cell>
          <cell r="C147" t="str">
            <v>TEMA C2</v>
          </cell>
          <cell r="D147" t="str">
            <v>EKSKLUSIF</v>
          </cell>
        </row>
        <row r="148">
          <cell r="A148" t="str">
            <v>A4942</v>
          </cell>
          <cell r="B148" t="str">
            <v>MARIA MONIKA DEA MOLO</v>
          </cell>
          <cell r="C148" t="str">
            <v>TEMA C2</v>
          </cell>
          <cell r="D148" t="str">
            <v>EKSKLUSIF</v>
          </cell>
        </row>
        <row r="149">
          <cell r="A149" t="str">
            <v>A4941</v>
          </cell>
          <cell r="B149" t="str">
            <v>ISABELLA ALVIANI</v>
          </cell>
          <cell r="C149" t="str">
            <v>TEMA C2</v>
          </cell>
          <cell r="D149" t="str">
            <v>EKSKLUSIF</v>
          </cell>
        </row>
        <row r="150">
          <cell r="A150" t="str">
            <v>A4024</v>
          </cell>
          <cell r="B150" t="str">
            <v>FITRIA NURUL</v>
          </cell>
          <cell r="C150" t="str">
            <v>TEMA C2</v>
          </cell>
          <cell r="D150" t="str">
            <v>EKSKLUSIF</v>
          </cell>
        </row>
        <row r="151">
          <cell r="A151" t="str">
            <v>A1059</v>
          </cell>
          <cell r="B151" t="str">
            <v>AZILA ZALWA</v>
          </cell>
          <cell r="C151" t="str">
            <v>TEMA C2</v>
          </cell>
          <cell r="D151" t="str">
            <v>EKSKLUSIF</v>
          </cell>
        </row>
        <row r="152">
          <cell r="A152" t="str">
            <v>A4785</v>
          </cell>
          <cell r="B152" t="str">
            <v>Mohammad Luthfi Akbar</v>
          </cell>
          <cell r="C152" t="str">
            <v>TEMA C2</v>
          </cell>
          <cell r="D152" t="str">
            <v>EKSKLUSIF</v>
          </cell>
        </row>
        <row r="153">
          <cell r="A153" t="str">
            <v>A4367</v>
          </cell>
          <cell r="B153" t="str">
            <v>SISWI HARDIYANTI RUKMANA DEWI</v>
          </cell>
          <cell r="C153" t="str">
            <v>TEMA C2</v>
          </cell>
          <cell r="D153" t="str">
            <v>EKSKLUSIF</v>
          </cell>
        </row>
        <row r="154">
          <cell r="A154" t="str">
            <v>A4139</v>
          </cell>
          <cell r="B154" t="str">
            <v>KEYLA REISA IARA</v>
          </cell>
          <cell r="C154" t="str">
            <v>TEMA C2</v>
          </cell>
          <cell r="D154" t="str">
            <v>EKSKLUSIF</v>
          </cell>
        </row>
        <row r="155">
          <cell r="A155" t="str">
            <v>A4940</v>
          </cell>
          <cell r="B155" t="str">
            <v>BENEDICTUS BAGAS ATARONA MBEMBOK</v>
          </cell>
          <cell r="C155" t="str">
            <v>TEMA C2</v>
          </cell>
          <cell r="D155" t="str">
            <v>EKSKLUSIF</v>
          </cell>
        </row>
        <row r="156">
          <cell r="A156" t="str">
            <v>A4287</v>
          </cell>
          <cell r="B156" t="str">
            <v>FARA DHIYA HASFANA</v>
          </cell>
          <cell r="C156" t="str">
            <v>TEMA C2</v>
          </cell>
          <cell r="D156" t="str">
            <v>EKSKLUSIF</v>
          </cell>
        </row>
        <row r="157">
          <cell r="A157" t="str">
            <v>A2146</v>
          </cell>
          <cell r="B157" t="str">
            <v>PUTERI AMALIA</v>
          </cell>
          <cell r="C157" t="str">
            <v>TEMA C2</v>
          </cell>
          <cell r="D157" t="str">
            <v>EKSKLUSIF</v>
          </cell>
        </row>
        <row r="158">
          <cell r="A158" t="str">
            <v>A4227</v>
          </cell>
          <cell r="B158" t="str">
            <v>TESSALONIKA KRISNAWIRANTO</v>
          </cell>
          <cell r="C158" t="str">
            <v>TEMA C2</v>
          </cell>
          <cell r="D158" t="str">
            <v>EKSKLUSIF</v>
          </cell>
        </row>
        <row r="159">
          <cell r="A159" t="str">
            <v>A0920</v>
          </cell>
          <cell r="B159" t="str">
            <v>Hangesti Retno Utari Utari</v>
          </cell>
          <cell r="C159" t="str">
            <v>TEMA C2</v>
          </cell>
          <cell r="D159" t="str">
            <v>EKSKLUSIF</v>
          </cell>
        </row>
        <row r="160">
          <cell r="A160" t="str">
            <v>A4321</v>
          </cell>
          <cell r="B160" t="str">
            <v>Aulia Nur Azizah</v>
          </cell>
          <cell r="C160" t="str">
            <v>TEMA C2</v>
          </cell>
          <cell r="D160" t="str">
            <v>EKSKLUSIF</v>
          </cell>
        </row>
        <row r="161">
          <cell r="A161" t="str">
            <v>A3659</v>
          </cell>
          <cell r="B161" t="str">
            <v>Ervina Marsa Ayuningtyas</v>
          </cell>
          <cell r="C161" t="str">
            <v>TEMA C2</v>
          </cell>
          <cell r="D161" t="str">
            <v>EKSKLUSIF</v>
          </cell>
        </row>
        <row r="162">
          <cell r="A162" t="str">
            <v>A4326</v>
          </cell>
          <cell r="B162" t="str">
            <v>ASTIRA NOVANTARA</v>
          </cell>
          <cell r="C162" t="str">
            <v>TEMA C2</v>
          </cell>
          <cell r="D162" t="str">
            <v>EKSKLUSIF</v>
          </cell>
        </row>
        <row r="163">
          <cell r="A163">
            <v>92347</v>
          </cell>
          <cell r="B163" t="str">
            <v>RAHMAD SABTONO</v>
          </cell>
          <cell r="C163" t="str">
            <v>TEMA C2</v>
          </cell>
          <cell r="D163" t="str">
            <v>EKSKLUSIF</v>
          </cell>
        </row>
        <row r="164">
          <cell r="A164" t="str">
            <v>A4755</v>
          </cell>
          <cell r="B164" t="str">
            <v>NUR ANISAH</v>
          </cell>
          <cell r="C164" t="str">
            <v>TEMA C2</v>
          </cell>
          <cell r="D164" t="str">
            <v>EKSKLUSIF</v>
          </cell>
        </row>
        <row r="165">
          <cell r="A165" t="str">
            <v>A0216</v>
          </cell>
          <cell r="B165" t="str">
            <v>Devi Prastika</v>
          </cell>
          <cell r="C165" t="str">
            <v>TEMA C2</v>
          </cell>
          <cell r="D165" t="str">
            <v>EKSKLUSIF</v>
          </cell>
        </row>
        <row r="166">
          <cell r="A166" t="str">
            <v>A3305</v>
          </cell>
          <cell r="B166" t="str">
            <v>ARIF NOVIYANTO</v>
          </cell>
          <cell r="C166" t="str">
            <v>TEMA C2</v>
          </cell>
          <cell r="D166" t="str">
            <v>EKSKLUSIF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V"/>
      <sheetName val="GC"/>
      <sheetName val="RVO"/>
      <sheetName val="Sheet5"/>
      <sheetName val="Sheet6"/>
      <sheetName val="SBPV"/>
      <sheetName val="CC SK"/>
      <sheetName val="AAV AUTO 2000"/>
      <sheetName val="DELTA"/>
      <sheetName val="TEMA C1"/>
      <sheetName val="TEMA C2"/>
      <sheetName val="TEMA C3"/>
      <sheetName val="TEMA HAJI"/>
      <sheetName val="TEMA PD"/>
      <sheetName val="DRIVER"/>
      <sheetName val="TANDEM"/>
      <sheetName val="DESIRE"/>
      <sheetName val="WARMUP"/>
      <sheetName val="KK"/>
      <sheetName val="MINICLASS"/>
      <sheetName val="Sheet18"/>
      <sheetName val="TAMBAHAN"/>
      <sheetName val="VAR DC"/>
      <sheetName val="VAR C2"/>
      <sheetName val="VAR C3"/>
      <sheetName val="VAR HAJI"/>
      <sheetName val="VAR PD"/>
      <sheetName val="Sheet1"/>
    </sheetNames>
    <sheetDataSet>
      <sheetData sheetId="0" refreshError="1">
        <row r="1">
          <cell r="A1" t="str">
            <v>PERIODE 2 DESEMBER 2024 AAV</v>
          </cell>
        </row>
        <row r="2">
          <cell r="A2" t="str">
            <v>TANGGAL 16 - 31 DESEMBER 2024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0</v>
          </cell>
          <cell r="F4">
            <v>45643</v>
          </cell>
          <cell r="G4">
            <v>0</v>
          </cell>
          <cell r="H4">
            <v>0</v>
          </cell>
          <cell r="I4">
            <v>45644</v>
          </cell>
          <cell r="J4">
            <v>0</v>
          </cell>
          <cell r="K4">
            <v>0</v>
          </cell>
          <cell r="L4">
            <v>45645</v>
          </cell>
          <cell r="M4">
            <v>0</v>
          </cell>
          <cell r="N4">
            <v>0</v>
          </cell>
          <cell r="O4">
            <v>45646</v>
          </cell>
          <cell r="P4">
            <v>0</v>
          </cell>
          <cell r="Q4">
            <v>0</v>
          </cell>
          <cell r="R4">
            <v>0</v>
          </cell>
          <cell r="S4">
            <v>45647</v>
          </cell>
          <cell r="T4">
            <v>0</v>
          </cell>
          <cell r="U4">
            <v>45649</v>
          </cell>
          <cell r="V4">
            <v>0</v>
          </cell>
          <cell r="W4">
            <v>0</v>
          </cell>
          <cell r="X4">
            <v>45650</v>
          </cell>
          <cell r="Y4">
            <v>0</v>
          </cell>
          <cell r="Z4">
            <v>0</v>
          </cell>
          <cell r="AA4">
            <v>45652</v>
          </cell>
          <cell r="AB4">
            <v>0</v>
          </cell>
          <cell r="AC4">
            <v>0</v>
          </cell>
          <cell r="AD4">
            <v>45653</v>
          </cell>
          <cell r="AE4">
            <v>0</v>
          </cell>
          <cell r="AF4">
            <v>0</v>
          </cell>
          <cell r="AG4">
            <v>45654</v>
          </cell>
          <cell r="AH4">
            <v>0</v>
          </cell>
          <cell r="AI4">
            <v>45656</v>
          </cell>
          <cell r="AJ4">
            <v>0</v>
          </cell>
          <cell r="AK4">
            <v>0</v>
          </cell>
          <cell r="AL4">
            <v>45657</v>
          </cell>
          <cell r="AM4">
            <v>0</v>
          </cell>
          <cell r="AN4">
            <v>0</v>
          </cell>
          <cell r="AO4">
            <v>0</v>
          </cell>
          <cell r="AP4" t="str">
            <v xml:space="preserve">TOTAL AAV </v>
          </cell>
          <cell r="AQ4" t="str">
            <v xml:space="preserve">TOTAL ERROR AAV </v>
          </cell>
          <cell r="AR4" t="str">
            <v>Total Slot</v>
          </cell>
        </row>
        <row r="5">
          <cell r="A5">
            <v>0</v>
          </cell>
          <cell r="B5">
            <v>0</v>
          </cell>
          <cell r="C5" t="str">
            <v>Slot 1</v>
          </cell>
          <cell r="D5" t="str">
            <v>Slot 2</v>
          </cell>
          <cell r="E5" t="str">
            <v>Slot 3</v>
          </cell>
          <cell r="F5" t="str">
            <v>Slot 1</v>
          </cell>
          <cell r="G5" t="str">
            <v>Slot 2</v>
          </cell>
          <cell r="H5" t="str">
            <v>Slot 3</v>
          </cell>
          <cell r="I5" t="str">
            <v>Slot 1</v>
          </cell>
          <cell r="J5" t="str">
            <v>Slot 2</v>
          </cell>
          <cell r="K5" t="str">
            <v>Slot 3</v>
          </cell>
          <cell r="L5" t="str">
            <v>Slot 1</v>
          </cell>
          <cell r="M5" t="str">
            <v>Slot 2</v>
          </cell>
          <cell r="N5" t="str">
            <v>Slot 3</v>
          </cell>
          <cell r="O5" t="str">
            <v>Slot 1</v>
          </cell>
          <cell r="P5" t="str">
            <v>Slot 2</v>
          </cell>
          <cell r="Q5" t="str">
            <v>Slot 3</v>
          </cell>
          <cell r="R5" t="str">
            <v>Slot 3b</v>
          </cell>
          <cell r="S5" t="str">
            <v>Slot 1</v>
          </cell>
          <cell r="T5" t="str">
            <v>Slot 2</v>
          </cell>
          <cell r="U5" t="str">
            <v>Slot 1</v>
          </cell>
          <cell r="V5" t="str">
            <v>Slot 2</v>
          </cell>
          <cell r="W5" t="str">
            <v>Slot 3</v>
          </cell>
          <cell r="X5" t="str">
            <v>Slot 1</v>
          </cell>
          <cell r="Y5" t="str">
            <v>Slot 2</v>
          </cell>
          <cell r="Z5" t="str">
            <v>Slot 3</v>
          </cell>
          <cell r="AA5" t="str">
            <v>Slot 1</v>
          </cell>
          <cell r="AB5" t="str">
            <v>Slot 2</v>
          </cell>
          <cell r="AC5" t="str">
            <v>Slot 3</v>
          </cell>
          <cell r="AD5" t="str">
            <v>Slot 1</v>
          </cell>
          <cell r="AE5" t="str">
            <v>Slot 2</v>
          </cell>
          <cell r="AF5" t="str">
            <v>Slot 3</v>
          </cell>
          <cell r="AG5" t="str">
            <v>Slot 1</v>
          </cell>
          <cell r="AH5" t="str">
            <v>Slot 2</v>
          </cell>
          <cell r="AI5" t="str">
            <v>Slot 1</v>
          </cell>
          <cell r="AJ5" t="str">
            <v>Slot 2</v>
          </cell>
          <cell r="AK5" t="str">
            <v>Slot 3</v>
          </cell>
          <cell r="AL5" t="str">
            <v>Slot 1</v>
          </cell>
          <cell r="AM5" t="str">
            <v>Slot 2</v>
          </cell>
          <cell r="AN5" t="str">
            <v>Slot 3</v>
          </cell>
          <cell r="AO5" t="str">
            <v>Extend</v>
          </cell>
          <cell r="AP5">
            <v>0</v>
          </cell>
          <cell r="AQ5">
            <v>0</v>
          </cell>
          <cell r="AR5">
            <v>0</v>
          </cell>
        </row>
        <row r="6">
          <cell r="A6">
            <v>90170</v>
          </cell>
          <cell r="B6" t="str">
            <v>AMRI ROHMATINI</v>
          </cell>
          <cell r="C6">
            <v>43</v>
          </cell>
          <cell r="D6">
            <v>0</v>
          </cell>
          <cell r="E6">
            <v>0</v>
          </cell>
          <cell r="F6">
            <v>40</v>
          </cell>
          <cell r="G6">
            <v>0</v>
          </cell>
          <cell r="H6">
            <v>0</v>
          </cell>
          <cell r="I6">
            <v>47</v>
          </cell>
          <cell r="J6">
            <v>0</v>
          </cell>
          <cell r="K6">
            <v>0</v>
          </cell>
          <cell r="L6">
            <v>45</v>
          </cell>
          <cell r="M6">
            <v>0</v>
          </cell>
          <cell r="N6">
            <v>0</v>
          </cell>
          <cell r="O6">
            <v>36</v>
          </cell>
          <cell r="P6">
            <v>0</v>
          </cell>
          <cell r="Q6">
            <v>0</v>
          </cell>
          <cell r="R6">
            <v>0</v>
          </cell>
          <cell r="S6">
            <v>18</v>
          </cell>
          <cell r="T6">
            <v>0</v>
          </cell>
          <cell r="U6">
            <v>38</v>
          </cell>
          <cell r="V6">
            <v>0</v>
          </cell>
          <cell r="W6">
            <v>0</v>
          </cell>
          <cell r="X6">
            <v>55</v>
          </cell>
          <cell r="Y6">
            <v>0</v>
          </cell>
          <cell r="Z6">
            <v>0</v>
          </cell>
          <cell r="AA6">
            <v>47</v>
          </cell>
          <cell r="AB6">
            <v>0</v>
          </cell>
          <cell r="AC6">
            <v>0</v>
          </cell>
          <cell r="AD6">
            <v>58</v>
          </cell>
          <cell r="AE6">
            <v>0</v>
          </cell>
          <cell r="AF6">
            <v>0</v>
          </cell>
          <cell r="AG6">
            <v>0</v>
          </cell>
          <cell r="AH6">
            <v>49</v>
          </cell>
          <cell r="AI6">
            <v>43</v>
          </cell>
          <cell r="AJ6">
            <v>0</v>
          </cell>
          <cell r="AK6">
            <v>0</v>
          </cell>
          <cell r="AL6">
            <v>73</v>
          </cell>
          <cell r="AM6">
            <v>0</v>
          </cell>
          <cell r="AN6">
            <v>0</v>
          </cell>
          <cell r="AO6">
            <v>0</v>
          </cell>
          <cell r="AP6">
            <v>592</v>
          </cell>
          <cell r="AQ6">
            <v>0</v>
          </cell>
          <cell r="AR6">
            <v>13</v>
          </cell>
        </row>
        <row r="7">
          <cell r="A7">
            <v>90557</v>
          </cell>
          <cell r="B7" t="str">
            <v>TIFANI EKA ALCISHA</v>
          </cell>
          <cell r="C7">
            <v>43</v>
          </cell>
          <cell r="D7">
            <v>50</v>
          </cell>
          <cell r="E7">
            <v>0</v>
          </cell>
          <cell r="F7">
            <v>48</v>
          </cell>
          <cell r="G7">
            <v>72</v>
          </cell>
          <cell r="H7">
            <v>0</v>
          </cell>
          <cell r="I7">
            <v>53</v>
          </cell>
          <cell r="J7">
            <v>72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49</v>
          </cell>
          <cell r="P7">
            <v>51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54</v>
          </cell>
          <cell r="AJ7">
            <v>63</v>
          </cell>
          <cell r="AK7">
            <v>0</v>
          </cell>
          <cell r="AL7">
            <v>101</v>
          </cell>
          <cell r="AM7">
            <v>0</v>
          </cell>
          <cell r="AN7">
            <v>0</v>
          </cell>
          <cell r="AO7">
            <v>0</v>
          </cell>
          <cell r="AP7">
            <v>656</v>
          </cell>
          <cell r="AQ7">
            <v>0</v>
          </cell>
          <cell r="AR7">
            <v>11</v>
          </cell>
        </row>
        <row r="8">
          <cell r="A8">
            <v>90565</v>
          </cell>
          <cell r="B8" t="str">
            <v>ELISABETH YOVITA NATHANIA</v>
          </cell>
          <cell r="C8">
            <v>33</v>
          </cell>
          <cell r="D8">
            <v>35</v>
          </cell>
          <cell r="E8">
            <v>40</v>
          </cell>
          <cell r="F8">
            <v>43</v>
          </cell>
          <cell r="G8">
            <v>0</v>
          </cell>
          <cell r="H8">
            <v>56</v>
          </cell>
          <cell r="I8">
            <v>42</v>
          </cell>
          <cell r="J8">
            <v>0</v>
          </cell>
          <cell r="K8">
            <v>37</v>
          </cell>
          <cell r="L8">
            <v>40</v>
          </cell>
          <cell r="M8">
            <v>46</v>
          </cell>
          <cell r="N8">
            <v>46</v>
          </cell>
          <cell r="O8">
            <v>36</v>
          </cell>
          <cell r="P8">
            <v>0</v>
          </cell>
          <cell r="Q8">
            <v>0</v>
          </cell>
          <cell r="R8">
            <v>23</v>
          </cell>
          <cell r="S8">
            <v>0</v>
          </cell>
          <cell r="T8">
            <v>34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511</v>
          </cell>
          <cell r="AQ8">
            <v>0</v>
          </cell>
          <cell r="AR8">
            <v>13</v>
          </cell>
        </row>
        <row r="9">
          <cell r="A9" t="str">
            <v>A0349</v>
          </cell>
          <cell r="B9" t="str">
            <v>Ahmad Zainal Arifin</v>
          </cell>
          <cell r="C9">
            <v>0</v>
          </cell>
          <cell r="D9">
            <v>38</v>
          </cell>
          <cell r="E9">
            <v>31</v>
          </cell>
          <cell r="F9">
            <v>0</v>
          </cell>
          <cell r="G9">
            <v>54</v>
          </cell>
          <cell r="H9">
            <v>45</v>
          </cell>
          <cell r="I9">
            <v>0</v>
          </cell>
          <cell r="J9">
            <v>53</v>
          </cell>
          <cell r="K9">
            <v>42</v>
          </cell>
          <cell r="L9">
            <v>0</v>
          </cell>
          <cell r="M9">
            <v>50</v>
          </cell>
          <cell r="N9">
            <v>48</v>
          </cell>
          <cell r="O9">
            <v>0</v>
          </cell>
          <cell r="P9">
            <v>37</v>
          </cell>
          <cell r="Q9">
            <v>41</v>
          </cell>
          <cell r="R9">
            <v>0</v>
          </cell>
          <cell r="S9">
            <v>25</v>
          </cell>
          <cell r="T9">
            <v>34</v>
          </cell>
          <cell r="U9">
            <v>0</v>
          </cell>
          <cell r="V9">
            <v>0</v>
          </cell>
          <cell r="W9">
            <v>42</v>
          </cell>
          <cell r="X9">
            <v>0</v>
          </cell>
          <cell r="Y9">
            <v>45</v>
          </cell>
          <cell r="Z9">
            <v>24</v>
          </cell>
          <cell r="AA9">
            <v>0</v>
          </cell>
          <cell r="AB9">
            <v>42</v>
          </cell>
          <cell r="AC9">
            <v>41</v>
          </cell>
          <cell r="AD9">
            <v>0</v>
          </cell>
          <cell r="AE9">
            <v>41</v>
          </cell>
          <cell r="AF9">
            <v>38</v>
          </cell>
          <cell r="AG9">
            <v>70</v>
          </cell>
          <cell r="AH9">
            <v>0</v>
          </cell>
          <cell r="AI9">
            <v>0</v>
          </cell>
          <cell r="AJ9">
            <v>43</v>
          </cell>
          <cell r="AK9">
            <v>55</v>
          </cell>
          <cell r="AL9">
            <v>0</v>
          </cell>
          <cell r="AM9">
            <v>95</v>
          </cell>
          <cell r="AN9">
            <v>53</v>
          </cell>
          <cell r="AO9">
            <v>16</v>
          </cell>
          <cell r="AP9">
            <v>1103</v>
          </cell>
          <cell r="AQ9">
            <v>0</v>
          </cell>
          <cell r="AR9">
            <v>24</v>
          </cell>
        </row>
        <row r="10">
          <cell r="A10" t="str">
            <v>A1945</v>
          </cell>
          <cell r="B10" t="str">
            <v>MARIA CHINDRYANITA GALA</v>
          </cell>
          <cell r="C10">
            <v>31</v>
          </cell>
          <cell r="D10">
            <v>0</v>
          </cell>
          <cell r="E10">
            <v>0</v>
          </cell>
          <cell r="F10">
            <v>36</v>
          </cell>
          <cell r="G10">
            <v>0</v>
          </cell>
          <cell r="H10">
            <v>0</v>
          </cell>
          <cell r="I10">
            <v>43</v>
          </cell>
          <cell r="J10">
            <v>0</v>
          </cell>
          <cell r="K10">
            <v>0</v>
          </cell>
          <cell r="L10">
            <v>40</v>
          </cell>
          <cell r="M10">
            <v>0</v>
          </cell>
          <cell r="N10">
            <v>0</v>
          </cell>
          <cell r="O10">
            <v>36</v>
          </cell>
          <cell r="P10">
            <v>30</v>
          </cell>
          <cell r="Q10">
            <v>36</v>
          </cell>
          <cell r="R10">
            <v>0</v>
          </cell>
          <cell r="S10">
            <v>0</v>
          </cell>
          <cell r="T10">
            <v>0</v>
          </cell>
          <cell r="U10">
            <v>36</v>
          </cell>
          <cell r="V10">
            <v>32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320</v>
          </cell>
          <cell r="AQ10">
            <v>0</v>
          </cell>
          <cell r="AR10">
            <v>9</v>
          </cell>
        </row>
        <row r="11">
          <cell r="A11" t="str">
            <v>A2066</v>
          </cell>
          <cell r="B11" t="str">
            <v>YULIANT EFENDI</v>
          </cell>
          <cell r="C11">
            <v>0</v>
          </cell>
          <cell r="D11">
            <v>39</v>
          </cell>
          <cell r="E11">
            <v>41</v>
          </cell>
          <cell r="F11">
            <v>0</v>
          </cell>
          <cell r="G11">
            <v>57</v>
          </cell>
          <cell r="H11">
            <v>49</v>
          </cell>
          <cell r="I11">
            <v>0</v>
          </cell>
          <cell r="J11">
            <v>60</v>
          </cell>
          <cell r="K11">
            <v>41</v>
          </cell>
          <cell r="L11">
            <v>0</v>
          </cell>
          <cell r="M11">
            <v>62</v>
          </cell>
          <cell r="N11">
            <v>57</v>
          </cell>
          <cell r="O11">
            <v>0</v>
          </cell>
          <cell r="P11">
            <v>43</v>
          </cell>
          <cell r="Q11">
            <v>42</v>
          </cell>
          <cell r="R11">
            <v>33</v>
          </cell>
          <cell r="S11">
            <v>21</v>
          </cell>
          <cell r="T11">
            <v>40</v>
          </cell>
          <cell r="U11">
            <v>0</v>
          </cell>
          <cell r="V11">
            <v>42</v>
          </cell>
          <cell r="W11">
            <v>39</v>
          </cell>
          <cell r="X11">
            <v>0</v>
          </cell>
          <cell r="Y11">
            <v>48</v>
          </cell>
          <cell r="Z11">
            <v>29</v>
          </cell>
          <cell r="AA11">
            <v>0</v>
          </cell>
          <cell r="AB11">
            <v>44</v>
          </cell>
          <cell r="AC11">
            <v>38</v>
          </cell>
          <cell r="AD11">
            <v>0</v>
          </cell>
          <cell r="AE11">
            <v>55</v>
          </cell>
          <cell r="AF11">
            <v>43</v>
          </cell>
          <cell r="AG11">
            <v>38</v>
          </cell>
          <cell r="AH11">
            <v>60</v>
          </cell>
          <cell r="AI11">
            <v>43</v>
          </cell>
          <cell r="AJ11">
            <v>49</v>
          </cell>
          <cell r="AK11">
            <v>51</v>
          </cell>
          <cell r="AL11">
            <v>0</v>
          </cell>
          <cell r="AM11">
            <v>93</v>
          </cell>
          <cell r="AN11">
            <v>61</v>
          </cell>
          <cell r="AO11">
            <v>20</v>
          </cell>
          <cell r="AP11">
            <v>1338</v>
          </cell>
          <cell r="AQ11">
            <v>0</v>
          </cell>
          <cell r="AR11">
            <v>28</v>
          </cell>
        </row>
        <row r="12">
          <cell r="A12" t="str">
            <v>A2615</v>
          </cell>
          <cell r="B12" t="str">
            <v>NOVITA LANGKAI</v>
          </cell>
          <cell r="C12">
            <v>0</v>
          </cell>
          <cell r="D12">
            <v>42</v>
          </cell>
          <cell r="E12">
            <v>35</v>
          </cell>
          <cell r="F12">
            <v>0</v>
          </cell>
          <cell r="G12">
            <v>61</v>
          </cell>
          <cell r="H12">
            <v>55</v>
          </cell>
          <cell r="I12">
            <v>0</v>
          </cell>
          <cell r="J12">
            <v>56</v>
          </cell>
          <cell r="K12">
            <v>48</v>
          </cell>
          <cell r="L12">
            <v>0</v>
          </cell>
          <cell r="M12">
            <v>54</v>
          </cell>
          <cell r="N12">
            <v>49</v>
          </cell>
          <cell r="O12">
            <v>0</v>
          </cell>
          <cell r="P12">
            <v>33</v>
          </cell>
          <cell r="Q12">
            <v>41</v>
          </cell>
          <cell r="R12">
            <v>31</v>
          </cell>
          <cell r="S12">
            <v>29</v>
          </cell>
          <cell r="T12">
            <v>25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41</v>
          </cell>
          <cell r="Z12">
            <v>25</v>
          </cell>
          <cell r="AA12">
            <v>0</v>
          </cell>
          <cell r="AB12">
            <v>47</v>
          </cell>
          <cell r="AC12">
            <v>38</v>
          </cell>
          <cell r="AD12">
            <v>0</v>
          </cell>
          <cell r="AE12">
            <v>61</v>
          </cell>
          <cell r="AF12">
            <v>37</v>
          </cell>
          <cell r="AG12">
            <v>47</v>
          </cell>
          <cell r="AH12">
            <v>61</v>
          </cell>
          <cell r="AI12">
            <v>46</v>
          </cell>
          <cell r="AJ12">
            <v>49</v>
          </cell>
          <cell r="AK12">
            <v>59</v>
          </cell>
          <cell r="AL12">
            <v>0</v>
          </cell>
          <cell r="AM12">
            <v>91</v>
          </cell>
          <cell r="AN12">
            <v>72</v>
          </cell>
          <cell r="AO12">
            <v>19</v>
          </cell>
          <cell r="AP12">
            <v>1252</v>
          </cell>
          <cell r="AQ12">
            <v>0</v>
          </cell>
          <cell r="AR12">
            <v>26</v>
          </cell>
        </row>
        <row r="13">
          <cell r="A13" t="str">
            <v>A2873</v>
          </cell>
          <cell r="B13" t="str">
            <v>CHRISTOPHER LAKSAWANA</v>
          </cell>
          <cell r="C13">
            <v>0</v>
          </cell>
          <cell r="D13">
            <v>35</v>
          </cell>
          <cell r="E13">
            <v>38</v>
          </cell>
          <cell r="F13">
            <v>0</v>
          </cell>
          <cell r="G13">
            <v>53</v>
          </cell>
          <cell r="H13">
            <v>53</v>
          </cell>
          <cell r="I13">
            <v>0</v>
          </cell>
          <cell r="J13">
            <v>47</v>
          </cell>
          <cell r="K13">
            <v>49</v>
          </cell>
          <cell r="L13">
            <v>0</v>
          </cell>
          <cell r="M13">
            <v>50</v>
          </cell>
          <cell r="N13">
            <v>47</v>
          </cell>
          <cell r="O13">
            <v>0</v>
          </cell>
          <cell r="P13">
            <v>32</v>
          </cell>
          <cell r="Q13">
            <v>49</v>
          </cell>
          <cell r="R13">
            <v>0</v>
          </cell>
          <cell r="S13">
            <v>21</v>
          </cell>
          <cell r="T13">
            <v>29</v>
          </cell>
          <cell r="U13">
            <v>0</v>
          </cell>
          <cell r="V13">
            <v>38</v>
          </cell>
          <cell r="W13">
            <v>33</v>
          </cell>
          <cell r="X13">
            <v>0</v>
          </cell>
          <cell r="Y13">
            <v>44</v>
          </cell>
          <cell r="Z13">
            <v>25</v>
          </cell>
          <cell r="AA13">
            <v>0</v>
          </cell>
          <cell r="AB13">
            <v>38</v>
          </cell>
          <cell r="AC13">
            <v>38</v>
          </cell>
          <cell r="AD13">
            <v>0</v>
          </cell>
          <cell r="AE13">
            <v>52</v>
          </cell>
          <cell r="AF13">
            <v>29</v>
          </cell>
          <cell r="AG13">
            <v>41</v>
          </cell>
          <cell r="AH13">
            <v>55</v>
          </cell>
          <cell r="AI13">
            <v>0</v>
          </cell>
          <cell r="AJ13">
            <v>56</v>
          </cell>
          <cell r="AK13">
            <v>55</v>
          </cell>
          <cell r="AL13">
            <v>0</v>
          </cell>
          <cell r="AM13">
            <v>77</v>
          </cell>
          <cell r="AN13">
            <v>62</v>
          </cell>
          <cell r="AO13">
            <v>18</v>
          </cell>
          <cell r="AP13">
            <v>1164</v>
          </cell>
          <cell r="AQ13">
            <v>0</v>
          </cell>
          <cell r="AR13">
            <v>26</v>
          </cell>
        </row>
        <row r="14">
          <cell r="A14" t="str">
            <v>A2879</v>
          </cell>
          <cell r="B14" t="str">
            <v>FAUZI</v>
          </cell>
          <cell r="C14">
            <v>0</v>
          </cell>
          <cell r="D14">
            <v>41</v>
          </cell>
          <cell r="E14">
            <v>35</v>
          </cell>
          <cell r="F14">
            <v>0</v>
          </cell>
          <cell r="G14">
            <v>67</v>
          </cell>
          <cell r="H14">
            <v>45</v>
          </cell>
          <cell r="I14">
            <v>0</v>
          </cell>
          <cell r="J14">
            <v>60</v>
          </cell>
          <cell r="K14">
            <v>32</v>
          </cell>
          <cell r="L14">
            <v>0</v>
          </cell>
          <cell r="M14">
            <v>63</v>
          </cell>
          <cell r="N14">
            <v>42</v>
          </cell>
          <cell r="O14">
            <v>0</v>
          </cell>
          <cell r="P14">
            <v>0</v>
          </cell>
          <cell r="Q14">
            <v>41</v>
          </cell>
          <cell r="R14">
            <v>26</v>
          </cell>
          <cell r="S14">
            <v>0</v>
          </cell>
          <cell r="T14">
            <v>0</v>
          </cell>
          <cell r="U14">
            <v>0</v>
          </cell>
          <cell r="V14">
            <v>47</v>
          </cell>
          <cell r="W14">
            <v>31</v>
          </cell>
          <cell r="X14">
            <v>0</v>
          </cell>
          <cell r="Y14">
            <v>56</v>
          </cell>
          <cell r="Z14">
            <v>19</v>
          </cell>
          <cell r="AA14">
            <v>0</v>
          </cell>
          <cell r="AB14">
            <v>49</v>
          </cell>
          <cell r="AC14">
            <v>35</v>
          </cell>
          <cell r="AD14">
            <v>0</v>
          </cell>
          <cell r="AE14">
            <v>0</v>
          </cell>
          <cell r="AF14">
            <v>54</v>
          </cell>
          <cell r="AG14">
            <v>52</v>
          </cell>
          <cell r="AH14">
            <v>54</v>
          </cell>
          <cell r="AI14">
            <v>0</v>
          </cell>
          <cell r="AJ14">
            <v>51</v>
          </cell>
          <cell r="AK14">
            <v>54</v>
          </cell>
          <cell r="AL14">
            <v>0</v>
          </cell>
          <cell r="AM14">
            <v>85</v>
          </cell>
          <cell r="AN14">
            <v>69</v>
          </cell>
          <cell r="AO14">
            <v>19</v>
          </cell>
          <cell r="AP14">
            <v>1127</v>
          </cell>
          <cell r="AQ14">
            <v>2</v>
          </cell>
          <cell r="AR14">
            <v>23</v>
          </cell>
        </row>
        <row r="15">
          <cell r="A15" t="str">
            <v>A3498</v>
          </cell>
          <cell r="B15" t="str">
            <v>KIRANA AMILYA PASCHA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26</v>
          </cell>
          <cell r="Q15">
            <v>28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28</v>
          </cell>
          <cell r="W15">
            <v>0</v>
          </cell>
          <cell r="X15">
            <v>0</v>
          </cell>
          <cell r="Y15">
            <v>35</v>
          </cell>
          <cell r="Z15">
            <v>17</v>
          </cell>
          <cell r="AA15">
            <v>33</v>
          </cell>
          <cell r="AB15">
            <v>43</v>
          </cell>
          <cell r="AC15">
            <v>0</v>
          </cell>
          <cell r="AD15">
            <v>42</v>
          </cell>
          <cell r="AE15">
            <v>49</v>
          </cell>
          <cell r="AF15">
            <v>0</v>
          </cell>
          <cell r="AG15">
            <v>0</v>
          </cell>
          <cell r="AH15">
            <v>48</v>
          </cell>
          <cell r="AI15">
            <v>39</v>
          </cell>
          <cell r="AJ15">
            <v>0</v>
          </cell>
          <cell r="AK15">
            <v>49</v>
          </cell>
          <cell r="AL15">
            <v>43</v>
          </cell>
          <cell r="AM15">
            <v>57</v>
          </cell>
          <cell r="AN15">
            <v>49</v>
          </cell>
          <cell r="AO15">
            <v>13</v>
          </cell>
          <cell r="AP15">
            <v>599</v>
          </cell>
          <cell r="AQ15">
            <v>0</v>
          </cell>
          <cell r="AR15">
            <v>15</v>
          </cell>
        </row>
        <row r="16">
          <cell r="A16" t="str">
            <v>A1941</v>
          </cell>
          <cell r="B16" t="str">
            <v>HANA CHRISTINA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16</v>
          </cell>
          <cell r="T16">
            <v>18</v>
          </cell>
          <cell r="U16">
            <v>32</v>
          </cell>
          <cell r="V16">
            <v>25</v>
          </cell>
          <cell r="W16">
            <v>25</v>
          </cell>
          <cell r="X16">
            <v>40</v>
          </cell>
          <cell r="Y16">
            <v>0</v>
          </cell>
          <cell r="Z16">
            <v>0</v>
          </cell>
          <cell r="AA16">
            <v>38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26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220</v>
          </cell>
          <cell r="AQ16">
            <v>0</v>
          </cell>
          <cell r="AR16">
            <v>8</v>
          </cell>
        </row>
        <row r="17">
          <cell r="A17" t="str">
            <v>A4247</v>
          </cell>
          <cell r="B17" t="str">
            <v>WA ODE ALYA SHINTA AMALIA</v>
          </cell>
          <cell r="C17">
            <v>0</v>
          </cell>
          <cell r="D17">
            <v>0</v>
          </cell>
          <cell r="E17">
            <v>25</v>
          </cell>
          <cell r="F17">
            <v>0</v>
          </cell>
          <cell r="G17">
            <v>0</v>
          </cell>
          <cell r="H17">
            <v>0</v>
          </cell>
          <cell r="I17">
            <v>33</v>
          </cell>
          <cell r="J17">
            <v>0</v>
          </cell>
          <cell r="K17">
            <v>0</v>
          </cell>
          <cell r="L17">
            <v>0</v>
          </cell>
          <cell r="M17">
            <v>31</v>
          </cell>
          <cell r="N17">
            <v>34</v>
          </cell>
          <cell r="O17">
            <v>37</v>
          </cell>
          <cell r="P17">
            <v>34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31</v>
          </cell>
          <cell r="X17">
            <v>38</v>
          </cell>
          <cell r="Y17">
            <v>32</v>
          </cell>
          <cell r="Z17">
            <v>0</v>
          </cell>
          <cell r="AA17">
            <v>0</v>
          </cell>
          <cell r="AB17">
            <v>36</v>
          </cell>
          <cell r="AC17">
            <v>31</v>
          </cell>
          <cell r="AD17">
            <v>40</v>
          </cell>
          <cell r="AE17">
            <v>0</v>
          </cell>
          <cell r="AF17">
            <v>41</v>
          </cell>
          <cell r="AG17">
            <v>0</v>
          </cell>
          <cell r="AH17">
            <v>0</v>
          </cell>
          <cell r="AI17">
            <v>0</v>
          </cell>
          <cell r="AJ17">
            <v>35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478</v>
          </cell>
          <cell r="AQ17">
            <v>4</v>
          </cell>
          <cell r="AR17">
            <v>14</v>
          </cell>
        </row>
        <row r="18">
          <cell r="A18" t="str">
            <v>A4348</v>
          </cell>
          <cell r="B18" t="str">
            <v>RISKA WULAN NAWANGSARI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20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32</v>
          </cell>
          <cell r="AJ18">
            <v>0</v>
          </cell>
          <cell r="AK18">
            <v>0</v>
          </cell>
          <cell r="AL18">
            <v>0</v>
          </cell>
          <cell r="AM18">
            <v>50</v>
          </cell>
          <cell r="AN18">
            <v>47</v>
          </cell>
          <cell r="AO18">
            <v>9</v>
          </cell>
          <cell r="AP18">
            <v>209</v>
          </cell>
          <cell r="AQ18">
            <v>0</v>
          </cell>
          <cell r="AR18">
            <v>6</v>
          </cell>
        </row>
        <row r="19">
          <cell r="A19" t="str">
            <v>A4347</v>
          </cell>
          <cell r="B19" t="str">
            <v>CHINDI PRATIWI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15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19</v>
          </cell>
          <cell r="AM19">
            <v>23</v>
          </cell>
          <cell r="AN19">
            <v>25</v>
          </cell>
          <cell r="AO19">
            <v>0</v>
          </cell>
          <cell r="AP19">
            <v>82</v>
          </cell>
          <cell r="AQ19">
            <v>0</v>
          </cell>
          <cell r="AR19">
            <v>4</v>
          </cell>
        </row>
        <row r="20">
          <cell r="A20" t="str">
            <v>A4404</v>
          </cell>
          <cell r="B20" t="str">
            <v>Antonia Maria Ajeng Galuh Dewanti</v>
          </cell>
          <cell r="C20">
            <v>24</v>
          </cell>
          <cell r="D20">
            <v>0</v>
          </cell>
          <cell r="E20">
            <v>0</v>
          </cell>
          <cell r="F20">
            <v>27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35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24</v>
          </cell>
          <cell r="V20">
            <v>22</v>
          </cell>
          <cell r="W20">
            <v>0</v>
          </cell>
          <cell r="X20">
            <v>30</v>
          </cell>
          <cell r="Y20">
            <v>26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32</v>
          </cell>
          <cell r="AE20">
            <v>29</v>
          </cell>
          <cell r="AF20">
            <v>0</v>
          </cell>
          <cell r="AG20">
            <v>0</v>
          </cell>
          <cell r="AH20">
            <v>0</v>
          </cell>
          <cell r="AI20">
            <v>29</v>
          </cell>
          <cell r="AJ20">
            <v>36</v>
          </cell>
          <cell r="AK20">
            <v>0</v>
          </cell>
          <cell r="AL20">
            <v>35</v>
          </cell>
          <cell r="AM20">
            <v>0</v>
          </cell>
          <cell r="AN20">
            <v>0</v>
          </cell>
          <cell r="AO20">
            <v>0</v>
          </cell>
          <cell r="AP20">
            <v>349</v>
          </cell>
          <cell r="AQ20">
            <v>0</v>
          </cell>
          <cell r="AR20">
            <v>12</v>
          </cell>
        </row>
        <row r="21">
          <cell r="A21" t="str">
            <v>A4428</v>
          </cell>
          <cell r="B21" t="str">
            <v>FERDIAN ANGGA RACHMADHANI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28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20</v>
          </cell>
          <cell r="AD21">
            <v>0</v>
          </cell>
          <cell r="AE21">
            <v>0</v>
          </cell>
          <cell r="AF21">
            <v>24</v>
          </cell>
          <cell r="AG21">
            <v>0</v>
          </cell>
          <cell r="AH21">
            <v>0</v>
          </cell>
          <cell r="AI21">
            <v>0</v>
          </cell>
          <cell r="AJ21">
            <v>29</v>
          </cell>
          <cell r="AK21">
            <v>22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123</v>
          </cell>
          <cell r="AQ21">
            <v>0</v>
          </cell>
          <cell r="AR21">
            <v>5</v>
          </cell>
        </row>
        <row r="24">
          <cell r="A24">
            <v>0</v>
          </cell>
          <cell r="B24" t="str">
            <v>Mengetahui,</v>
          </cell>
        </row>
        <row r="25">
          <cell r="A25">
            <v>0</v>
          </cell>
          <cell r="B25">
            <v>0</v>
          </cell>
        </row>
        <row r="26">
          <cell r="A26">
            <v>0</v>
          </cell>
          <cell r="B26">
            <v>0</v>
          </cell>
        </row>
        <row r="27">
          <cell r="A27">
            <v>0</v>
          </cell>
          <cell r="B27">
            <v>0</v>
          </cell>
        </row>
        <row r="28">
          <cell r="A28">
            <v>0</v>
          </cell>
          <cell r="B28">
            <v>0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  <cell r="B30">
            <v>0</v>
          </cell>
        </row>
        <row r="31">
          <cell r="A31">
            <v>0</v>
          </cell>
          <cell r="B31" t="str">
            <v xml:space="preserve">SRI RAHAYU GUNADI </v>
          </cell>
        </row>
        <row r="32">
          <cell r="A32">
            <v>0</v>
          </cell>
          <cell r="B32" t="str">
            <v>HC DOC HEAD</v>
          </cell>
        </row>
      </sheetData>
      <sheetData sheetId="1" refreshError="1">
        <row r="1">
          <cell r="A1" t="str">
            <v>PERIODE 2 DESEMBER 2024 GC</v>
          </cell>
        </row>
        <row r="2">
          <cell r="A2" t="str">
            <v>TANGGAL 16 - 31 DESEMBER 2024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0</v>
          </cell>
          <cell r="O4">
            <v>45649</v>
          </cell>
          <cell r="P4">
            <v>0</v>
          </cell>
          <cell r="Q4">
            <v>45650</v>
          </cell>
          <cell r="R4">
            <v>0</v>
          </cell>
          <cell r="S4">
            <v>45652</v>
          </cell>
          <cell r="T4">
            <v>0</v>
          </cell>
          <cell r="U4">
            <v>45653</v>
          </cell>
          <cell r="V4">
            <v>0</v>
          </cell>
          <cell r="W4">
            <v>45654</v>
          </cell>
          <cell r="X4">
            <v>0</v>
          </cell>
          <cell r="Y4">
            <v>45656</v>
          </cell>
          <cell r="Z4">
            <v>0</v>
          </cell>
          <cell r="AA4">
            <v>45657</v>
          </cell>
          <cell r="AB4">
            <v>0</v>
          </cell>
          <cell r="AC4" t="str">
            <v>TOTAL SLOT</v>
          </cell>
        </row>
        <row r="5">
          <cell r="A5">
            <v>0</v>
          </cell>
          <cell r="B5">
            <v>0</v>
          </cell>
          <cell r="C5" t="str">
            <v>SLOT 1</v>
          </cell>
          <cell r="D5" t="str">
            <v>SLOT 2</v>
          </cell>
          <cell r="E5" t="str">
            <v>SLOT 1</v>
          </cell>
          <cell r="F5" t="str">
            <v>SLOT 2</v>
          </cell>
          <cell r="G5" t="str">
            <v>SLOT 1</v>
          </cell>
          <cell r="H5" t="str">
            <v>SLOT 2</v>
          </cell>
          <cell r="I5" t="str">
            <v>SLOT 1</v>
          </cell>
          <cell r="J5" t="str">
            <v>SLOT 2</v>
          </cell>
          <cell r="K5" t="str">
            <v>SLOT 1</v>
          </cell>
          <cell r="L5" t="str">
            <v>SLOT 2</v>
          </cell>
          <cell r="M5" t="str">
            <v>SLOT 1</v>
          </cell>
          <cell r="N5" t="str">
            <v>SLOT 2</v>
          </cell>
          <cell r="O5" t="str">
            <v>SLOT 1</v>
          </cell>
          <cell r="P5" t="str">
            <v>SLOT 2</v>
          </cell>
          <cell r="Q5" t="str">
            <v>SLOT 1</v>
          </cell>
          <cell r="R5" t="str">
            <v>SLOT 2</v>
          </cell>
          <cell r="S5" t="str">
            <v>SLOT 1</v>
          </cell>
          <cell r="T5" t="str">
            <v>SLOT 2</v>
          </cell>
          <cell r="U5" t="str">
            <v>SLOT 1</v>
          </cell>
          <cell r="V5" t="str">
            <v>SLOT 2</v>
          </cell>
          <cell r="W5" t="str">
            <v>SLOT 1</v>
          </cell>
          <cell r="X5" t="str">
            <v>SLOT 2</v>
          </cell>
          <cell r="Y5" t="str">
            <v>SLOT 1</v>
          </cell>
          <cell r="Z5" t="str">
            <v>SLOT 2</v>
          </cell>
          <cell r="AA5" t="str">
            <v>SLOT 1</v>
          </cell>
          <cell r="AB5" t="str">
            <v>SLOT 2</v>
          </cell>
          <cell r="AC5">
            <v>0</v>
          </cell>
        </row>
        <row r="6">
          <cell r="A6" t="str">
            <v>A2065</v>
          </cell>
          <cell r="B6" t="str">
            <v>EVAN AHID OETOYO</v>
          </cell>
          <cell r="C6">
            <v>52</v>
          </cell>
          <cell r="D6">
            <v>27</v>
          </cell>
          <cell r="E6">
            <v>53</v>
          </cell>
          <cell r="F6">
            <v>15</v>
          </cell>
          <cell r="G6">
            <v>52</v>
          </cell>
          <cell r="H6">
            <v>26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46</v>
          </cell>
          <cell r="R6">
            <v>39</v>
          </cell>
          <cell r="S6">
            <v>46</v>
          </cell>
          <cell r="T6">
            <v>39</v>
          </cell>
          <cell r="U6">
            <v>37</v>
          </cell>
          <cell r="V6">
            <v>35</v>
          </cell>
          <cell r="W6">
            <v>36</v>
          </cell>
          <cell r="X6">
            <v>0</v>
          </cell>
          <cell r="Y6">
            <v>47</v>
          </cell>
          <cell r="Z6">
            <v>33</v>
          </cell>
          <cell r="AA6">
            <v>43</v>
          </cell>
          <cell r="AB6">
            <v>33</v>
          </cell>
          <cell r="AC6">
            <v>17</v>
          </cell>
        </row>
        <row r="7">
          <cell r="A7" t="str">
            <v>A2116</v>
          </cell>
          <cell r="B7" t="str">
            <v>AGNES SILITONGA</v>
          </cell>
          <cell r="C7">
            <v>0</v>
          </cell>
          <cell r="D7">
            <v>14</v>
          </cell>
          <cell r="E7">
            <v>0</v>
          </cell>
          <cell r="F7">
            <v>0</v>
          </cell>
          <cell r="G7">
            <v>36</v>
          </cell>
          <cell r="H7">
            <v>0</v>
          </cell>
          <cell r="I7">
            <v>39</v>
          </cell>
          <cell r="J7">
            <v>29</v>
          </cell>
          <cell r="K7">
            <v>35</v>
          </cell>
          <cell r="L7">
            <v>30</v>
          </cell>
          <cell r="M7">
            <v>27</v>
          </cell>
          <cell r="N7">
            <v>10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34</v>
          </cell>
          <cell r="T7">
            <v>38</v>
          </cell>
          <cell r="U7">
            <v>36</v>
          </cell>
          <cell r="V7">
            <v>32</v>
          </cell>
          <cell r="W7">
            <v>32</v>
          </cell>
          <cell r="X7">
            <v>11</v>
          </cell>
          <cell r="Y7">
            <v>39</v>
          </cell>
          <cell r="Z7">
            <v>30</v>
          </cell>
          <cell r="AA7">
            <v>29</v>
          </cell>
          <cell r="AB7">
            <v>30</v>
          </cell>
          <cell r="AC7">
            <v>18</v>
          </cell>
        </row>
        <row r="8">
          <cell r="A8" t="str">
            <v>A2646</v>
          </cell>
          <cell r="B8" t="str">
            <v>ANISA PUTRI ERAWATI</v>
          </cell>
          <cell r="C8">
            <v>52</v>
          </cell>
          <cell r="D8">
            <v>23</v>
          </cell>
          <cell r="E8">
            <v>53</v>
          </cell>
          <cell r="F8">
            <v>16</v>
          </cell>
          <cell r="G8">
            <v>45</v>
          </cell>
          <cell r="H8">
            <v>29</v>
          </cell>
          <cell r="I8">
            <v>48</v>
          </cell>
          <cell r="J8">
            <v>36</v>
          </cell>
          <cell r="K8">
            <v>46</v>
          </cell>
          <cell r="L8">
            <v>30</v>
          </cell>
          <cell r="M8">
            <v>26</v>
          </cell>
          <cell r="N8">
            <v>0</v>
          </cell>
          <cell r="O8">
            <v>51</v>
          </cell>
          <cell r="P8">
            <v>20</v>
          </cell>
          <cell r="Q8">
            <v>52</v>
          </cell>
          <cell r="R8">
            <v>37</v>
          </cell>
          <cell r="S8">
            <v>44</v>
          </cell>
          <cell r="T8">
            <v>39</v>
          </cell>
          <cell r="U8">
            <v>43</v>
          </cell>
          <cell r="V8">
            <v>34</v>
          </cell>
          <cell r="W8">
            <v>50</v>
          </cell>
          <cell r="X8">
            <v>18</v>
          </cell>
          <cell r="Y8">
            <v>0</v>
          </cell>
          <cell r="Z8">
            <v>44</v>
          </cell>
          <cell r="AA8">
            <v>52</v>
          </cell>
          <cell r="AB8">
            <v>37</v>
          </cell>
          <cell r="AC8">
            <v>24</v>
          </cell>
        </row>
        <row r="9">
          <cell r="A9" t="str">
            <v>A3126</v>
          </cell>
          <cell r="B9" t="str">
            <v>CINDY FELICIA</v>
          </cell>
          <cell r="C9">
            <v>0</v>
          </cell>
          <cell r="D9">
            <v>0</v>
          </cell>
          <cell r="E9">
            <v>39</v>
          </cell>
          <cell r="F9">
            <v>18</v>
          </cell>
          <cell r="G9">
            <v>51</v>
          </cell>
          <cell r="H9">
            <v>21</v>
          </cell>
          <cell r="I9">
            <v>43</v>
          </cell>
          <cell r="J9">
            <v>31</v>
          </cell>
          <cell r="K9">
            <v>42</v>
          </cell>
          <cell r="L9">
            <v>40</v>
          </cell>
          <cell r="M9">
            <v>37</v>
          </cell>
          <cell r="N9">
            <v>21</v>
          </cell>
          <cell r="O9">
            <v>48</v>
          </cell>
          <cell r="P9">
            <v>16</v>
          </cell>
          <cell r="Q9">
            <v>56</v>
          </cell>
          <cell r="R9">
            <v>0</v>
          </cell>
          <cell r="S9">
            <v>0</v>
          </cell>
          <cell r="T9">
            <v>0</v>
          </cell>
          <cell r="U9">
            <v>48</v>
          </cell>
          <cell r="V9">
            <v>31</v>
          </cell>
          <cell r="W9">
            <v>47</v>
          </cell>
          <cell r="X9">
            <v>21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17</v>
          </cell>
        </row>
        <row r="10">
          <cell r="A10" t="str">
            <v>A3145</v>
          </cell>
          <cell r="B10" t="str">
            <v>SRI GUSMIARTI</v>
          </cell>
          <cell r="C10">
            <v>63</v>
          </cell>
          <cell r="D10">
            <v>21</v>
          </cell>
          <cell r="E10">
            <v>44</v>
          </cell>
          <cell r="F10">
            <v>19</v>
          </cell>
          <cell r="G10">
            <v>0</v>
          </cell>
          <cell r="H10">
            <v>0</v>
          </cell>
          <cell r="I10">
            <v>41</v>
          </cell>
          <cell r="J10">
            <v>29</v>
          </cell>
          <cell r="K10">
            <v>0</v>
          </cell>
          <cell r="L10">
            <v>0</v>
          </cell>
          <cell r="M10">
            <v>44</v>
          </cell>
          <cell r="N10">
            <v>21</v>
          </cell>
          <cell r="O10">
            <v>45</v>
          </cell>
          <cell r="P10">
            <v>17</v>
          </cell>
          <cell r="Q10">
            <v>0</v>
          </cell>
          <cell r="R10">
            <v>63</v>
          </cell>
          <cell r="S10">
            <v>48</v>
          </cell>
          <cell r="T10">
            <v>34</v>
          </cell>
          <cell r="U10">
            <v>42</v>
          </cell>
          <cell r="V10">
            <v>43</v>
          </cell>
          <cell r="W10">
            <v>0</v>
          </cell>
          <cell r="X10">
            <v>22</v>
          </cell>
          <cell r="Y10">
            <v>50</v>
          </cell>
          <cell r="Z10">
            <v>33</v>
          </cell>
          <cell r="AA10">
            <v>51</v>
          </cell>
          <cell r="AB10">
            <v>40</v>
          </cell>
          <cell r="AC10">
            <v>20</v>
          </cell>
        </row>
        <row r="11">
          <cell r="A11" t="str">
            <v>A3584</v>
          </cell>
          <cell r="B11" t="str">
            <v>Rindie Putri</v>
          </cell>
          <cell r="C11">
            <v>62</v>
          </cell>
          <cell r="D11">
            <v>29</v>
          </cell>
          <cell r="E11">
            <v>62</v>
          </cell>
          <cell r="F11">
            <v>19</v>
          </cell>
          <cell r="G11">
            <v>59</v>
          </cell>
          <cell r="H11">
            <v>24</v>
          </cell>
          <cell r="I11">
            <v>51</v>
          </cell>
          <cell r="J11">
            <v>40</v>
          </cell>
          <cell r="K11">
            <v>64</v>
          </cell>
          <cell r="L11">
            <v>37</v>
          </cell>
          <cell r="M11">
            <v>38</v>
          </cell>
          <cell r="N11">
            <v>17</v>
          </cell>
          <cell r="O11">
            <v>63</v>
          </cell>
          <cell r="P11">
            <v>27</v>
          </cell>
          <cell r="Q11">
            <v>56</v>
          </cell>
          <cell r="R11">
            <v>42</v>
          </cell>
          <cell r="S11">
            <v>57</v>
          </cell>
          <cell r="T11">
            <v>48</v>
          </cell>
          <cell r="U11">
            <v>51</v>
          </cell>
          <cell r="V11">
            <v>43</v>
          </cell>
          <cell r="W11">
            <v>50</v>
          </cell>
          <cell r="X11">
            <v>20</v>
          </cell>
          <cell r="Y11">
            <v>55</v>
          </cell>
          <cell r="Z11">
            <v>35</v>
          </cell>
          <cell r="AA11">
            <v>53</v>
          </cell>
          <cell r="AB11">
            <v>37</v>
          </cell>
          <cell r="AC11">
            <v>26</v>
          </cell>
        </row>
        <row r="12">
          <cell r="A12" t="str">
            <v>A4012</v>
          </cell>
          <cell r="B12" t="str">
            <v>FLORA ANISA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44</v>
          </cell>
          <cell r="P12">
            <v>13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3</v>
          </cell>
        </row>
        <row r="13">
          <cell r="A13" t="str">
            <v>A4246</v>
          </cell>
          <cell r="B13" t="str">
            <v>NOR FAJRIYAH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49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1</v>
          </cell>
        </row>
        <row r="14">
          <cell r="A14" t="str">
            <v>A4359</v>
          </cell>
          <cell r="B14" t="str">
            <v>TIA VERONICA</v>
          </cell>
          <cell r="C14">
            <v>29</v>
          </cell>
          <cell r="D14">
            <v>18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2</v>
          </cell>
        </row>
        <row r="17">
          <cell r="A17">
            <v>0</v>
          </cell>
          <cell r="B17" t="str">
            <v>Mengetahui,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>
            <v>0</v>
          </cell>
        </row>
        <row r="24">
          <cell r="A24">
            <v>0</v>
          </cell>
          <cell r="B24" t="str">
            <v xml:space="preserve">SRI RAHAYU GUNADI </v>
          </cell>
        </row>
        <row r="25">
          <cell r="A25">
            <v>0</v>
          </cell>
          <cell r="B25" t="str">
            <v>HC DOC HEAD</v>
          </cell>
        </row>
      </sheetData>
      <sheetData sheetId="2" refreshError="1">
        <row r="1">
          <cell r="A1" t="str">
            <v>PERIODE 2 DESEMBER 2024 RVO</v>
          </cell>
        </row>
        <row r="2">
          <cell r="A2" t="str">
            <v>TANGGAL 16 - 31 DESEMBER 2024</v>
          </cell>
        </row>
        <row r="4">
          <cell r="A4" t="str">
            <v>NPK</v>
          </cell>
          <cell r="B4" t="str">
            <v>NAMA</v>
          </cell>
          <cell r="C4" t="str">
            <v>FIX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 t="str">
            <v>VARIABEL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 t="str">
            <v>TOTAL SLOT</v>
          </cell>
        </row>
        <row r="5">
          <cell r="A5">
            <v>0</v>
          </cell>
          <cell r="B5">
            <v>0</v>
          </cell>
          <cell r="C5">
            <v>16</v>
          </cell>
          <cell r="D5">
            <v>0</v>
          </cell>
          <cell r="E5">
            <v>0</v>
          </cell>
          <cell r="F5">
            <v>17</v>
          </cell>
          <cell r="G5">
            <v>0</v>
          </cell>
          <cell r="H5">
            <v>0</v>
          </cell>
          <cell r="I5">
            <v>18</v>
          </cell>
          <cell r="J5">
            <v>0</v>
          </cell>
          <cell r="K5">
            <v>0</v>
          </cell>
          <cell r="L5">
            <v>19</v>
          </cell>
          <cell r="M5">
            <v>0</v>
          </cell>
          <cell r="N5">
            <v>0</v>
          </cell>
          <cell r="O5">
            <v>20</v>
          </cell>
          <cell r="P5">
            <v>0</v>
          </cell>
          <cell r="Q5">
            <v>0</v>
          </cell>
          <cell r="R5">
            <v>0</v>
          </cell>
          <cell r="S5">
            <v>21</v>
          </cell>
          <cell r="T5">
            <v>0</v>
          </cell>
          <cell r="U5">
            <v>23</v>
          </cell>
          <cell r="V5">
            <v>0</v>
          </cell>
          <cell r="W5">
            <v>0</v>
          </cell>
          <cell r="X5">
            <v>24</v>
          </cell>
          <cell r="Y5">
            <v>0</v>
          </cell>
          <cell r="Z5">
            <v>0</v>
          </cell>
          <cell r="AA5">
            <v>26</v>
          </cell>
          <cell r="AB5">
            <v>0</v>
          </cell>
          <cell r="AC5">
            <v>0</v>
          </cell>
          <cell r="AD5">
            <v>27</v>
          </cell>
          <cell r="AE5">
            <v>0</v>
          </cell>
          <cell r="AF5">
            <v>0</v>
          </cell>
          <cell r="AG5">
            <v>28</v>
          </cell>
          <cell r="AH5">
            <v>0</v>
          </cell>
          <cell r="AI5">
            <v>30</v>
          </cell>
          <cell r="AJ5">
            <v>0</v>
          </cell>
          <cell r="AK5">
            <v>0</v>
          </cell>
          <cell r="AL5">
            <v>31</v>
          </cell>
          <cell r="AM5">
            <v>0</v>
          </cell>
          <cell r="AN5">
            <v>0</v>
          </cell>
          <cell r="AO5">
            <v>16</v>
          </cell>
          <cell r="AP5">
            <v>0</v>
          </cell>
          <cell r="AQ5">
            <v>0</v>
          </cell>
          <cell r="AR5">
            <v>17</v>
          </cell>
          <cell r="AS5">
            <v>0</v>
          </cell>
          <cell r="AT5">
            <v>0</v>
          </cell>
          <cell r="AU5">
            <v>18</v>
          </cell>
          <cell r="AV5">
            <v>0</v>
          </cell>
          <cell r="AW5">
            <v>0</v>
          </cell>
          <cell r="AX5">
            <v>19</v>
          </cell>
          <cell r="AY5">
            <v>0</v>
          </cell>
          <cell r="AZ5">
            <v>0</v>
          </cell>
          <cell r="BA5">
            <v>20</v>
          </cell>
          <cell r="BB5">
            <v>0</v>
          </cell>
          <cell r="BC5">
            <v>0</v>
          </cell>
          <cell r="BD5">
            <v>0</v>
          </cell>
          <cell r="BE5">
            <v>21</v>
          </cell>
          <cell r="BF5">
            <v>0</v>
          </cell>
          <cell r="BG5">
            <v>23</v>
          </cell>
          <cell r="BH5">
            <v>0</v>
          </cell>
          <cell r="BI5">
            <v>0</v>
          </cell>
          <cell r="BJ5">
            <v>24</v>
          </cell>
          <cell r="BK5">
            <v>0</v>
          </cell>
          <cell r="BL5">
            <v>0</v>
          </cell>
          <cell r="BM5">
            <v>26</v>
          </cell>
          <cell r="BN5">
            <v>0</v>
          </cell>
          <cell r="BO5">
            <v>0</v>
          </cell>
          <cell r="BP5">
            <v>27</v>
          </cell>
          <cell r="BQ5">
            <v>0</v>
          </cell>
          <cell r="BR5">
            <v>0</v>
          </cell>
          <cell r="BS5">
            <v>28</v>
          </cell>
          <cell r="BT5">
            <v>0</v>
          </cell>
          <cell r="BU5">
            <v>30</v>
          </cell>
          <cell r="BV5">
            <v>0</v>
          </cell>
          <cell r="BW5">
            <v>0</v>
          </cell>
          <cell r="BX5">
            <v>31</v>
          </cell>
          <cell r="BY5">
            <v>0</v>
          </cell>
          <cell r="BZ5">
            <v>0</v>
          </cell>
          <cell r="CA5">
            <v>0</v>
          </cell>
        </row>
        <row r="6">
          <cell r="A6">
            <v>0</v>
          </cell>
          <cell r="B6">
            <v>0</v>
          </cell>
          <cell r="C6">
            <v>1</v>
          </cell>
          <cell r="D6">
            <v>2</v>
          </cell>
          <cell r="E6">
            <v>3</v>
          </cell>
          <cell r="F6">
            <v>1</v>
          </cell>
          <cell r="G6">
            <v>2</v>
          </cell>
          <cell r="H6">
            <v>3</v>
          </cell>
          <cell r="I6">
            <v>1</v>
          </cell>
          <cell r="J6">
            <v>2</v>
          </cell>
          <cell r="K6">
            <v>3</v>
          </cell>
          <cell r="L6">
            <v>1</v>
          </cell>
          <cell r="M6">
            <v>2</v>
          </cell>
          <cell r="N6">
            <v>3</v>
          </cell>
          <cell r="O6">
            <v>1</v>
          </cell>
          <cell r="P6">
            <v>2</v>
          </cell>
          <cell r="Q6">
            <v>3</v>
          </cell>
          <cell r="R6" t="str">
            <v>3b</v>
          </cell>
          <cell r="S6">
            <v>1</v>
          </cell>
          <cell r="T6">
            <v>2</v>
          </cell>
          <cell r="U6">
            <v>1</v>
          </cell>
          <cell r="V6">
            <v>2</v>
          </cell>
          <cell r="W6">
            <v>3</v>
          </cell>
          <cell r="X6">
            <v>1</v>
          </cell>
          <cell r="Y6">
            <v>2</v>
          </cell>
          <cell r="Z6">
            <v>3</v>
          </cell>
          <cell r="AA6">
            <v>1</v>
          </cell>
          <cell r="AB6">
            <v>2</v>
          </cell>
          <cell r="AC6">
            <v>3</v>
          </cell>
          <cell r="AD6">
            <v>1</v>
          </cell>
          <cell r="AE6">
            <v>2</v>
          </cell>
          <cell r="AF6">
            <v>3</v>
          </cell>
          <cell r="AG6">
            <v>1</v>
          </cell>
          <cell r="AH6">
            <v>2</v>
          </cell>
          <cell r="AI6">
            <v>1</v>
          </cell>
          <cell r="AJ6">
            <v>2</v>
          </cell>
          <cell r="AK6">
            <v>3</v>
          </cell>
          <cell r="AL6">
            <v>1</v>
          </cell>
          <cell r="AM6">
            <v>2</v>
          </cell>
          <cell r="AN6">
            <v>3</v>
          </cell>
          <cell r="AO6">
            <v>1</v>
          </cell>
          <cell r="AP6">
            <v>2</v>
          </cell>
          <cell r="AQ6">
            <v>3</v>
          </cell>
          <cell r="AR6">
            <v>1</v>
          </cell>
          <cell r="AS6">
            <v>2</v>
          </cell>
          <cell r="AT6">
            <v>3</v>
          </cell>
          <cell r="AU6">
            <v>1</v>
          </cell>
          <cell r="AV6">
            <v>2</v>
          </cell>
          <cell r="AW6">
            <v>3</v>
          </cell>
          <cell r="AX6">
            <v>1</v>
          </cell>
          <cell r="AY6">
            <v>2</v>
          </cell>
          <cell r="AZ6">
            <v>3</v>
          </cell>
          <cell r="BA6">
            <v>1</v>
          </cell>
          <cell r="BB6">
            <v>2</v>
          </cell>
          <cell r="BC6">
            <v>3</v>
          </cell>
          <cell r="BD6" t="str">
            <v>3b</v>
          </cell>
          <cell r="BE6">
            <v>1</v>
          </cell>
          <cell r="BF6">
            <v>2</v>
          </cell>
          <cell r="BG6">
            <v>1</v>
          </cell>
          <cell r="BH6">
            <v>2</v>
          </cell>
          <cell r="BI6">
            <v>3</v>
          </cell>
          <cell r="BJ6">
            <v>1</v>
          </cell>
          <cell r="BK6">
            <v>2</v>
          </cell>
          <cell r="BL6">
            <v>3</v>
          </cell>
          <cell r="BM6">
            <v>1</v>
          </cell>
          <cell r="BN6">
            <v>2</v>
          </cell>
          <cell r="BO6">
            <v>3</v>
          </cell>
          <cell r="BP6">
            <v>1</v>
          </cell>
          <cell r="BQ6">
            <v>2</v>
          </cell>
          <cell r="BR6">
            <v>3</v>
          </cell>
          <cell r="BS6">
            <v>1</v>
          </cell>
          <cell r="BT6">
            <v>2</v>
          </cell>
          <cell r="BU6">
            <v>1</v>
          </cell>
          <cell r="BV6">
            <v>2</v>
          </cell>
          <cell r="BW6">
            <v>3</v>
          </cell>
          <cell r="BX6">
            <v>1</v>
          </cell>
          <cell r="BY6">
            <v>2</v>
          </cell>
          <cell r="BZ6">
            <v>3</v>
          </cell>
          <cell r="CA6">
            <v>0</v>
          </cell>
        </row>
        <row r="7">
          <cell r="A7">
            <v>90317</v>
          </cell>
          <cell r="B7" t="str">
            <v>FILBERT SANCHIA FERDIANSAH MODOK</v>
          </cell>
          <cell r="C7">
            <v>0</v>
          </cell>
          <cell r="D7">
            <v>30</v>
          </cell>
          <cell r="E7">
            <v>30</v>
          </cell>
          <cell r="F7">
            <v>30</v>
          </cell>
          <cell r="G7">
            <v>21</v>
          </cell>
          <cell r="H7">
            <v>22</v>
          </cell>
          <cell r="I7">
            <v>26</v>
          </cell>
          <cell r="J7">
            <v>19</v>
          </cell>
          <cell r="K7">
            <v>17</v>
          </cell>
          <cell r="L7">
            <v>0</v>
          </cell>
          <cell r="M7">
            <v>22</v>
          </cell>
          <cell r="N7">
            <v>25</v>
          </cell>
          <cell r="O7">
            <v>25</v>
          </cell>
          <cell r="P7">
            <v>25</v>
          </cell>
          <cell r="Q7">
            <v>26</v>
          </cell>
          <cell r="R7">
            <v>0</v>
          </cell>
          <cell r="S7">
            <v>17</v>
          </cell>
          <cell r="T7">
            <v>19</v>
          </cell>
          <cell r="U7">
            <v>19</v>
          </cell>
          <cell r="V7">
            <v>20</v>
          </cell>
          <cell r="W7">
            <v>19</v>
          </cell>
          <cell r="X7">
            <v>0</v>
          </cell>
          <cell r="Y7">
            <v>25</v>
          </cell>
          <cell r="Z7">
            <v>0</v>
          </cell>
          <cell r="AA7">
            <v>0</v>
          </cell>
          <cell r="AB7">
            <v>22</v>
          </cell>
          <cell r="AC7">
            <v>16</v>
          </cell>
          <cell r="AD7">
            <v>0</v>
          </cell>
          <cell r="AE7">
            <v>24</v>
          </cell>
          <cell r="AF7">
            <v>23</v>
          </cell>
          <cell r="AG7">
            <v>21</v>
          </cell>
          <cell r="AH7">
            <v>13</v>
          </cell>
          <cell r="AI7">
            <v>0</v>
          </cell>
          <cell r="AJ7">
            <v>23</v>
          </cell>
          <cell r="AK7">
            <v>30</v>
          </cell>
          <cell r="AL7">
            <v>0</v>
          </cell>
          <cell r="AM7">
            <v>20</v>
          </cell>
          <cell r="AN7">
            <v>0</v>
          </cell>
          <cell r="AO7">
            <v>0</v>
          </cell>
          <cell r="AP7">
            <v>30</v>
          </cell>
          <cell r="AQ7">
            <v>30</v>
          </cell>
          <cell r="AR7">
            <v>30</v>
          </cell>
          <cell r="AS7">
            <v>21</v>
          </cell>
          <cell r="AT7">
            <v>22</v>
          </cell>
          <cell r="AU7">
            <v>26</v>
          </cell>
          <cell r="AV7">
            <v>19</v>
          </cell>
          <cell r="AW7">
            <v>17</v>
          </cell>
          <cell r="AX7">
            <v>0</v>
          </cell>
          <cell r="AY7">
            <v>22</v>
          </cell>
          <cell r="AZ7">
            <v>25</v>
          </cell>
          <cell r="BA7">
            <v>25</v>
          </cell>
          <cell r="BB7">
            <v>25</v>
          </cell>
          <cell r="BC7">
            <v>26</v>
          </cell>
          <cell r="BD7">
            <v>0</v>
          </cell>
          <cell r="BE7">
            <v>17</v>
          </cell>
          <cell r="BF7">
            <v>19</v>
          </cell>
          <cell r="BG7">
            <v>19</v>
          </cell>
          <cell r="BH7">
            <v>20</v>
          </cell>
          <cell r="BI7">
            <v>19</v>
          </cell>
          <cell r="BJ7">
            <v>0</v>
          </cell>
          <cell r="BK7">
            <v>25</v>
          </cell>
          <cell r="BL7">
            <v>0</v>
          </cell>
          <cell r="BM7">
            <v>0</v>
          </cell>
          <cell r="BN7">
            <v>22</v>
          </cell>
          <cell r="BO7">
            <v>16</v>
          </cell>
          <cell r="BP7">
            <v>0</v>
          </cell>
          <cell r="BQ7">
            <v>24</v>
          </cell>
          <cell r="BR7">
            <v>23</v>
          </cell>
          <cell r="BS7">
            <v>21</v>
          </cell>
          <cell r="BT7">
            <v>13</v>
          </cell>
          <cell r="BU7">
            <v>0</v>
          </cell>
          <cell r="BV7">
            <v>23</v>
          </cell>
          <cell r="BW7">
            <v>30</v>
          </cell>
          <cell r="BX7">
            <v>0</v>
          </cell>
          <cell r="BY7">
            <v>20</v>
          </cell>
          <cell r="BZ7">
            <v>0</v>
          </cell>
          <cell r="CA7">
            <v>28</v>
          </cell>
        </row>
        <row r="8">
          <cell r="A8">
            <v>90374</v>
          </cell>
          <cell r="B8" t="str">
            <v>AISYAH DINDA WAHYUNINGSIH</v>
          </cell>
          <cell r="C8">
            <v>24</v>
          </cell>
          <cell r="D8">
            <v>29</v>
          </cell>
          <cell r="E8">
            <v>0</v>
          </cell>
          <cell r="F8">
            <v>23</v>
          </cell>
          <cell r="G8">
            <v>20</v>
          </cell>
          <cell r="H8">
            <v>0</v>
          </cell>
          <cell r="I8">
            <v>19</v>
          </cell>
          <cell r="J8">
            <v>18</v>
          </cell>
          <cell r="K8">
            <v>0</v>
          </cell>
          <cell r="L8">
            <v>21</v>
          </cell>
          <cell r="M8">
            <v>21</v>
          </cell>
          <cell r="N8">
            <v>0</v>
          </cell>
          <cell r="O8">
            <v>22</v>
          </cell>
          <cell r="P8">
            <v>26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20</v>
          </cell>
          <cell r="V8">
            <v>23</v>
          </cell>
          <cell r="W8">
            <v>0</v>
          </cell>
          <cell r="X8">
            <v>27</v>
          </cell>
          <cell r="Y8">
            <v>23</v>
          </cell>
          <cell r="Z8">
            <v>0</v>
          </cell>
          <cell r="AA8">
            <v>22</v>
          </cell>
          <cell r="AB8">
            <v>17</v>
          </cell>
          <cell r="AC8">
            <v>0</v>
          </cell>
          <cell r="AD8">
            <v>21</v>
          </cell>
          <cell r="AE8">
            <v>21</v>
          </cell>
          <cell r="AF8">
            <v>0</v>
          </cell>
          <cell r="AG8">
            <v>22</v>
          </cell>
          <cell r="AH8">
            <v>17</v>
          </cell>
          <cell r="AI8">
            <v>24</v>
          </cell>
          <cell r="AJ8">
            <v>21</v>
          </cell>
          <cell r="AK8">
            <v>0</v>
          </cell>
          <cell r="AL8">
            <v>21</v>
          </cell>
          <cell r="AM8">
            <v>22</v>
          </cell>
          <cell r="AN8">
            <v>0</v>
          </cell>
          <cell r="AO8">
            <v>24</v>
          </cell>
          <cell r="AP8">
            <v>29</v>
          </cell>
          <cell r="AQ8">
            <v>0</v>
          </cell>
          <cell r="AR8">
            <v>23</v>
          </cell>
          <cell r="AS8">
            <v>20</v>
          </cell>
          <cell r="AT8">
            <v>0</v>
          </cell>
          <cell r="AU8">
            <v>19</v>
          </cell>
          <cell r="AV8">
            <v>18</v>
          </cell>
          <cell r="AW8">
            <v>0</v>
          </cell>
          <cell r="AX8">
            <v>21</v>
          </cell>
          <cell r="AY8">
            <v>21</v>
          </cell>
          <cell r="AZ8">
            <v>0</v>
          </cell>
          <cell r="BA8">
            <v>22</v>
          </cell>
          <cell r="BB8">
            <v>26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20</v>
          </cell>
          <cell r="BH8">
            <v>23</v>
          </cell>
          <cell r="BI8">
            <v>0</v>
          </cell>
          <cell r="BJ8">
            <v>27</v>
          </cell>
          <cell r="BK8">
            <v>23</v>
          </cell>
          <cell r="BL8">
            <v>0</v>
          </cell>
          <cell r="BM8">
            <v>22</v>
          </cell>
          <cell r="BN8">
            <v>17</v>
          </cell>
          <cell r="BO8">
            <v>0</v>
          </cell>
          <cell r="BP8">
            <v>21</v>
          </cell>
          <cell r="BQ8">
            <v>21</v>
          </cell>
          <cell r="BR8">
            <v>0</v>
          </cell>
          <cell r="BS8">
            <v>22</v>
          </cell>
          <cell r="BT8">
            <v>17</v>
          </cell>
          <cell r="BU8">
            <v>24</v>
          </cell>
          <cell r="BV8">
            <v>21</v>
          </cell>
          <cell r="BW8">
            <v>0</v>
          </cell>
          <cell r="BX8">
            <v>21</v>
          </cell>
          <cell r="BY8">
            <v>22</v>
          </cell>
          <cell r="BZ8">
            <v>0</v>
          </cell>
          <cell r="CA8">
            <v>24</v>
          </cell>
        </row>
        <row r="9">
          <cell r="A9">
            <v>90453</v>
          </cell>
          <cell r="B9" t="str">
            <v>SHERLY HAPSARI</v>
          </cell>
          <cell r="C9">
            <v>0</v>
          </cell>
          <cell r="D9">
            <v>28</v>
          </cell>
          <cell r="E9">
            <v>29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16</v>
          </cell>
          <cell r="L9">
            <v>20</v>
          </cell>
          <cell r="M9">
            <v>19</v>
          </cell>
          <cell r="N9">
            <v>12</v>
          </cell>
          <cell r="O9">
            <v>0</v>
          </cell>
          <cell r="P9">
            <v>23</v>
          </cell>
          <cell r="Q9">
            <v>19</v>
          </cell>
          <cell r="R9">
            <v>23</v>
          </cell>
          <cell r="S9">
            <v>14</v>
          </cell>
          <cell r="T9">
            <v>12</v>
          </cell>
          <cell r="U9">
            <v>0</v>
          </cell>
          <cell r="V9">
            <v>19</v>
          </cell>
          <cell r="W9">
            <v>11</v>
          </cell>
          <cell r="X9">
            <v>0</v>
          </cell>
          <cell r="Y9">
            <v>18</v>
          </cell>
          <cell r="Z9">
            <v>12</v>
          </cell>
          <cell r="AA9">
            <v>0</v>
          </cell>
          <cell r="AB9">
            <v>23</v>
          </cell>
          <cell r="AC9">
            <v>17</v>
          </cell>
          <cell r="AD9">
            <v>0</v>
          </cell>
          <cell r="AE9">
            <v>18</v>
          </cell>
          <cell r="AF9">
            <v>17</v>
          </cell>
          <cell r="AG9">
            <v>14</v>
          </cell>
          <cell r="AH9">
            <v>15</v>
          </cell>
          <cell r="AI9">
            <v>0</v>
          </cell>
          <cell r="AJ9">
            <v>28</v>
          </cell>
          <cell r="AK9">
            <v>28</v>
          </cell>
          <cell r="AL9">
            <v>0</v>
          </cell>
          <cell r="AM9">
            <v>19</v>
          </cell>
          <cell r="AN9">
            <v>32</v>
          </cell>
          <cell r="AO9">
            <v>0</v>
          </cell>
          <cell r="AP9">
            <v>28</v>
          </cell>
          <cell r="AQ9">
            <v>29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16</v>
          </cell>
          <cell r="AX9">
            <v>20</v>
          </cell>
          <cell r="AY9">
            <v>19</v>
          </cell>
          <cell r="AZ9">
            <v>12</v>
          </cell>
          <cell r="BA9">
            <v>0</v>
          </cell>
          <cell r="BB9">
            <v>23</v>
          </cell>
          <cell r="BC9">
            <v>19</v>
          </cell>
          <cell r="BD9">
            <v>23</v>
          </cell>
          <cell r="BE9">
            <v>14</v>
          </cell>
          <cell r="BF9">
            <v>12</v>
          </cell>
          <cell r="BG9">
            <v>0</v>
          </cell>
          <cell r="BH9">
            <v>19</v>
          </cell>
          <cell r="BI9">
            <v>11</v>
          </cell>
          <cell r="BJ9">
            <v>0</v>
          </cell>
          <cell r="BK9">
            <v>18</v>
          </cell>
          <cell r="BL9">
            <v>12</v>
          </cell>
          <cell r="BM9">
            <v>0</v>
          </cell>
          <cell r="BN9">
            <v>23</v>
          </cell>
          <cell r="BO9">
            <v>17</v>
          </cell>
          <cell r="BP9">
            <v>0</v>
          </cell>
          <cell r="BQ9">
            <v>18</v>
          </cell>
          <cell r="BR9">
            <v>17</v>
          </cell>
          <cell r="BS9">
            <v>14</v>
          </cell>
          <cell r="BT9">
            <v>15</v>
          </cell>
          <cell r="BU9">
            <v>0</v>
          </cell>
          <cell r="BV9">
            <v>28</v>
          </cell>
          <cell r="BW9">
            <v>28</v>
          </cell>
          <cell r="BX9">
            <v>0</v>
          </cell>
          <cell r="BY9">
            <v>19</v>
          </cell>
          <cell r="BZ9">
            <v>32</v>
          </cell>
          <cell r="CA9">
            <v>25</v>
          </cell>
        </row>
        <row r="10">
          <cell r="A10">
            <v>90613</v>
          </cell>
          <cell r="B10" t="str">
            <v>JOHAN AIMAN RAIS</v>
          </cell>
          <cell r="C10">
            <v>26</v>
          </cell>
          <cell r="D10">
            <v>30</v>
          </cell>
          <cell r="E10">
            <v>28</v>
          </cell>
          <cell r="F10">
            <v>29</v>
          </cell>
          <cell r="G10">
            <v>0</v>
          </cell>
          <cell r="H10">
            <v>25</v>
          </cell>
          <cell r="I10">
            <v>27</v>
          </cell>
          <cell r="J10">
            <v>0</v>
          </cell>
          <cell r="K10">
            <v>20</v>
          </cell>
          <cell r="L10">
            <v>24</v>
          </cell>
          <cell r="M10">
            <v>18</v>
          </cell>
          <cell r="N10">
            <v>25</v>
          </cell>
          <cell r="O10">
            <v>26</v>
          </cell>
          <cell r="P10">
            <v>0</v>
          </cell>
          <cell r="Q10">
            <v>40</v>
          </cell>
          <cell r="R10">
            <v>0</v>
          </cell>
          <cell r="S10">
            <v>23</v>
          </cell>
          <cell r="T10">
            <v>17</v>
          </cell>
          <cell r="U10">
            <v>0</v>
          </cell>
          <cell r="V10">
            <v>28</v>
          </cell>
          <cell r="W10">
            <v>20</v>
          </cell>
          <cell r="X10">
            <v>31</v>
          </cell>
          <cell r="Y10">
            <v>0</v>
          </cell>
          <cell r="Z10">
            <v>24</v>
          </cell>
          <cell r="AA10">
            <v>0</v>
          </cell>
          <cell r="AB10">
            <v>25</v>
          </cell>
          <cell r="AC10">
            <v>22</v>
          </cell>
          <cell r="AD10">
            <v>24</v>
          </cell>
          <cell r="AE10">
            <v>0</v>
          </cell>
          <cell r="AF10">
            <v>29</v>
          </cell>
          <cell r="AG10">
            <v>26</v>
          </cell>
          <cell r="AH10">
            <v>0</v>
          </cell>
          <cell r="AI10">
            <v>30</v>
          </cell>
          <cell r="AJ10">
            <v>24</v>
          </cell>
          <cell r="AK10">
            <v>30</v>
          </cell>
          <cell r="AL10">
            <v>26</v>
          </cell>
          <cell r="AM10">
            <v>23</v>
          </cell>
          <cell r="AN10">
            <v>23</v>
          </cell>
          <cell r="AO10">
            <v>26</v>
          </cell>
          <cell r="AP10">
            <v>30</v>
          </cell>
          <cell r="AQ10">
            <v>28</v>
          </cell>
          <cell r="AR10">
            <v>29</v>
          </cell>
          <cell r="AS10">
            <v>0</v>
          </cell>
          <cell r="AT10">
            <v>25</v>
          </cell>
          <cell r="AU10">
            <v>27</v>
          </cell>
          <cell r="AV10">
            <v>0</v>
          </cell>
          <cell r="AW10">
            <v>20</v>
          </cell>
          <cell r="AX10">
            <v>24</v>
          </cell>
          <cell r="AY10">
            <v>18</v>
          </cell>
          <cell r="AZ10">
            <v>25</v>
          </cell>
          <cell r="BA10">
            <v>26</v>
          </cell>
          <cell r="BB10">
            <v>0</v>
          </cell>
          <cell r="BC10">
            <v>40</v>
          </cell>
          <cell r="BD10">
            <v>0</v>
          </cell>
          <cell r="BE10">
            <v>23</v>
          </cell>
          <cell r="BF10">
            <v>17</v>
          </cell>
          <cell r="BG10">
            <v>0</v>
          </cell>
          <cell r="BH10">
            <v>28</v>
          </cell>
          <cell r="BI10">
            <v>20</v>
          </cell>
          <cell r="BJ10">
            <v>31</v>
          </cell>
          <cell r="BK10">
            <v>0</v>
          </cell>
          <cell r="BL10">
            <v>24</v>
          </cell>
          <cell r="BM10">
            <v>0</v>
          </cell>
          <cell r="BN10">
            <v>25</v>
          </cell>
          <cell r="BO10">
            <v>22</v>
          </cell>
          <cell r="BP10">
            <v>24</v>
          </cell>
          <cell r="BQ10">
            <v>0</v>
          </cell>
          <cell r="BR10">
            <v>29</v>
          </cell>
          <cell r="BS10">
            <v>26</v>
          </cell>
          <cell r="BT10">
            <v>0</v>
          </cell>
          <cell r="BU10">
            <v>30</v>
          </cell>
          <cell r="BV10">
            <v>24</v>
          </cell>
          <cell r="BW10">
            <v>30</v>
          </cell>
          <cell r="BX10">
            <v>26</v>
          </cell>
          <cell r="BY10">
            <v>23</v>
          </cell>
          <cell r="BZ10">
            <v>23</v>
          </cell>
          <cell r="CA10">
            <v>29</v>
          </cell>
        </row>
        <row r="11">
          <cell r="A11">
            <v>92199</v>
          </cell>
          <cell r="B11" t="str">
            <v>ASTRI KURNIAWATI</v>
          </cell>
          <cell r="C11">
            <v>32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35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29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28</v>
          </cell>
          <cell r="V11">
            <v>30</v>
          </cell>
          <cell r="W11">
            <v>0</v>
          </cell>
          <cell r="X11">
            <v>34</v>
          </cell>
          <cell r="Y11">
            <v>33</v>
          </cell>
          <cell r="Z11">
            <v>0</v>
          </cell>
          <cell r="AA11">
            <v>33</v>
          </cell>
          <cell r="AB11">
            <v>28</v>
          </cell>
          <cell r="AC11">
            <v>0</v>
          </cell>
          <cell r="AD11">
            <v>27</v>
          </cell>
          <cell r="AE11">
            <v>28</v>
          </cell>
          <cell r="AF11">
            <v>0</v>
          </cell>
          <cell r="AG11">
            <v>32</v>
          </cell>
          <cell r="AH11">
            <v>25</v>
          </cell>
          <cell r="AI11">
            <v>33</v>
          </cell>
          <cell r="AJ11">
            <v>31</v>
          </cell>
          <cell r="AK11">
            <v>0</v>
          </cell>
          <cell r="AL11">
            <v>30</v>
          </cell>
          <cell r="AM11">
            <v>30</v>
          </cell>
          <cell r="AN11">
            <v>0</v>
          </cell>
          <cell r="AO11">
            <v>32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35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29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28</v>
          </cell>
          <cell r="BH11">
            <v>30</v>
          </cell>
          <cell r="BI11">
            <v>0</v>
          </cell>
          <cell r="BJ11">
            <v>34</v>
          </cell>
          <cell r="BK11">
            <v>33</v>
          </cell>
          <cell r="BL11">
            <v>0</v>
          </cell>
          <cell r="BM11">
            <v>33</v>
          </cell>
          <cell r="BN11">
            <v>28</v>
          </cell>
          <cell r="BO11">
            <v>0</v>
          </cell>
          <cell r="BP11">
            <v>27</v>
          </cell>
          <cell r="BQ11">
            <v>28</v>
          </cell>
          <cell r="BR11">
            <v>0</v>
          </cell>
          <cell r="BS11">
            <v>32</v>
          </cell>
          <cell r="BT11">
            <v>25</v>
          </cell>
          <cell r="BU11">
            <v>33</v>
          </cell>
          <cell r="BV11">
            <v>31</v>
          </cell>
          <cell r="BW11">
            <v>0</v>
          </cell>
          <cell r="BX11">
            <v>30</v>
          </cell>
          <cell r="BY11">
            <v>30</v>
          </cell>
          <cell r="BZ11">
            <v>0</v>
          </cell>
          <cell r="CA11">
            <v>17</v>
          </cell>
        </row>
        <row r="12">
          <cell r="A12">
            <v>92600</v>
          </cell>
          <cell r="B12" t="str">
            <v>EVELINA WIDODO</v>
          </cell>
          <cell r="C12">
            <v>40</v>
          </cell>
          <cell r="D12">
            <v>38</v>
          </cell>
          <cell r="E12">
            <v>0</v>
          </cell>
          <cell r="F12">
            <v>40</v>
          </cell>
          <cell r="G12">
            <v>30</v>
          </cell>
          <cell r="H12">
            <v>0</v>
          </cell>
          <cell r="I12">
            <v>31</v>
          </cell>
          <cell r="J12">
            <v>0</v>
          </cell>
          <cell r="K12">
            <v>0</v>
          </cell>
          <cell r="L12">
            <v>33</v>
          </cell>
          <cell r="M12">
            <v>28</v>
          </cell>
          <cell r="N12">
            <v>0</v>
          </cell>
          <cell r="O12">
            <v>31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31</v>
          </cell>
          <cell r="V12">
            <v>0</v>
          </cell>
          <cell r="W12">
            <v>0</v>
          </cell>
          <cell r="X12">
            <v>33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33</v>
          </cell>
          <cell r="AJ12">
            <v>0</v>
          </cell>
          <cell r="AK12">
            <v>0</v>
          </cell>
          <cell r="AL12">
            <v>30</v>
          </cell>
          <cell r="AM12">
            <v>22</v>
          </cell>
          <cell r="AN12">
            <v>0</v>
          </cell>
          <cell r="AO12">
            <v>40</v>
          </cell>
          <cell r="AP12">
            <v>38</v>
          </cell>
          <cell r="AQ12">
            <v>0</v>
          </cell>
          <cell r="AR12">
            <v>40</v>
          </cell>
          <cell r="AS12">
            <v>30</v>
          </cell>
          <cell r="AT12">
            <v>0</v>
          </cell>
          <cell r="AU12">
            <v>31</v>
          </cell>
          <cell r="AV12">
            <v>0</v>
          </cell>
          <cell r="AW12">
            <v>0</v>
          </cell>
          <cell r="AX12">
            <v>33</v>
          </cell>
          <cell r="AY12">
            <v>28</v>
          </cell>
          <cell r="AZ12">
            <v>0</v>
          </cell>
          <cell r="BA12">
            <v>31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31</v>
          </cell>
          <cell r="BH12">
            <v>0</v>
          </cell>
          <cell r="BI12">
            <v>0</v>
          </cell>
          <cell r="BJ12">
            <v>33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33</v>
          </cell>
          <cell r="BV12">
            <v>0</v>
          </cell>
          <cell r="BW12">
            <v>0</v>
          </cell>
          <cell r="BX12">
            <v>30</v>
          </cell>
          <cell r="BY12">
            <v>22</v>
          </cell>
          <cell r="BZ12">
            <v>0</v>
          </cell>
          <cell r="CA12">
            <v>13</v>
          </cell>
        </row>
        <row r="13">
          <cell r="A13">
            <v>92694</v>
          </cell>
          <cell r="B13" t="str">
            <v>WAHYU NUGROHO</v>
          </cell>
          <cell r="C13">
            <v>0</v>
          </cell>
          <cell r="D13">
            <v>43</v>
          </cell>
          <cell r="E13">
            <v>31</v>
          </cell>
          <cell r="F13">
            <v>38</v>
          </cell>
          <cell r="G13">
            <v>24</v>
          </cell>
          <cell r="H13">
            <v>26</v>
          </cell>
          <cell r="I13">
            <v>0</v>
          </cell>
          <cell r="J13">
            <v>0</v>
          </cell>
          <cell r="K13">
            <v>24</v>
          </cell>
          <cell r="L13">
            <v>34</v>
          </cell>
          <cell r="M13">
            <v>25</v>
          </cell>
          <cell r="N13">
            <v>27</v>
          </cell>
          <cell r="O13">
            <v>0</v>
          </cell>
          <cell r="P13">
            <v>30</v>
          </cell>
          <cell r="Q13">
            <v>36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31</v>
          </cell>
          <cell r="W13">
            <v>22</v>
          </cell>
          <cell r="X13">
            <v>31</v>
          </cell>
          <cell r="Y13">
            <v>35</v>
          </cell>
          <cell r="Z13">
            <v>25</v>
          </cell>
          <cell r="AA13">
            <v>36</v>
          </cell>
          <cell r="AB13">
            <v>24</v>
          </cell>
          <cell r="AC13">
            <v>24</v>
          </cell>
          <cell r="AD13">
            <v>0</v>
          </cell>
          <cell r="AE13">
            <v>25</v>
          </cell>
          <cell r="AF13">
            <v>33</v>
          </cell>
          <cell r="AG13">
            <v>24</v>
          </cell>
          <cell r="AH13">
            <v>0</v>
          </cell>
          <cell r="AI13">
            <v>0</v>
          </cell>
          <cell r="AJ13">
            <v>40</v>
          </cell>
          <cell r="AK13">
            <v>42</v>
          </cell>
          <cell r="AL13">
            <v>0</v>
          </cell>
          <cell r="AM13">
            <v>26</v>
          </cell>
          <cell r="AN13">
            <v>44</v>
          </cell>
          <cell r="AO13">
            <v>0</v>
          </cell>
          <cell r="AP13">
            <v>43</v>
          </cell>
          <cell r="AQ13">
            <v>31</v>
          </cell>
          <cell r="AR13">
            <v>38</v>
          </cell>
          <cell r="AS13">
            <v>24</v>
          </cell>
          <cell r="AT13">
            <v>26</v>
          </cell>
          <cell r="AU13">
            <v>0</v>
          </cell>
          <cell r="AV13">
            <v>0</v>
          </cell>
          <cell r="AW13">
            <v>24</v>
          </cell>
          <cell r="AX13">
            <v>34</v>
          </cell>
          <cell r="AY13">
            <v>25</v>
          </cell>
          <cell r="AZ13">
            <v>27</v>
          </cell>
          <cell r="BA13">
            <v>0</v>
          </cell>
          <cell r="BB13">
            <v>30</v>
          </cell>
          <cell r="BC13">
            <v>36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31</v>
          </cell>
          <cell r="BI13">
            <v>22</v>
          </cell>
          <cell r="BJ13">
            <v>31</v>
          </cell>
          <cell r="BK13">
            <v>35</v>
          </cell>
          <cell r="BL13">
            <v>25</v>
          </cell>
          <cell r="BM13">
            <v>36</v>
          </cell>
          <cell r="BN13">
            <v>24</v>
          </cell>
          <cell r="BO13">
            <v>24</v>
          </cell>
          <cell r="BP13">
            <v>0</v>
          </cell>
          <cell r="BQ13">
            <v>25</v>
          </cell>
          <cell r="BR13">
            <v>33</v>
          </cell>
          <cell r="BS13">
            <v>24</v>
          </cell>
          <cell r="BT13">
            <v>0</v>
          </cell>
          <cell r="BU13">
            <v>0</v>
          </cell>
          <cell r="BV13">
            <v>40</v>
          </cell>
          <cell r="BW13">
            <v>42</v>
          </cell>
          <cell r="BX13">
            <v>0</v>
          </cell>
          <cell r="BY13">
            <v>26</v>
          </cell>
          <cell r="BZ13">
            <v>44</v>
          </cell>
          <cell r="CA13">
            <v>26</v>
          </cell>
        </row>
        <row r="14">
          <cell r="A14">
            <v>92717</v>
          </cell>
          <cell r="B14" t="str">
            <v>GRESMILEN BILGIS</v>
          </cell>
          <cell r="C14">
            <v>0</v>
          </cell>
          <cell r="D14">
            <v>30</v>
          </cell>
          <cell r="E14">
            <v>32</v>
          </cell>
          <cell r="F14">
            <v>34</v>
          </cell>
          <cell r="G14">
            <v>32</v>
          </cell>
          <cell r="H14">
            <v>32</v>
          </cell>
          <cell r="I14">
            <v>0</v>
          </cell>
          <cell r="J14">
            <v>27</v>
          </cell>
          <cell r="K14">
            <v>28</v>
          </cell>
          <cell r="L14">
            <v>0</v>
          </cell>
          <cell r="M14">
            <v>27</v>
          </cell>
          <cell r="N14">
            <v>30</v>
          </cell>
          <cell r="O14">
            <v>0</v>
          </cell>
          <cell r="P14">
            <v>33</v>
          </cell>
          <cell r="Q14">
            <v>36</v>
          </cell>
          <cell r="R14">
            <v>0</v>
          </cell>
          <cell r="S14">
            <v>21</v>
          </cell>
          <cell r="T14">
            <v>20</v>
          </cell>
          <cell r="U14">
            <v>0</v>
          </cell>
          <cell r="V14">
            <v>26</v>
          </cell>
          <cell r="W14">
            <v>20</v>
          </cell>
          <cell r="X14">
            <v>0</v>
          </cell>
          <cell r="Y14">
            <v>31</v>
          </cell>
          <cell r="Z14">
            <v>26</v>
          </cell>
          <cell r="AA14">
            <v>0</v>
          </cell>
          <cell r="AB14">
            <v>28</v>
          </cell>
          <cell r="AC14">
            <v>23</v>
          </cell>
          <cell r="AD14">
            <v>0</v>
          </cell>
          <cell r="AE14">
            <v>23</v>
          </cell>
          <cell r="AF14">
            <v>33</v>
          </cell>
          <cell r="AG14">
            <v>26</v>
          </cell>
          <cell r="AH14">
            <v>17</v>
          </cell>
          <cell r="AI14">
            <v>0</v>
          </cell>
          <cell r="AJ14">
            <v>28</v>
          </cell>
          <cell r="AK14">
            <v>38</v>
          </cell>
          <cell r="AL14">
            <v>29</v>
          </cell>
          <cell r="AM14">
            <v>0</v>
          </cell>
          <cell r="AN14">
            <v>0</v>
          </cell>
          <cell r="AO14">
            <v>0</v>
          </cell>
          <cell r="AP14">
            <v>30</v>
          </cell>
          <cell r="AQ14">
            <v>32</v>
          </cell>
          <cell r="AR14">
            <v>34</v>
          </cell>
          <cell r="AS14">
            <v>32</v>
          </cell>
          <cell r="AT14">
            <v>32</v>
          </cell>
          <cell r="AU14">
            <v>0</v>
          </cell>
          <cell r="AV14">
            <v>27</v>
          </cell>
          <cell r="AW14">
            <v>28</v>
          </cell>
          <cell r="AX14">
            <v>0</v>
          </cell>
          <cell r="AY14">
            <v>27</v>
          </cell>
          <cell r="AZ14">
            <v>30</v>
          </cell>
          <cell r="BA14">
            <v>0</v>
          </cell>
          <cell r="BB14">
            <v>33</v>
          </cell>
          <cell r="BC14">
            <v>36</v>
          </cell>
          <cell r="BD14">
            <v>0</v>
          </cell>
          <cell r="BE14">
            <v>21</v>
          </cell>
          <cell r="BF14">
            <v>20</v>
          </cell>
          <cell r="BG14">
            <v>0</v>
          </cell>
          <cell r="BH14">
            <v>26</v>
          </cell>
          <cell r="BI14">
            <v>20</v>
          </cell>
          <cell r="BJ14">
            <v>0</v>
          </cell>
          <cell r="BK14">
            <v>31</v>
          </cell>
          <cell r="BL14">
            <v>26</v>
          </cell>
          <cell r="BM14">
            <v>0</v>
          </cell>
          <cell r="BN14">
            <v>28</v>
          </cell>
          <cell r="BO14">
            <v>23</v>
          </cell>
          <cell r="BP14">
            <v>0</v>
          </cell>
          <cell r="BQ14">
            <v>23</v>
          </cell>
          <cell r="BR14">
            <v>33</v>
          </cell>
          <cell r="BS14">
            <v>26</v>
          </cell>
          <cell r="BT14">
            <v>17</v>
          </cell>
          <cell r="BU14">
            <v>0</v>
          </cell>
          <cell r="BV14">
            <v>28</v>
          </cell>
          <cell r="BW14">
            <v>38</v>
          </cell>
          <cell r="BX14">
            <v>29</v>
          </cell>
          <cell r="BY14">
            <v>0</v>
          </cell>
          <cell r="BZ14">
            <v>0</v>
          </cell>
          <cell r="CA14">
            <v>26</v>
          </cell>
        </row>
        <row r="15">
          <cell r="A15" t="str">
            <v>A2219</v>
          </cell>
          <cell r="B15" t="str">
            <v>AFRINDA THESALONIKA</v>
          </cell>
          <cell r="C15">
            <v>0</v>
          </cell>
          <cell r="D15">
            <v>20</v>
          </cell>
          <cell r="E15">
            <v>20</v>
          </cell>
          <cell r="F15">
            <v>0</v>
          </cell>
          <cell r="G15">
            <v>20</v>
          </cell>
          <cell r="H15">
            <v>21</v>
          </cell>
          <cell r="I15">
            <v>0</v>
          </cell>
          <cell r="J15">
            <v>20</v>
          </cell>
          <cell r="K15">
            <v>20</v>
          </cell>
          <cell r="L15">
            <v>0</v>
          </cell>
          <cell r="M15">
            <v>21</v>
          </cell>
          <cell r="N15">
            <v>20</v>
          </cell>
          <cell r="O15">
            <v>0</v>
          </cell>
          <cell r="P15">
            <v>24</v>
          </cell>
          <cell r="Q15">
            <v>24</v>
          </cell>
          <cell r="R15">
            <v>0</v>
          </cell>
          <cell r="S15">
            <v>13</v>
          </cell>
          <cell r="T15">
            <v>0</v>
          </cell>
          <cell r="U15">
            <v>0</v>
          </cell>
          <cell r="V15">
            <v>21</v>
          </cell>
          <cell r="W15">
            <v>19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19</v>
          </cell>
          <cell r="AC15">
            <v>16</v>
          </cell>
          <cell r="AD15">
            <v>0</v>
          </cell>
          <cell r="AE15">
            <v>21</v>
          </cell>
          <cell r="AF15">
            <v>21</v>
          </cell>
          <cell r="AG15">
            <v>20</v>
          </cell>
          <cell r="AH15">
            <v>20</v>
          </cell>
          <cell r="AI15">
            <v>0</v>
          </cell>
          <cell r="AJ15">
            <v>24</v>
          </cell>
          <cell r="AK15">
            <v>22</v>
          </cell>
          <cell r="AL15">
            <v>0</v>
          </cell>
          <cell r="AM15">
            <v>19</v>
          </cell>
          <cell r="AN15">
            <v>28</v>
          </cell>
          <cell r="AO15">
            <v>0</v>
          </cell>
          <cell r="AP15">
            <v>20</v>
          </cell>
          <cell r="AQ15">
            <v>20</v>
          </cell>
          <cell r="AR15">
            <v>0</v>
          </cell>
          <cell r="AS15">
            <v>20</v>
          </cell>
          <cell r="AT15">
            <v>21</v>
          </cell>
          <cell r="AU15">
            <v>0</v>
          </cell>
          <cell r="AV15">
            <v>20</v>
          </cell>
          <cell r="AW15">
            <v>20</v>
          </cell>
          <cell r="AX15">
            <v>0</v>
          </cell>
          <cell r="AY15">
            <v>21</v>
          </cell>
          <cell r="AZ15">
            <v>20</v>
          </cell>
          <cell r="BA15">
            <v>0</v>
          </cell>
          <cell r="BB15">
            <v>24</v>
          </cell>
          <cell r="BC15">
            <v>24</v>
          </cell>
          <cell r="BD15">
            <v>0</v>
          </cell>
          <cell r="BE15">
            <v>13</v>
          </cell>
          <cell r="BF15">
            <v>0</v>
          </cell>
          <cell r="BG15">
            <v>0</v>
          </cell>
          <cell r="BH15">
            <v>21</v>
          </cell>
          <cell r="BI15">
            <v>19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19</v>
          </cell>
          <cell r="BO15">
            <v>16</v>
          </cell>
          <cell r="BP15">
            <v>0</v>
          </cell>
          <cell r="BQ15">
            <v>21</v>
          </cell>
          <cell r="BR15">
            <v>21</v>
          </cell>
          <cell r="BS15">
            <v>20</v>
          </cell>
          <cell r="BT15">
            <v>20</v>
          </cell>
          <cell r="BU15">
            <v>0</v>
          </cell>
          <cell r="BV15">
            <v>24</v>
          </cell>
          <cell r="BW15">
            <v>22</v>
          </cell>
          <cell r="BX15">
            <v>0</v>
          </cell>
          <cell r="BY15">
            <v>19</v>
          </cell>
          <cell r="BZ15">
            <v>28</v>
          </cell>
          <cell r="CA15">
            <v>23</v>
          </cell>
        </row>
        <row r="16">
          <cell r="A16" t="str">
            <v>A3437</v>
          </cell>
          <cell r="B16" t="str">
            <v>YOHANA CLAUDIA</v>
          </cell>
          <cell r="C16">
            <v>28</v>
          </cell>
          <cell r="D16">
            <v>22</v>
          </cell>
          <cell r="E16">
            <v>26</v>
          </cell>
          <cell r="F16">
            <v>0</v>
          </cell>
          <cell r="G16">
            <v>25</v>
          </cell>
          <cell r="H16">
            <v>29</v>
          </cell>
          <cell r="I16">
            <v>0</v>
          </cell>
          <cell r="J16">
            <v>24</v>
          </cell>
          <cell r="K16">
            <v>21</v>
          </cell>
          <cell r="L16">
            <v>0</v>
          </cell>
          <cell r="M16">
            <v>25</v>
          </cell>
          <cell r="N16">
            <v>32</v>
          </cell>
          <cell r="O16">
            <v>0</v>
          </cell>
          <cell r="P16">
            <v>24</v>
          </cell>
          <cell r="Q16">
            <v>28</v>
          </cell>
          <cell r="R16">
            <v>0</v>
          </cell>
          <cell r="S16">
            <v>14</v>
          </cell>
          <cell r="T16">
            <v>16</v>
          </cell>
          <cell r="U16">
            <v>0</v>
          </cell>
          <cell r="V16">
            <v>20</v>
          </cell>
          <cell r="W16">
            <v>13</v>
          </cell>
          <cell r="X16">
            <v>0</v>
          </cell>
          <cell r="Y16">
            <v>26</v>
          </cell>
          <cell r="Z16">
            <v>0</v>
          </cell>
          <cell r="AA16">
            <v>0</v>
          </cell>
          <cell r="AB16">
            <v>17</v>
          </cell>
          <cell r="AC16">
            <v>26</v>
          </cell>
          <cell r="AD16">
            <v>0</v>
          </cell>
          <cell r="AE16">
            <v>20</v>
          </cell>
          <cell r="AF16">
            <v>33</v>
          </cell>
          <cell r="AG16">
            <v>22</v>
          </cell>
          <cell r="AH16">
            <v>0</v>
          </cell>
          <cell r="AI16">
            <v>0</v>
          </cell>
          <cell r="AJ16">
            <v>25</v>
          </cell>
          <cell r="AK16">
            <v>33</v>
          </cell>
          <cell r="AL16">
            <v>0</v>
          </cell>
          <cell r="AM16">
            <v>21</v>
          </cell>
          <cell r="AN16">
            <v>36</v>
          </cell>
          <cell r="AO16">
            <v>28</v>
          </cell>
          <cell r="AP16">
            <v>22</v>
          </cell>
          <cell r="AQ16">
            <v>26</v>
          </cell>
          <cell r="AR16">
            <v>0</v>
          </cell>
          <cell r="AS16">
            <v>25</v>
          </cell>
          <cell r="AT16">
            <v>29</v>
          </cell>
          <cell r="AU16">
            <v>0</v>
          </cell>
          <cell r="AV16">
            <v>24</v>
          </cell>
          <cell r="AW16">
            <v>21</v>
          </cell>
          <cell r="AX16">
            <v>0</v>
          </cell>
          <cell r="AY16">
            <v>25</v>
          </cell>
          <cell r="AZ16">
            <v>32</v>
          </cell>
          <cell r="BA16">
            <v>0</v>
          </cell>
          <cell r="BB16">
            <v>24</v>
          </cell>
          <cell r="BC16">
            <v>28</v>
          </cell>
          <cell r="BD16">
            <v>0</v>
          </cell>
          <cell r="BE16">
            <v>14</v>
          </cell>
          <cell r="BF16">
            <v>16</v>
          </cell>
          <cell r="BG16">
            <v>0</v>
          </cell>
          <cell r="BH16">
            <v>20</v>
          </cell>
          <cell r="BI16">
            <v>13</v>
          </cell>
          <cell r="BJ16">
            <v>0</v>
          </cell>
          <cell r="BK16">
            <v>26</v>
          </cell>
          <cell r="BL16">
            <v>0</v>
          </cell>
          <cell r="BM16">
            <v>0</v>
          </cell>
          <cell r="BN16">
            <v>17</v>
          </cell>
          <cell r="BO16">
            <v>26</v>
          </cell>
          <cell r="BP16">
            <v>0</v>
          </cell>
          <cell r="BQ16">
            <v>20</v>
          </cell>
          <cell r="BR16">
            <v>33</v>
          </cell>
          <cell r="BS16">
            <v>22</v>
          </cell>
          <cell r="BT16">
            <v>0</v>
          </cell>
          <cell r="BU16">
            <v>0</v>
          </cell>
          <cell r="BV16">
            <v>25</v>
          </cell>
          <cell r="BW16">
            <v>33</v>
          </cell>
          <cell r="BX16">
            <v>0</v>
          </cell>
          <cell r="BY16">
            <v>21</v>
          </cell>
          <cell r="BZ16">
            <v>36</v>
          </cell>
          <cell r="CA16">
            <v>25</v>
          </cell>
        </row>
        <row r="17">
          <cell r="A17">
            <v>92582</v>
          </cell>
          <cell r="B17" t="str">
            <v>AGNES RUWINTYAS PUTRI</v>
          </cell>
          <cell r="C17">
            <v>0</v>
          </cell>
          <cell r="D17">
            <v>13</v>
          </cell>
          <cell r="E17">
            <v>15</v>
          </cell>
          <cell r="F17">
            <v>0</v>
          </cell>
          <cell r="G17">
            <v>0</v>
          </cell>
          <cell r="H17">
            <v>16</v>
          </cell>
          <cell r="I17">
            <v>0</v>
          </cell>
          <cell r="J17">
            <v>15</v>
          </cell>
          <cell r="K17">
            <v>0</v>
          </cell>
          <cell r="L17">
            <v>0</v>
          </cell>
          <cell r="M17">
            <v>18</v>
          </cell>
          <cell r="N17">
            <v>17</v>
          </cell>
          <cell r="O17">
            <v>0</v>
          </cell>
          <cell r="P17">
            <v>18</v>
          </cell>
          <cell r="Q17">
            <v>0</v>
          </cell>
          <cell r="R17">
            <v>0</v>
          </cell>
          <cell r="S17">
            <v>14</v>
          </cell>
          <cell r="T17">
            <v>17</v>
          </cell>
          <cell r="U17">
            <v>0</v>
          </cell>
          <cell r="V17">
            <v>0</v>
          </cell>
          <cell r="W17">
            <v>13</v>
          </cell>
          <cell r="X17">
            <v>0</v>
          </cell>
          <cell r="Y17">
            <v>20</v>
          </cell>
          <cell r="Z17">
            <v>13</v>
          </cell>
          <cell r="AA17">
            <v>19</v>
          </cell>
          <cell r="AB17">
            <v>15</v>
          </cell>
          <cell r="AC17">
            <v>11</v>
          </cell>
          <cell r="AD17">
            <v>21</v>
          </cell>
          <cell r="AE17">
            <v>16</v>
          </cell>
          <cell r="AF17">
            <v>0</v>
          </cell>
          <cell r="AG17">
            <v>17</v>
          </cell>
          <cell r="AH17">
            <v>16</v>
          </cell>
          <cell r="AI17">
            <v>21</v>
          </cell>
          <cell r="AJ17">
            <v>17</v>
          </cell>
          <cell r="AK17">
            <v>19</v>
          </cell>
          <cell r="AL17">
            <v>16</v>
          </cell>
          <cell r="AM17">
            <v>13</v>
          </cell>
          <cell r="AN17">
            <v>19</v>
          </cell>
          <cell r="AO17">
            <v>0</v>
          </cell>
          <cell r="AP17">
            <v>13</v>
          </cell>
          <cell r="AQ17">
            <v>15</v>
          </cell>
          <cell r="AR17">
            <v>0</v>
          </cell>
          <cell r="AS17">
            <v>0</v>
          </cell>
          <cell r="AT17">
            <v>16</v>
          </cell>
          <cell r="AU17">
            <v>0</v>
          </cell>
          <cell r="AV17">
            <v>15</v>
          </cell>
          <cell r="AW17">
            <v>0</v>
          </cell>
          <cell r="AX17">
            <v>0</v>
          </cell>
          <cell r="AY17">
            <v>18</v>
          </cell>
          <cell r="AZ17">
            <v>17</v>
          </cell>
          <cell r="BA17">
            <v>0</v>
          </cell>
          <cell r="BB17">
            <v>18</v>
          </cell>
          <cell r="BC17">
            <v>0</v>
          </cell>
          <cell r="BD17">
            <v>0</v>
          </cell>
          <cell r="BE17">
            <v>14</v>
          </cell>
          <cell r="BF17">
            <v>17</v>
          </cell>
          <cell r="BG17">
            <v>0</v>
          </cell>
          <cell r="BH17">
            <v>0</v>
          </cell>
          <cell r="BI17">
            <v>13</v>
          </cell>
          <cell r="BJ17">
            <v>0</v>
          </cell>
          <cell r="BK17">
            <v>20</v>
          </cell>
          <cell r="BL17">
            <v>13</v>
          </cell>
          <cell r="BM17">
            <v>19</v>
          </cell>
          <cell r="BN17">
            <v>15</v>
          </cell>
          <cell r="BO17">
            <v>11</v>
          </cell>
          <cell r="BP17">
            <v>21</v>
          </cell>
          <cell r="BQ17">
            <v>16</v>
          </cell>
          <cell r="BR17">
            <v>0</v>
          </cell>
          <cell r="BS17">
            <v>17</v>
          </cell>
          <cell r="BT17">
            <v>16</v>
          </cell>
          <cell r="BU17">
            <v>21</v>
          </cell>
          <cell r="BV17">
            <v>17</v>
          </cell>
          <cell r="BW17">
            <v>19</v>
          </cell>
          <cell r="BX17">
            <v>16</v>
          </cell>
          <cell r="BY17">
            <v>13</v>
          </cell>
          <cell r="BZ17">
            <v>19</v>
          </cell>
          <cell r="CA17">
            <v>25</v>
          </cell>
        </row>
        <row r="18">
          <cell r="A18">
            <v>92709</v>
          </cell>
          <cell r="B18" t="str">
            <v>DANY AHMAD FARRASTIO</v>
          </cell>
          <cell r="C18">
            <v>0</v>
          </cell>
          <cell r="D18">
            <v>30</v>
          </cell>
          <cell r="E18">
            <v>32</v>
          </cell>
          <cell r="F18">
            <v>0</v>
          </cell>
          <cell r="G18">
            <v>31</v>
          </cell>
          <cell r="H18">
            <v>31</v>
          </cell>
          <cell r="I18">
            <v>35</v>
          </cell>
          <cell r="J18">
            <v>26</v>
          </cell>
          <cell r="K18">
            <v>28</v>
          </cell>
          <cell r="L18">
            <v>0</v>
          </cell>
          <cell r="M18">
            <v>24</v>
          </cell>
          <cell r="N18">
            <v>28</v>
          </cell>
          <cell r="O18">
            <v>31</v>
          </cell>
          <cell r="P18">
            <v>0</v>
          </cell>
          <cell r="Q18">
            <v>32</v>
          </cell>
          <cell r="R18">
            <v>0</v>
          </cell>
          <cell r="S18">
            <v>19</v>
          </cell>
          <cell r="T18">
            <v>22</v>
          </cell>
          <cell r="U18">
            <v>0</v>
          </cell>
          <cell r="V18">
            <v>24</v>
          </cell>
          <cell r="W18">
            <v>22</v>
          </cell>
          <cell r="X18">
            <v>0</v>
          </cell>
          <cell r="Y18">
            <v>28</v>
          </cell>
          <cell r="Z18">
            <v>26</v>
          </cell>
          <cell r="AA18">
            <v>0</v>
          </cell>
          <cell r="AB18">
            <v>25</v>
          </cell>
          <cell r="AC18">
            <v>17</v>
          </cell>
          <cell r="AD18">
            <v>28</v>
          </cell>
          <cell r="AE18">
            <v>0</v>
          </cell>
          <cell r="AF18">
            <v>35</v>
          </cell>
          <cell r="AG18">
            <v>25</v>
          </cell>
          <cell r="AH18">
            <v>26</v>
          </cell>
          <cell r="AI18">
            <v>34</v>
          </cell>
          <cell r="AJ18">
            <v>33</v>
          </cell>
          <cell r="AK18">
            <v>0</v>
          </cell>
          <cell r="AL18">
            <v>27</v>
          </cell>
          <cell r="AM18">
            <v>26</v>
          </cell>
          <cell r="AN18">
            <v>36</v>
          </cell>
          <cell r="AO18">
            <v>0</v>
          </cell>
          <cell r="AP18">
            <v>30</v>
          </cell>
          <cell r="AQ18">
            <v>32</v>
          </cell>
          <cell r="AR18">
            <v>0</v>
          </cell>
          <cell r="AS18">
            <v>31</v>
          </cell>
          <cell r="AT18">
            <v>31</v>
          </cell>
          <cell r="AU18">
            <v>35</v>
          </cell>
          <cell r="AV18">
            <v>26</v>
          </cell>
          <cell r="AW18">
            <v>28</v>
          </cell>
          <cell r="AX18">
            <v>0</v>
          </cell>
          <cell r="AY18">
            <v>24</v>
          </cell>
          <cell r="AZ18">
            <v>28</v>
          </cell>
          <cell r="BA18">
            <v>31</v>
          </cell>
          <cell r="BB18">
            <v>0</v>
          </cell>
          <cell r="BC18">
            <v>32</v>
          </cell>
          <cell r="BD18">
            <v>0</v>
          </cell>
          <cell r="BE18">
            <v>19</v>
          </cell>
          <cell r="BF18">
            <v>22</v>
          </cell>
          <cell r="BG18">
            <v>0</v>
          </cell>
          <cell r="BH18">
            <v>24</v>
          </cell>
          <cell r="BI18">
            <v>22</v>
          </cell>
          <cell r="BJ18">
            <v>0</v>
          </cell>
          <cell r="BK18">
            <v>28</v>
          </cell>
          <cell r="BL18">
            <v>26</v>
          </cell>
          <cell r="BM18">
            <v>0</v>
          </cell>
          <cell r="BN18">
            <v>25</v>
          </cell>
          <cell r="BO18">
            <v>17</v>
          </cell>
          <cell r="BP18">
            <v>28</v>
          </cell>
          <cell r="BQ18">
            <v>0</v>
          </cell>
          <cell r="BR18">
            <v>35</v>
          </cell>
          <cell r="BS18">
            <v>25</v>
          </cell>
          <cell r="BT18">
            <v>26</v>
          </cell>
          <cell r="BU18">
            <v>34</v>
          </cell>
          <cell r="BV18">
            <v>33</v>
          </cell>
          <cell r="BW18">
            <v>0</v>
          </cell>
          <cell r="BX18">
            <v>27</v>
          </cell>
          <cell r="BY18">
            <v>26</v>
          </cell>
          <cell r="BZ18">
            <v>36</v>
          </cell>
          <cell r="CA18">
            <v>28</v>
          </cell>
        </row>
        <row r="19">
          <cell r="A19" t="str">
            <v>A3442</v>
          </cell>
          <cell r="B19" t="str">
            <v>IRFAN FEBRIYANTORO</v>
          </cell>
          <cell r="C19">
            <v>0</v>
          </cell>
          <cell r="D19">
            <v>24</v>
          </cell>
          <cell r="E19">
            <v>24</v>
          </cell>
          <cell r="F19">
            <v>0</v>
          </cell>
          <cell r="G19">
            <v>25</v>
          </cell>
          <cell r="H19">
            <v>24</v>
          </cell>
          <cell r="I19">
            <v>0</v>
          </cell>
          <cell r="J19">
            <v>20</v>
          </cell>
          <cell r="K19">
            <v>25</v>
          </cell>
          <cell r="L19">
            <v>0</v>
          </cell>
          <cell r="M19">
            <v>17</v>
          </cell>
          <cell r="N19">
            <v>20</v>
          </cell>
          <cell r="O19">
            <v>0</v>
          </cell>
          <cell r="P19">
            <v>29</v>
          </cell>
          <cell r="Q19">
            <v>31</v>
          </cell>
          <cell r="R19">
            <v>0</v>
          </cell>
          <cell r="S19">
            <v>14</v>
          </cell>
          <cell r="T19">
            <v>13</v>
          </cell>
          <cell r="U19">
            <v>0</v>
          </cell>
          <cell r="V19">
            <v>16</v>
          </cell>
          <cell r="W19">
            <v>14</v>
          </cell>
          <cell r="X19">
            <v>0</v>
          </cell>
          <cell r="Y19">
            <v>23</v>
          </cell>
          <cell r="Z19">
            <v>24</v>
          </cell>
          <cell r="AA19">
            <v>0</v>
          </cell>
          <cell r="AB19">
            <v>18</v>
          </cell>
          <cell r="AC19">
            <v>20</v>
          </cell>
          <cell r="AD19">
            <v>0</v>
          </cell>
          <cell r="AE19">
            <v>22</v>
          </cell>
          <cell r="AF19">
            <v>23</v>
          </cell>
          <cell r="AG19">
            <v>24</v>
          </cell>
          <cell r="AH19">
            <v>0</v>
          </cell>
          <cell r="AI19">
            <v>0</v>
          </cell>
          <cell r="AJ19">
            <v>23</v>
          </cell>
          <cell r="AK19">
            <v>26</v>
          </cell>
          <cell r="AL19">
            <v>0</v>
          </cell>
          <cell r="AM19">
            <v>16</v>
          </cell>
          <cell r="AN19">
            <v>31</v>
          </cell>
          <cell r="AO19">
            <v>0</v>
          </cell>
          <cell r="AP19">
            <v>24</v>
          </cell>
          <cell r="AQ19">
            <v>24</v>
          </cell>
          <cell r="AR19">
            <v>0</v>
          </cell>
          <cell r="AS19">
            <v>25</v>
          </cell>
          <cell r="AT19">
            <v>24</v>
          </cell>
          <cell r="AU19">
            <v>0</v>
          </cell>
          <cell r="AV19">
            <v>20</v>
          </cell>
          <cell r="AW19">
            <v>25</v>
          </cell>
          <cell r="AX19">
            <v>0</v>
          </cell>
          <cell r="AY19">
            <v>17</v>
          </cell>
          <cell r="AZ19">
            <v>20</v>
          </cell>
          <cell r="BA19">
            <v>0</v>
          </cell>
          <cell r="BB19">
            <v>29</v>
          </cell>
          <cell r="BC19">
            <v>31</v>
          </cell>
          <cell r="BD19">
            <v>0</v>
          </cell>
          <cell r="BE19">
            <v>14</v>
          </cell>
          <cell r="BF19">
            <v>13</v>
          </cell>
          <cell r="BG19">
            <v>0</v>
          </cell>
          <cell r="BH19">
            <v>16</v>
          </cell>
          <cell r="BI19">
            <v>14</v>
          </cell>
          <cell r="BJ19">
            <v>0</v>
          </cell>
          <cell r="BK19">
            <v>23</v>
          </cell>
          <cell r="BL19">
            <v>24</v>
          </cell>
          <cell r="BM19">
            <v>0</v>
          </cell>
          <cell r="BN19">
            <v>18</v>
          </cell>
          <cell r="BO19">
            <v>20</v>
          </cell>
          <cell r="BP19">
            <v>0</v>
          </cell>
          <cell r="BQ19">
            <v>22</v>
          </cell>
          <cell r="BR19">
            <v>23</v>
          </cell>
          <cell r="BS19">
            <v>24</v>
          </cell>
          <cell r="BT19">
            <v>0</v>
          </cell>
          <cell r="BU19">
            <v>0</v>
          </cell>
          <cell r="BV19">
            <v>23</v>
          </cell>
          <cell r="BW19">
            <v>26</v>
          </cell>
          <cell r="BX19">
            <v>0</v>
          </cell>
          <cell r="BY19">
            <v>16</v>
          </cell>
          <cell r="BZ19">
            <v>31</v>
          </cell>
          <cell r="CA19">
            <v>25</v>
          </cell>
        </row>
        <row r="20">
          <cell r="A20" t="str">
            <v>A1952</v>
          </cell>
          <cell r="B20" t="str">
            <v>LAURENSIUS AXEL RADITYA P</v>
          </cell>
          <cell r="C20">
            <v>26</v>
          </cell>
          <cell r="D20">
            <v>20</v>
          </cell>
          <cell r="E20">
            <v>19</v>
          </cell>
          <cell r="F20">
            <v>21</v>
          </cell>
          <cell r="G20">
            <v>22</v>
          </cell>
          <cell r="H20">
            <v>20</v>
          </cell>
          <cell r="I20">
            <v>21</v>
          </cell>
          <cell r="J20">
            <v>15</v>
          </cell>
          <cell r="K20">
            <v>21</v>
          </cell>
          <cell r="L20">
            <v>21</v>
          </cell>
          <cell r="M20">
            <v>0</v>
          </cell>
          <cell r="N20">
            <v>21</v>
          </cell>
          <cell r="O20">
            <v>21</v>
          </cell>
          <cell r="P20">
            <v>19</v>
          </cell>
          <cell r="Q20">
            <v>18</v>
          </cell>
          <cell r="R20">
            <v>21</v>
          </cell>
          <cell r="S20">
            <v>13</v>
          </cell>
          <cell r="T20">
            <v>14</v>
          </cell>
          <cell r="U20">
            <v>18</v>
          </cell>
          <cell r="V20">
            <v>21</v>
          </cell>
          <cell r="W20">
            <v>18</v>
          </cell>
          <cell r="X20">
            <v>21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21</v>
          </cell>
          <cell r="AD20">
            <v>17</v>
          </cell>
          <cell r="AE20">
            <v>19</v>
          </cell>
          <cell r="AF20">
            <v>21</v>
          </cell>
          <cell r="AG20">
            <v>18</v>
          </cell>
          <cell r="AH20">
            <v>16</v>
          </cell>
          <cell r="AI20">
            <v>27</v>
          </cell>
          <cell r="AJ20">
            <v>0</v>
          </cell>
          <cell r="AK20">
            <v>25</v>
          </cell>
          <cell r="AL20">
            <v>0</v>
          </cell>
          <cell r="AM20">
            <v>19</v>
          </cell>
          <cell r="AN20">
            <v>32</v>
          </cell>
          <cell r="AO20">
            <v>26</v>
          </cell>
          <cell r="AP20">
            <v>20</v>
          </cell>
          <cell r="AQ20">
            <v>19</v>
          </cell>
          <cell r="AR20">
            <v>21</v>
          </cell>
          <cell r="AS20">
            <v>22</v>
          </cell>
          <cell r="AT20">
            <v>20</v>
          </cell>
          <cell r="AU20">
            <v>21</v>
          </cell>
          <cell r="AV20">
            <v>15</v>
          </cell>
          <cell r="AW20">
            <v>21</v>
          </cell>
          <cell r="AX20">
            <v>21</v>
          </cell>
          <cell r="AY20">
            <v>0</v>
          </cell>
          <cell r="AZ20">
            <v>21</v>
          </cell>
          <cell r="BA20">
            <v>21</v>
          </cell>
          <cell r="BB20">
            <v>19</v>
          </cell>
          <cell r="BC20">
            <v>18</v>
          </cell>
          <cell r="BD20">
            <v>21</v>
          </cell>
          <cell r="BE20">
            <v>13</v>
          </cell>
          <cell r="BF20">
            <v>14</v>
          </cell>
          <cell r="BG20">
            <v>18</v>
          </cell>
          <cell r="BH20">
            <v>21</v>
          </cell>
          <cell r="BI20">
            <v>18</v>
          </cell>
          <cell r="BJ20">
            <v>21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21</v>
          </cell>
          <cell r="BP20">
            <v>17</v>
          </cell>
          <cell r="BQ20">
            <v>19</v>
          </cell>
          <cell r="BR20">
            <v>21</v>
          </cell>
          <cell r="BS20">
            <v>18</v>
          </cell>
          <cell r="BT20">
            <v>16</v>
          </cell>
          <cell r="BU20">
            <v>27</v>
          </cell>
          <cell r="BV20">
            <v>0</v>
          </cell>
          <cell r="BW20">
            <v>25</v>
          </cell>
          <cell r="BX20">
            <v>0</v>
          </cell>
          <cell r="BY20">
            <v>19</v>
          </cell>
          <cell r="BZ20">
            <v>32</v>
          </cell>
          <cell r="CA20">
            <v>31</v>
          </cell>
        </row>
        <row r="21">
          <cell r="A21">
            <v>92403</v>
          </cell>
          <cell r="B21" t="str">
            <v>AULIA ASHFAHANI</v>
          </cell>
          <cell r="C21">
            <v>22</v>
          </cell>
          <cell r="D21">
            <v>26</v>
          </cell>
          <cell r="E21">
            <v>0</v>
          </cell>
          <cell r="F21">
            <v>21</v>
          </cell>
          <cell r="G21">
            <v>21</v>
          </cell>
          <cell r="H21">
            <v>0</v>
          </cell>
          <cell r="I21">
            <v>16</v>
          </cell>
          <cell r="J21">
            <v>18</v>
          </cell>
          <cell r="K21">
            <v>0</v>
          </cell>
          <cell r="L21">
            <v>18</v>
          </cell>
          <cell r="M21">
            <v>21</v>
          </cell>
          <cell r="N21">
            <v>0</v>
          </cell>
          <cell r="O21">
            <v>22</v>
          </cell>
          <cell r="P21">
            <v>21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22</v>
          </cell>
          <cell r="V21">
            <v>21</v>
          </cell>
          <cell r="W21">
            <v>0</v>
          </cell>
          <cell r="X21">
            <v>24</v>
          </cell>
          <cell r="Y21">
            <v>24</v>
          </cell>
          <cell r="Z21">
            <v>0</v>
          </cell>
          <cell r="AA21">
            <v>24</v>
          </cell>
          <cell r="AB21">
            <v>20</v>
          </cell>
          <cell r="AC21">
            <v>0</v>
          </cell>
          <cell r="AD21">
            <v>20</v>
          </cell>
          <cell r="AE21">
            <v>22</v>
          </cell>
          <cell r="AF21">
            <v>0</v>
          </cell>
          <cell r="AG21">
            <v>20</v>
          </cell>
          <cell r="AH21">
            <v>21</v>
          </cell>
          <cell r="AI21">
            <v>21</v>
          </cell>
          <cell r="AJ21">
            <v>24</v>
          </cell>
          <cell r="AK21">
            <v>0</v>
          </cell>
          <cell r="AL21">
            <v>21</v>
          </cell>
          <cell r="AM21">
            <v>17</v>
          </cell>
          <cell r="AN21">
            <v>0</v>
          </cell>
          <cell r="AO21">
            <v>22</v>
          </cell>
          <cell r="AP21">
            <v>26</v>
          </cell>
          <cell r="AQ21">
            <v>0</v>
          </cell>
          <cell r="AR21">
            <v>21</v>
          </cell>
          <cell r="AS21">
            <v>21</v>
          </cell>
          <cell r="AT21">
            <v>0</v>
          </cell>
          <cell r="AU21">
            <v>16</v>
          </cell>
          <cell r="AV21">
            <v>18</v>
          </cell>
          <cell r="AW21">
            <v>0</v>
          </cell>
          <cell r="AX21">
            <v>18</v>
          </cell>
          <cell r="AY21">
            <v>21</v>
          </cell>
          <cell r="AZ21">
            <v>0</v>
          </cell>
          <cell r="BA21">
            <v>22</v>
          </cell>
          <cell r="BB21">
            <v>21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22</v>
          </cell>
          <cell r="BH21">
            <v>21</v>
          </cell>
          <cell r="BI21">
            <v>0</v>
          </cell>
          <cell r="BJ21">
            <v>24</v>
          </cell>
          <cell r="BK21">
            <v>24</v>
          </cell>
          <cell r="BL21">
            <v>0</v>
          </cell>
          <cell r="BM21">
            <v>24</v>
          </cell>
          <cell r="BN21">
            <v>20</v>
          </cell>
          <cell r="BO21">
            <v>0</v>
          </cell>
          <cell r="BP21">
            <v>20</v>
          </cell>
          <cell r="BQ21">
            <v>22</v>
          </cell>
          <cell r="BR21">
            <v>0</v>
          </cell>
          <cell r="BS21">
            <v>20</v>
          </cell>
          <cell r="BT21">
            <v>21</v>
          </cell>
          <cell r="BU21">
            <v>21</v>
          </cell>
          <cell r="BV21">
            <v>24</v>
          </cell>
          <cell r="BW21">
            <v>0</v>
          </cell>
          <cell r="BX21">
            <v>21</v>
          </cell>
          <cell r="BY21">
            <v>17</v>
          </cell>
          <cell r="BZ21">
            <v>0</v>
          </cell>
          <cell r="CA21">
            <v>24</v>
          </cell>
        </row>
        <row r="22">
          <cell r="A22">
            <v>90363</v>
          </cell>
          <cell r="B22" t="str">
            <v>NURMA HAYU</v>
          </cell>
          <cell r="C22">
            <v>0</v>
          </cell>
          <cell r="D22">
            <v>35</v>
          </cell>
          <cell r="E22">
            <v>32</v>
          </cell>
          <cell r="F22">
            <v>36</v>
          </cell>
          <cell r="G22">
            <v>36</v>
          </cell>
          <cell r="H22">
            <v>31</v>
          </cell>
          <cell r="I22">
            <v>0</v>
          </cell>
          <cell r="J22">
            <v>28</v>
          </cell>
          <cell r="K22">
            <v>35</v>
          </cell>
          <cell r="L22">
            <v>0</v>
          </cell>
          <cell r="M22">
            <v>31</v>
          </cell>
          <cell r="N22">
            <v>37</v>
          </cell>
          <cell r="O22">
            <v>0</v>
          </cell>
          <cell r="P22">
            <v>37</v>
          </cell>
          <cell r="Q22">
            <v>42</v>
          </cell>
          <cell r="R22">
            <v>0</v>
          </cell>
          <cell r="S22">
            <v>23</v>
          </cell>
          <cell r="T22">
            <v>20</v>
          </cell>
          <cell r="U22">
            <v>0</v>
          </cell>
          <cell r="V22">
            <v>31</v>
          </cell>
          <cell r="W22">
            <v>26</v>
          </cell>
          <cell r="X22">
            <v>0</v>
          </cell>
          <cell r="Y22">
            <v>37</v>
          </cell>
          <cell r="Z22">
            <v>25</v>
          </cell>
          <cell r="AA22">
            <v>0</v>
          </cell>
          <cell r="AB22">
            <v>25</v>
          </cell>
          <cell r="AC22">
            <v>25</v>
          </cell>
          <cell r="AD22">
            <v>0</v>
          </cell>
          <cell r="AE22">
            <v>31</v>
          </cell>
          <cell r="AF22">
            <v>40</v>
          </cell>
          <cell r="AG22">
            <v>34</v>
          </cell>
          <cell r="AH22">
            <v>0</v>
          </cell>
          <cell r="AI22">
            <v>0</v>
          </cell>
          <cell r="AJ22">
            <v>36</v>
          </cell>
          <cell r="AK22">
            <v>38</v>
          </cell>
          <cell r="AL22">
            <v>30</v>
          </cell>
          <cell r="AM22">
            <v>0</v>
          </cell>
          <cell r="AN22">
            <v>0</v>
          </cell>
          <cell r="AO22">
            <v>0</v>
          </cell>
          <cell r="AP22">
            <v>35</v>
          </cell>
          <cell r="AQ22">
            <v>32</v>
          </cell>
          <cell r="AR22">
            <v>36</v>
          </cell>
          <cell r="AS22">
            <v>36</v>
          </cell>
          <cell r="AT22">
            <v>31</v>
          </cell>
          <cell r="AU22">
            <v>0</v>
          </cell>
          <cell r="AV22">
            <v>28</v>
          </cell>
          <cell r="AW22">
            <v>35</v>
          </cell>
          <cell r="AX22">
            <v>0</v>
          </cell>
          <cell r="AY22">
            <v>31</v>
          </cell>
          <cell r="AZ22">
            <v>37</v>
          </cell>
          <cell r="BA22">
            <v>0</v>
          </cell>
          <cell r="BB22">
            <v>37</v>
          </cell>
          <cell r="BC22">
            <v>42</v>
          </cell>
          <cell r="BD22">
            <v>0</v>
          </cell>
          <cell r="BE22">
            <v>23</v>
          </cell>
          <cell r="BF22">
            <v>20</v>
          </cell>
          <cell r="BG22">
            <v>0</v>
          </cell>
          <cell r="BH22">
            <v>31</v>
          </cell>
          <cell r="BI22">
            <v>26</v>
          </cell>
          <cell r="BJ22">
            <v>0</v>
          </cell>
          <cell r="BK22">
            <v>37</v>
          </cell>
          <cell r="BL22">
            <v>25</v>
          </cell>
          <cell r="BM22">
            <v>0</v>
          </cell>
          <cell r="BN22">
            <v>25</v>
          </cell>
          <cell r="BO22">
            <v>25</v>
          </cell>
          <cell r="BP22">
            <v>0</v>
          </cell>
          <cell r="BQ22">
            <v>31</v>
          </cell>
          <cell r="BR22">
            <v>40</v>
          </cell>
          <cell r="BS22">
            <v>34</v>
          </cell>
          <cell r="BT22">
            <v>0</v>
          </cell>
          <cell r="BU22">
            <v>0</v>
          </cell>
          <cell r="BV22">
            <v>36</v>
          </cell>
          <cell r="BW22">
            <v>38</v>
          </cell>
          <cell r="BX22">
            <v>30</v>
          </cell>
          <cell r="BY22">
            <v>0</v>
          </cell>
          <cell r="BZ22">
            <v>0</v>
          </cell>
          <cell r="CA22">
            <v>25</v>
          </cell>
        </row>
        <row r="23">
          <cell r="A23" t="str">
            <v>A0088</v>
          </cell>
          <cell r="B23" t="str">
            <v>OGI SHOFIA EKA ANISIA</v>
          </cell>
          <cell r="C23">
            <v>0</v>
          </cell>
          <cell r="D23">
            <v>26</v>
          </cell>
          <cell r="E23">
            <v>18</v>
          </cell>
          <cell r="F23">
            <v>0</v>
          </cell>
          <cell r="G23">
            <v>21</v>
          </cell>
          <cell r="H23">
            <v>21</v>
          </cell>
          <cell r="I23">
            <v>0</v>
          </cell>
          <cell r="J23">
            <v>18</v>
          </cell>
          <cell r="K23">
            <v>20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23</v>
          </cell>
          <cell r="Q23">
            <v>25</v>
          </cell>
          <cell r="R23">
            <v>28</v>
          </cell>
          <cell r="S23">
            <v>24</v>
          </cell>
          <cell r="T23">
            <v>21</v>
          </cell>
          <cell r="U23">
            <v>22</v>
          </cell>
          <cell r="V23">
            <v>23</v>
          </cell>
          <cell r="W23">
            <v>18</v>
          </cell>
          <cell r="X23">
            <v>0</v>
          </cell>
          <cell r="Y23">
            <v>27</v>
          </cell>
          <cell r="Z23">
            <v>21</v>
          </cell>
          <cell r="AA23">
            <v>0</v>
          </cell>
          <cell r="AB23">
            <v>26</v>
          </cell>
          <cell r="AC23">
            <v>22</v>
          </cell>
          <cell r="AD23">
            <v>0</v>
          </cell>
          <cell r="AE23">
            <v>21</v>
          </cell>
          <cell r="AF23">
            <v>25</v>
          </cell>
          <cell r="AG23">
            <v>23</v>
          </cell>
          <cell r="AH23">
            <v>21</v>
          </cell>
          <cell r="AI23">
            <v>28</v>
          </cell>
          <cell r="AJ23">
            <v>28</v>
          </cell>
          <cell r="AK23">
            <v>31</v>
          </cell>
          <cell r="AL23">
            <v>24</v>
          </cell>
          <cell r="AM23">
            <v>0</v>
          </cell>
          <cell r="AN23">
            <v>44</v>
          </cell>
          <cell r="AO23">
            <v>0</v>
          </cell>
          <cell r="AP23">
            <v>26</v>
          </cell>
          <cell r="AQ23">
            <v>18</v>
          </cell>
          <cell r="AR23">
            <v>0</v>
          </cell>
          <cell r="AS23">
            <v>21</v>
          </cell>
          <cell r="AT23">
            <v>21</v>
          </cell>
          <cell r="AU23">
            <v>0</v>
          </cell>
          <cell r="AV23">
            <v>18</v>
          </cell>
          <cell r="AW23">
            <v>20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23</v>
          </cell>
          <cell r="BC23">
            <v>25</v>
          </cell>
          <cell r="BD23">
            <v>28</v>
          </cell>
          <cell r="BE23">
            <v>24</v>
          </cell>
          <cell r="BF23">
            <v>21</v>
          </cell>
          <cell r="BG23">
            <v>22</v>
          </cell>
          <cell r="BH23">
            <v>23</v>
          </cell>
          <cell r="BI23">
            <v>18</v>
          </cell>
          <cell r="BJ23">
            <v>0</v>
          </cell>
          <cell r="BK23">
            <v>27</v>
          </cell>
          <cell r="BL23">
            <v>21</v>
          </cell>
          <cell r="BM23">
            <v>0</v>
          </cell>
          <cell r="BN23">
            <v>26</v>
          </cell>
          <cell r="BO23">
            <v>22</v>
          </cell>
          <cell r="BP23">
            <v>0</v>
          </cell>
          <cell r="BQ23">
            <v>21</v>
          </cell>
          <cell r="BR23">
            <v>25</v>
          </cell>
          <cell r="BS23">
            <v>23</v>
          </cell>
          <cell r="BT23">
            <v>21</v>
          </cell>
          <cell r="BU23">
            <v>28</v>
          </cell>
          <cell r="BV23">
            <v>28</v>
          </cell>
          <cell r="BW23">
            <v>31</v>
          </cell>
          <cell r="BX23">
            <v>24</v>
          </cell>
          <cell r="BY23">
            <v>0</v>
          </cell>
          <cell r="BZ23">
            <v>44</v>
          </cell>
          <cell r="CA23">
            <v>27</v>
          </cell>
        </row>
        <row r="24">
          <cell r="A24">
            <v>90933</v>
          </cell>
          <cell r="B24" t="str">
            <v>REZA DESTI VAUZIA</v>
          </cell>
          <cell r="C24">
            <v>0</v>
          </cell>
          <cell r="D24">
            <v>31</v>
          </cell>
          <cell r="E24">
            <v>35</v>
          </cell>
          <cell r="F24">
            <v>37</v>
          </cell>
          <cell r="G24">
            <v>30</v>
          </cell>
          <cell r="H24">
            <v>32</v>
          </cell>
          <cell r="I24">
            <v>0</v>
          </cell>
          <cell r="J24">
            <v>26</v>
          </cell>
          <cell r="K24">
            <v>32</v>
          </cell>
          <cell r="L24">
            <v>0</v>
          </cell>
          <cell r="M24">
            <v>25</v>
          </cell>
          <cell r="N24">
            <v>30</v>
          </cell>
          <cell r="O24">
            <v>0</v>
          </cell>
          <cell r="P24">
            <v>30</v>
          </cell>
          <cell r="Q24">
            <v>40</v>
          </cell>
          <cell r="R24">
            <v>0</v>
          </cell>
          <cell r="S24">
            <v>20</v>
          </cell>
          <cell r="T24">
            <v>24</v>
          </cell>
          <cell r="U24">
            <v>0</v>
          </cell>
          <cell r="V24">
            <v>28</v>
          </cell>
          <cell r="W24">
            <v>23</v>
          </cell>
          <cell r="X24">
            <v>0</v>
          </cell>
          <cell r="Y24">
            <v>35</v>
          </cell>
          <cell r="Z24">
            <v>25</v>
          </cell>
          <cell r="AA24">
            <v>0</v>
          </cell>
          <cell r="AB24">
            <v>23</v>
          </cell>
          <cell r="AC24">
            <v>21</v>
          </cell>
          <cell r="AD24">
            <v>0</v>
          </cell>
          <cell r="AE24">
            <v>27</v>
          </cell>
          <cell r="AF24">
            <v>31</v>
          </cell>
          <cell r="AG24">
            <v>22</v>
          </cell>
          <cell r="AH24">
            <v>25</v>
          </cell>
          <cell r="AI24">
            <v>0</v>
          </cell>
          <cell r="AJ24">
            <v>33</v>
          </cell>
          <cell r="AK24">
            <v>41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31</v>
          </cell>
          <cell r="AQ24">
            <v>35</v>
          </cell>
          <cell r="AR24">
            <v>37</v>
          </cell>
          <cell r="AS24">
            <v>30</v>
          </cell>
          <cell r="AT24">
            <v>32</v>
          </cell>
          <cell r="AU24">
            <v>0</v>
          </cell>
          <cell r="AV24">
            <v>26</v>
          </cell>
          <cell r="AW24">
            <v>32</v>
          </cell>
          <cell r="AX24">
            <v>0</v>
          </cell>
          <cell r="AY24">
            <v>25</v>
          </cell>
          <cell r="AZ24">
            <v>30</v>
          </cell>
          <cell r="BA24">
            <v>0</v>
          </cell>
          <cell r="BB24">
            <v>30</v>
          </cell>
          <cell r="BC24">
            <v>40</v>
          </cell>
          <cell r="BD24">
            <v>0</v>
          </cell>
          <cell r="BE24">
            <v>20</v>
          </cell>
          <cell r="BF24">
            <v>24</v>
          </cell>
          <cell r="BG24">
            <v>0</v>
          </cell>
          <cell r="BH24">
            <v>28</v>
          </cell>
          <cell r="BI24">
            <v>23</v>
          </cell>
          <cell r="BJ24">
            <v>0</v>
          </cell>
          <cell r="BK24">
            <v>35</v>
          </cell>
          <cell r="BL24">
            <v>25</v>
          </cell>
          <cell r="BM24">
            <v>0</v>
          </cell>
          <cell r="BN24">
            <v>23</v>
          </cell>
          <cell r="BO24">
            <v>21</v>
          </cell>
          <cell r="BP24">
            <v>0</v>
          </cell>
          <cell r="BQ24">
            <v>27</v>
          </cell>
          <cell r="BR24">
            <v>31</v>
          </cell>
          <cell r="BS24">
            <v>22</v>
          </cell>
          <cell r="BT24">
            <v>25</v>
          </cell>
          <cell r="BU24">
            <v>0</v>
          </cell>
          <cell r="BV24">
            <v>33</v>
          </cell>
          <cell r="BW24">
            <v>41</v>
          </cell>
          <cell r="BX24">
            <v>0</v>
          </cell>
          <cell r="BY24">
            <v>0</v>
          </cell>
          <cell r="BZ24">
            <v>0</v>
          </cell>
          <cell r="CA24">
            <v>25</v>
          </cell>
        </row>
        <row r="25">
          <cell r="A25" t="str">
            <v>A4333</v>
          </cell>
          <cell r="B25" t="str">
            <v>GALUH SAFITRI</v>
          </cell>
          <cell r="C25">
            <v>20</v>
          </cell>
          <cell r="D25">
            <v>24</v>
          </cell>
          <cell r="E25">
            <v>0</v>
          </cell>
          <cell r="F25">
            <v>20</v>
          </cell>
          <cell r="G25">
            <v>0</v>
          </cell>
          <cell r="H25">
            <v>0</v>
          </cell>
          <cell r="I25">
            <v>7</v>
          </cell>
          <cell r="J25">
            <v>0</v>
          </cell>
          <cell r="K25">
            <v>0</v>
          </cell>
          <cell r="L25">
            <v>18</v>
          </cell>
          <cell r="M25">
            <v>14</v>
          </cell>
          <cell r="N25">
            <v>0</v>
          </cell>
          <cell r="O25">
            <v>17</v>
          </cell>
          <cell r="P25">
            <v>20</v>
          </cell>
          <cell r="Q25">
            <v>0</v>
          </cell>
          <cell r="R25">
            <v>0</v>
          </cell>
          <cell r="S25">
            <v>11</v>
          </cell>
          <cell r="T25">
            <v>12</v>
          </cell>
          <cell r="U25">
            <v>16</v>
          </cell>
          <cell r="V25">
            <v>0</v>
          </cell>
          <cell r="W25">
            <v>0</v>
          </cell>
          <cell r="X25">
            <v>20</v>
          </cell>
          <cell r="Y25">
            <v>20</v>
          </cell>
          <cell r="Z25">
            <v>0</v>
          </cell>
          <cell r="AA25">
            <v>18</v>
          </cell>
          <cell r="AB25">
            <v>14</v>
          </cell>
          <cell r="AC25">
            <v>0</v>
          </cell>
          <cell r="AD25">
            <v>16</v>
          </cell>
          <cell r="AE25">
            <v>13</v>
          </cell>
          <cell r="AF25">
            <v>0</v>
          </cell>
          <cell r="AG25">
            <v>14</v>
          </cell>
          <cell r="AH25">
            <v>0</v>
          </cell>
          <cell r="AI25">
            <v>20</v>
          </cell>
          <cell r="AJ25">
            <v>18</v>
          </cell>
          <cell r="AK25">
            <v>0</v>
          </cell>
          <cell r="AL25">
            <v>17</v>
          </cell>
          <cell r="AM25">
            <v>16</v>
          </cell>
          <cell r="AN25">
            <v>0</v>
          </cell>
          <cell r="AO25">
            <v>20</v>
          </cell>
          <cell r="AP25">
            <v>24</v>
          </cell>
          <cell r="AQ25">
            <v>0</v>
          </cell>
          <cell r="AR25">
            <v>20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18</v>
          </cell>
          <cell r="AY25">
            <v>14</v>
          </cell>
          <cell r="AZ25">
            <v>0</v>
          </cell>
          <cell r="BA25">
            <v>17</v>
          </cell>
          <cell r="BB25">
            <v>20</v>
          </cell>
          <cell r="BC25">
            <v>0</v>
          </cell>
          <cell r="BD25">
            <v>0</v>
          </cell>
          <cell r="BE25">
            <v>11</v>
          </cell>
          <cell r="BF25">
            <v>12</v>
          </cell>
          <cell r="BG25">
            <v>16</v>
          </cell>
          <cell r="BH25">
            <v>0</v>
          </cell>
          <cell r="BI25">
            <v>0</v>
          </cell>
          <cell r="BJ25">
            <v>20</v>
          </cell>
          <cell r="BK25">
            <v>20</v>
          </cell>
          <cell r="BL25">
            <v>0</v>
          </cell>
          <cell r="BM25">
            <v>18</v>
          </cell>
          <cell r="BN25">
            <v>14</v>
          </cell>
          <cell r="BO25">
            <v>0</v>
          </cell>
          <cell r="BP25">
            <v>16</v>
          </cell>
          <cell r="BQ25">
            <v>13</v>
          </cell>
          <cell r="BR25">
            <v>0</v>
          </cell>
          <cell r="BS25">
            <v>14</v>
          </cell>
          <cell r="BT25">
            <v>0</v>
          </cell>
          <cell r="BU25">
            <v>20</v>
          </cell>
          <cell r="BV25">
            <v>18</v>
          </cell>
          <cell r="BW25">
            <v>0</v>
          </cell>
          <cell r="BX25">
            <v>17</v>
          </cell>
          <cell r="BY25">
            <v>16</v>
          </cell>
          <cell r="BZ25">
            <v>0</v>
          </cell>
          <cell r="CA25">
            <v>22</v>
          </cell>
        </row>
        <row r="26">
          <cell r="A26" t="str">
            <v>A4334</v>
          </cell>
          <cell r="B26" t="str">
            <v>MUHAMMAD WAHYU</v>
          </cell>
          <cell r="C26">
            <v>0</v>
          </cell>
          <cell r="D26">
            <v>0</v>
          </cell>
          <cell r="E26">
            <v>22</v>
          </cell>
          <cell r="F26">
            <v>0</v>
          </cell>
          <cell r="G26">
            <v>0</v>
          </cell>
          <cell r="H26">
            <v>19</v>
          </cell>
          <cell r="I26">
            <v>0</v>
          </cell>
          <cell r="J26">
            <v>0</v>
          </cell>
          <cell r="K26">
            <v>20</v>
          </cell>
          <cell r="L26">
            <v>19</v>
          </cell>
          <cell r="M26">
            <v>16</v>
          </cell>
          <cell r="N26">
            <v>0</v>
          </cell>
          <cell r="O26">
            <v>0</v>
          </cell>
          <cell r="P26">
            <v>18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21</v>
          </cell>
          <cell r="W26">
            <v>13</v>
          </cell>
          <cell r="X26">
            <v>0</v>
          </cell>
          <cell r="Y26">
            <v>17</v>
          </cell>
          <cell r="Z26">
            <v>17</v>
          </cell>
          <cell r="AA26">
            <v>0</v>
          </cell>
          <cell r="AB26">
            <v>14</v>
          </cell>
          <cell r="AC26">
            <v>14</v>
          </cell>
          <cell r="AD26">
            <v>0</v>
          </cell>
          <cell r="AE26">
            <v>0</v>
          </cell>
          <cell r="AF26">
            <v>22</v>
          </cell>
          <cell r="AG26">
            <v>17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16</v>
          </cell>
          <cell r="AN26">
            <v>23</v>
          </cell>
          <cell r="AO26">
            <v>0</v>
          </cell>
          <cell r="AP26">
            <v>0</v>
          </cell>
          <cell r="AQ26">
            <v>22</v>
          </cell>
          <cell r="AR26">
            <v>0</v>
          </cell>
          <cell r="AS26">
            <v>0</v>
          </cell>
          <cell r="AT26">
            <v>19</v>
          </cell>
          <cell r="AU26">
            <v>0</v>
          </cell>
          <cell r="AV26">
            <v>0</v>
          </cell>
          <cell r="AW26">
            <v>20</v>
          </cell>
          <cell r="AX26">
            <v>19</v>
          </cell>
          <cell r="AY26">
            <v>16</v>
          </cell>
          <cell r="AZ26">
            <v>0</v>
          </cell>
          <cell r="BA26">
            <v>0</v>
          </cell>
          <cell r="BB26">
            <v>18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21</v>
          </cell>
          <cell r="BI26">
            <v>13</v>
          </cell>
          <cell r="BJ26">
            <v>0</v>
          </cell>
          <cell r="BK26">
            <v>17</v>
          </cell>
          <cell r="BL26">
            <v>17</v>
          </cell>
          <cell r="BM26">
            <v>0</v>
          </cell>
          <cell r="BN26">
            <v>14</v>
          </cell>
          <cell r="BO26">
            <v>14</v>
          </cell>
          <cell r="BP26">
            <v>0</v>
          </cell>
          <cell r="BQ26">
            <v>0</v>
          </cell>
          <cell r="BR26">
            <v>22</v>
          </cell>
          <cell r="BS26">
            <v>17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16</v>
          </cell>
          <cell r="BZ26">
            <v>23</v>
          </cell>
          <cell r="CA26">
            <v>16</v>
          </cell>
        </row>
        <row r="27">
          <cell r="A27" t="str">
            <v>A4370</v>
          </cell>
          <cell r="B27" t="str">
            <v>ERLANGGA ADIALAM</v>
          </cell>
          <cell r="C27">
            <v>20</v>
          </cell>
          <cell r="D27">
            <v>23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18</v>
          </cell>
          <cell r="M27">
            <v>15</v>
          </cell>
          <cell r="N27">
            <v>0</v>
          </cell>
          <cell r="O27">
            <v>20</v>
          </cell>
          <cell r="P27">
            <v>16</v>
          </cell>
          <cell r="Q27">
            <v>0</v>
          </cell>
          <cell r="R27">
            <v>0</v>
          </cell>
          <cell r="S27">
            <v>11</v>
          </cell>
          <cell r="T27">
            <v>11</v>
          </cell>
          <cell r="U27">
            <v>0</v>
          </cell>
          <cell r="V27">
            <v>18</v>
          </cell>
          <cell r="W27">
            <v>14</v>
          </cell>
          <cell r="X27">
            <v>0</v>
          </cell>
          <cell r="Y27">
            <v>23</v>
          </cell>
          <cell r="Z27">
            <v>13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20</v>
          </cell>
          <cell r="AP27">
            <v>23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18</v>
          </cell>
          <cell r="AY27">
            <v>15</v>
          </cell>
          <cell r="AZ27">
            <v>0</v>
          </cell>
          <cell r="BA27">
            <v>20</v>
          </cell>
          <cell r="BB27">
            <v>16</v>
          </cell>
          <cell r="BC27">
            <v>0</v>
          </cell>
          <cell r="BD27">
            <v>0</v>
          </cell>
          <cell r="BE27">
            <v>11</v>
          </cell>
          <cell r="BF27">
            <v>11</v>
          </cell>
          <cell r="BG27">
            <v>0</v>
          </cell>
          <cell r="BH27">
            <v>18</v>
          </cell>
          <cell r="BI27">
            <v>14</v>
          </cell>
          <cell r="BJ27">
            <v>0</v>
          </cell>
          <cell r="BK27">
            <v>23</v>
          </cell>
          <cell r="BL27">
            <v>13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12</v>
          </cell>
        </row>
        <row r="28">
          <cell r="A28" t="str">
            <v>A0072</v>
          </cell>
          <cell r="B28" t="str">
            <v>RAHMAD DWI ADRIAN</v>
          </cell>
          <cell r="C28">
            <v>0</v>
          </cell>
          <cell r="D28">
            <v>41</v>
          </cell>
          <cell r="E28">
            <v>38</v>
          </cell>
          <cell r="F28">
            <v>0</v>
          </cell>
          <cell r="G28">
            <v>40</v>
          </cell>
          <cell r="H28">
            <v>36</v>
          </cell>
          <cell r="I28">
            <v>0</v>
          </cell>
          <cell r="J28">
            <v>30</v>
          </cell>
          <cell r="K28">
            <v>30</v>
          </cell>
          <cell r="L28">
            <v>0</v>
          </cell>
          <cell r="M28">
            <v>30</v>
          </cell>
          <cell r="N28">
            <v>36</v>
          </cell>
          <cell r="O28">
            <v>0</v>
          </cell>
          <cell r="P28">
            <v>40</v>
          </cell>
          <cell r="Q28">
            <v>47</v>
          </cell>
          <cell r="R28">
            <v>0</v>
          </cell>
          <cell r="S28">
            <v>25</v>
          </cell>
          <cell r="T28">
            <v>27</v>
          </cell>
          <cell r="U28">
            <v>0</v>
          </cell>
          <cell r="V28">
            <v>30</v>
          </cell>
          <cell r="W28">
            <v>27</v>
          </cell>
          <cell r="X28">
            <v>0</v>
          </cell>
          <cell r="Y28">
            <v>40</v>
          </cell>
          <cell r="Z28">
            <v>31</v>
          </cell>
          <cell r="AA28">
            <v>0</v>
          </cell>
          <cell r="AB28">
            <v>36</v>
          </cell>
          <cell r="AC28">
            <v>31</v>
          </cell>
          <cell r="AD28">
            <v>0</v>
          </cell>
          <cell r="AE28">
            <v>35</v>
          </cell>
          <cell r="AF28">
            <v>38</v>
          </cell>
          <cell r="AG28">
            <v>31</v>
          </cell>
          <cell r="AH28">
            <v>0</v>
          </cell>
          <cell r="AI28">
            <v>0</v>
          </cell>
          <cell r="AJ28">
            <v>45</v>
          </cell>
          <cell r="AK28">
            <v>48</v>
          </cell>
          <cell r="AL28">
            <v>0</v>
          </cell>
          <cell r="AM28">
            <v>30</v>
          </cell>
          <cell r="AN28">
            <v>0</v>
          </cell>
          <cell r="AO28">
            <v>0</v>
          </cell>
          <cell r="AP28">
            <v>41</v>
          </cell>
          <cell r="AQ28">
            <v>38</v>
          </cell>
          <cell r="AR28">
            <v>0</v>
          </cell>
          <cell r="AS28">
            <v>40</v>
          </cell>
          <cell r="AT28">
            <v>36</v>
          </cell>
          <cell r="AU28">
            <v>0</v>
          </cell>
          <cell r="AV28">
            <v>30</v>
          </cell>
          <cell r="AW28">
            <v>30</v>
          </cell>
          <cell r="AX28">
            <v>0</v>
          </cell>
          <cell r="AY28">
            <v>30</v>
          </cell>
          <cell r="AZ28">
            <v>36</v>
          </cell>
          <cell r="BA28">
            <v>0</v>
          </cell>
          <cell r="BB28">
            <v>40</v>
          </cell>
          <cell r="BC28">
            <v>47</v>
          </cell>
          <cell r="BD28">
            <v>0</v>
          </cell>
          <cell r="BE28">
            <v>25</v>
          </cell>
          <cell r="BF28">
            <v>27</v>
          </cell>
          <cell r="BG28">
            <v>0</v>
          </cell>
          <cell r="BH28">
            <v>30</v>
          </cell>
          <cell r="BI28">
            <v>27</v>
          </cell>
          <cell r="BJ28">
            <v>0</v>
          </cell>
          <cell r="BK28">
            <v>40</v>
          </cell>
          <cell r="BL28">
            <v>31</v>
          </cell>
          <cell r="BM28">
            <v>0</v>
          </cell>
          <cell r="BN28">
            <v>36</v>
          </cell>
          <cell r="BO28">
            <v>31</v>
          </cell>
          <cell r="BP28">
            <v>0</v>
          </cell>
          <cell r="BQ28">
            <v>35</v>
          </cell>
          <cell r="BR28">
            <v>38</v>
          </cell>
          <cell r="BS28">
            <v>31</v>
          </cell>
          <cell r="BT28">
            <v>0</v>
          </cell>
          <cell r="BU28">
            <v>0</v>
          </cell>
          <cell r="BV28">
            <v>45</v>
          </cell>
          <cell r="BW28">
            <v>48</v>
          </cell>
          <cell r="BX28">
            <v>0</v>
          </cell>
          <cell r="BY28">
            <v>30</v>
          </cell>
          <cell r="BZ28">
            <v>0</v>
          </cell>
          <cell r="CA28">
            <v>24</v>
          </cell>
        </row>
        <row r="29">
          <cell r="A29" t="str">
            <v>A3576</v>
          </cell>
          <cell r="B29" t="str">
            <v>YONATAN ADI SAPUTRO</v>
          </cell>
          <cell r="C29">
            <v>24</v>
          </cell>
          <cell r="D29">
            <v>23</v>
          </cell>
          <cell r="E29">
            <v>24</v>
          </cell>
          <cell r="F29">
            <v>29</v>
          </cell>
          <cell r="G29">
            <v>0</v>
          </cell>
          <cell r="H29">
            <v>22</v>
          </cell>
          <cell r="I29">
            <v>22</v>
          </cell>
          <cell r="J29">
            <v>18</v>
          </cell>
          <cell r="K29">
            <v>18</v>
          </cell>
          <cell r="L29">
            <v>0</v>
          </cell>
          <cell r="M29">
            <v>0</v>
          </cell>
          <cell r="N29">
            <v>30</v>
          </cell>
          <cell r="O29">
            <v>0</v>
          </cell>
          <cell r="P29">
            <v>27</v>
          </cell>
          <cell r="Q29">
            <v>28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24</v>
          </cell>
          <cell r="W29">
            <v>13</v>
          </cell>
          <cell r="X29">
            <v>24</v>
          </cell>
          <cell r="Y29">
            <v>20</v>
          </cell>
          <cell r="Z29">
            <v>0</v>
          </cell>
          <cell r="AA29">
            <v>0</v>
          </cell>
          <cell r="AB29">
            <v>20</v>
          </cell>
          <cell r="AC29">
            <v>16</v>
          </cell>
          <cell r="AD29">
            <v>0</v>
          </cell>
          <cell r="AE29">
            <v>25</v>
          </cell>
          <cell r="AF29">
            <v>26</v>
          </cell>
          <cell r="AG29">
            <v>16</v>
          </cell>
          <cell r="AH29">
            <v>16</v>
          </cell>
          <cell r="AI29">
            <v>0</v>
          </cell>
          <cell r="AJ29">
            <v>24</v>
          </cell>
          <cell r="AK29">
            <v>25</v>
          </cell>
          <cell r="AL29">
            <v>0</v>
          </cell>
          <cell r="AM29">
            <v>17</v>
          </cell>
          <cell r="AN29">
            <v>24</v>
          </cell>
          <cell r="AO29">
            <v>24</v>
          </cell>
          <cell r="AP29">
            <v>23</v>
          </cell>
          <cell r="AQ29">
            <v>24</v>
          </cell>
          <cell r="AR29">
            <v>29</v>
          </cell>
          <cell r="AS29">
            <v>0</v>
          </cell>
          <cell r="AT29">
            <v>22</v>
          </cell>
          <cell r="AU29">
            <v>22</v>
          </cell>
          <cell r="AV29">
            <v>18</v>
          </cell>
          <cell r="AW29">
            <v>18</v>
          </cell>
          <cell r="AX29">
            <v>0</v>
          </cell>
          <cell r="AY29">
            <v>0</v>
          </cell>
          <cell r="AZ29">
            <v>30</v>
          </cell>
          <cell r="BA29">
            <v>0</v>
          </cell>
          <cell r="BB29">
            <v>27</v>
          </cell>
          <cell r="BC29">
            <v>28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24</v>
          </cell>
          <cell r="BI29">
            <v>13</v>
          </cell>
          <cell r="BJ29">
            <v>24</v>
          </cell>
          <cell r="BK29">
            <v>20</v>
          </cell>
          <cell r="BL29">
            <v>0</v>
          </cell>
          <cell r="BM29">
            <v>0</v>
          </cell>
          <cell r="BN29">
            <v>20</v>
          </cell>
          <cell r="BO29">
            <v>16</v>
          </cell>
          <cell r="BP29">
            <v>0</v>
          </cell>
          <cell r="BQ29">
            <v>25</v>
          </cell>
          <cell r="BR29">
            <v>26</v>
          </cell>
          <cell r="BS29">
            <v>16</v>
          </cell>
          <cell r="BT29">
            <v>16</v>
          </cell>
          <cell r="BU29">
            <v>0</v>
          </cell>
          <cell r="BV29">
            <v>24</v>
          </cell>
          <cell r="BW29">
            <v>25</v>
          </cell>
          <cell r="BX29">
            <v>0</v>
          </cell>
          <cell r="BY29">
            <v>17</v>
          </cell>
          <cell r="BZ29">
            <v>24</v>
          </cell>
          <cell r="CA29">
            <v>25</v>
          </cell>
        </row>
        <row r="30">
          <cell r="A30" t="str">
            <v>A2217</v>
          </cell>
          <cell r="B30" t="str">
            <v>SINATRIYANDIKA HARUMAWAN</v>
          </cell>
          <cell r="C30">
            <v>0</v>
          </cell>
          <cell r="D30">
            <v>47</v>
          </cell>
          <cell r="E30">
            <v>42</v>
          </cell>
          <cell r="F30">
            <v>0</v>
          </cell>
          <cell r="G30">
            <v>42</v>
          </cell>
          <cell r="H30">
            <v>40</v>
          </cell>
          <cell r="I30">
            <v>0</v>
          </cell>
          <cell r="J30">
            <v>33</v>
          </cell>
          <cell r="K30">
            <v>40</v>
          </cell>
          <cell r="L30">
            <v>0</v>
          </cell>
          <cell r="M30">
            <v>35</v>
          </cell>
          <cell r="N30">
            <v>36</v>
          </cell>
          <cell r="O30">
            <v>0</v>
          </cell>
          <cell r="P30">
            <v>33</v>
          </cell>
          <cell r="Q30">
            <v>50</v>
          </cell>
          <cell r="R30">
            <v>0</v>
          </cell>
          <cell r="S30">
            <v>23</v>
          </cell>
          <cell r="T30">
            <v>26</v>
          </cell>
          <cell r="U30">
            <v>0</v>
          </cell>
          <cell r="V30">
            <v>32</v>
          </cell>
          <cell r="W30">
            <v>26</v>
          </cell>
          <cell r="X30">
            <v>0</v>
          </cell>
          <cell r="Y30">
            <v>38</v>
          </cell>
          <cell r="Z30">
            <v>32</v>
          </cell>
          <cell r="AA30">
            <v>0</v>
          </cell>
          <cell r="AB30">
            <v>33</v>
          </cell>
          <cell r="AC30">
            <v>29</v>
          </cell>
          <cell r="AD30">
            <v>0</v>
          </cell>
          <cell r="AE30">
            <v>30</v>
          </cell>
          <cell r="AF30">
            <v>41</v>
          </cell>
          <cell r="AG30">
            <v>31</v>
          </cell>
          <cell r="AH30">
            <v>28</v>
          </cell>
          <cell r="AI30">
            <v>0</v>
          </cell>
          <cell r="AJ30">
            <v>35</v>
          </cell>
          <cell r="AK30">
            <v>49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47</v>
          </cell>
          <cell r="AQ30">
            <v>42</v>
          </cell>
          <cell r="AR30">
            <v>0</v>
          </cell>
          <cell r="AS30">
            <v>42</v>
          </cell>
          <cell r="AT30">
            <v>40</v>
          </cell>
          <cell r="AU30">
            <v>0</v>
          </cell>
          <cell r="AV30">
            <v>33</v>
          </cell>
          <cell r="AW30">
            <v>40</v>
          </cell>
          <cell r="AX30">
            <v>0</v>
          </cell>
          <cell r="AY30">
            <v>35</v>
          </cell>
          <cell r="AZ30">
            <v>36</v>
          </cell>
          <cell r="BA30">
            <v>0</v>
          </cell>
          <cell r="BB30">
            <v>33</v>
          </cell>
          <cell r="BC30">
            <v>50</v>
          </cell>
          <cell r="BD30">
            <v>0</v>
          </cell>
          <cell r="BE30">
            <v>23</v>
          </cell>
          <cell r="BF30">
            <v>26</v>
          </cell>
          <cell r="BG30">
            <v>0</v>
          </cell>
          <cell r="BH30">
            <v>32</v>
          </cell>
          <cell r="BI30">
            <v>26</v>
          </cell>
          <cell r="BJ30">
            <v>0</v>
          </cell>
          <cell r="BK30">
            <v>38</v>
          </cell>
          <cell r="BL30">
            <v>32</v>
          </cell>
          <cell r="BM30">
            <v>0</v>
          </cell>
          <cell r="BN30">
            <v>33</v>
          </cell>
          <cell r="BO30">
            <v>29</v>
          </cell>
          <cell r="BP30">
            <v>0</v>
          </cell>
          <cell r="BQ30">
            <v>30</v>
          </cell>
          <cell r="BR30">
            <v>41</v>
          </cell>
          <cell r="BS30">
            <v>31</v>
          </cell>
          <cell r="BT30">
            <v>28</v>
          </cell>
          <cell r="BU30">
            <v>0</v>
          </cell>
          <cell r="BV30">
            <v>35</v>
          </cell>
          <cell r="BW30">
            <v>49</v>
          </cell>
          <cell r="BX30">
            <v>0</v>
          </cell>
          <cell r="BY30">
            <v>0</v>
          </cell>
          <cell r="BZ30">
            <v>0</v>
          </cell>
          <cell r="CA30">
            <v>24</v>
          </cell>
        </row>
        <row r="31">
          <cell r="A31">
            <v>92737</v>
          </cell>
          <cell r="B31" t="str">
            <v>TIARA SONYA PITALOKA</v>
          </cell>
          <cell r="C31">
            <v>36</v>
          </cell>
          <cell r="D31">
            <v>43</v>
          </cell>
          <cell r="E31">
            <v>0</v>
          </cell>
          <cell r="F31">
            <v>40</v>
          </cell>
          <cell r="G31">
            <v>31</v>
          </cell>
          <cell r="H31">
            <v>0</v>
          </cell>
          <cell r="I31">
            <v>30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21</v>
          </cell>
          <cell r="T31">
            <v>0</v>
          </cell>
          <cell r="U31">
            <v>24</v>
          </cell>
          <cell r="V31">
            <v>0</v>
          </cell>
          <cell r="W31">
            <v>0</v>
          </cell>
          <cell r="X31">
            <v>29</v>
          </cell>
          <cell r="Y31">
            <v>32</v>
          </cell>
          <cell r="Z31">
            <v>0</v>
          </cell>
          <cell r="AA31">
            <v>31</v>
          </cell>
          <cell r="AB31">
            <v>25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25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36</v>
          </cell>
          <cell r="AP31">
            <v>43</v>
          </cell>
          <cell r="AQ31">
            <v>0</v>
          </cell>
          <cell r="AR31">
            <v>40</v>
          </cell>
          <cell r="AS31">
            <v>31</v>
          </cell>
          <cell r="AT31">
            <v>0</v>
          </cell>
          <cell r="AU31">
            <v>30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21</v>
          </cell>
          <cell r="BF31">
            <v>0</v>
          </cell>
          <cell r="BG31">
            <v>24</v>
          </cell>
          <cell r="BH31">
            <v>0</v>
          </cell>
          <cell r="BI31">
            <v>0</v>
          </cell>
          <cell r="BJ31">
            <v>29</v>
          </cell>
          <cell r="BK31">
            <v>32</v>
          </cell>
          <cell r="BL31">
            <v>0</v>
          </cell>
          <cell r="BM31">
            <v>31</v>
          </cell>
          <cell r="BN31">
            <v>25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25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12</v>
          </cell>
        </row>
        <row r="32">
          <cell r="A32">
            <v>92000</v>
          </cell>
          <cell r="B32" t="str">
            <v>ACHMAD KURNIAWAN</v>
          </cell>
          <cell r="C32">
            <v>0</v>
          </cell>
          <cell r="D32">
            <v>35</v>
          </cell>
          <cell r="E32">
            <v>30</v>
          </cell>
          <cell r="F32">
            <v>0</v>
          </cell>
          <cell r="G32">
            <v>31</v>
          </cell>
          <cell r="H32">
            <v>30</v>
          </cell>
          <cell r="I32">
            <v>0</v>
          </cell>
          <cell r="J32">
            <v>30</v>
          </cell>
          <cell r="K32">
            <v>22</v>
          </cell>
          <cell r="L32">
            <v>0</v>
          </cell>
          <cell r="M32">
            <v>18</v>
          </cell>
          <cell r="N32">
            <v>23</v>
          </cell>
          <cell r="O32">
            <v>0</v>
          </cell>
          <cell r="P32">
            <v>0</v>
          </cell>
          <cell r="Q32">
            <v>29</v>
          </cell>
          <cell r="R32">
            <v>28</v>
          </cell>
          <cell r="S32">
            <v>0</v>
          </cell>
          <cell r="T32">
            <v>0</v>
          </cell>
          <cell r="U32">
            <v>0</v>
          </cell>
          <cell r="V32">
            <v>32</v>
          </cell>
          <cell r="W32">
            <v>19</v>
          </cell>
          <cell r="X32">
            <v>0</v>
          </cell>
          <cell r="Y32">
            <v>33</v>
          </cell>
          <cell r="Z32">
            <v>0</v>
          </cell>
          <cell r="AA32">
            <v>28</v>
          </cell>
          <cell r="AB32">
            <v>29</v>
          </cell>
          <cell r="AC32">
            <v>21</v>
          </cell>
          <cell r="AD32">
            <v>29</v>
          </cell>
          <cell r="AE32">
            <v>23</v>
          </cell>
          <cell r="AF32">
            <v>30</v>
          </cell>
          <cell r="AG32">
            <v>25</v>
          </cell>
          <cell r="AH32">
            <v>20</v>
          </cell>
          <cell r="AI32">
            <v>33</v>
          </cell>
          <cell r="AJ32">
            <v>27</v>
          </cell>
          <cell r="AK32">
            <v>30</v>
          </cell>
          <cell r="AL32">
            <v>24</v>
          </cell>
          <cell r="AM32">
            <v>26</v>
          </cell>
          <cell r="AN32">
            <v>30</v>
          </cell>
          <cell r="AO32">
            <v>0</v>
          </cell>
          <cell r="AP32">
            <v>35</v>
          </cell>
          <cell r="AQ32">
            <v>30</v>
          </cell>
          <cell r="AR32">
            <v>0</v>
          </cell>
          <cell r="AS32">
            <v>31</v>
          </cell>
          <cell r="AT32">
            <v>30</v>
          </cell>
          <cell r="AU32">
            <v>0</v>
          </cell>
          <cell r="AV32">
            <v>30</v>
          </cell>
          <cell r="AW32">
            <v>22</v>
          </cell>
          <cell r="AX32">
            <v>0</v>
          </cell>
          <cell r="AY32">
            <v>18</v>
          </cell>
          <cell r="AZ32">
            <v>23</v>
          </cell>
          <cell r="BA32">
            <v>0</v>
          </cell>
          <cell r="BB32">
            <v>0</v>
          </cell>
          <cell r="BC32">
            <v>29</v>
          </cell>
          <cell r="BD32">
            <v>28</v>
          </cell>
          <cell r="BE32">
            <v>0</v>
          </cell>
          <cell r="BF32">
            <v>0</v>
          </cell>
          <cell r="BG32">
            <v>0</v>
          </cell>
          <cell r="BH32">
            <v>32</v>
          </cell>
          <cell r="BI32">
            <v>19</v>
          </cell>
          <cell r="BJ32">
            <v>0</v>
          </cell>
          <cell r="BK32">
            <v>33</v>
          </cell>
          <cell r="BL32">
            <v>0</v>
          </cell>
          <cell r="BM32">
            <v>28</v>
          </cell>
          <cell r="BN32">
            <v>29</v>
          </cell>
          <cell r="BO32">
            <v>21</v>
          </cell>
          <cell r="BP32">
            <v>29</v>
          </cell>
          <cell r="BQ32">
            <v>23</v>
          </cell>
          <cell r="BR32">
            <v>30</v>
          </cell>
          <cell r="BS32">
            <v>25</v>
          </cell>
          <cell r="BT32">
            <v>20</v>
          </cell>
          <cell r="BU32">
            <v>33</v>
          </cell>
          <cell r="BV32">
            <v>27</v>
          </cell>
          <cell r="BW32">
            <v>30</v>
          </cell>
          <cell r="BX32">
            <v>24</v>
          </cell>
          <cell r="BY32">
            <v>26</v>
          </cell>
          <cell r="BZ32">
            <v>30</v>
          </cell>
          <cell r="CA32">
            <v>27</v>
          </cell>
        </row>
        <row r="33">
          <cell r="A33" t="str">
            <v>A0046</v>
          </cell>
          <cell r="B33" t="str">
            <v>ALI WAFA</v>
          </cell>
          <cell r="C33">
            <v>34</v>
          </cell>
          <cell r="D33">
            <v>0</v>
          </cell>
          <cell r="E33">
            <v>0</v>
          </cell>
          <cell r="F33">
            <v>33</v>
          </cell>
          <cell r="G33">
            <v>29</v>
          </cell>
          <cell r="H33">
            <v>0</v>
          </cell>
          <cell r="I33">
            <v>27</v>
          </cell>
          <cell r="J33">
            <v>24</v>
          </cell>
          <cell r="K33">
            <v>0</v>
          </cell>
          <cell r="L33">
            <v>27</v>
          </cell>
          <cell r="M33">
            <v>0</v>
          </cell>
          <cell r="N33">
            <v>0</v>
          </cell>
          <cell r="O33">
            <v>29</v>
          </cell>
          <cell r="P33">
            <v>0</v>
          </cell>
          <cell r="Q33">
            <v>0</v>
          </cell>
          <cell r="R33">
            <v>0</v>
          </cell>
          <cell r="S33">
            <v>20</v>
          </cell>
          <cell r="T33">
            <v>0</v>
          </cell>
          <cell r="U33">
            <v>26</v>
          </cell>
          <cell r="V33">
            <v>25</v>
          </cell>
          <cell r="W33">
            <v>0</v>
          </cell>
          <cell r="X33">
            <v>30</v>
          </cell>
          <cell r="Y33">
            <v>32</v>
          </cell>
          <cell r="Z33">
            <v>0</v>
          </cell>
          <cell r="AA33">
            <v>32</v>
          </cell>
          <cell r="AB33">
            <v>28</v>
          </cell>
          <cell r="AC33">
            <v>0</v>
          </cell>
          <cell r="AD33">
            <v>24</v>
          </cell>
          <cell r="AE33">
            <v>18</v>
          </cell>
          <cell r="AF33">
            <v>0</v>
          </cell>
          <cell r="AG33">
            <v>0</v>
          </cell>
          <cell r="AH33">
            <v>0</v>
          </cell>
          <cell r="AI33">
            <v>31</v>
          </cell>
          <cell r="AJ33">
            <v>30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34</v>
          </cell>
          <cell r="AP33">
            <v>0</v>
          </cell>
          <cell r="AQ33">
            <v>0</v>
          </cell>
          <cell r="AR33">
            <v>33</v>
          </cell>
          <cell r="AS33">
            <v>29</v>
          </cell>
          <cell r="AT33">
            <v>0</v>
          </cell>
          <cell r="AU33">
            <v>27</v>
          </cell>
          <cell r="AV33">
            <v>24</v>
          </cell>
          <cell r="AW33">
            <v>0</v>
          </cell>
          <cell r="AX33">
            <v>27</v>
          </cell>
          <cell r="AY33">
            <v>0</v>
          </cell>
          <cell r="AZ33">
            <v>0</v>
          </cell>
          <cell r="BA33">
            <v>29</v>
          </cell>
          <cell r="BB33">
            <v>0</v>
          </cell>
          <cell r="BC33">
            <v>0</v>
          </cell>
          <cell r="BD33">
            <v>0</v>
          </cell>
          <cell r="BE33">
            <v>20</v>
          </cell>
          <cell r="BF33">
            <v>0</v>
          </cell>
          <cell r="BG33">
            <v>26</v>
          </cell>
          <cell r="BH33">
            <v>25</v>
          </cell>
          <cell r="BI33">
            <v>0</v>
          </cell>
          <cell r="BJ33">
            <v>30</v>
          </cell>
          <cell r="BK33">
            <v>32</v>
          </cell>
          <cell r="BL33">
            <v>0</v>
          </cell>
          <cell r="BM33">
            <v>32</v>
          </cell>
          <cell r="BN33">
            <v>28</v>
          </cell>
          <cell r="BO33">
            <v>0</v>
          </cell>
          <cell r="BP33">
            <v>24</v>
          </cell>
          <cell r="BQ33">
            <v>18</v>
          </cell>
          <cell r="BR33">
            <v>0</v>
          </cell>
          <cell r="BS33">
            <v>0</v>
          </cell>
          <cell r="BT33">
            <v>0</v>
          </cell>
          <cell r="BU33">
            <v>31</v>
          </cell>
          <cell r="BV33">
            <v>30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18</v>
          </cell>
        </row>
        <row r="34">
          <cell r="A34">
            <v>92511</v>
          </cell>
          <cell r="B34" t="str">
            <v>JENI BRIAN PRATIWI</v>
          </cell>
          <cell r="C34">
            <v>35</v>
          </cell>
          <cell r="D34">
            <v>30</v>
          </cell>
          <cell r="E34">
            <v>0</v>
          </cell>
          <cell r="F34">
            <v>37</v>
          </cell>
          <cell r="G34">
            <v>0</v>
          </cell>
          <cell r="H34">
            <v>0</v>
          </cell>
          <cell r="I34">
            <v>28</v>
          </cell>
          <cell r="J34">
            <v>0</v>
          </cell>
          <cell r="K34">
            <v>0</v>
          </cell>
          <cell r="L34">
            <v>28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27</v>
          </cell>
          <cell r="V34">
            <v>0</v>
          </cell>
          <cell r="W34">
            <v>0</v>
          </cell>
          <cell r="X34">
            <v>34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31</v>
          </cell>
          <cell r="AJ34">
            <v>0</v>
          </cell>
          <cell r="AK34">
            <v>0</v>
          </cell>
          <cell r="AL34">
            <v>26</v>
          </cell>
          <cell r="AM34">
            <v>24</v>
          </cell>
          <cell r="AN34">
            <v>0</v>
          </cell>
          <cell r="AO34">
            <v>35</v>
          </cell>
          <cell r="AP34">
            <v>30</v>
          </cell>
          <cell r="AQ34">
            <v>0</v>
          </cell>
          <cell r="AR34">
            <v>37</v>
          </cell>
          <cell r="AS34">
            <v>0</v>
          </cell>
          <cell r="AT34">
            <v>0</v>
          </cell>
          <cell r="AU34">
            <v>28</v>
          </cell>
          <cell r="AV34">
            <v>0</v>
          </cell>
          <cell r="AW34">
            <v>0</v>
          </cell>
          <cell r="AX34">
            <v>28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27</v>
          </cell>
          <cell r="BH34">
            <v>0</v>
          </cell>
          <cell r="BI34">
            <v>0</v>
          </cell>
          <cell r="BJ34">
            <v>34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31</v>
          </cell>
          <cell r="BV34">
            <v>0</v>
          </cell>
          <cell r="BW34">
            <v>0</v>
          </cell>
          <cell r="BX34">
            <v>26</v>
          </cell>
          <cell r="BY34">
            <v>24</v>
          </cell>
          <cell r="BZ34">
            <v>0</v>
          </cell>
          <cell r="CA34">
            <v>10</v>
          </cell>
        </row>
        <row r="35">
          <cell r="A35" t="str">
            <v>A2121</v>
          </cell>
          <cell r="B35" t="str">
            <v>VEGA PRIMAVISTA</v>
          </cell>
          <cell r="C35">
            <v>28</v>
          </cell>
          <cell r="D35">
            <v>30</v>
          </cell>
          <cell r="E35">
            <v>0</v>
          </cell>
          <cell r="F35">
            <v>29</v>
          </cell>
          <cell r="G35">
            <v>25</v>
          </cell>
          <cell r="H35">
            <v>0</v>
          </cell>
          <cell r="I35">
            <v>26</v>
          </cell>
          <cell r="J35">
            <v>24</v>
          </cell>
          <cell r="K35">
            <v>0</v>
          </cell>
          <cell r="L35">
            <v>25</v>
          </cell>
          <cell r="M35">
            <v>23</v>
          </cell>
          <cell r="N35">
            <v>0</v>
          </cell>
          <cell r="O35">
            <v>27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22</v>
          </cell>
          <cell r="V35">
            <v>25</v>
          </cell>
          <cell r="W35">
            <v>0</v>
          </cell>
          <cell r="X35">
            <v>24</v>
          </cell>
          <cell r="Y35">
            <v>27</v>
          </cell>
          <cell r="Z35">
            <v>0</v>
          </cell>
          <cell r="AA35">
            <v>28</v>
          </cell>
          <cell r="AB35">
            <v>0</v>
          </cell>
          <cell r="AC35">
            <v>0</v>
          </cell>
          <cell r="AD35">
            <v>22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28</v>
          </cell>
          <cell r="AJ35">
            <v>27</v>
          </cell>
          <cell r="AK35">
            <v>0</v>
          </cell>
          <cell r="AL35">
            <v>21</v>
          </cell>
          <cell r="AM35">
            <v>0</v>
          </cell>
          <cell r="AN35">
            <v>0</v>
          </cell>
          <cell r="AO35">
            <v>28</v>
          </cell>
          <cell r="AP35">
            <v>30</v>
          </cell>
          <cell r="AQ35">
            <v>0</v>
          </cell>
          <cell r="AR35">
            <v>29</v>
          </cell>
          <cell r="AS35">
            <v>25</v>
          </cell>
          <cell r="AT35">
            <v>0</v>
          </cell>
          <cell r="AU35">
            <v>26</v>
          </cell>
          <cell r="AV35">
            <v>24</v>
          </cell>
          <cell r="AW35">
            <v>0</v>
          </cell>
          <cell r="AX35">
            <v>25</v>
          </cell>
          <cell r="AY35">
            <v>23</v>
          </cell>
          <cell r="AZ35">
            <v>0</v>
          </cell>
          <cell r="BA35">
            <v>27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22</v>
          </cell>
          <cell r="BH35">
            <v>25</v>
          </cell>
          <cell r="BI35">
            <v>0</v>
          </cell>
          <cell r="BJ35">
            <v>24</v>
          </cell>
          <cell r="BK35">
            <v>27</v>
          </cell>
          <cell r="BL35">
            <v>0</v>
          </cell>
          <cell r="BM35">
            <v>28</v>
          </cell>
          <cell r="BN35">
            <v>0</v>
          </cell>
          <cell r="BO35">
            <v>0</v>
          </cell>
          <cell r="BP35">
            <v>22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28</v>
          </cell>
          <cell r="BV35">
            <v>27</v>
          </cell>
          <cell r="BW35">
            <v>0</v>
          </cell>
          <cell r="BX35">
            <v>21</v>
          </cell>
          <cell r="BY35">
            <v>0</v>
          </cell>
          <cell r="BZ35">
            <v>0</v>
          </cell>
          <cell r="CA35">
            <v>18</v>
          </cell>
        </row>
        <row r="36">
          <cell r="A36" t="str">
            <v>A0045</v>
          </cell>
          <cell r="B36" t="str">
            <v>MUHAMMAD AFIF NAUFAL FADHILAH</v>
          </cell>
          <cell r="C36">
            <v>0</v>
          </cell>
          <cell r="D36">
            <v>33</v>
          </cell>
          <cell r="E36">
            <v>37</v>
          </cell>
          <cell r="F36">
            <v>0</v>
          </cell>
          <cell r="G36">
            <v>0</v>
          </cell>
          <cell r="H36">
            <v>33</v>
          </cell>
          <cell r="I36">
            <v>0</v>
          </cell>
          <cell r="J36">
            <v>30</v>
          </cell>
          <cell r="K36">
            <v>31</v>
          </cell>
          <cell r="L36">
            <v>0</v>
          </cell>
          <cell r="M36">
            <v>27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30</v>
          </cell>
          <cell r="Z36">
            <v>22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15</v>
          </cell>
          <cell r="AF36">
            <v>36</v>
          </cell>
          <cell r="AG36">
            <v>0</v>
          </cell>
          <cell r="AH36">
            <v>0</v>
          </cell>
          <cell r="AI36">
            <v>0</v>
          </cell>
          <cell r="AJ36">
            <v>32</v>
          </cell>
          <cell r="AK36">
            <v>39</v>
          </cell>
          <cell r="AL36">
            <v>0</v>
          </cell>
          <cell r="AM36">
            <v>25</v>
          </cell>
          <cell r="AN36">
            <v>40</v>
          </cell>
          <cell r="AO36">
            <v>0</v>
          </cell>
          <cell r="AP36">
            <v>33</v>
          </cell>
          <cell r="AQ36">
            <v>37</v>
          </cell>
          <cell r="AR36">
            <v>0</v>
          </cell>
          <cell r="AS36">
            <v>0</v>
          </cell>
          <cell r="AT36">
            <v>33</v>
          </cell>
          <cell r="AU36">
            <v>0</v>
          </cell>
          <cell r="AV36">
            <v>30</v>
          </cell>
          <cell r="AW36">
            <v>31</v>
          </cell>
          <cell r="AX36">
            <v>0</v>
          </cell>
          <cell r="AY36">
            <v>27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30</v>
          </cell>
          <cell r="BL36">
            <v>22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15</v>
          </cell>
          <cell r="BR36">
            <v>36</v>
          </cell>
          <cell r="BS36">
            <v>0</v>
          </cell>
          <cell r="BT36">
            <v>0</v>
          </cell>
          <cell r="BU36">
            <v>0</v>
          </cell>
          <cell r="BV36">
            <v>32</v>
          </cell>
          <cell r="BW36">
            <v>39</v>
          </cell>
          <cell r="BX36">
            <v>0</v>
          </cell>
          <cell r="BY36">
            <v>25</v>
          </cell>
          <cell r="BZ36">
            <v>40</v>
          </cell>
          <cell r="CA36">
            <v>14</v>
          </cell>
        </row>
        <row r="37">
          <cell r="A37" t="str">
            <v>A4372</v>
          </cell>
          <cell r="B37" t="str">
            <v>TRI WIDIASTUTI</v>
          </cell>
          <cell r="C37">
            <v>10</v>
          </cell>
          <cell r="D37">
            <v>0</v>
          </cell>
          <cell r="E37">
            <v>0</v>
          </cell>
          <cell r="F37">
            <v>0</v>
          </cell>
          <cell r="G37">
            <v>10</v>
          </cell>
          <cell r="H37">
            <v>0</v>
          </cell>
          <cell r="I37">
            <v>10</v>
          </cell>
          <cell r="J37">
            <v>9</v>
          </cell>
          <cell r="K37">
            <v>0</v>
          </cell>
          <cell r="L37">
            <v>11</v>
          </cell>
          <cell r="M37">
            <v>8</v>
          </cell>
          <cell r="N37">
            <v>0</v>
          </cell>
          <cell r="O37">
            <v>12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10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10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10</v>
          </cell>
          <cell r="AP37">
            <v>0</v>
          </cell>
          <cell r="AQ37">
            <v>0</v>
          </cell>
          <cell r="AR37">
            <v>0</v>
          </cell>
          <cell r="AS37">
            <v>10</v>
          </cell>
          <cell r="AT37">
            <v>0</v>
          </cell>
          <cell r="AU37">
            <v>10</v>
          </cell>
          <cell r="AV37">
            <v>0</v>
          </cell>
          <cell r="AW37">
            <v>0</v>
          </cell>
          <cell r="AX37">
            <v>11</v>
          </cell>
          <cell r="AY37">
            <v>0</v>
          </cell>
          <cell r="AZ37">
            <v>0</v>
          </cell>
          <cell r="BA37">
            <v>12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10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10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9</v>
          </cell>
        </row>
        <row r="38">
          <cell r="A38">
            <v>92494</v>
          </cell>
          <cell r="B38" t="str">
            <v>NURMANSYAH AMIRUDIN</v>
          </cell>
          <cell r="C38">
            <v>0</v>
          </cell>
          <cell r="D38">
            <v>47</v>
          </cell>
          <cell r="E38">
            <v>45</v>
          </cell>
          <cell r="F38">
            <v>0</v>
          </cell>
          <cell r="G38">
            <v>41</v>
          </cell>
          <cell r="H38">
            <v>43</v>
          </cell>
          <cell r="I38">
            <v>0</v>
          </cell>
          <cell r="J38">
            <v>34</v>
          </cell>
          <cell r="K38">
            <v>43</v>
          </cell>
          <cell r="L38">
            <v>0</v>
          </cell>
          <cell r="M38">
            <v>38</v>
          </cell>
          <cell r="N38">
            <v>42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47</v>
          </cell>
          <cell r="AQ38">
            <v>45</v>
          </cell>
          <cell r="AR38">
            <v>0</v>
          </cell>
          <cell r="AS38">
            <v>41</v>
          </cell>
          <cell r="AT38">
            <v>43</v>
          </cell>
          <cell r="AU38">
            <v>0</v>
          </cell>
          <cell r="AV38">
            <v>34</v>
          </cell>
          <cell r="AW38">
            <v>43</v>
          </cell>
          <cell r="AX38">
            <v>0</v>
          </cell>
          <cell r="AY38">
            <v>38</v>
          </cell>
          <cell r="AZ38">
            <v>42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8</v>
          </cell>
        </row>
        <row r="39">
          <cell r="A39">
            <v>92699</v>
          </cell>
          <cell r="B39" t="str">
            <v>AHMAD IRFAI</v>
          </cell>
          <cell r="C39">
            <v>38</v>
          </cell>
          <cell r="D39">
            <v>0</v>
          </cell>
          <cell r="E39">
            <v>36</v>
          </cell>
          <cell r="F39">
            <v>0</v>
          </cell>
          <cell r="G39">
            <v>0</v>
          </cell>
          <cell r="H39">
            <v>35</v>
          </cell>
          <cell r="I39">
            <v>34</v>
          </cell>
          <cell r="J39">
            <v>0</v>
          </cell>
          <cell r="K39">
            <v>33</v>
          </cell>
          <cell r="L39">
            <v>32</v>
          </cell>
          <cell r="M39">
            <v>0</v>
          </cell>
          <cell r="N39">
            <v>0</v>
          </cell>
          <cell r="O39">
            <v>33</v>
          </cell>
          <cell r="P39">
            <v>0</v>
          </cell>
          <cell r="Q39">
            <v>0</v>
          </cell>
          <cell r="R39">
            <v>0</v>
          </cell>
          <cell r="S39">
            <v>25</v>
          </cell>
          <cell r="T39">
            <v>0</v>
          </cell>
          <cell r="U39">
            <v>30</v>
          </cell>
          <cell r="V39">
            <v>0</v>
          </cell>
          <cell r="W39">
            <v>25</v>
          </cell>
          <cell r="X39">
            <v>34</v>
          </cell>
          <cell r="Y39">
            <v>33</v>
          </cell>
          <cell r="Z39">
            <v>0</v>
          </cell>
          <cell r="AA39">
            <v>34</v>
          </cell>
          <cell r="AB39">
            <v>27</v>
          </cell>
          <cell r="AC39">
            <v>0</v>
          </cell>
          <cell r="AD39">
            <v>31</v>
          </cell>
          <cell r="AE39">
            <v>26</v>
          </cell>
          <cell r="AF39">
            <v>0</v>
          </cell>
          <cell r="AG39">
            <v>29</v>
          </cell>
          <cell r="AH39">
            <v>23</v>
          </cell>
          <cell r="AI39">
            <v>40</v>
          </cell>
          <cell r="AJ39">
            <v>32</v>
          </cell>
          <cell r="AK39">
            <v>0</v>
          </cell>
          <cell r="AL39">
            <v>30</v>
          </cell>
          <cell r="AM39">
            <v>28</v>
          </cell>
          <cell r="AN39">
            <v>0</v>
          </cell>
          <cell r="AO39">
            <v>38</v>
          </cell>
          <cell r="AP39">
            <v>0</v>
          </cell>
          <cell r="AQ39">
            <v>36</v>
          </cell>
          <cell r="AR39">
            <v>0</v>
          </cell>
          <cell r="AS39">
            <v>0</v>
          </cell>
          <cell r="AT39">
            <v>35</v>
          </cell>
          <cell r="AU39">
            <v>34</v>
          </cell>
          <cell r="AV39">
            <v>0</v>
          </cell>
          <cell r="AW39">
            <v>33</v>
          </cell>
          <cell r="AX39">
            <v>32</v>
          </cell>
          <cell r="AY39">
            <v>0</v>
          </cell>
          <cell r="AZ39">
            <v>0</v>
          </cell>
          <cell r="BA39">
            <v>33</v>
          </cell>
          <cell r="BB39">
            <v>0</v>
          </cell>
          <cell r="BC39">
            <v>0</v>
          </cell>
          <cell r="BD39">
            <v>0</v>
          </cell>
          <cell r="BE39">
            <v>25</v>
          </cell>
          <cell r="BF39">
            <v>0</v>
          </cell>
          <cell r="BG39">
            <v>30</v>
          </cell>
          <cell r="BH39">
            <v>0</v>
          </cell>
          <cell r="BI39">
            <v>25</v>
          </cell>
          <cell r="BJ39">
            <v>34</v>
          </cell>
          <cell r="BK39">
            <v>33</v>
          </cell>
          <cell r="BL39">
            <v>0</v>
          </cell>
          <cell r="BM39">
            <v>34</v>
          </cell>
          <cell r="BN39">
            <v>27</v>
          </cell>
          <cell r="BO39">
            <v>0</v>
          </cell>
          <cell r="BP39">
            <v>31</v>
          </cell>
          <cell r="BQ39">
            <v>26</v>
          </cell>
          <cell r="BR39">
            <v>0</v>
          </cell>
          <cell r="BS39">
            <v>29</v>
          </cell>
          <cell r="BT39">
            <v>23</v>
          </cell>
          <cell r="BU39">
            <v>40</v>
          </cell>
          <cell r="BV39">
            <v>32</v>
          </cell>
          <cell r="BW39">
            <v>0</v>
          </cell>
          <cell r="BX39">
            <v>30</v>
          </cell>
          <cell r="BY39">
            <v>28</v>
          </cell>
          <cell r="BZ39">
            <v>0</v>
          </cell>
          <cell r="CA39">
            <v>22</v>
          </cell>
        </row>
        <row r="40">
          <cell r="A40">
            <v>92740</v>
          </cell>
          <cell r="B40" t="str">
            <v>FANI RAHMAWATI</v>
          </cell>
          <cell r="C40">
            <v>0</v>
          </cell>
          <cell r="D40">
            <v>35</v>
          </cell>
          <cell r="E40">
            <v>37</v>
          </cell>
          <cell r="F40">
            <v>0</v>
          </cell>
          <cell r="G40">
            <v>33</v>
          </cell>
          <cell r="H40">
            <v>30</v>
          </cell>
          <cell r="I40">
            <v>0</v>
          </cell>
          <cell r="J40">
            <v>26</v>
          </cell>
          <cell r="K40">
            <v>25</v>
          </cell>
          <cell r="L40">
            <v>0</v>
          </cell>
          <cell r="M40">
            <v>24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30</v>
          </cell>
          <cell r="Z40">
            <v>24</v>
          </cell>
          <cell r="AA40">
            <v>0</v>
          </cell>
          <cell r="AB40">
            <v>29</v>
          </cell>
          <cell r="AC40">
            <v>23</v>
          </cell>
          <cell r="AD40">
            <v>0</v>
          </cell>
          <cell r="AE40">
            <v>30</v>
          </cell>
          <cell r="AF40">
            <v>28</v>
          </cell>
          <cell r="AG40">
            <v>0</v>
          </cell>
          <cell r="AH40">
            <v>0</v>
          </cell>
          <cell r="AI40">
            <v>0</v>
          </cell>
          <cell r="AJ40">
            <v>31</v>
          </cell>
          <cell r="AK40">
            <v>41</v>
          </cell>
          <cell r="AL40">
            <v>0</v>
          </cell>
          <cell r="AM40">
            <v>28</v>
          </cell>
          <cell r="AN40">
            <v>40</v>
          </cell>
          <cell r="AO40">
            <v>0</v>
          </cell>
          <cell r="AP40">
            <v>35</v>
          </cell>
          <cell r="AQ40">
            <v>37</v>
          </cell>
          <cell r="AR40">
            <v>0</v>
          </cell>
          <cell r="AS40">
            <v>33</v>
          </cell>
          <cell r="AT40">
            <v>30</v>
          </cell>
          <cell r="AU40">
            <v>0</v>
          </cell>
          <cell r="AV40">
            <v>26</v>
          </cell>
          <cell r="AW40">
            <v>25</v>
          </cell>
          <cell r="AX40">
            <v>0</v>
          </cell>
          <cell r="AY40">
            <v>24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30</v>
          </cell>
          <cell r="BL40">
            <v>24</v>
          </cell>
          <cell r="BM40">
            <v>0</v>
          </cell>
          <cell r="BN40">
            <v>29</v>
          </cell>
          <cell r="BO40">
            <v>23</v>
          </cell>
          <cell r="BP40">
            <v>0</v>
          </cell>
          <cell r="BQ40">
            <v>30</v>
          </cell>
          <cell r="BR40">
            <v>28</v>
          </cell>
          <cell r="BS40">
            <v>0</v>
          </cell>
          <cell r="BT40">
            <v>0</v>
          </cell>
          <cell r="BU40">
            <v>0</v>
          </cell>
          <cell r="BV40">
            <v>31</v>
          </cell>
          <cell r="BW40">
            <v>41</v>
          </cell>
          <cell r="BX40">
            <v>0</v>
          </cell>
          <cell r="BY40">
            <v>28</v>
          </cell>
          <cell r="BZ40">
            <v>40</v>
          </cell>
          <cell r="CA40">
            <v>17</v>
          </cell>
        </row>
        <row r="41">
          <cell r="A41" t="str">
            <v>A4491</v>
          </cell>
          <cell r="B41" t="str">
            <v>RATIH DEWANTI NUGRAHENI</v>
          </cell>
          <cell r="C41">
            <v>0</v>
          </cell>
          <cell r="D41">
            <v>15</v>
          </cell>
          <cell r="E41">
            <v>14</v>
          </cell>
          <cell r="F41">
            <v>0</v>
          </cell>
          <cell r="G41">
            <v>14</v>
          </cell>
          <cell r="H41">
            <v>0</v>
          </cell>
          <cell r="I41">
            <v>0</v>
          </cell>
          <cell r="J41">
            <v>14</v>
          </cell>
          <cell r="K41">
            <v>14</v>
          </cell>
          <cell r="L41">
            <v>0</v>
          </cell>
          <cell r="M41">
            <v>0</v>
          </cell>
          <cell r="N41">
            <v>12</v>
          </cell>
          <cell r="O41">
            <v>0</v>
          </cell>
          <cell r="P41">
            <v>17</v>
          </cell>
          <cell r="Q41">
            <v>15</v>
          </cell>
          <cell r="R41">
            <v>11</v>
          </cell>
          <cell r="S41">
            <v>0</v>
          </cell>
          <cell r="T41">
            <v>12</v>
          </cell>
          <cell r="U41">
            <v>0</v>
          </cell>
          <cell r="V41">
            <v>16</v>
          </cell>
          <cell r="W41">
            <v>10</v>
          </cell>
          <cell r="X41">
            <v>0</v>
          </cell>
          <cell r="Y41">
            <v>18</v>
          </cell>
          <cell r="Z41">
            <v>13</v>
          </cell>
          <cell r="AA41">
            <v>0</v>
          </cell>
          <cell r="AB41">
            <v>11</v>
          </cell>
          <cell r="AC41">
            <v>13</v>
          </cell>
          <cell r="AD41">
            <v>0</v>
          </cell>
          <cell r="AE41">
            <v>11</v>
          </cell>
          <cell r="AF41">
            <v>13</v>
          </cell>
          <cell r="AG41">
            <v>16</v>
          </cell>
          <cell r="AH41">
            <v>11</v>
          </cell>
          <cell r="AI41">
            <v>0</v>
          </cell>
          <cell r="AJ41">
            <v>14</v>
          </cell>
          <cell r="AK41">
            <v>18</v>
          </cell>
          <cell r="AL41">
            <v>0</v>
          </cell>
          <cell r="AM41">
            <v>19</v>
          </cell>
          <cell r="AN41">
            <v>23</v>
          </cell>
          <cell r="AO41">
            <v>0</v>
          </cell>
          <cell r="AP41">
            <v>15</v>
          </cell>
          <cell r="AQ41">
            <v>14</v>
          </cell>
          <cell r="AR41">
            <v>0</v>
          </cell>
          <cell r="AS41">
            <v>14</v>
          </cell>
          <cell r="AT41">
            <v>0</v>
          </cell>
          <cell r="AU41">
            <v>0</v>
          </cell>
          <cell r="AV41">
            <v>14</v>
          </cell>
          <cell r="AW41">
            <v>14</v>
          </cell>
          <cell r="AX41">
            <v>0</v>
          </cell>
          <cell r="AY41">
            <v>0</v>
          </cell>
          <cell r="AZ41">
            <v>12</v>
          </cell>
          <cell r="BA41">
            <v>0</v>
          </cell>
          <cell r="BB41">
            <v>17</v>
          </cell>
          <cell r="BC41">
            <v>15</v>
          </cell>
          <cell r="BD41">
            <v>11</v>
          </cell>
          <cell r="BE41">
            <v>0</v>
          </cell>
          <cell r="BF41">
            <v>12</v>
          </cell>
          <cell r="BG41">
            <v>0</v>
          </cell>
          <cell r="BH41">
            <v>16</v>
          </cell>
          <cell r="BI41">
            <v>10</v>
          </cell>
          <cell r="BJ41">
            <v>0</v>
          </cell>
          <cell r="BK41">
            <v>18</v>
          </cell>
          <cell r="BL41">
            <v>13</v>
          </cell>
          <cell r="BM41">
            <v>0</v>
          </cell>
          <cell r="BN41">
            <v>11</v>
          </cell>
          <cell r="BO41">
            <v>13</v>
          </cell>
          <cell r="BP41">
            <v>0</v>
          </cell>
          <cell r="BQ41">
            <v>11</v>
          </cell>
          <cell r="BR41">
            <v>13</v>
          </cell>
          <cell r="BS41">
            <v>16</v>
          </cell>
          <cell r="BT41">
            <v>11</v>
          </cell>
          <cell r="BU41">
            <v>0</v>
          </cell>
          <cell r="BV41">
            <v>14</v>
          </cell>
          <cell r="BW41">
            <v>18</v>
          </cell>
          <cell r="BX41">
            <v>0</v>
          </cell>
          <cell r="BY41">
            <v>19</v>
          </cell>
          <cell r="BZ41">
            <v>23</v>
          </cell>
          <cell r="CA41">
            <v>24</v>
          </cell>
        </row>
        <row r="42">
          <cell r="A42" t="str">
            <v>A4506</v>
          </cell>
          <cell r="B42" t="str">
            <v>SULTON AZIZ NURFIRDAUS</v>
          </cell>
          <cell r="C42">
            <v>0</v>
          </cell>
          <cell r="D42">
            <v>8</v>
          </cell>
          <cell r="E42">
            <v>0</v>
          </cell>
          <cell r="F42">
            <v>0</v>
          </cell>
          <cell r="G42">
            <v>11</v>
          </cell>
          <cell r="H42">
            <v>10</v>
          </cell>
          <cell r="I42">
            <v>0</v>
          </cell>
          <cell r="J42">
            <v>0</v>
          </cell>
          <cell r="K42">
            <v>10</v>
          </cell>
          <cell r="L42">
            <v>0</v>
          </cell>
          <cell r="M42">
            <v>0</v>
          </cell>
          <cell r="N42">
            <v>10</v>
          </cell>
          <cell r="O42">
            <v>0</v>
          </cell>
          <cell r="P42">
            <v>0</v>
          </cell>
          <cell r="Q42">
            <v>13</v>
          </cell>
          <cell r="R42">
            <v>0</v>
          </cell>
          <cell r="S42">
            <v>0</v>
          </cell>
          <cell r="T42">
            <v>10</v>
          </cell>
          <cell r="U42">
            <v>0</v>
          </cell>
          <cell r="V42">
            <v>11</v>
          </cell>
          <cell r="W42">
            <v>9</v>
          </cell>
          <cell r="X42">
            <v>1</v>
          </cell>
          <cell r="Y42">
            <v>11</v>
          </cell>
          <cell r="Z42">
            <v>9</v>
          </cell>
          <cell r="AA42">
            <v>0</v>
          </cell>
          <cell r="AB42">
            <v>12</v>
          </cell>
          <cell r="AC42">
            <v>9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11</v>
          </cell>
          <cell r="AT42">
            <v>10</v>
          </cell>
          <cell r="AU42">
            <v>0</v>
          </cell>
          <cell r="AV42">
            <v>0</v>
          </cell>
          <cell r="AW42">
            <v>10</v>
          </cell>
          <cell r="AX42">
            <v>0</v>
          </cell>
          <cell r="AY42">
            <v>0</v>
          </cell>
          <cell r="AZ42">
            <v>10</v>
          </cell>
          <cell r="BA42">
            <v>0</v>
          </cell>
          <cell r="BB42">
            <v>0</v>
          </cell>
          <cell r="BC42">
            <v>13</v>
          </cell>
          <cell r="BD42">
            <v>0</v>
          </cell>
          <cell r="BE42">
            <v>0</v>
          </cell>
          <cell r="BF42">
            <v>10</v>
          </cell>
          <cell r="BG42">
            <v>0</v>
          </cell>
          <cell r="BH42">
            <v>11</v>
          </cell>
          <cell r="BI42">
            <v>0</v>
          </cell>
          <cell r="BJ42">
            <v>0</v>
          </cell>
          <cell r="BK42">
            <v>11</v>
          </cell>
          <cell r="BL42">
            <v>0</v>
          </cell>
          <cell r="BM42">
            <v>0</v>
          </cell>
          <cell r="BN42">
            <v>12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14</v>
          </cell>
        </row>
        <row r="43">
          <cell r="A43" t="str">
            <v>A0799</v>
          </cell>
          <cell r="B43" t="str">
            <v>VIVI RIZQI HAPSARI</v>
          </cell>
          <cell r="C43">
            <v>12</v>
          </cell>
          <cell r="D43">
            <v>12</v>
          </cell>
          <cell r="E43">
            <v>14</v>
          </cell>
          <cell r="F43">
            <v>0</v>
          </cell>
          <cell r="G43">
            <v>12</v>
          </cell>
          <cell r="H43">
            <v>12</v>
          </cell>
          <cell r="I43">
            <v>13</v>
          </cell>
          <cell r="J43">
            <v>9</v>
          </cell>
          <cell r="K43">
            <v>11</v>
          </cell>
          <cell r="L43">
            <v>0</v>
          </cell>
          <cell r="M43">
            <v>8</v>
          </cell>
          <cell r="N43">
            <v>12</v>
          </cell>
          <cell r="O43">
            <v>0</v>
          </cell>
          <cell r="P43">
            <v>12</v>
          </cell>
          <cell r="Q43">
            <v>17</v>
          </cell>
          <cell r="R43">
            <v>0</v>
          </cell>
          <cell r="S43">
            <v>9</v>
          </cell>
          <cell r="T43">
            <v>12</v>
          </cell>
          <cell r="U43">
            <v>0</v>
          </cell>
          <cell r="V43">
            <v>13</v>
          </cell>
          <cell r="W43">
            <v>12</v>
          </cell>
          <cell r="X43">
            <v>0</v>
          </cell>
          <cell r="Y43">
            <v>16</v>
          </cell>
          <cell r="Z43">
            <v>12</v>
          </cell>
          <cell r="AA43">
            <v>14</v>
          </cell>
          <cell r="AB43">
            <v>15</v>
          </cell>
          <cell r="AC43">
            <v>13</v>
          </cell>
          <cell r="AD43">
            <v>13</v>
          </cell>
          <cell r="AE43">
            <v>15</v>
          </cell>
          <cell r="AF43">
            <v>17</v>
          </cell>
          <cell r="AG43">
            <v>12</v>
          </cell>
          <cell r="AH43">
            <v>12</v>
          </cell>
          <cell r="AI43">
            <v>16</v>
          </cell>
          <cell r="AJ43">
            <v>15</v>
          </cell>
          <cell r="AK43">
            <v>16</v>
          </cell>
          <cell r="AL43">
            <v>12</v>
          </cell>
          <cell r="AM43">
            <v>12</v>
          </cell>
          <cell r="AN43">
            <v>21</v>
          </cell>
          <cell r="AO43">
            <v>12</v>
          </cell>
          <cell r="AP43">
            <v>12</v>
          </cell>
          <cell r="AQ43">
            <v>14</v>
          </cell>
          <cell r="AR43">
            <v>0</v>
          </cell>
          <cell r="AS43">
            <v>12</v>
          </cell>
          <cell r="AT43">
            <v>12</v>
          </cell>
          <cell r="AU43">
            <v>13</v>
          </cell>
          <cell r="AV43">
            <v>0</v>
          </cell>
          <cell r="AW43">
            <v>11</v>
          </cell>
          <cell r="AX43">
            <v>0</v>
          </cell>
          <cell r="AY43">
            <v>0</v>
          </cell>
          <cell r="AZ43">
            <v>12</v>
          </cell>
          <cell r="BA43">
            <v>0</v>
          </cell>
          <cell r="BB43">
            <v>12</v>
          </cell>
          <cell r="BC43">
            <v>17</v>
          </cell>
          <cell r="BD43">
            <v>0</v>
          </cell>
          <cell r="BE43">
            <v>0</v>
          </cell>
          <cell r="BF43">
            <v>12</v>
          </cell>
          <cell r="BG43">
            <v>0</v>
          </cell>
          <cell r="BH43">
            <v>13</v>
          </cell>
          <cell r="BI43">
            <v>12</v>
          </cell>
          <cell r="BJ43">
            <v>0</v>
          </cell>
          <cell r="BK43">
            <v>16</v>
          </cell>
          <cell r="BL43">
            <v>12</v>
          </cell>
          <cell r="BM43">
            <v>14</v>
          </cell>
          <cell r="BN43">
            <v>15</v>
          </cell>
          <cell r="BO43">
            <v>13</v>
          </cell>
          <cell r="BP43">
            <v>13</v>
          </cell>
          <cell r="BQ43">
            <v>15</v>
          </cell>
          <cell r="BR43">
            <v>17</v>
          </cell>
          <cell r="BS43">
            <v>12</v>
          </cell>
          <cell r="BT43">
            <v>12</v>
          </cell>
          <cell r="BU43">
            <v>16</v>
          </cell>
          <cell r="BV43">
            <v>15</v>
          </cell>
          <cell r="BW43">
            <v>16</v>
          </cell>
          <cell r="BX43">
            <v>12</v>
          </cell>
          <cell r="BY43">
            <v>12</v>
          </cell>
          <cell r="BZ43">
            <v>21</v>
          </cell>
          <cell r="CA43">
            <v>32</v>
          </cell>
        </row>
        <row r="44">
          <cell r="A44" t="str">
            <v>A4499</v>
          </cell>
          <cell r="B44" t="str">
            <v>JUSTITIA RACHMAYANI PUTRI</v>
          </cell>
          <cell r="C44">
            <v>0</v>
          </cell>
          <cell r="D44">
            <v>0</v>
          </cell>
          <cell r="E44">
            <v>10</v>
          </cell>
          <cell r="F44">
            <v>0</v>
          </cell>
          <cell r="G44">
            <v>11</v>
          </cell>
          <cell r="H44">
            <v>12</v>
          </cell>
          <cell r="I44">
            <v>0</v>
          </cell>
          <cell r="J44">
            <v>0</v>
          </cell>
          <cell r="K44">
            <v>11</v>
          </cell>
          <cell r="L44">
            <v>0</v>
          </cell>
          <cell r="M44">
            <v>11</v>
          </cell>
          <cell r="N44">
            <v>12</v>
          </cell>
          <cell r="O44">
            <v>0</v>
          </cell>
          <cell r="P44">
            <v>11</v>
          </cell>
          <cell r="Q44">
            <v>12</v>
          </cell>
          <cell r="R44">
            <v>11</v>
          </cell>
          <cell r="S44">
            <v>0</v>
          </cell>
          <cell r="T44">
            <v>9</v>
          </cell>
          <cell r="U44">
            <v>0</v>
          </cell>
          <cell r="V44">
            <v>11</v>
          </cell>
          <cell r="W44">
            <v>10</v>
          </cell>
          <cell r="X44">
            <v>0</v>
          </cell>
          <cell r="Y44">
            <v>12</v>
          </cell>
          <cell r="Z44">
            <v>13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10</v>
          </cell>
          <cell r="AF44">
            <v>13</v>
          </cell>
          <cell r="AG44">
            <v>11</v>
          </cell>
          <cell r="AH44">
            <v>10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10</v>
          </cell>
          <cell r="AR44">
            <v>0</v>
          </cell>
          <cell r="AS44">
            <v>11</v>
          </cell>
          <cell r="AT44">
            <v>12</v>
          </cell>
          <cell r="AU44">
            <v>0</v>
          </cell>
          <cell r="AV44">
            <v>0</v>
          </cell>
          <cell r="AW44">
            <v>11</v>
          </cell>
          <cell r="AX44">
            <v>0</v>
          </cell>
          <cell r="AY44">
            <v>11</v>
          </cell>
          <cell r="AZ44">
            <v>12</v>
          </cell>
          <cell r="BA44">
            <v>0</v>
          </cell>
          <cell r="BB44">
            <v>11</v>
          </cell>
          <cell r="BC44">
            <v>12</v>
          </cell>
          <cell r="BD44">
            <v>11</v>
          </cell>
          <cell r="BE44">
            <v>0</v>
          </cell>
          <cell r="BF44">
            <v>0</v>
          </cell>
          <cell r="BG44">
            <v>0</v>
          </cell>
          <cell r="BH44">
            <v>11</v>
          </cell>
          <cell r="BI44">
            <v>10</v>
          </cell>
          <cell r="BJ44">
            <v>0</v>
          </cell>
          <cell r="BK44">
            <v>12</v>
          </cell>
          <cell r="BL44">
            <v>13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10</v>
          </cell>
          <cell r="BR44">
            <v>13</v>
          </cell>
          <cell r="BS44">
            <v>11</v>
          </cell>
          <cell r="BT44">
            <v>10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18</v>
          </cell>
        </row>
        <row r="45">
          <cell r="A45" t="str">
            <v>A3776</v>
          </cell>
          <cell r="B45" t="str">
            <v>OWENA ZANETA YOGASWARI</v>
          </cell>
          <cell r="C45">
            <v>0</v>
          </cell>
          <cell r="D45">
            <v>8</v>
          </cell>
          <cell r="E45">
            <v>6</v>
          </cell>
          <cell r="F45">
            <v>0</v>
          </cell>
          <cell r="G45">
            <v>6</v>
          </cell>
          <cell r="H45">
            <v>6</v>
          </cell>
          <cell r="I45">
            <v>0</v>
          </cell>
          <cell r="J45">
            <v>7</v>
          </cell>
          <cell r="K45">
            <v>6</v>
          </cell>
          <cell r="L45">
            <v>0</v>
          </cell>
          <cell r="M45">
            <v>7</v>
          </cell>
          <cell r="N45">
            <v>8</v>
          </cell>
          <cell r="O45">
            <v>0</v>
          </cell>
          <cell r="P45">
            <v>7</v>
          </cell>
          <cell r="Q45">
            <v>8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10</v>
          </cell>
        </row>
        <row r="46">
          <cell r="A46" t="str">
            <v>A3180</v>
          </cell>
          <cell r="B46" t="str">
            <v>CLARA OSA DIPRASTIWI</v>
          </cell>
          <cell r="C46">
            <v>0</v>
          </cell>
          <cell r="D46">
            <v>26</v>
          </cell>
          <cell r="E46">
            <v>23</v>
          </cell>
          <cell r="F46">
            <v>27</v>
          </cell>
          <cell r="G46">
            <v>26</v>
          </cell>
          <cell r="H46">
            <v>29</v>
          </cell>
          <cell r="I46">
            <v>22</v>
          </cell>
          <cell r="J46">
            <v>20</v>
          </cell>
          <cell r="K46">
            <v>27</v>
          </cell>
          <cell r="L46">
            <v>24</v>
          </cell>
          <cell r="M46">
            <v>24</v>
          </cell>
          <cell r="N46">
            <v>27</v>
          </cell>
          <cell r="O46">
            <v>24</v>
          </cell>
          <cell r="P46">
            <v>28</v>
          </cell>
          <cell r="Q46">
            <v>24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24</v>
          </cell>
          <cell r="W46">
            <v>18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27</v>
          </cell>
          <cell r="AJ46">
            <v>25</v>
          </cell>
          <cell r="AK46">
            <v>31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26</v>
          </cell>
          <cell r="AQ46">
            <v>23</v>
          </cell>
          <cell r="AR46">
            <v>27</v>
          </cell>
          <cell r="AS46">
            <v>26</v>
          </cell>
          <cell r="AT46">
            <v>29</v>
          </cell>
          <cell r="AU46">
            <v>22</v>
          </cell>
          <cell r="AV46">
            <v>20</v>
          </cell>
          <cell r="AW46">
            <v>27</v>
          </cell>
          <cell r="AX46">
            <v>24</v>
          </cell>
          <cell r="AY46">
            <v>24</v>
          </cell>
          <cell r="AZ46">
            <v>27</v>
          </cell>
          <cell r="BA46">
            <v>24</v>
          </cell>
          <cell r="BB46">
            <v>28</v>
          </cell>
          <cell r="BC46">
            <v>24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24</v>
          </cell>
          <cell r="BI46">
            <v>18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27</v>
          </cell>
          <cell r="BV46">
            <v>25</v>
          </cell>
          <cell r="BW46">
            <v>31</v>
          </cell>
          <cell r="BX46">
            <v>0</v>
          </cell>
          <cell r="BY46">
            <v>0</v>
          </cell>
          <cell r="BZ46">
            <v>0</v>
          </cell>
          <cell r="CA46">
            <v>19</v>
          </cell>
        </row>
        <row r="47">
          <cell r="A47" t="str">
            <v>A0061</v>
          </cell>
          <cell r="B47" t="str">
            <v>RIZKI HERMANSYAH</v>
          </cell>
          <cell r="C47">
            <v>25</v>
          </cell>
          <cell r="D47">
            <v>0</v>
          </cell>
          <cell r="E47">
            <v>0</v>
          </cell>
          <cell r="F47">
            <v>29</v>
          </cell>
          <cell r="G47">
            <v>24</v>
          </cell>
          <cell r="H47">
            <v>0</v>
          </cell>
          <cell r="I47">
            <v>22</v>
          </cell>
          <cell r="J47">
            <v>22</v>
          </cell>
          <cell r="K47">
            <v>0</v>
          </cell>
          <cell r="L47">
            <v>20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19</v>
          </cell>
          <cell r="T47">
            <v>17</v>
          </cell>
          <cell r="U47">
            <v>25</v>
          </cell>
          <cell r="V47">
            <v>24</v>
          </cell>
          <cell r="W47">
            <v>0</v>
          </cell>
          <cell r="X47">
            <v>29</v>
          </cell>
          <cell r="Y47">
            <v>25</v>
          </cell>
          <cell r="Z47">
            <v>0</v>
          </cell>
          <cell r="AA47">
            <v>27</v>
          </cell>
          <cell r="AB47">
            <v>24</v>
          </cell>
          <cell r="AC47">
            <v>0</v>
          </cell>
          <cell r="AD47">
            <v>24</v>
          </cell>
          <cell r="AE47">
            <v>0</v>
          </cell>
          <cell r="AF47">
            <v>0</v>
          </cell>
          <cell r="AG47">
            <v>25</v>
          </cell>
          <cell r="AH47">
            <v>0</v>
          </cell>
          <cell r="AI47">
            <v>31</v>
          </cell>
          <cell r="AJ47">
            <v>26</v>
          </cell>
          <cell r="AK47">
            <v>0</v>
          </cell>
          <cell r="AL47">
            <v>23</v>
          </cell>
          <cell r="AM47">
            <v>22</v>
          </cell>
          <cell r="AN47">
            <v>0</v>
          </cell>
          <cell r="AO47">
            <v>25</v>
          </cell>
          <cell r="AP47">
            <v>0</v>
          </cell>
          <cell r="AQ47">
            <v>0</v>
          </cell>
          <cell r="AR47">
            <v>29</v>
          </cell>
          <cell r="AS47">
            <v>24</v>
          </cell>
          <cell r="AT47">
            <v>0</v>
          </cell>
          <cell r="AU47">
            <v>22</v>
          </cell>
          <cell r="AV47">
            <v>22</v>
          </cell>
          <cell r="AW47">
            <v>0</v>
          </cell>
          <cell r="AX47">
            <v>20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19</v>
          </cell>
          <cell r="BF47">
            <v>17</v>
          </cell>
          <cell r="BG47">
            <v>25</v>
          </cell>
          <cell r="BH47">
            <v>24</v>
          </cell>
          <cell r="BI47">
            <v>0</v>
          </cell>
          <cell r="BJ47">
            <v>29</v>
          </cell>
          <cell r="BK47">
            <v>25</v>
          </cell>
          <cell r="BL47">
            <v>0</v>
          </cell>
          <cell r="BM47">
            <v>27</v>
          </cell>
          <cell r="BN47">
            <v>24</v>
          </cell>
          <cell r="BO47">
            <v>0</v>
          </cell>
          <cell r="BP47">
            <v>24</v>
          </cell>
          <cell r="BQ47">
            <v>0</v>
          </cell>
          <cell r="BR47">
            <v>0</v>
          </cell>
          <cell r="BS47">
            <v>25</v>
          </cell>
          <cell r="BT47">
            <v>0</v>
          </cell>
          <cell r="BU47">
            <v>31</v>
          </cell>
          <cell r="BV47">
            <v>26</v>
          </cell>
          <cell r="BW47">
            <v>0</v>
          </cell>
          <cell r="BX47">
            <v>23</v>
          </cell>
          <cell r="BY47">
            <v>22</v>
          </cell>
          <cell r="BZ47">
            <v>0</v>
          </cell>
          <cell r="CA47">
            <v>20</v>
          </cell>
        </row>
        <row r="48">
          <cell r="A48">
            <v>92006</v>
          </cell>
          <cell r="B48" t="str">
            <v>TARA ADINING WIDIYAWATI</v>
          </cell>
          <cell r="C48">
            <v>36</v>
          </cell>
          <cell r="D48">
            <v>30</v>
          </cell>
          <cell r="E48">
            <v>29</v>
          </cell>
          <cell r="F48">
            <v>34</v>
          </cell>
          <cell r="G48">
            <v>27</v>
          </cell>
          <cell r="H48">
            <v>0</v>
          </cell>
          <cell r="I48">
            <v>27</v>
          </cell>
          <cell r="J48">
            <v>21</v>
          </cell>
          <cell r="K48">
            <v>0</v>
          </cell>
          <cell r="L48">
            <v>29</v>
          </cell>
          <cell r="M48">
            <v>0</v>
          </cell>
          <cell r="N48">
            <v>0</v>
          </cell>
          <cell r="O48">
            <v>29</v>
          </cell>
          <cell r="P48">
            <v>28</v>
          </cell>
          <cell r="Q48">
            <v>0</v>
          </cell>
          <cell r="R48">
            <v>0</v>
          </cell>
          <cell r="S48">
            <v>19</v>
          </cell>
          <cell r="T48">
            <v>0</v>
          </cell>
          <cell r="U48">
            <v>24</v>
          </cell>
          <cell r="V48">
            <v>21</v>
          </cell>
          <cell r="W48">
            <v>20</v>
          </cell>
          <cell r="X48">
            <v>24</v>
          </cell>
          <cell r="Y48">
            <v>20</v>
          </cell>
          <cell r="Z48">
            <v>0</v>
          </cell>
          <cell r="AA48">
            <v>32</v>
          </cell>
          <cell r="AB48">
            <v>24</v>
          </cell>
          <cell r="AC48">
            <v>20</v>
          </cell>
          <cell r="AD48">
            <v>27</v>
          </cell>
          <cell r="AE48">
            <v>26</v>
          </cell>
          <cell r="AF48">
            <v>0</v>
          </cell>
          <cell r="AG48">
            <v>22</v>
          </cell>
          <cell r="AH48">
            <v>16</v>
          </cell>
          <cell r="AI48">
            <v>40</v>
          </cell>
          <cell r="AJ48">
            <v>29</v>
          </cell>
          <cell r="AK48">
            <v>32</v>
          </cell>
          <cell r="AL48">
            <v>23</v>
          </cell>
          <cell r="AM48">
            <v>27</v>
          </cell>
          <cell r="AN48">
            <v>0</v>
          </cell>
          <cell r="AO48">
            <v>36</v>
          </cell>
          <cell r="AP48">
            <v>30</v>
          </cell>
          <cell r="AQ48">
            <v>29</v>
          </cell>
          <cell r="AR48">
            <v>34</v>
          </cell>
          <cell r="AS48">
            <v>27</v>
          </cell>
          <cell r="AT48">
            <v>0</v>
          </cell>
          <cell r="AU48">
            <v>27</v>
          </cell>
          <cell r="AV48">
            <v>21</v>
          </cell>
          <cell r="AW48">
            <v>0</v>
          </cell>
          <cell r="AX48">
            <v>29</v>
          </cell>
          <cell r="AY48">
            <v>0</v>
          </cell>
          <cell r="AZ48">
            <v>0</v>
          </cell>
          <cell r="BA48">
            <v>29</v>
          </cell>
          <cell r="BB48">
            <v>28</v>
          </cell>
          <cell r="BC48">
            <v>0</v>
          </cell>
          <cell r="BD48">
            <v>0</v>
          </cell>
          <cell r="BE48">
            <v>19</v>
          </cell>
          <cell r="BF48">
            <v>0</v>
          </cell>
          <cell r="BG48">
            <v>24</v>
          </cell>
          <cell r="BH48">
            <v>21</v>
          </cell>
          <cell r="BI48">
            <v>20</v>
          </cell>
          <cell r="BJ48">
            <v>24</v>
          </cell>
          <cell r="BK48">
            <v>20</v>
          </cell>
          <cell r="BL48">
            <v>0</v>
          </cell>
          <cell r="BM48">
            <v>32</v>
          </cell>
          <cell r="BN48">
            <v>24</v>
          </cell>
          <cell r="BO48">
            <v>20</v>
          </cell>
          <cell r="BP48">
            <v>27</v>
          </cell>
          <cell r="BQ48">
            <v>26</v>
          </cell>
          <cell r="BR48">
            <v>0</v>
          </cell>
          <cell r="BS48">
            <v>22</v>
          </cell>
          <cell r="BT48">
            <v>16</v>
          </cell>
          <cell r="BU48">
            <v>40</v>
          </cell>
          <cell r="BV48">
            <v>29</v>
          </cell>
          <cell r="BW48">
            <v>32</v>
          </cell>
          <cell r="BX48">
            <v>23</v>
          </cell>
          <cell r="BY48">
            <v>27</v>
          </cell>
          <cell r="BZ48">
            <v>0</v>
          </cell>
          <cell r="CA48">
            <v>28</v>
          </cell>
        </row>
        <row r="49">
          <cell r="A49">
            <v>92603</v>
          </cell>
          <cell r="B49" t="str">
            <v>ARDI SUPRIADI</v>
          </cell>
          <cell r="C49">
            <v>32</v>
          </cell>
          <cell r="D49">
            <v>37</v>
          </cell>
          <cell r="E49">
            <v>39</v>
          </cell>
          <cell r="F49">
            <v>28</v>
          </cell>
          <cell r="G49">
            <v>32</v>
          </cell>
          <cell r="H49">
            <v>35</v>
          </cell>
          <cell r="I49">
            <v>36</v>
          </cell>
          <cell r="J49">
            <v>0</v>
          </cell>
          <cell r="K49">
            <v>29</v>
          </cell>
          <cell r="L49">
            <v>34</v>
          </cell>
          <cell r="M49">
            <v>34</v>
          </cell>
          <cell r="N49">
            <v>36</v>
          </cell>
          <cell r="O49">
            <v>35</v>
          </cell>
          <cell r="P49">
            <v>35</v>
          </cell>
          <cell r="Q49">
            <v>44</v>
          </cell>
          <cell r="R49">
            <v>0</v>
          </cell>
          <cell r="S49">
            <v>26</v>
          </cell>
          <cell r="T49">
            <v>0</v>
          </cell>
          <cell r="U49">
            <v>30</v>
          </cell>
          <cell r="V49">
            <v>38</v>
          </cell>
          <cell r="W49">
            <v>26</v>
          </cell>
          <cell r="X49">
            <v>0</v>
          </cell>
          <cell r="Y49">
            <v>0</v>
          </cell>
          <cell r="Z49">
            <v>0</v>
          </cell>
          <cell r="AA49">
            <v>33</v>
          </cell>
          <cell r="AB49">
            <v>32</v>
          </cell>
          <cell r="AC49">
            <v>30</v>
          </cell>
          <cell r="AD49">
            <v>31</v>
          </cell>
          <cell r="AE49">
            <v>31</v>
          </cell>
          <cell r="AF49">
            <v>40</v>
          </cell>
          <cell r="AG49">
            <v>23</v>
          </cell>
          <cell r="AH49">
            <v>32</v>
          </cell>
          <cell r="AI49">
            <v>34</v>
          </cell>
          <cell r="AJ49">
            <v>25</v>
          </cell>
          <cell r="AK49">
            <v>40</v>
          </cell>
          <cell r="AL49">
            <v>25</v>
          </cell>
          <cell r="AM49">
            <v>22</v>
          </cell>
          <cell r="AN49">
            <v>45</v>
          </cell>
          <cell r="AO49">
            <v>32</v>
          </cell>
          <cell r="AP49">
            <v>37</v>
          </cell>
          <cell r="AQ49">
            <v>39</v>
          </cell>
          <cell r="AR49">
            <v>28</v>
          </cell>
          <cell r="AS49">
            <v>32</v>
          </cell>
          <cell r="AT49">
            <v>35</v>
          </cell>
          <cell r="AU49">
            <v>36</v>
          </cell>
          <cell r="AV49">
            <v>0</v>
          </cell>
          <cell r="AW49">
            <v>29</v>
          </cell>
          <cell r="AX49">
            <v>34</v>
          </cell>
          <cell r="AY49">
            <v>34</v>
          </cell>
          <cell r="AZ49">
            <v>36</v>
          </cell>
          <cell r="BA49">
            <v>35</v>
          </cell>
          <cell r="BB49">
            <v>35</v>
          </cell>
          <cell r="BC49">
            <v>44</v>
          </cell>
          <cell r="BD49">
            <v>0</v>
          </cell>
          <cell r="BE49">
            <v>26</v>
          </cell>
          <cell r="BF49">
            <v>0</v>
          </cell>
          <cell r="BG49">
            <v>30</v>
          </cell>
          <cell r="BH49">
            <v>38</v>
          </cell>
          <cell r="BI49">
            <v>26</v>
          </cell>
          <cell r="BJ49">
            <v>0</v>
          </cell>
          <cell r="BK49">
            <v>0</v>
          </cell>
          <cell r="BL49">
            <v>0</v>
          </cell>
          <cell r="BM49">
            <v>33</v>
          </cell>
          <cell r="BN49">
            <v>32</v>
          </cell>
          <cell r="BO49">
            <v>30</v>
          </cell>
          <cell r="BP49">
            <v>31</v>
          </cell>
          <cell r="BQ49">
            <v>31</v>
          </cell>
          <cell r="BR49">
            <v>40</v>
          </cell>
          <cell r="BS49">
            <v>23</v>
          </cell>
          <cell r="BT49">
            <v>32</v>
          </cell>
          <cell r="BU49">
            <v>34</v>
          </cell>
          <cell r="BV49">
            <v>25</v>
          </cell>
          <cell r="BW49">
            <v>40</v>
          </cell>
          <cell r="BX49">
            <v>25</v>
          </cell>
          <cell r="BY49">
            <v>22</v>
          </cell>
          <cell r="BZ49">
            <v>45</v>
          </cell>
          <cell r="CA49">
            <v>32</v>
          </cell>
        </row>
        <row r="50">
          <cell r="A50">
            <v>92356</v>
          </cell>
          <cell r="B50" t="str">
            <v>LIA FIRLIANA</v>
          </cell>
          <cell r="C50">
            <v>30</v>
          </cell>
          <cell r="D50">
            <v>33</v>
          </cell>
          <cell r="E50">
            <v>0</v>
          </cell>
          <cell r="F50">
            <v>33</v>
          </cell>
          <cell r="G50">
            <v>28</v>
          </cell>
          <cell r="H50">
            <v>0</v>
          </cell>
          <cell r="I50">
            <v>27</v>
          </cell>
          <cell r="J50">
            <v>23</v>
          </cell>
          <cell r="K50">
            <v>0</v>
          </cell>
          <cell r="L50">
            <v>25</v>
          </cell>
          <cell r="M50">
            <v>20</v>
          </cell>
          <cell r="N50">
            <v>0</v>
          </cell>
          <cell r="O50">
            <v>30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27</v>
          </cell>
          <cell r="V50">
            <v>0</v>
          </cell>
          <cell r="W50">
            <v>0</v>
          </cell>
          <cell r="X50">
            <v>31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26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30</v>
          </cell>
          <cell r="AP50">
            <v>33</v>
          </cell>
          <cell r="AQ50">
            <v>0</v>
          </cell>
          <cell r="AR50">
            <v>33</v>
          </cell>
          <cell r="AS50">
            <v>28</v>
          </cell>
          <cell r="AT50">
            <v>0</v>
          </cell>
          <cell r="AU50">
            <v>27</v>
          </cell>
          <cell r="AV50">
            <v>23</v>
          </cell>
          <cell r="AW50">
            <v>0</v>
          </cell>
          <cell r="AX50">
            <v>25</v>
          </cell>
          <cell r="AY50">
            <v>20</v>
          </cell>
          <cell r="AZ50">
            <v>0</v>
          </cell>
          <cell r="BA50">
            <v>30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27</v>
          </cell>
          <cell r="BH50">
            <v>0</v>
          </cell>
          <cell r="BI50">
            <v>0</v>
          </cell>
          <cell r="BJ50">
            <v>31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26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12</v>
          </cell>
        </row>
        <row r="51">
          <cell r="A51" t="str">
            <v>A0137</v>
          </cell>
          <cell r="B51" t="str">
            <v>DHIAN KARUNIA</v>
          </cell>
          <cell r="C51">
            <v>31</v>
          </cell>
          <cell r="D51">
            <v>33</v>
          </cell>
          <cell r="E51">
            <v>0</v>
          </cell>
          <cell r="F51">
            <v>34</v>
          </cell>
          <cell r="G51">
            <v>30</v>
          </cell>
          <cell r="H51">
            <v>0</v>
          </cell>
          <cell r="I51">
            <v>30</v>
          </cell>
          <cell r="J51">
            <v>29</v>
          </cell>
          <cell r="K51">
            <v>0</v>
          </cell>
          <cell r="L51">
            <v>30</v>
          </cell>
          <cell r="M51">
            <v>26</v>
          </cell>
          <cell r="N51">
            <v>0</v>
          </cell>
          <cell r="O51">
            <v>0</v>
          </cell>
          <cell r="P51">
            <v>30</v>
          </cell>
          <cell r="Q51">
            <v>0</v>
          </cell>
          <cell r="R51">
            <v>0</v>
          </cell>
          <cell r="S51">
            <v>21</v>
          </cell>
          <cell r="T51">
            <v>0</v>
          </cell>
          <cell r="U51">
            <v>30</v>
          </cell>
          <cell r="V51">
            <v>25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30</v>
          </cell>
          <cell r="AB51">
            <v>0</v>
          </cell>
          <cell r="AC51">
            <v>0</v>
          </cell>
          <cell r="AD51">
            <v>0</v>
          </cell>
          <cell r="AE51">
            <v>29</v>
          </cell>
          <cell r="AF51">
            <v>0</v>
          </cell>
          <cell r="AG51">
            <v>24</v>
          </cell>
          <cell r="AH51">
            <v>0</v>
          </cell>
          <cell r="AI51">
            <v>31</v>
          </cell>
          <cell r="AJ51">
            <v>27</v>
          </cell>
          <cell r="AK51">
            <v>0</v>
          </cell>
          <cell r="AL51">
            <v>25</v>
          </cell>
          <cell r="AM51">
            <v>0</v>
          </cell>
          <cell r="AN51">
            <v>0</v>
          </cell>
          <cell r="AO51">
            <v>31</v>
          </cell>
          <cell r="AP51">
            <v>33</v>
          </cell>
          <cell r="AQ51">
            <v>0</v>
          </cell>
          <cell r="AR51">
            <v>34</v>
          </cell>
          <cell r="AS51">
            <v>30</v>
          </cell>
          <cell r="AT51">
            <v>0</v>
          </cell>
          <cell r="AU51">
            <v>30</v>
          </cell>
          <cell r="AV51">
            <v>29</v>
          </cell>
          <cell r="AW51">
            <v>0</v>
          </cell>
          <cell r="AX51">
            <v>30</v>
          </cell>
          <cell r="AY51">
            <v>26</v>
          </cell>
          <cell r="AZ51">
            <v>0</v>
          </cell>
          <cell r="BA51">
            <v>0</v>
          </cell>
          <cell r="BB51">
            <v>30</v>
          </cell>
          <cell r="BC51">
            <v>0</v>
          </cell>
          <cell r="BD51">
            <v>0</v>
          </cell>
          <cell r="BE51">
            <v>21</v>
          </cell>
          <cell r="BF51">
            <v>0</v>
          </cell>
          <cell r="BG51">
            <v>30</v>
          </cell>
          <cell r="BH51">
            <v>25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30</v>
          </cell>
          <cell r="BN51">
            <v>0</v>
          </cell>
          <cell r="BO51">
            <v>0</v>
          </cell>
          <cell r="BP51">
            <v>0</v>
          </cell>
          <cell r="BQ51">
            <v>29</v>
          </cell>
          <cell r="BR51">
            <v>0</v>
          </cell>
          <cell r="BS51">
            <v>24</v>
          </cell>
          <cell r="BT51">
            <v>0</v>
          </cell>
          <cell r="BU51">
            <v>31</v>
          </cell>
          <cell r="BV51">
            <v>27</v>
          </cell>
          <cell r="BW51">
            <v>0</v>
          </cell>
          <cell r="BX51">
            <v>25</v>
          </cell>
          <cell r="BY51">
            <v>0</v>
          </cell>
          <cell r="BZ51">
            <v>0</v>
          </cell>
          <cell r="CA51">
            <v>18</v>
          </cell>
        </row>
        <row r="52">
          <cell r="A52" t="str">
            <v>A2289</v>
          </cell>
          <cell r="B52" t="str">
            <v>FIJAR SINTATA</v>
          </cell>
          <cell r="C52">
            <v>12</v>
          </cell>
          <cell r="D52">
            <v>0</v>
          </cell>
          <cell r="E52">
            <v>0</v>
          </cell>
          <cell r="F52">
            <v>14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12</v>
          </cell>
          <cell r="AP52">
            <v>0</v>
          </cell>
          <cell r="AQ52">
            <v>0</v>
          </cell>
          <cell r="AR52">
            <v>14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2</v>
          </cell>
        </row>
        <row r="53">
          <cell r="A53" t="str">
            <v>A2447</v>
          </cell>
          <cell r="B53" t="str">
            <v>SUFYAN HANIF ABYAN</v>
          </cell>
          <cell r="C53">
            <v>0</v>
          </cell>
          <cell r="D53">
            <v>34</v>
          </cell>
          <cell r="E53">
            <v>33</v>
          </cell>
          <cell r="F53">
            <v>0</v>
          </cell>
          <cell r="G53">
            <v>34</v>
          </cell>
          <cell r="H53">
            <v>30</v>
          </cell>
          <cell r="I53">
            <v>0</v>
          </cell>
          <cell r="J53">
            <v>27</v>
          </cell>
          <cell r="K53">
            <v>26</v>
          </cell>
          <cell r="L53">
            <v>0</v>
          </cell>
          <cell r="M53">
            <v>33</v>
          </cell>
          <cell r="N53">
            <v>31</v>
          </cell>
          <cell r="O53">
            <v>0</v>
          </cell>
          <cell r="P53">
            <v>33</v>
          </cell>
          <cell r="Q53">
            <v>38</v>
          </cell>
          <cell r="R53">
            <v>0</v>
          </cell>
          <cell r="S53">
            <v>26</v>
          </cell>
          <cell r="T53">
            <v>0</v>
          </cell>
          <cell r="U53">
            <v>0</v>
          </cell>
          <cell r="V53">
            <v>31</v>
          </cell>
          <cell r="W53">
            <v>26</v>
          </cell>
          <cell r="X53">
            <v>0</v>
          </cell>
          <cell r="Y53">
            <v>37</v>
          </cell>
          <cell r="Z53">
            <v>32</v>
          </cell>
          <cell r="AA53">
            <v>0</v>
          </cell>
          <cell r="AB53">
            <v>25</v>
          </cell>
          <cell r="AC53">
            <v>21</v>
          </cell>
          <cell r="AD53">
            <v>0</v>
          </cell>
          <cell r="AE53">
            <v>26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34</v>
          </cell>
          <cell r="AQ53">
            <v>33</v>
          </cell>
          <cell r="AR53">
            <v>0</v>
          </cell>
          <cell r="AS53">
            <v>34</v>
          </cell>
          <cell r="AT53">
            <v>30</v>
          </cell>
          <cell r="AU53">
            <v>0</v>
          </cell>
          <cell r="AV53">
            <v>27</v>
          </cell>
          <cell r="AW53">
            <v>26</v>
          </cell>
          <cell r="AX53">
            <v>0</v>
          </cell>
          <cell r="AY53">
            <v>33</v>
          </cell>
          <cell r="AZ53">
            <v>31</v>
          </cell>
          <cell r="BA53">
            <v>0</v>
          </cell>
          <cell r="BB53">
            <v>33</v>
          </cell>
          <cell r="BC53">
            <v>38</v>
          </cell>
          <cell r="BD53">
            <v>0</v>
          </cell>
          <cell r="BE53">
            <v>26</v>
          </cell>
          <cell r="BF53">
            <v>0</v>
          </cell>
          <cell r="BG53">
            <v>0</v>
          </cell>
          <cell r="BH53">
            <v>31</v>
          </cell>
          <cell r="BI53">
            <v>26</v>
          </cell>
          <cell r="BJ53">
            <v>0</v>
          </cell>
          <cell r="BK53">
            <v>37</v>
          </cell>
          <cell r="BL53">
            <v>32</v>
          </cell>
          <cell r="BM53">
            <v>0</v>
          </cell>
          <cell r="BN53">
            <v>25</v>
          </cell>
          <cell r="BO53">
            <v>21</v>
          </cell>
          <cell r="BP53">
            <v>0</v>
          </cell>
          <cell r="BQ53">
            <v>26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18</v>
          </cell>
        </row>
        <row r="54">
          <cell r="A54" t="str">
            <v>A2356</v>
          </cell>
          <cell r="B54" t="str">
            <v>ANTONIA ANDRIANI</v>
          </cell>
          <cell r="C54">
            <v>0</v>
          </cell>
          <cell r="D54">
            <v>27</v>
          </cell>
          <cell r="E54">
            <v>26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23</v>
          </cell>
          <cell r="K54">
            <v>24</v>
          </cell>
          <cell r="L54">
            <v>28</v>
          </cell>
          <cell r="M54">
            <v>21</v>
          </cell>
          <cell r="N54">
            <v>0</v>
          </cell>
          <cell r="O54">
            <v>0</v>
          </cell>
          <cell r="P54">
            <v>24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27</v>
          </cell>
          <cell r="AQ54">
            <v>26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23</v>
          </cell>
          <cell r="AW54">
            <v>24</v>
          </cell>
          <cell r="AX54">
            <v>28</v>
          </cell>
          <cell r="AY54">
            <v>21</v>
          </cell>
          <cell r="AZ54">
            <v>0</v>
          </cell>
          <cell r="BA54">
            <v>0</v>
          </cell>
          <cell r="BB54">
            <v>24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7</v>
          </cell>
        </row>
        <row r="55">
          <cell r="A55" t="str">
            <v>A2749</v>
          </cell>
          <cell r="B55" t="str">
            <v>LATIFAH DYAH AYU PRAWISTI</v>
          </cell>
          <cell r="C55">
            <v>12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12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1</v>
          </cell>
        </row>
        <row r="56">
          <cell r="A56" t="str">
            <v>A0092</v>
          </cell>
          <cell r="B56" t="str">
            <v>REGINA ESTHER JAYA HANIKO</v>
          </cell>
          <cell r="C56">
            <v>30</v>
          </cell>
          <cell r="D56">
            <v>36</v>
          </cell>
          <cell r="E56">
            <v>0</v>
          </cell>
          <cell r="F56">
            <v>31</v>
          </cell>
          <cell r="G56">
            <v>28</v>
          </cell>
          <cell r="H56">
            <v>0</v>
          </cell>
          <cell r="I56">
            <v>22</v>
          </cell>
          <cell r="J56">
            <v>24</v>
          </cell>
          <cell r="K56">
            <v>0</v>
          </cell>
          <cell r="L56">
            <v>25</v>
          </cell>
          <cell r="M56">
            <v>17</v>
          </cell>
          <cell r="N56">
            <v>0</v>
          </cell>
          <cell r="O56">
            <v>21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28</v>
          </cell>
          <cell r="V56">
            <v>18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28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30</v>
          </cell>
          <cell r="AP56">
            <v>36</v>
          </cell>
          <cell r="AQ56">
            <v>0</v>
          </cell>
          <cell r="AR56">
            <v>31</v>
          </cell>
          <cell r="AS56">
            <v>28</v>
          </cell>
          <cell r="AT56">
            <v>0</v>
          </cell>
          <cell r="AU56">
            <v>22</v>
          </cell>
          <cell r="AV56">
            <v>24</v>
          </cell>
          <cell r="AW56">
            <v>0</v>
          </cell>
          <cell r="AX56">
            <v>25</v>
          </cell>
          <cell r="AY56">
            <v>17</v>
          </cell>
          <cell r="AZ56">
            <v>0</v>
          </cell>
          <cell r="BA56">
            <v>21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28</v>
          </cell>
          <cell r="BH56">
            <v>18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28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12</v>
          </cell>
        </row>
        <row r="57">
          <cell r="A57">
            <v>92696</v>
          </cell>
          <cell r="B57" t="str">
            <v>TRIXIE AZARINE AMBARRINI</v>
          </cell>
          <cell r="C57">
            <v>26</v>
          </cell>
          <cell r="D57">
            <v>0</v>
          </cell>
          <cell r="E57">
            <v>0</v>
          </cell>
          <cell r="F57">
            <v>24</v>
          </cell>
          <cell r="G57">
            <v>24</v>
          </cell>
          <cell r="H57">
            <v>0</v>
          </cell>
          <cell r="I57">
            <v>26</v>
          </cell>
          <cell r="J57">
            <v>24</v>
          </cell>
          <cell r="K57">
            <v>0</v>
          </cell>
          <cell r="L57">
            <v>26</v>
          </cell>
          <cell r="M57">
            <v>22</v>
          </cell>
          <cell r="N57">
            <v>24</v>
          </cell>
          <cell r="O57">
            <v>23</v>
          </cell>
          <cell r="P57">
            <v>0</v>
          </cell>
          <cell r="Q57">
            <v>0</v>
          </cell>
          <cell r="R57">
            <v>0</v>
          </cell>
          <cell r="S57">
            <v>18</v>
          </cell>
          <cell r="T57">
            <v>24</v>
          </cell>
          <cell r="U57">
            <v>20</v>
          </cell>
          <cell r="V57">
            <v>22</v>
          </cell>
          <cell r="W57">
            <v>21</v>
          </cell>
          <cell r="X57">
            <v>31</v>
          </cell>
          <cell r="Y57">
            <v>0</v>
          </cell>
          <cell r="Z57">
            <v>0</v>
          </cell>
          <cell r="AA57">
            <v>24</v>
          </cell>
          <cell r="AB57">
            <v>21</v>
          </cell>
          <cell r="AC57">
            <v>0</v>
          </cell>
          <cell r="AD57">
            <v>22</v>
          </cell>
          <cell r="AE57">
            <v>23</v>
          </cell>
          <cell r="AF57">
            <v>0</v>
          </cell>
          <cell r="AG57">
            <v>26</v>
          </cell>
          <cell r="AH57">
            <v>22</v>
          </cell>
          <cell r="AI57">
            <v>26</v>
          </cell>
          <cell r="AJ57">
            <v>26</v>
          </cell>
          <cell r="AK57">
            <v>0</v>
          </cell>
          <cell r="AL57">
            <v>27</v>
          </cell>
          <cell r="AM57">
            <v>24</v>
          </cell>
          <cell r="AN57">
            <v>0</v>
          </cell>
          <cell r="AO57">
            <v>26</v>
          </cell>
          <cell r="AP57">
            <v>0</v>
          </cell>
          <cell r="AQ57">
            <v>0</v>
          </cell>
          <cell r="AR57">
            <v>24</v>
          </cell>
          <cell r="AS57">
            <v>24</v>
          </cell>
          <cell r="AT57">
            <v>0</v>
          </cell>
          <cell r="AU57">
            <v>26</v>
          </cell>
          <cell r="AV57">
            <v>24</v>
          </cell>
          <cell r="AW57">
            <v>0</v>
          </cell>
          <cell r="AX57">
            <v>26</v>
          </cell>
          <cell r="AY57">
            <v>22</v>
          </cell>
          <cell r="AZ57">
            <v>24</v>
          </cell>
          <cell r="BA57">
            <v>23</v>
          </cell>
          <cell r="BB57">
            <v>0</v>
          </cell>
          <cell r="BC57">
            <v>0</v>
          </cell>
          <cell r="BD57">
            <v>0</v>
          </cell>
          <cell r="BE57">
            <v>18</v>
          </cell>
          <cell r="BF57">
            <v>24</v>
          </cell>
          <cell r="BG57">
            <v>20</v>
          </cell>
          <cell r="BH57">
            <v>22</v>
          </cell>
          <cell r="BI57">
            <v>21</v>
          </cell>
          <cell r="BJ57">
            <v>31</v>
          </cell>
          <cell r="BK57">
            <v>0</v>
          </cell>
          <cell r="BL57">
            <v>0</v>
          </cell>
          <cell r="BM57">
            <v>24</v>
          </cell>
          <cell r="BN57">
            <v>21</v>
          </cell>
          <cell r="BO57">
            <v>0</v>
          </cell>
          <cell r="BP57">
            <v>22</v>
          </cell>
          <cell r="BQ57">
            <v>23</v>
          </cell>
          <cell r="BR57">
            <v>0</v>
          </cell>
          <cell r="BS57">
            <v>26</v>
          </cell>
          <cell r="BT57">
            <v>22</v>
          </cell>
          <cell r="BU57">
            <v>26</v>
          </cell>
          <cell r="BV57">
            <v>26</v>
          </cell>
          <cell r="BW57">
            <v>0</v>
          </cell>
          <cell r="BX57">
            <v>27</v>
          </cell>
          <cell r="BY57">
            <v>24</v>
          </cell>
          <cell r="BZ57">
            <v>0</v>
          </cell>
          <cell r="CA57">
            <v>25</v>
          </cell>
        </row>
        <row r="58">
          <cell r="A58" t="str">
            <v>A3921</v>
          </cell>
          <cell r="B58" t="str">
            <v>NIMAS SURI MARTIANA</v>
          </cell>
          <cell r="C58">
            <v>27</v>
          </cell>
          <cell r="D58">
            <v>24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</v>
          </cell>
          <cell r="M58">
            <v>21</v>
          </cell>
          <cell r="N58">
            <v>0</v>
          </cell>
          <cell r="O58">
            <v>22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25</v>
          </cell>
          <cell r="V58">
            <v>24</v>
          </cell>
          <cell r="W58">
            <v>0</v>
          </cell>
          <cell r="X58">
            <v>26</v>
          </cell>
          <cell r="Y58">
            <v>26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22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25</v>
          </cell>
          <cell r="AM58">
            <v>23</v>
          </cell>
          <cell r="AN58">
            <v>0</v>
          </cell>
          <cell r="AO58">
            <v>27</v>
          </cell>
          <cell r="AP58">
            <v>24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26</v>
          </cell>
          <cell r="AY58">
            <v>21</v>
          </cell>
          <cell r="AZ58">
            <v>0</v>
          </cell>
          <cell r="BA58">
            <v>22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25</v>
          </cell>
          <cell r="BH58">
            <v>24</v>
          </cell>
          <cell r="BI58">
            <v>0</v>
          </cell>
          <cell r="BJ58">
            <v>26</v>
          </cell>
          <cell r="BK58">
            <v>26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22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25</v>
          </cell>
          <cell r="BY58">
            <v>23</v>
          </cell>
          <cell r="BZ58">
            <v>0</v>
          </cell>
          <cell r="CA58">
            <v>12</v>
          </cell>
        </row>
        <row r="59">
          <cell r="A59">
            <v>90625</v>
          </cell>
          <cell r="B59" t="str">
            <v>ARIF AHMAD NUGROHO</v>
          </cell>
          <cell r="C59">
            <v>0</v>
          </cell>
          <cell r="D59">
            <v>30</v>
          </cell>
          <cell r="E59">
            <v>0</v>
          </cell>
          <cell r="F59">
            <v>24</v>
          </cell>
          <cell r="G59">
            <v>22</v>
          </cell>
          <cell r="H59">
            <v>0</v>
          </cell>
          <cell r="I59">
            <v>25</v>
          </cell>
          <cell r="J59">
            <v>23</v>
          </cell>
          <cell r="K59">
            <v>0</v>
          </cell>
          <cell r="L59">
            <v>22</v>
          </cell>
          <cell r="M59">
            <v>22</v>
          </cell>
          <cell r="N59">
            <v>0</v>
          </cell>
          <cell r="O59">
            <v>25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20</v>
          </cell>
          <cell r="V59">
            <v>0</v>
          </cell>
          <cell r="W59">
            <v>0</v>
          </cell>
          <cell r="X59">
            <v>26</v>
          </cell>
          <cell r="Y59">
            <v>23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22</v>
          </cell>
          <cell r="AE59">
            <v>0</v>
          </cell>
          <cell r="AF59">
            <v>0</v>
          </cell>
          <cell r="AG59">
            <v>22</v>
          </cell>
          <cell r="AH59">
            <v>0</v>
          </cell>
          <cell r="AI59">
            <v>23</v>
          </cell>
          <cell r="AJ59">
            <v>0</v>
          </cell>
          <cell r="AK59">
            <v>0</v>
          </cell>
          <cell r="AL59">
            <v>20</v>
          </cell>
          <cell r="AM59">
            <v>0</v>
          </cell>
          <cell r="AN59">
            <v>0</v>
          </cell>
          <cell r="AO59">
            <v>0</v>
          </cell>
          <cell r="AP59">
            <v>30</v>
          </cell>
          <cell r="AQ59">
            <v>0</v>
          </cell>
          <cell r="AR59">
            <v>24</v>
          </cell>
          <cell r="AS59">
            <v>22</v>
          </cell>
          <cell r="AT59">
            <v>0</v>
          </cell>
          <cell r="AU59">
            <v>25</v>
          </cell>
          <cell r="AV59">
            <v>23</v>
          </cell>
          <cell r="AW59">
            <v>0</v>
          </cell>
          <cell r="AX59">
            <v>22</v>
          </cell>
          <cell r="AY59">
            <v>22</v>
          </cell>
          <cell r="AZ59">
            <v>0</v>
          </cell>
          <cell r="BA59">
            <v>25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20</v>
          </cell>
          <cell r="BH59">
            <v>0</v>
          </cell>
          <cell r="BI59">
            <v>0</v>
          </cell>
          <cell r="BJ59">
            <v>26</v>
          </cell>
          <cell r="BK59">
            <v>23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22</v>
          </cell>
          <cell r="BQ59">
            <v>0</v>
          </cell>
          <cell r="BR59">
            <v>0</v>
          </cell>
          <cell r="BS59">
            <v>22</v>
          </cell>
          <cell r="BT59">
            <v>0</v>
          </cell>
          <cell r="BU59">
            <v>23</v>
          </cell>
          <cell r="BV59">
            <v>0</v>
          </cell>
          <cell r="BW59">
            <v>0</v>
          </cell>
          <cell r="BX59">
            <v>20</v>
          </cell>
          <cell r="BY59">
            <v>0</v>
          </cell>
          <cell r="BZ59">
            <v>0</v>
          </cell>
          <cell r="CA59">
            <v>15</v>
          </cell>
        </row>
        <row r="60">
          <cell r="A60">
            <v>92132</v>
          </cell>
          <cell r="B60" t="str">
            <v>RIMA FAUZIAH</v>
          </cell>
          <cell r="C60">
            <v>0</v>
          </cell>
          <cell r="D60">
            <v>39</v>
          </cell>
          <cell r="E60">
            <v>0</v>
          </cell>
          <cell r="F60">
            <v>25</v>
          </cell>
          <cell r="G60">
            <v>31</v>
          </cell>
          <cell r="H60">
            <v>0</v>
          </cell>
          <cell r="I60">
            <v>28</v>
          </cell>
          <cell r="J60">
            <v>29</v>
          </cell>
          <cell r="K60">
            <v>0</v>
          </cell>
          <cell r="L60">
            <v>28</v>
          </cell>
          <cell r="M60">
            <v>27</v>
          </cell>
          <cell r="N60">
            <v>0</v>
          </cell>
          <cell r="O60">
            <v>31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35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30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39</v>
          </cell>
          <cell r="AQ60">
            <v>0</v>
          </cell>
          <cell r="AR60">
            <v>25</v>
          </cell>
          <cell r="AS60">
            <v>31</v>
          </cell>
          <cell r="AT60">
            <v>0</v>
          </cell>
          <cell r="AU60">
            <v>28</v>
          </cell>
          <cell r="AV60">
            <v>29</v>
          </cell>
          <cell r="AW60">
            <v>0</v>
          </cell>
          <cell r="AX60">
            <v>28</v>
          </cell>
          <cell r="AY60">
            <v>27</v>
          </cell>
          <cell r="AZ60">
            <v>0</v>
          </cell>
          <cell r="BA60">
            <v>31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35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30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10</v>
          </cell>
        </row>
        <row r="61">
          <cell r="A61">
            <v>92428</v>
          </cell>
          <cell r="B61" t="str">
            <v>MARCEL BELMIRO</v>
          </cell>
          <cell r="C61">
            <v>37</v>
          </cell>
          <cell r="D61">
            <v>35</v>
          </cell>
          <cell r="E61">
            <v>32</v>
          </cell>
          <cell r="F61">
            <v>30</v>
          </cell>
          <cell r="G61">
            <v>31</v>
          </cell>
          <cell r="H61">
            <v>0</v>
          </cell>
          <cell r="I61">
            <v>30</v>
          </cell>
          <cell r="J61">
            <v>27</v>
          </cell>
          <cell r="K61">
            <v>0</v>
          </cell>
          <cell r="L61">
            <v>31</v>
          </cell>
          <cell r="M61">
            <v>29</v>
          </cell>
          <cell r="N61">
            <v>33</v>
          </cell>
          <cell r="O61">
            <v>34</v>
          </cell>
          <cell r="P61">
            <v>0</v>
          </cell>
          <cell r="Q61">
            <v>0</v>
          </cell>
          <cell r="R61">
            <v>0</v>
          </cell>
          <cell r="S61">
            <v>17</v>
          </cell>
          <cell r="T61">
            <v>0</v>
          </cell>
          <cell r="U61">
            <v>30</v>
          </cell>
          <cell r="V61">
            <v>34</v>
          </cell>
          <cell r="W61">
            <v>0</v>
          </cell>
          <cell r="X61">
            <v>31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37</v>
          </cell>
          <cell r="AP61">
            <v>35</v>
          </cell>
          <cell r="AQ61">
            <v>32</v>
          </cell>
          <cell r="AR61">
            <v>30</v>
          </cell>
          <cell r="AS61">
            <v>31</v>
          </cell>
          <cell r="AT61">
            <v>0</v>
          </cell>
          <cell r="AU61">
            <v>30</v>
          </cell>
          <cell r="AV61">
            <v>27</v>
          </cell>
          <cell r="AW61">
            <v>0</v>
          </cell>
          <cell r="AX61">
            <v>31</v>
          </cell>
          <cell r="AY61">
            <v>29</v>
          </cell>
          <cell r="AZ61">
            <v>33</v>
          </cell>
          <cell r="BA61">
            <v>34</v>
          </cell>
          <cell r="BB61">
            <v>0</v>
          </cell>
          <cell r="BC61">
            <v>0</v>
          </cell>
          <cell r="BD61">
            <v>0</v>
          </cell>
          <cell r="BE61">
            <v>17</v>
          </cell>
          <cell r="BF61">
            <v>0</v>
          </cell>
          <cell r="BG61">
            <v>30</v>
          </cell>
          <cell r="BH61">
            <v>34</v>
          </cell>
          <cell r="BI61">
            <v>0</v>
          </cell>
          <cell r="BJ61">
            <v>31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15</v>
          </cell>
        </row>
        <row r="62">
          <cell r="A62">
            <v>92430</v>
          </cell>
          <cell r="B62" t="str">
            <v>GRACIA KITHARA MUSICA GERALDIA</v>
          </cell>
          <cell r="C62">
            <v>25</v>
          </cell>
          <cell r="D62">
            <v>25</v>
          </cell>
          <cell r="E62">
            <v>24</v>
          </cell>
          <cell r="F62">
            <v>28</v>
          </cell>
          <cell r="G62">
            <v>24</v>
          </cell>
          <cell r="H62">
            <v>0</v>
          </cell>
          <cell r="I62">
            <v>24</v>
          </cell>
          <cell r="J62">
            <v>23</v>
          </cell>
          <cell r="K62">
            <v>0</v>
          </cell>
          <cell r="L62">
            <v>22</v>
          </cell>
          <cell r="M62">
            <v>25</v>
          </cell>
          <cell r="N62">
            <v>22</v>
          </cell>
          <cell r="O62">
            <v>24</v>
          </cell>
          <cell r="P62">
            <v>0</v>
          </cell>
          <cell r="Q62">
            <v>0</v>
          </cell>
          <cell r="R62">
            <v>0</v>
          </cell>
          <cell r="S62">
            <v>15</v>
          </cell>
          <cell r="T62">
            <v>0</v>
          </cell>
          <cell r="U62">
            <v>24</v>
          </cell>
          <cell r="V62">
            <v>21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25</v>
          </cell>
          <cell r="AP62">
            <v>25</v>
          </cell>
          <cell r="AQ62">
            <v>24</v>
          </cell>
          <cell r="AR62">
            <v>28</v>
          </cell>
          <cell r="AS62">
            <v>24</v>
          </cell>
          <cell r="AT62">
            <v>0</v>
          </cell>
          <cell r="AU62">
            <v>24</v>
          </cell>
          <cell r="AV62">
            <v>23</v>
          </cell>
          <cell r="AW62">
            <v>0</v>
          </cell>
          <cell r="AX62">
            <v>22</v>
          </cell>
          <cell r="AY62">
            <v>25</v>
          </cell>
          <cell r="AZ62">
            <v>22</v>
          </cell>
          <cell r="BA62">
            <v>24</v>
          </cell>
          <cell r="BB62">
            <v>0</v>
          </cell>
          <cell r="BC62">
            <v>0</v>
          </cell>
          <cell r="BD62">
            <v>0</v>
          </cell>
          <cell r="BE62">
            <v>15</v>
          </cell>
          <cell r="BF62">
            <v>0</v>
          </cell>
          <cell r="BG62">
            <v>24</v>
          </cell>
          <cell r="BH62">
            <v>21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14</v>
          </cell>
        </row>
        <row r="63">
          <cell r="A63">
            <v>92594</v>
          </cell>
          <cell r="B63" t="str">
            <v>BRYAN JULIANO IMANTAKA</v>
          </cell>
          <cell r="C63">
            <v>36</v>
          </cell>
          <cell r="D63">
            <v>43</v>
          </cell>
          <cell r="E63">
            <v>0</v>
          </cell>
          <cell r="F63">
            <v>35</v>
          </cell>
          <cell r="G63">
            <v>31</v>
          </cell>
          <cell r="H63">
            <v>0</v>
          </cell>
          <cell r="I63">
            <v>33</v>
          </cell>
          <cell r="J63">
            <v>27</v>
          </cell>
          <cell r="K63">
            <v>0</v>
          </cell>
          <cell r="L63">
            <v>28</v>
          </cell>
          <cell r="M63">
            <v>30</v>
          </cell>
          <cell r="N63">
            <v>0</v>
          </cell>
          <cell r="O63">
            <v>33</v>
          </cell>
          <cell r="P63">
            <v>0</v>
          </cell>
          <cell r="Q63">
            <v>0</v>
          </cell>
          <cell r="R63">
            <v>0</v>
          </cell>
          <cell r="S63">
            <v>21</v>
          </cell>
          <cell r="T63">
            <v>26</v>
          </cell>
          <cell r="U63">
            <v>30</v>
          </cell>
          <cell r="V63">
            <v>32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35</v>
          </cell>
          <cell r="AB63">
            <v>28</v>
          </cell>
          <cell r="AC63">
            <v>0</v>
          </cell>
          <cell r="AD63">
            <v>35</v>
          </cell>
          <cell r="AE63">
            <v>25</v>
          </cell>
          <cell r="AF63">
            <v>0</v>
          </cell>
          <cell r="AG63">
            <v>32</v>
          </cell>
          <cell r="AH63">
            <v>31</v>
          </cell>
          <cell r="AI63">
            <v>34</v>
          </cell>
          <cell r="AJ63">
            <v>33</v>
          </cell>
          <cell r="AK63">
            <v>0</v>
          </cell>
          <cell r="AL63">
            <v>30</v>
          </cell>
          <cell r="AM63">
            <v>34</v>
          </cell>
          <cell r="AN63">
            <v>0</v>
          </cell>
          <cell r="AO63">
            <v>36</v>
          </cell>
          <cell r="AP63">
            <v>43</v>
          </cell>
          <cell r="AQ63">
            <v>0</v>
          </cell>
          <cell r="AR63">
            <v>35</v>
          </cell>
          <cell r="AS63">
            <v>31</v>
          </cell>
          <cell r="AT63">
            <v>0</v>
          </cell>
          <cell r="AU63">
            <v>33</v>
          </cell>
          <cell r="AV63">
            <v>27</v>
          </cell>
          <cell r="AW63">
            <v>0</v>
          </cell>
          <cell r="AX63">
            <v>28</v>
          </cell>
          <cell r="AY63">
            <v>30</v>
          </cell>
          <cell r="AZ63">
            <v>0</v>
          </cell>
          <cell r="BA63">
            <v>33</v>
          </cell>
          <cell r="BB63">
            <v>0</v>
          </cell>
          <cell r="BC63">
            <v>0</v>
          </cell>
          <cell r="BD63">
            <v>0</v>
          </cell>
          <cell r="BE63">
            <v>21</v>
          </cell>
          <cell r="BF63">
            <v>26</v>
          </cell>
          <cell r="BG63">
            <v>30</v>
          </cell>
          <cell r="BH63">
            <v>32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35</v>
          </cell>
          <cell r="BN63">
            <v>28</v>
          </cell>
          <cell r="BO63">
            <v>0</v>
          </cell>
          <cell r="BP63">
            <v>35</v>
          </cell>
          <cell r="BQ63">
            <v>25</v>
          </cell>
          <cell r="BR63">
            <v>0</v>
          </cell>
          <cell r="BS63">
            <v>32</v>
          </cell>
          <cell r="BT63">
            <v>31</v>
          </cell>
          <cell r="BU63">
            <v>34</v>
          </cell>
          <cell r="BV63">
            <v>33</v>
          </cell>
          <cell r="BW63">
            <v>0</v>
          </cell>
          <cell r="BX63">
            <v>30</v>
          </cell>
          <cell r="BY63">
            <v>34</v>
          </cell>
          <cell r="BZ63">
            <v>0</v>
          </cell>
          <cell r="CA63">
            <v>23</v>
          </cell>
        </row>
        <row r="64">
          <cell r="A64" t="str">
            <v>A0155</v>
          </cell>
          <cell r="B64" t="str">
            <v>RAYMON PITERZ GODLIEB</v>
          </cell>
          <cell r="C64">
            <v>19</v>
          </cell>
          <cell r="D64">
            <v>25</v>
          </cell>
          <cell r="E64">
            <v>0</v>
          </cell>
          <cell r="F64">
            <v>21</v>
          </cell>
          <cell r="G64">
            <v>21</v>
          </cell>
          <cell r="H64">
            <v>0</v>
          </cell>
          <cell r="I64">
            <v>17</v>
          </cell>
          <cell r="J64">
            <v>16</v>
          </cell>
          <cell r="K64">
            <v>0</v>
          </cell>
          <cell r="L64">
            <v>16</v>
          </cell>
          <cell r="M64">
            <v>17</v>
          </cell>
          <cell r="N64">
            <v>0</v>
          </cell>
          <cell r="O64">
            <v>21</v>
          </cell>
          <cell r="P64">
            <v>25</v>
          </cell>
          <cell r="Q64">
            <v>20</v>
          </cell>
          <cell r="R64">
            <v>22</v>
          </cell>
          <cell r="S64">
            <v>12</v>
          </cell>
          <cell r="T64">
            <v>16</v>
          </cell>
          <cell r="U64">
            <v>21</v>
          </cell>
          <cell r="V64">
            <v>20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17</v>
          </cell>
          <cell r="AB64">
            <v>16</v>
          </cell>
          <cell r="AC64">
            <v>0</v>
          </cell>
          <cell r="AD64">
            <v>16</v>
          </cell>
          <cell r="AE64">
            <v>19</v>
          </cell>
          <cell r="AF64">
            <v>0</v>
          </cell>
          <cell r="AG64">
            <v>15</v>
          </cell>
          <cell r="AH64">
            <v>13</v>
          </cell>
          <cell r="AI64">
            <v>23</v>
          </cell>
          <cell r="AJ64">
            <v>21</v>
          </cell>
          <cell r="AK64">
            <v>0</v>
          </cell>
          <cell r="AL64">
            <v>20</v>
          </cell>
          <cell r="AM64">
            <v>16</v>
          </cell>
          <cell r="AN64">
            <v>0</v>
          </cell>
          <cell r="AO64">
            <v>19</v>
          </cell>
          <cell r="AP64">
            <v>25</v>
          </cell>
          <cell r="AQ64">
            <v>0</v>
          </cell>
          <cell r="AR64">
            <v>21</v>
          </cell>
          <cell r="AS64">
            <v>21</v>
          </cell>
          <cell r="AT64">
            <v>0</v>
          </cell>
          <cell r="AU64">
            <v>17</v>
          </cell>
          <cell r="AV64">
            <v>16</v>
          </cell>
          <cell r="AW64">
            <v>0</v>
          </cell>
          <cell r="AX64">
            <v>16</v>
          </cell>
          <cell r="AY64">
            <v>17</v>
          </cell>
          <cell r="AZ64">
            <v>0</v>
          </cell>
          <cell r="BA64">
            <v>21</v>
          </cell>
          <cell r="BB64">
            <v>25</v>
          </cell>
          <cell r="BC64">
            <v>20</v>
          </cell>
          <cell r="BD64">
            <v>22</v>
          </cell>
          <cell r="BE64">
            <v>12</v>
          </cell>
          <cell r="BF64">
            <v>16</v>
          </cell>
          <cell r="BG64">
            <v>21</v>
          </cell>
          <cell r="BH64">
            <v>20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17</v>
          </cell>
          <cell r="BN64">
            <v>16</v>
          </cell>
          <cell r="BO64">
            <v>0</v>
          </cell>
          <cell r="BP64">
            <v>16</v>
          </cell>
          <cell r="BQ64">
            <v>19</v>
          </cell>
          <cell r="BR64">
            <v>0</v>
          </cell>
          <cell r="BS64">
            <v>15</v>
          </cell>
          <cell r="BT64">
            <v>13</v>
          </cell>
          <cell r="BU64">
            <v>23</v>
          </cell>
          <cell r="BV64">
            <v>21</v>
          </cell>
          <cell r="BW64">
            <v>0</v>
          </cell>
          <cell r="BX64">
            <v>20</v>
          </cell>
          <cell r="BY64">
            <v>16</v>
          </cell>
          <cell r="BZ64">
            <v>0</v>
          </cell>
          <cell r="CA64">
            <v>26</v>
          </cell>
        </row>
        <row r="65">
          <cell r="A65" t="str">
            <v>A4556</v>
          </cell>
          <cell r="B65" t="str">
            <v>WIJANARKO RIFQI NUGROHO</v>
          </cell>
          <cell r="C65">
            <v>0</v>
          </cell>
          <cell r="D65">
            <v>0</v>
          </cell>
          <cell r="E65">
            <v>4</v>
          </cell>
          <cell r="F65">
            <v>0</v>
          </cell>
          <cell r="G65">
            <v>0</v>
          </cell>
          <cell r="H65">
            <v>0</v>
          </cell>
          <cell r="I65">
            <v>8</v>
          </cell>
          <cell r="J65">
            <v>7</v>
          </cell>
          <cell r="K65">
            <v>0</v>
          </cell>
          <cell r="L65">
            <v>10</v>
          </cell>
          <cell r="M65">
            <v>8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11</v>
          </cell>
          <cell r="V65">
            <v>12</v>
          </cell>
          <cell r="W65">
            <v>0</v>
          </cell>
          <cell r="X65">
            <v>12</v>
          </cell>
          <cell r="Y65">
            <v>13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13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15</v>
          </cell>
          <cell r="AJ65">
            <v>12</v>
          </cell>
          <cell r="AK65">
            <v>0</v>
          </cell>
          <cell r="AL65">
            <v>15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10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11</v>
          </cell>
          <cell r="BH65">
            <v>12</v>
          </cell>
          <cell r="BI65">
            <v>0</v>
          </cell>
          <cell r="BJ65">
            <v>12</v>
          </cell>
          <cell r="BK65">
            <v>13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13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15</v>
          </cell>
          <cell r="BV65">
            <v>12</v>
          </cell>
          <cell r="BW65">
            <v>0</v>
          </cell>
          <cell r="BX65">
            <v>15</v>
          </cell>
          <cell r="BY65">
            <v>0</v>
          </cell>
          <cell r="BZ65">
            <v>0</v>
          </cell>
          <cell r="CA65">
            <v>13</v>
          </cell>
        </row>
        <row r="66">
          <cell r="A66" t="str">
            <v>A4558</v>
          </cell>
          <cell r="B66" t="str">
            <v>TIRTA RHAMADANTY</v>
          </cell>
          <cell r="C66">
            <v>0</v>
          </cell>
          <cell r="D66">
            <v>0</v>
          </cell>
          <cell r="E66">
            <v>2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5</v>
          </cell>
          <cell r="Q66">
            <v>5</v>
          </cell>
          <cell r="R66">
            <v>0</v>
          </cell>
          <cell r="S66">
            <v>0</v>
          </cell>
          <cell r="T66">
            <v>0</v>
          </cell>
          <cell r="U66">
            <v>5</v>
          </cell>
          <cell r="V66">
            <v>4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5</v>
          </cell>
        </row>
        <row r="67">
          <cell r="A67" t="str">
            <v>A4557</v>
          </cell>
          <cell r="B67" t="str">
            <v>SHINTA YUNIA WULANDARI</v>
          </cell>
          <cell r="C67">
            <v>0</v>
          </cell>
          <cell r="D67">
            <v>0</v>
          </cell>
          <cell r="E67">
            <v>3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1</v>
          </cell>
        </row>
        <row r="68">
          <cell r="A68" t="str">
            <v>A4561</v>
          </cell>
          <cell r="B68" t="str">
            <v>DEDI IRAWAN</v>
          </cell>
          <cell r="C68">
            <v>3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6</v>
          </cell>
          <cell r="K68">
            <v>7</v>
          </cell>
          <cell r="L68">
            <v>0</v>
          </cell>
          <cell r="M68">
            <v>6</v>
          </cell>
          <cell r="N68">
            <v>6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5</v>
          </cell>
        </row>
        <row r="69">
          <cell r="A69" t="str">
            <v>A4560</v>
          </cell>
          <cell r="B69" t="str">
            <v>BONIFASIUS ADHI RENALGE DEWANTO</v>
          </cell>
          <cell r="C69">
            <v>4</v>
          </cell>
          <cell r="D69">
            <v>0</v>
          </cell>
          <cell r="E69">
            <v>0</v>
          </cell>
          <cell r="F69">
            <v>0</v>
          </cell>
          <cell r="G69">
            <v>12</v>
          </cell>
          <cell r="H69">
            <v>11</v>
          </cell>
          <cell r="I69">
            <v>0</v>
          </cell>
          <cell r="J69">
            <v>12</v>
          </cell>
          <cell r="K69">
            <v>10</v>
          </cell>
          <cell r="L69">
            <v>14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15</v>
          </cell>
          <cell r="AB69">
            <v>12</v>
          </cell>
          <cell r="AC69">
            <v>0</v>
          </cell>
          <cell r="AD69">
            <v>13</v>
          </cell>
          <cell r="AE69">
            <v>9</v>
          </cell>
          <cell r="AF69">
            <v>0</v>
          </cell>
          <cell r="AG69">
            <v>0</v>
          </cell>
          <cell r="AH69">
            <v>0</v>
          </cell>
          <cell r="AI69">
            <v>14</v>
          </cell>
          <cell r="AJ69">
            <v>10</v>
          </cell>
          <cell r="AK69">
            <v>0</v>
          </cell>
          <cell r="AL69">
            <v>12</v>
          </cell>
          <cell r="AM69">
            <v>12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12</v>
          </cell>
          <cell r="AT69">
            <v>11</v>
          </cell>
          <cell r="AU69">
            <v>0</v>
          </cell>
          <cell r="AV69">
            <v>12</v>
          </cell>
          <cell r="AW69">
            <v>10</v>
          </cell>
          <cell r="AX69">
            <v>14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15</v>
          </cell>
          <cell r="BN69">
            <v>12</v>
          </cell>
          <cell r="BO69">
            <v>0</v>
          </cell>
          <cell r="BP69">
            <v>13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14</v>
          </cell>
          <cell r="BV69">
            <v>10</v>
          </cell>
          <cell r="BW69">
            <v>0</v>
          </cell>
          <cell r="BX69">
            <v>12</v>
          </cell>
          <cell r="BY69">
            <v>12</v>
          </cell>
          <cell r="BZ69">
            <v>0</v>
          </cell>
          <cell r="CA69">
            <v>14</v>
          </cell>
        </row>
        <row r="70">
          <cell r="A70" t="str">
            <v>A4559</v>
          </cell>
          <cell r="B70" t="str">
            <v>DINA FADHILA</v>
          </cell>
          <cell r="C70">
            <v>4</v>
          </cell>
          <cell r="D70">
            <v>0</v>
          </cell>
          <cell r="E70">
            <v>0</v>
          </cell>
          <cell r="F70">
            <v>0</v>
          </cell>
          <cell r="G70">
            <v>4</v>
          </cell>
          <cell r="H70">
            <v>7</v>
          </cell>
          <cell r="I70">
            <v>0</v>
          </cell>
          <cell r="J70">
            <v>0</v>
          </cell>
          <cell r="K70">
            <v>5</v>
          </cell>
          <cell r="L70">
            <v>0</v>
          </cell>
          <cell r="M70">
            <v>6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5</v>
          </cell>
        </row>
        <row r="71">
          <cell r="A71" t="str">
            <v>A4563</v>
          </cell>
          <cell r="B71" t="str">
            <v>MUHAMMAD RAFI NUR SETO</v>
          </cell>
          <cell r="C71">
            <v>0</v>
          </cell>
          <cell r="D71">
            <v>4</v>
          </cell>
          <cell r="E71">
            <v>0</v>
          </cell>
          <cell r="F71">
            <v>0</v>
          </cell>
          <cell r="G71">
            <v>7</v>
          </cell>
          <cell r="H71">
            <v>9</v>
          </cell>
          <cell r="I71">
            <v>0</v>
          </cell>
          <cell r="J71">
            <v>5</v>
          </cell>
          <cell r="K71">
            <v>8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11</v>
          </cell>
          <cell r="AA71">
            <v>13</v>
          </cell>
          <cell r="AB71">
            <v>10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11</v>
          </cell>
          <cell r="AJ71">
            <v>11</v>
          </cell>
          <cell r="AK71">
            <v>0</v>
          </cell>
          <cell r="AL71">
            <v>15</v>
          </cell>
          <cell r="AM71">
            <v>12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11</v>
          </cell>
          <cell r="BM71">
            <v>13</v>
          </cell>
          <cell r="BN71">
            <v>10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11</v>
          </cell>
          <cell r="BV71">
            <v>11</v>
          </cell>
          <cell r="BW71">
            <v>0</v>
          </cell>
          <cell r="BX71">
            <v>15</v>
          </cell>
          <cell r="BY71">
            <v>12</v>
          </cell>
          <cell r="BZ71">
            <v>0</v>
          </cell>
          <cell r="CA71">
            <v>12</v>
          </cell>
        </row>
        <row r="72">
          <cell r="A72" t="str">
            <v>A4565</v>
          </cell>
          <cell r="B72" t="str">
            <v>OLIVIA DISSA</v>
          </cell>
          <cell r="C72">
            <v>0</v>
          </cell>
          <cell r="D72">
            <v>6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9</v>
          </cell>
          <cell r="L72">
            <v>0</v>
          </cell>
          <cell r="M72">
            <v>8</v>
          </cell>
          <cell r="N72">
            <v>7</v>
          </cell>
          <cell r="O72">
            <v>6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5</v>
          </cell>
        </row>
        <row r="73">
          <cell r="A73" t="str">
            <v>A4562</v>
          </cell>
          <cell r="B73" t="str">
            <v>NISAA ZAHRALAKSMI</v>
          </cell>
          <cell r="C73">
            <v>0</v>
          </cell>
          <cell r="D73">
            <v>6</v>
          </cell>
          <cell r="E73">
            <v>0</v>
          </cell>
          <cell r="F73">
            <v>11</v>
          </cell>
          <cell r="G73">
            <v>0</v>
          </cell>
          <cell r="H73">
            <v>0</v>
          </cell>
          <cell r="I73">
            <v>10</v>
          </cell>
          <cell r="J73">
            <v>0</v>
          </cell>
          <cell r="K73">
            <v>0</v>
          </cell>
          <cell r="L73">
            <v>10</v>
          </cell>
          <cell r="M73">
            <v>0</v>
          </cell>
          <cell r="N73">
            <v>0</v>
          </cell>
          <cell r="O73">
            <v>11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11</v>
          </cell>
          <cell r="AS73">
            <v>0</v>
          </cell>
          <cell r="AT73">
            <v>0</v>
          </cell>
          <cell r="AU73">
            <v>10</v>
          </cell>
          <cell r="AV73">
            <v>0</v>
          </cell>
          <cell r="AW73">
            <v>0</v>
          </cell>
          <cell r="AX73">
            <v>10</v>
          </cell>
          <cell r="AY73">
            <v>0</v>
          </cell>
          <cell r="AZ73">
            <v>0</v>
          </cell>
          <cell r="BA73">
            <v>11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5</v>
          </cell>
        </row>
        <row r="74">
          <cell r="A74">
            <v>92213</v>
          </cell>
          <cell r="B74" t="str">
            <v>AGUNG PAMBUDI</v>
          </cell>
          <cell r="C74">
            <v>0</v>
          </cell>
          <cell r="D74">
            <v>0</v>
          </cell>
          <cell r="E74">
            <v>16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19</v>
          </cell>
          <cell r="O74">
            <v>0</v>
          </cell>
          <cell r="P74">
            <v>0</v>
          </cell>
          <cell r="Q74">
            <v>24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14</v>
          </cell>
          <cell r="X74">
            <v>0</v>
          </cell>
          <cell r="Y74">
            <v>0</v>
          </cell>
          <cell r="Z74">
            <v>21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20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16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19</v>
          </cell>
          <cell r="BA74">
            <v>0</v>
          </cell>
          <cell r="BB74">
            <v>0</v>
          </cell>
          <cell r="BC74">
            <v>24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14</v>
          </cell>
          <cell r="BJ74">
            <v>0</v>
          </cell>
          <cell r="BK74">
            <v>0</v>
          </cell>
          <cell r="BL74">
            <v>21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20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6</v>
          </cell>
        </row>
        <row r="75">
          <cell r="A75" t="str">
            <v>A4575</v>
          </cell>
          <cell r="B75" t="str">
            <v>SHABRINA ARDANI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5</v>
          </cell>
          <cell r="V75">
            <v>7</v>
          </cell>
          <cell r="W75">
            <v>0</v>
          </cell>
          <cell r="X75">
            <v>9</v>
          </cell>
          <cell r="Y75">
            <v>8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9</v>
          </cell>
          <cell r="AM75">
            <v>9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6</v>
          </cell>
        </row>
        <row r="76">
          <cell r="A76" t="str">
            <v>A4576</v>
          </cell>
          <cell r="B76" t="str">
            <v>RISKO ROISUL ABIDIN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7</v>
          </cell>
          <cell r="AB76">
            <v>4</v>
          </cell>
          <cell r="AC76">
            <v>0</v>
          </cell>
          <cell r="AD76">
            <v>7</v>
          </cell>
          <cell r="AE76">
            <v>6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4</v>
          </cell>
        </row>
        <row r="77">
          <cell r="A77" t="str">
            <v>A4577</v>
          </cell>
          <cell r="B77" t="str">
            <v>TSALSABILLA DIAN KURNIA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10</v>
          </cell>
          <cell r="AE77">
            <v>10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10</v>
          </cell>
          <cell r="BQ77">
            <v>10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2</v>
          </cell>
        </row>
        <row r="78">
          <cell r="A78" t="str">
            <v>A4578</v>
          </cell>
          <cell r="B78" t="str">
            <v>VIKA HARVIANA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6</v>
          </cell>
          <cell r="W78">
            <v>4</v>
          </cell>
          <cell r="X78">
            <v>0</v>
          </cell>
          <cell r="Y78">
            <v>6</v>
          </cell>
          <cell r="Z78">
            <v>5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4</v>
          </cell>
        </row>
        <row r="79">
          <cell r="A79" t="str">
            <v>A4581</v>
          </cell>
          <cell r="B79" t="str">
            <v>SALSABILAH BETHARI YASMIN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11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11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1</v>
          </cell>
        </row>
        <row r="80">
          <cell r="A80" t="str">
            <v>A4579</v>
          </cell>
          <cell r="B80" t="str">
            <v>MUHAMMAD AKBAR PAMUNGKAS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10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10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1</v>
          </cell>
        </row>
        <row r="81">
          <cell r="A81" t="str">
            <v>A4496</v>
          </cell>
          <cell r="B81" t="str">
            <v>PUSPITA LARASATI</v>
          </cell>
          <cell r="C81">
            <v>0</v>
          </cell>
          <cell r="D81">
            <v>0</v>
          </cell>
          <cell r="E81">
            <v>0</v>
          </cell>
          <cell r="F81">
            <v>20</v>
          </cell>
          <cell r="G81">
            <v>0</v>
          </cell>
          <cell r="H81">
            <v>0</v>
          </cell>
          <cell r="I81">
            <v>18</v>
          </cell>
          <cell r="J81">
            <v>0</v>
          </cell>
          <cell r="K81">
            <v>0</v>
          </cell>
          <cell r="L81">
            <v>17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18</v>
          </cell>
          <cell r="V81">
            <v>0</v>
          </cell>
          <cell r="W81">
            <v>0</v>
          </cell>
          <cell r="X81">
            <v>19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17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19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20</v>
          </cell>
          <cell r="AS81">
            <v>0</v>
          </cell>
          <cell r="AT81">
            <v>0</v>
          </cell>
          <cell r="AU81">
            <v>18</v>
          </cell>
          <cell r="AV81">
            <v>0</v>
          </cell>
          <cell r="AW81">
            <v>0</v>
          </cell>
          <cell r="AX81">
            <v>17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18</v>
          </cell>
          <cell r="BH81">
            <v>0</v>
          </cell>
          <cell r="BI81">
            <v>0</v>
          </cell>
          <cell r="BJ81">
            <v>19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17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19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7</v>
          </cell>
        </row>
        <row r="82">
          <cell r="A82" t="str">
            <v>A4498</v>
          </cell>
          <cell r="B82" t="str">
            <v>RESTI AYU OKTARINI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13</v>
          </cell>
          <cell r="H82">
            <v>14</v>
          </cell>
          <cell r="I82">
            <v>0</v>
          </cell>
          <cell r="J82">
            <v>11</v>
          </cell>
          <cell r="K82">
            <v>14</v>
          </cell>
          <cell r="L82">
            <v>0</v>
          </cell>
          <cell r="M82">
            <v>10</v>
          </cell>
          <cell r="N82">
            <v>12</v>
          </cell>
          <cell r="O82">
            <v>0</v>
          </cell>
          <cell r="P82">
            <v>14</v>
          </cell>
          <cell r="Q82">
            <v>16</v>
          </cell>
          <cell r="R82">
            <v>0</v>
          </cell>
          <cell r="S82">
            <v>11</v>
          </cell>
          <cell r="T82">
            <v>12</v>
          </cell>
          <cell r="U82">
            <v>0</v>
          </cell>
          <cell r="V82">
            <v>15</v>
          </cell>
          <cell r="W82">
            <v>11</v>
          </cell>
          <cell r="X82">
            <v>17</v>
          </cell>
          <cell r="Y82">
            <v>16</v>
          </cell>
          <cell r="Z82">
            <v>0</v>
          </cell>
          <cell r="AA82">
            <v>0</v>
          </cell>
          <cell r="AB82">
            <v>10</v>
          </cell>
          <cell r="AC82">
            <v>10</v>
          </cell>
          <cell r="AD82">
            <v>0</v>
          </cell>
          <cell r="AE82">
            <v>11</v>
          </cell>
          <cell r="AF82">
            <v>15</v>
          </cell>
          <cell r="AG82">
            <v>16</v>
          </cell>
          <cell r="AH82">
            <v>10</v>
          </cell>
          <cell r="AI82">
            <v>0</v>
          </cell>
          <cell r="AJ82">
            <v>16</v>
          </cell>
          <cell r="AK82">
            <v>19</v>
          </cell>
          <cell r="AL82">
            <v>0</v>
          </cell>
          <cell r="AM82">
            <v>16</v>
          </cell>
          <cell r="AN82">
            <v>21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13</v>
          </cell>
          <cell r="AT82">
            <v>14</v>
          </cell>
          <cell r="AU82">
            <v>0</v>
          </cell>
          <cell r="AV82">
            <v>11</v>
          </cell>
          <cell r="AW82">
            <v>14</v>
          </cell>
          <cell r="AX82">
            <v>0</v>
          </cell>
          <cell r="AY82">
            <v>10</v>
          </cell>
          <cell r="AZ82">
            <v>12</v>
          </cell>
          <cell r="BA82">
            <v>0</v>
          </cell>
          <cell r="BB82">
            <v>14</v>
          </cell>
          <cell r="BC82">
            <v>16</v>
          </cell>
          <cell r="BD82">
            <v>0</v>
          </cell>
          <cell r="BE82">
            <v>11</v>
          </cell>
          <cell r="BF82">
            <v>12</v>
          </cell>
          <cell r="BG82">
            <v>0</v>
          </cell>
          <cell r="BH82">
            <v>15</v>
          </cell>
          <cell r="BI82">
            <v>11</v>
          </cell>
          <cell r="BJ82">
            <v>17</v>
          </cell>
          <cell r="BK82">
            <v>16</v>
          </cell>
          <cell r="BL82">
            <v>0</v>
          </cell>
          <cell r="BM82">
            <v>0</v>
          </cell>
          <cell r="BN82">
            <v>10</v>
          </cell>
          <cell r="BO82">
            <v>10</v>
          </cell>
          <cell r="BP82">
            <v>0</v>
          </cell>
          <cell r="BQ82">
            <v>11</v>
          </cell>
          <cell r="BR82">
            <v>15</v>
          </cell>
          <cell r="BS82">
            <v>16</v>
          </cell>
          <cell r="BT82">
            <v>10</v>
          </cell>
          <cell r="BU82">
            <v>0</v>
          </cell>
          <cell r="BV82">
            <v>16</v>
          </cell>
          <cell r="BW82">
            <v>19</v>
          </cell>
          <cell r="BX82">
            <v>0</v>
          </cell>
          <cell r="BY82">
            <v>16</v>
          </cell>
          <cell r="BZ82">
            <v>21</v>
          </cell>
          <cell r="CA82">
            <v>24</v>
          </cell>
        </row>
        <row r="83">
          <cell r="A83" t="str">
            <v>A4503</v>
          </cell>
          <cell r="B83" t="str">
            <v>ANDIENE IZAZ</v>
          </cell>
          <cell r="C83">
            <v>0</v>
          </cell>
          <cell r="D83">
            <v>0</v>
          </cell>
          <cell r="E83">
            <v>0</v>
          </cell>
          <cell r="F83">
            <v>15</v>
          </cell>
          <cell r="G83">
            <v>0</v>
          </cell>
          <cell r="H83">
            <v>0</v>
          </cell>
          <cell r="I83">
            <v>12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12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14</v>
          </cell>
          <cell r="V83">
            <v>12</v>
          </cell>
          <cell r="W83">
            <v>0</v>
          </cell>
          <cell r="X83">
            <v>15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15</v>
          </cell>
          <cell r="AS83">
            <v>0</v>
          </cell>
          <cell r="AT83">
            <v>0</v>
          </cell>
          <cell r="AU83">
            <v>12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12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14</v>
          </cell>
          <cell r="BH83">
            <v>12</v>
          </cell>
          <cell r="BI83">
            <v>0</v>
          </cell>
          <cell r="BJ83">
            <v>15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6</v>
          </cell>
        </row>
        <row r="84">
          <cell r="A84" t="str">
            <v>A3436</v>
          </cell>
          <cell r="B84" t="str">
            <v>ANITA KRISTIANA LAIA</v>
          </cell>
          <cell r="C84">
            <v>0</v>
          </cell>
          <cell r="D84">
            <v>0</v>
          </cell>
          <cell r="E84">
            <v>0</v>
          </cell>
          <cell r="F84">
            <v>24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24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1</v>
          </cell>
        </row>
        <row r="85">
          <cell r="A85" t="str">
            <v>A0149</v>
          </cell>
          <cell r="B85" t="str">
            <v>EUFRASIA ALMELA VICKY</v>
          </cell>
          <cell r="C85">
            <v>0</v>
          </cell>
          <cell r="D85">
            <v>0</v>
          </cell>
          <cell r="E85">
            <v>0</v>
          </cell>
          <cell r="F85">
            <v>23</v>
          </cell>
          <cell r="G85">
            <v>18</v>
          </cell>
          <cell r="H85">
            <v>0</v>
          </cell>
          <cell r="I85">
            <v>22</v>
          </cell>
          <cell r="J85">
            <v>23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25</v>
          </cell>
          <cell r="P85">
            <v>28</v>
          </cell>
          <cell r="Q85">
            <v>30</v>
          </cell>
          <cell r="R85">
            <v>0</v>
          </cell>
          <cell r="S85">
            <v>0</v>
          </cell>
          <cell r="T85">
            <v>0</v>
          </cell>
          <cell r="U85">
            <v>18</v>
          </cell>
          <cell r="V85">
            <v>19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21</v>
          </cell>
          <cell r="AB85">
            <v>16</v>
          </cell>
          <cell r="AC85">
            <v>15</v>
          </cell>
          <cell r="AD85">
            <v>18</v>
          </cell>
          <cell r="AE85">
            <v>14</v>
          </cell>
          <cell r="AF85">
            <v>0</v>
          </cell>
          <cell r="AG85">
            <v>20</v>
          </cell>
          <cell r="AH85">
            <v>19</v>
          </cell>
          <cell r="AI85">
            <v>24</v>
          </cell>
          <cell r="AJ85">
            <v>24</v>
          </cell>
          <cell r="AK85">
            <v>25</v>
          </cell>
          <cell r="AL85">
            <v>20</v>
          </cell>
          <cell r="AM85">
            <v>19</v>
          </cell>
          <cell r="AN85">
            <v>21</v>
          </cell>
          <cell r="AO85">
            <v>0</v>
          </cell>
          <cell r="AP85">
            <v>0</v>
          </cell>
          <cell r="AQ85">
            <v>0</v>
          </cell>
          <cell r="AR85">
            <v>23</v>
          </cell>
          <cell r="AS85">
            <v>18</v>
          </cell>
          <cell r="AT85">
            <v>0</v>
          </cell>
          <cell r="AU85">
            <v>22</v>
          </cell>
          <cell r="AV85">
            <v>23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25</v>
          </cell>
          <cell r="BB85">
            <v>28</v>
          </cell>
          <cell r="BC85">
            <v>30</v>
          </cell>
          <cell r="BD85">
            <v>0</v>
          </cell>
          <cell r="BE85">
            <v>0</v>
          </cell>
          <cell r="BF85">
            <v>0</v>
          </cell>
          <cell r="BG85">
            <v>18</v>
          </cell>
          <cell r="BH85">
            <v>19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21</v>
          </cell>
          <cell r="BN85">
            <v>16</v>
          </cell>
          <cell r="BO85">
            <v>15</v>
          </cell>
          <cell r="BP85">
            <v>18</v>
          </cell>
          <cell r="BQ85">
            <v>14</v>
          </cell>
          <cell r="BR85">
            <v>0</v>
          </cell>
          <cell r="BS85">
            <v>20</v>
          </cell>
          <cell r="BT85">
            <v>19</v>
          </cell>
          <cell r="BU85">
            <v>24</v>
          </cell>
          <cell r="BV85">
            <v>24</v>
          </cell>
          <cell r="BW85">
            <v>25</v>
          </cell>
          <cell r="BX85">
            <v>20</v>
          </cell>
          <cell r="BY85">
            <v>19</v>
          </cell>
          <cell r="BZ85">
            <v>21</v>
          </cell>
          <cell r="CA85">
            <v>22</v>
          </cell>
        </row>
        <row r="86">
          <cell r="A86">
            <v>92112</v>
          </cell>
          <cell r="B86" t="str">
            <v>YUDHA DWI YULIANTO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32</v>
          </cell>
          <cell r="H86">
            <v>39</v>
          </cell>
          <cell r="I86">
            <v>0</v>
          </cell>
          <cell r="J86">
            <v>24</v>
          </cell>
          <cell r="K86">
            <v>37</v>
          </cell>
          <cell r="L86">
            <v>0</v>
          </cell>
          <cell r="M86">
            <v>24</v>
          </cell>
          <cell r="N86">
            <v>41</v>
          </cell>
          <cell r="O86">
            <v>0</v>
          </cell>
          <cell r="P86">
            <v>0</v>
          </cell>
          <cell r="Q86">
            <v>50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31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29</v>
          </cell>
          <cell r="AD86">
            <v>0</v>
          </cell>
          <cell r="AE86">
            <v>0</v>
          </cell>
          <cell r="AF86">
            <v>37</v>
          </cell>
          <cell r="AG86">
            <v>0</v>
          </cell>
          <cell r="AH86">
            <v>0</v>
          </cell>
          <cell r="AI86">
            <v>0</v>
          </cell>
          <cell r="AJ86">
            <v>30</v>
          </cell>
          <cell r="AK86">
            <v>51</v>
          </cell>
          <cell r="AL86">
            <v>0</v>
          </cell>
          <cell r="AM86">
            <v>40</v>
          </cell>
          <cell r="AN86">
            <v>43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32</v>
          </cell>
          <cell r="AT86">
            <v>39</v>
          </cell>
          <cell r="AU86">
            <v>0</v>
          </cell>
          <cell r="AV86">
            <v>24</v>
          </cell>
          <cell r="AW86">
            <v>37</v>
          </cell>
          <cell r="AX86">
            <v>0</v>
          </cell>
          <cell r="AY86">
            <v>24</v>
          </cell>
          <cell r="AZ86">
            <v>41</v>
          </cell>
          <cell r="BA86">
            <v>0</v>
          </cell>
          <cell r="BB86">
            <v>0</v>
          </cell>
          <cell r="BC86">
            <v>50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31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29</v>
          </cell>
          <cell r="BP86">
            <v>0</v>
          </cell>
          <cell r="BQ86">
            <v>0</v>
          </cell>
          <cell r="BR86">
            <v>37</v>
          </cell>
          <cell r="BS86">
            <v>0</v>
          </cell>
          <cell r="BT86">
            <v>0</v>
          </cell>
          <cell r="BU86">
            <v>0</v>
          </cell>
          <cell r="BV86">
            <v>30</v>
          </cell>
          <cell r="BW86">
            <v>51</v>
          </cell>
          <cell r="BX86">
            <v>0</v>
          </cell>
          <cell r="BY86">
            <v>40</v>
          </cell>
          <cell r="BZ86">
            <v>43</v>
          </cell>
          <cell r="CA86">
            <v>14</v>
          </cell>
        </row>
        <row r="87">
          <cell r="A87" t="str">
            <v>A4497</v>
          </cell>
          <cell r="B87" t="str">
            <v>FAHMI NAJIB</v>
          </cell>
          <cell r="C87">
            <v>0</v>
          </cell>
          <cell r="D87">
            <v>0</v>
          </cell>
          <cell r="E87">
            <v>0</v>
          </cell>
          <cell r="F87">
            <v>11</v>
          </cell>
          <cell r="G87">
            <v>0</v>
          </cell>
          <cell r="H87">
            <v>0</v>
          </cell>
          <cell r="I87">
            <v>10</v>
          </cell>
          <cell r="J87">
            <v>0</v>
          </cell>
          <cell r="K87">
            <v>0</v>
          </cell>
          <cell r="L87">
            <v>11</v>
          </cell>
          <cell r="M87">
            <v>8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10</v>
          </cell>
          <cell r="T87">
            <v>0</v>
          </cell>
          <cell r="U87">
            <v>0</v>
          </cell>
          <cell r="V87">
            <v>0</v>
          </cell>
          <cell r="W87">
            <v>11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11</v>
          </cell>
          <cell r="AS87">
            <v>0</v>
          </cell>
          <cell r="AT87">
            <v>0</v>
          </cell>
          <cell r="AU87">
            <v>10</v>
          </cell>
          <cell r="AV87">
            <v>0</v>
          </cell>
          <cell r="AW87">
            <v>0</v>
          </cell>
          <cell r="AX87">
            <v>11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10</v>
          </cell>
          <cell r="BF87">
            <v>0</v>
          </cell>
          <cell r="BG87">
            <v>0</v>
          </cell>
          <cell r="BH87">
            <v>0</v>
          </cell>
          <cell r="BI87">
            <v>11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6</v>
          </cell>
        </row>
        <row r="88">
          <cell r="A88" t="str">
            <v>A4488</v>
          </cell>
          <cell r="B88" t="str">
            <v>FARRAS DAFFA YASSARRAMADHAN</v>
          </cell>
          <cell r="C88">
            <v>0</v>
          </cell>
          <cell r="D88">
            <v>0</v>
          </cell>
          <cell r="E88">
            <v>0</v>
          </cell>
          <cell r="F88">
            <v>12</v>
          </cell>
          <cell r="G88">
            <v>0</v>
          </cell>
          <cell r="H88">
            <v>0</v>
          </cell>
          <cell r="I88">
            <v>10</v>
          </cell>
          <cell r="J88">
            <v>9</v>
          </cell>
          <cell r="K88">
            <v>0</v>
          </cell>
          <cell r="L88">
            <v>13</v>
          </cell>
          <cell r="M88">
            <v>10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13</v>
          </cell>
          <cell r="AB88">
            <v>10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12</v>
          </cell>
          <cell r="AS88">
            <v>0</v>
          </cell>
          <cell r="AT88">
            <v>0</v>
          </cell>
          <cell r="AU88">
            <v>10</v>
          </cell>
          <cell r="AV88">
            <v>0</v>
          </cell>
          <cell r="AW88">
            <v>0</v>
          </cell>
          <cell r="AX88">
            <v>13</v>
          </cell>
          <cell r="AY88">
            <v>10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13</v>
          </cell>
          <cell r="BN88">
            <v>10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7</v>
          </cell>
        </row>
        <row r="89">
          <cell r="A89" t="str">
            <v>A4504</v>
          </cell>
          <cell r="B89" t="str">
            <v>ORENDA ATIRA MARIA LADAPASE</v>
          </cell>
          <cell r="C89">
            <v>0</v>
          </cell>
          <cell r="D89">
            <v>0</v>
          </cell>
          <cell r="E89">
            <v>0</v>
          </cell>
          <cell r="F89">
            <v>7</v>
          </cell>
          <cell r="G89">
            <v>6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8</v>
          </cell>
          <cell r="AB89">
            <v>5</v>
          </cell>
          <cell r="AC89">
            <v>0</v>
          </cell>
          <cell r="AD89">
            <v>8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8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6</v>
          </cell>
        </row>
        <row r="90">
          <cell r="A90">
            <v>92677</v>
          </cell>
          <cell r="B90" t="str">
            <v>DHIKI SATRIA SEPTIANO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28</v>
          </cell>
          <cell r="H90">
            <v>30</v>
          </cell>
          <cell r="I90">
            <v>0</v>
          </cell>
          <cell r="J90">
            <v>26</v>
          </cell>
          <cell r="K90">
            <v>27</v>
          </cell>
          <cell r="L90">
            <v>0</v>
          </cell>
          <cell r="M90">
            <v>24</v>
          </cell>
          <cell r="N90">
            <v>29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24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20</v>
          </cell>
          <cell r="AB90">
            <v>17</v>
          </cell>
          <cell r="AC90">
            <v>0</v>
          </cell>
          <cell r="AD90">
            <v>25</v>
          </cell>
          <cell r="AE90">
            <v>20</v>
          </cell>
          <cell r="AF90">
            <v>0</v>
          </cell>
          <cell r="AG90">
            <v>28</v>
          </cell>
          <cell r="AH90">
            <v>18</v>
          </cell>
          <cell r="AI90">
            <v>31</v>
          </cell>
          <cell r="AJ90">
            <v>25</v>
          </cell>
          <cell r="AK90">
            <v>0</v>
          </cell>
          <cell r="AL90">
            <v>24</v>
          </cell>
          <cell r="AM90">
            <v>20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28</v>
          </cell>
          <cell r="AT90">
            <v>30</v>
          </cell>
          <cell r="AU90">
            <v>0</v>
          </cell>
          <cell r="AV90">
            <v>26</v>
          </cell>
          <cell r="AW90">
            <v>27</v>
          </cell>
          <cell r="AX90">
            <v>0</v>
          </cell>
          <cell r="AY90">
            <v>24</v>
          </cell>
          <cell r="AZ90">
            <v>29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24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20</v>
          </cell>
          <cell r="BN90">
            <v>17</v>
          </cell>
          <cell r="BO90">
            <v>0</v>
          </cell>
          <cell r="BP90">
            <v>25</v>
          </cell>
          <cell r="BQ90">
            <v>20</v>
          </cell>
          <cell r="BR90">
            <v>0</v>
          </cell>
          <cell r="BS90">
            <v>28</v>
          </cell>
          <cell r="BT90">
            <v>18</v>
          </cell>
          <cell r="BU90">
            <v>31</v>
          </cell>
          <cell r="BV90">
            <v>25</v>
          </cell>
          <cell r="BW90">
            <v>0</v>
          </cell>
          <cell r="BX90">
            <v>24</v>
          </cell>
          <cell r="BY90">
            <v>20</v>
          </cell>
          <cell r="BZ90">
            <v>0</v>
          </cell>
          <cell r="CA90">
            <v>17</v>
          </cell>
        </row>
        <row r="91">
          <cell r="A91" t="str">
            <v>A4336</v>
          </cell>
          <cell r="B91" t="str">
            <v>M DIMAS SETYA MAHENDRA</v>
          </cell>
          <cell r="C91">
            <v>0</v>
          </cell>
          <cell r="D91">
            <v>0</v>
          </cell>
          <cell r="E91">
            <v>0</v>
          </cell>
          <cell r="F91">
            <v>25</v>
          </cell>
          <cell r="G91">
            <v>19</v>
          </cell>
          <cell r="H91">
            <v>0</v>
          </cell>
          <cell r="I91">
            <v>0</v>
          </cell>
          <cell r="J91">
            <v>18</v>
          </cell>
          <cell r="K91">
            <v>17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22</v>
          </cell>
          <cell r="R91">
            <v>0</v>
          </cell>
          <cell r="S91">
            <v>15</v>
          </cell>
          <cell r="T91">
            <v>13</v>
          </cell>
          <cell r="U91">
            <v>0</v>
          </cell>
          <cell r="V91">
            <v>0</v>
          </cell>
          <cell r="W91">
            <v>16</v>
          </cell>
          <cell r="X91">
            <v>0</v>
          </cell>
          <cell r="Y91">
            <v>20</v>
          </cell>
          <cell r="Z91">
            <v>16</v>
          </cell>
          <cell r="AA91">
            <v>16</v>
          </cell>
          <cell r="AB91">
            <v>15</v>
          </cell>
          <cell r="AC91">
            <v>0</v>
          </cell>
          <cell r="AD91">
            <v>18</v>
          </cell>
          <cell r="AE91">
            <v>8</v>
          </cell>
          <cell r="AF91">
            <v>0</v>
          </cell>
          <cell r="AG91">
            <v>18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25</v>
          </cell>
          <cell r="AS91">
            <v>19</v>
          </cell>
          <cell r="AT91">
            <v>0</v>
          </cell>
          <cell r="AU91">
            <v>0</v>
          </cell>
          <cell r="AV91">
            <v>18</v>
          </cell>
          <cell r="AW91">
            <v>17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22</v>
          </cell>
          <cell r="BD91">
            <v>0</v>
          </cell>
          <cell r="BE91">
            <v>15</v>
          </cell>
          <cell r="BF91">
            <v>13</v>
          </cell>
          <cell r="BG91">
            <v>0</v>
          </cell>
          <cell r="BH91">
            <v>0</v>
          </cell>
          <cell r="BI91">
            <v>16</v>
          </cell>
          <cell r="BJ91">
            <v>0</v>
          </cell>
          <cell r="BK91">
            <v>20</v>
          </cell>
          <cell r="BL91">
            <v>16</v>
          </cell>
          <cell r="BM91">
            <v>16</v>
          </cell>
          <cell r="BN91">
            <v>15</v>
          </cell>
          <cell r="BO91">
            <v>0</v>
          </cell>
          <cell r="BP91">
            <v>18</v>
          </cell>
          <cell r="BQ91">
            <v>0</v>
          </cell>
          <cell r="BR91">
            <v>0</v>
          </cell>
          <cell r="BS91">
            <v>18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15</v>
          </cell>
        </row>
        <row r="92">
          <cell r="A92">
            <v>92436</v>
          </cell>
          <cell r="B92" t="str">
            <v>GILANG WIRADANA</v>
          </cell>
          <cell r="C92">
            <v>0</v>
          </cell>
          <cell r="D92">
            <v>0</v>
          </cell>
          <cell r="E92">
            <v>0</v>
          </cell>
          <cell r="F92">
            <v>30</v>
          </cell>
          <cell r="G92">
            <v>28</v>
          </cell>
          <cell r="H92">
            <v>0</v>
          </cell>
          <cell r="I92">
            <v>27</v>
          </cell>
          <cell r="J92">
            <v>0</v>
          </cell>
          <cell r="K92">
            <v>0</v>
          </cell>
          <cell r="L92">
            <v>27</v>
          </cell>
          <cell r="M92">
            <v>21</v>
          </cell>
          <cell r="N92">
            <v>0</v>
          </cell>
          <cell r="O92">
            <v>32</v>
          </cell>
          <cell r="P92">
            <v>0</v>
          </cell>
          <cell r="Q92">
            <v>0</v>
          </cell>
          <cell r="R92">
            <v>0</v>
          </cell>
          <cell r="S92">
            <v>19</v>
          </cell>
          <cell r="T92">
            <v>0</v>
          </cell>
          <cell r="U92">
            <v>0</v>
          </cell>
          <cell r="V92">
            <v>24</v>
          </cell>
          <cell r="W92">
            <v>0</v>
          </cell>
          <cell r="X92">
            <v>33</v>
          </cell>
          <cell r="Y92">
            <v>30</v>
          </cell>
          <cell r="Z92">
            <v>0</v>
          </cell>
          <cell r="AA92">
            <v>30</v>
          </cell>
          <cell r="AB92">
            <v>24</v>
          </cell>
          <cell r="AC92">
            <v>0</v>
          </cell>
          <cell r="AD92">
            <v>25</v>
          </cell>
          <cell r="AE92">
            <v>17</v>
          </cell>
          <cell r="AF92">
            <v>0</v>
          </cell>
          <cell r="AG92">
            <v>24</v>
          </cell>
          <cell r="AH92">
            <v>19</v>
          </cell>
          <cell r="AI92">
            <v>30</v>
          </cell>
          <cell r="AJ92">
            <v>25</v>
          </cell>
          <cell r="AK92">
            <v>0</v>
          </cell>
          <cell r="AL92">
            <v>27</v>
          </cell>
          <cell r="AM92">
            <v>22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30</v>
          </cell>
          <cell r="AS92">
            <v>28</v>
          </cell>
          <cell r="AT92">
            <v>0</v>
          </cell>
          <cell r="AU92">
            <v>27</v>
          </cell>
          <cell r="AV92">
            <v>0</v>
          </cell>
          <cell r="AW92">
            <v>0</v>
          </cell>
          <cell r="AX92">
            <v>27</v>
          </cell>
          <cell r="AY92">
            <v>21</v>
          </cell>
          <cell r="AZ92">
            <v>0</v>
          </cell>
          <cell r="BA92">
            <v>32</v>
          </cell>
          <cell r="BB92">
            <v>0</v>
          </cell>
          <cell r="BC92">
            <v>0</v>
          </cell>
          <cell r="BD92">
            <v>0</v>
          </cell>
          <cell r="BE92">
            <v>19</v>
          </cell>
          <cell r="BF92">
            <v>0</v>
          </cell>
          <cell r="BG92">
            <v>0</v>
          </cell>
          <cell r="BH92">
            <v>24</v>
          </cell>
          <cell r="BI92">
            <v>0</v>
          </cell>
          <cell r="BJ92">
            <v>33</v>
          </cell>
          <cell r="BK92">
            <v>30</v>
          </cell>
          <cell r="BL92">
            <v>0</v>
          </cell>
          <cell r="BM92">
            <v>30</v>
          </cell>
          <cell r="BN92">
            <v>24</v>
          </cell>
          <cell r="BO92">
            <v>0</v>
          </cell>
          <cell r="BP92">
            <v>25</v>
          </cell>
          <cell r="BQ92">
            <v>17</v>
          </cell>
          <cell r="BR92">
            <v>0</v>
          </cell>
          <cell r="BS92">
            <v>24</v>
          </cell>
          <cell r="BT92">
            <v>19</v>
          </cell>
          <cell r="BU92">
            <v>30</v>
          </cell>
          <cell r="BV92">
            <v>25</v>
          </cell>
          <cell r="BW92">
            <v>0</v>
          </cell>
          <cell r="BX92">
            <v>27</v>
          </cell>
          <cell r="BY92">
            <v>22</v>
          </cell>
          <cell r="BZ92">
            <v>0</v>
          </cell>
          <cell r="CA92">
            <v>20</v>
          </cell>
        </row>
        <row r="93">
          <cell r="A93" t="str">
            <v>A4495</v>
          </cell>
          <cell r="B93" t="str">
            <v>YASMINAH FITRIAH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13</v>
          </cell>
          <cell r="J93">
            <v>0</v>
          </cell>
          <cell r="K93">
            <v>0</v>
          </cell>
          <cell r="L93">
            <v>11</v>
          </cell>
          <cell r="M93">
            <v>0</v>
          </cell>
          <cell r="N93">
            <v>0</v>
          </cell>
          <cell r="O93">
            <v>12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13</v>
          </cell>
          <cell r="AV93">
            <v>0</v>
          </cell>
          <cell r="AW93">
            <v>0</v>
          </cell>
          <cell r="AX93">
            <v>11</v>
          </cell>
          <cell r="AY93">
            <v>0</v>
          </cell>
          <cell r="AZ93">
            <v>0</v>
          </cell>
          <cell r="BA93">
            <v>12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3</v>
          </cell>
        </row>
        <row r="94">
          <cell r="A94" t="str">
            <v>A4500</v>
          </cell>
          <cell r="B94" t="str">
            <v>ARI ANGGITO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10</v>
          </cell>
          <cell r="K94">
            <v>10</v>
          </cell>
          <cell r="L94">
            <v>0</v>
          </cell>
          <cell r="M94">
            <v>11</v>
          </cell>
          <cell r="N94">
            <v>11</v>
          </cell>
          <cell r="O94">
            <v>0</v>
          </cell>
          <cell r="P94">
            <v>0</v>
          </cell>
          <cell r="Q94">
            <v>13</v>
          </cell>
          <cell r="R94">
            <v>0</v>
          </cell>
          <cell r="S94">
            <v>0</v>
          </cell>
          <cell r="T94">
            <v>11</v>
          </cell>
          <cell r="U94">
            <v>0</v>
          </cell>
          <cell r="V94">
            <v>0</v>
          </cell>
          <cell r="W94">
            <v>10</v>
          </cell>
          <cell r="X94">
            <v>0</v>
          </cell>
          <cell r="Y94">
            <v>0</v>
          </cell>
          <cell r="Z94">
            <v>11</v>
          </cell>
          <cell r="AA94">
            <v>0</v>
          </cell>
          <cell r="AB94">
            <v>11</v>
          </cell>
          <cell r="AC94">
            <v>9</v>
          </cell>
          <cell r="AD94">
            <v>0</v>
          </cell>
          <cell r="AE94">
            <v>12</v>
          </cell>
          <cell r="AF94">
            <v>10</v>
          </cell>
          <cell r="AG94">
            <v>14</v>
          </cell>
          <cell r="AH94">
            <v>0</v>
          </cell>
          <cell r="AI94">
            <v>0</v>
          </cell>
          <cell r="AJ94">
            <v>14</v>
          </cell>
          <cell r="AK94">
            <v>14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10</v>
          </cell>
          <cell r="AW94">
            <v>10</v>
          </cell>
          <cell r="AX94">
            <v>0</v>
          </cell>
          <cell r="AY94">
            <v>11</v>
          </cell>
          <cell r="AZ94">
            <v>11</v>
          </cell>
          <cell r="BA94">
            <v>0</v>
          </cell>
          <cell r="BB94">
            <v>0</v>
          </cell>
          <cell r="BC94">
            <v>13</v>
          </cell>
          <cell r="BD94">
            <v>0</v>
          </cell>
          <cell r="BE94">
            <v>0</v>
          </cell>
          <cell r="BF94">
            <v>11</v>
          </cell>
          <cell r="BG94">
            <v>0</v>
          </cell>
          <cell r="BH94">
            <v>0</v>
          </cell>
          <cell r="BI94">
            <v>10</v>
          </cell>
          <cell r="BJ94">
            <v>0</v>
          </cell>
          <cell r="BK94">
            <v>0</v>
          </cell>
          <cell r="BL94">
            <v>11</v>
          </cell>
          <cell r="BM94">
            <v>0</v>
          </cell>
          <cell r="BN94">
            <v>11</v>
          </cell>
          <cell r="BO94">
            <v>0</v>
          </cell>
          <cell r="BP94">
            <v>0</v>
          </cell>
          <cell r="BQ94">
            <v>12</v>
          </cell>
          <cell r="BR94">
            <v>10</v>
          </cell>
          <cell r="BS94">
            <v>14</v>
          </cell>
          <cell r="BT94">
            <v>0</v>
          </cell>
          <cell r="BU94">
            <v>0</v>
          </cell>
          <cell r="BV94">
            <v>14</v>
          </cell>
          <cell r="BW94">
            <v>14</v>
          </cell>
          <cell r="BX94">
            <v>0</v>
          </cell>
          <cell r="BY94">
            <v>0</v>
          </cell>
          <cell r="BZ94">
            <v>0</v>
          </cell>
          <cell r="CA94">
            <v>15</v>
          </cell>
        </row>
        <row r="95">
          <cell r="A95" t="str">
            <v>A4501</v>
          </cell>
          <cell r="B95" t="str">
            <v>RAMADHANTI PUSPITA SARI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11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9</v>
          </cell>
          <cell r="W95">
            <v>10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12</v>
          </cell>
          <cell r="AK95">
            <v>0</v>
          </cell>
          <cell r="AL95">
            <v>9</v>
          </cell>
          <cell r="AM95">
            <v>12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11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10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12</v>
          </cell>
          <cell r="BW95">
            <v>0</v>
          </cell>
          <cell r="BX95">
            <v>0</v>
          </cell>
          <cell r="BY95">
            <v>12</v>
          </cell>
          <cell r="BZ95">
            <v>0</v>
          </cell>
          <cell r="CA95">
            <v>6</v>
          </cell>
        </row>
        <row r="96">
          <cell r="A96">
            <v>92440</v>
          </cell>
          <cell r="B96" t="str">
            <v>NOVA SERLINA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27</v>
          </cell>
          <cell r="M96">
            <v>30</v>
          </cell>
          <cell r="N96">
            <v>24</v>
          </cell>
          <cell r="O96">
            <v>29</v>
          </cell>
          <cell r="P96">
            <v>29</v>
          </cell>
          <cell r="Q96">
            <v>37</v>
          </cell>
          <cell r="R96">
            <v>0</v>
          </cell>
          <cell r="S96">
            <v>13</v>
          </cell>
          <cell r="T96">
            <v>0</v>
          </cell>
          <cell r="U96">
            <v>32</v>
          </cell>
          <cell r="V96">
            <v>39</v>
          </cell>
          <cell r="W96">
            <v>30</v>
          </cell>
          <cell r="X96">
            <v>41</v>
          </cell>
          <cell r="Y96">
            <v>40</v>
          </cell>
          <cell r="Z96">
            <v>0</v>
          </cell>
          <cell r="AA96">
            <v>37</v>
          </cell>
          <cell r="AB96">
            <v>25</v>
          </cell>
          <cell r="AC96">
            <v>21</v>
          </cell>
          <cell r="AD96">
            <v>31</v>
          </cell>
          <cell r="AE96">
            <v>31</v>
          </cell>
          <cell r="AF96">
            <v>36</v>
          </cell>
          <cell r="AG96">
            <v>18</v>
          </cell>
          <cell r="AH96">
            <v>20</v>
          </cell>
          <cell r="AI96">
            <v>41</v>
          </cell>
          <cell r="AJ96">
            <v>40</v>
          </cell>
          <cell r="AK96">
            <v>0</v>
          </cell>
          <cell r="AL96">
            <v>34</v>
          </cell>
          <cell r="AM96">
            <v>32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27</v>
          </cell>
          <cell r="AY96">
            <v>30</v>
          </cell>
          <cell r="AZ96">
            <v>24</v>
          </cell>
          <cell r="BA96">
            <v>29</v>
          </cell>
          <cell r="BB96">
            <v>29</v>
          </cell>
          <cell r="BC96">
            <v>37</v>
          </cell>
          <cell r="BD96">
            <v>0</v>
          </cell>
          <cell r="BE96">
            <v>13</v>
          </cell>
          <cell r="BF96">
            <v>0</v>
          </cell>
          <cell r="BG96">
            <v>32</v>
          </cell>
          <cell r="BH96">
            <v>39</v>
          </cell>
          <cell r="BI96">
            <v>30</v>
          </cell>
          <cell r="BJ96">
            <v>41</v>
          </cell>
          <cell r="BK96">
            <v>40</v>
          </cell>
          <cell r="BL96">
            <v>0</v>
          </cell>
          <cell r="BM96">
            <v>37</v>
          </cell>
          <cell r="BN96">
            <v>25</v>
          </cell>
          <cell r="BO96">
            <v>21</v>
          </cell>
          <cell r="BP96">
            <v>31</v>
          </cell>
          <cell r="BQ96">
            <v>31</v>
          </cell>
          <cell r="BR96">
            <v>36</v>
          </cell>
          <cell r="BS96">
            <v>18</v>
          </cell>
          <cell r="BT96">
            <v>20</v>
          </cell>
          <cell r="BU96">
            <v>41</v>
          </cell>
          <cell r="BV96">
            <v>40</v>
          </cell>
          <cell r="BW96">
            <v>0</v>
          </cell>
          <cell r="BX96">
            <v>34</v>
          </cell>
          <cell r="BY96">
            <v>32</v>
          </cell>
          <cell r="BZ96">
            <v>0</v>
          </cell>
          <cell r="CA96">
            <v>24</v>
          </cell>
        </row>
        <row r="97">
          <cell r="A97" t="str">
            <v>A3781</v>
          </cell>
          <cell r="B97" t="str">
            <v>EKA PUTRA ZAI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14</v>
          </cell>
          <cell r="P97">
            <v>15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18</v>
          </cell>
          <cell r="Z97">
            <v>16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14</v>
          </cell>
          <cell r="BB97">
            <v>15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18</v>
          </cell>
          <cell r="BL97">
            <v>16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4</v>
          </cell>
        </row>
        <row r="98">
          <cell r="A98">
            <v>92548</v>
          </cell>
          <cell r="B98" t="str">
            <v>SETO BAWONO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10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12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10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2</v>
          </cell>
        </row>
        <row r="99">
          <cell r="A99" t="str">
            <v>A4597</v>
          </cell>
          <cell r="B99" t="str">
            <v>IZBETH SENTANA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</row>
        <row r="100">
          <cell r="A100" t="str">
            <v>A2717</v>
          </cell>
          <cell r="B100" t="str">
            <v>KUSUMASTITI CIPTANING RATRI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</row>
        <row r="101">
          <cell r="A101" t="str">
            <v>A4598</v>
          </cell>
          <cell r="B101" t="str">
            <v>MARIO FELIX SILALAHI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</row>
        <row r="102">
          <cell r="A102" t="str">
            <v>A3439</v>
          </cell>
          <cell r="B102" t="str">
            <v>BERLLITA CORNELLA DEVI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12</v>
          </cell>
          <cell r="AB102">
            <v>10</v>
          </cell>
          <cell r="AC102">
            <v>10</v>
          </cell>
          <cell r="AD102">
            <v>11</v>
          </cell>
          <cell r="AE102">
            <v>13</v>
          </cell>
          <cell r="AF102">
            <v>12</v>
          </cell>
          <cell r="AG102">
            <v>10</v>
          </cell>
          <cell r="AH102">
            <v>11</v>
          </cell>
          <cell r="AI102">
            <v>16</v>
          </cell>
          <cell r="AJ102">
            <v>14</v>
          </cell>
          <cell r="AK102">
            <v>16</v>
          </cell>
          <cell r="AL102">
            <v>16</v>
          </cell>
          <cell r="AM102">
            <v>16</v>
          </cell>
          <cell r="AN102">
            <v>14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12</v>
          </cell>
          <cell r="BN102">
            <v>10</v>
          </cell>
          <cell r="BO102">
            <v>10</v>
          </cell>
          <cell r="BP102">
            <v>11</v>
          </cell>
          <cell r="BQ102">
            <v>13</v>
          </cell>
          <cell r="BR102">
            <v>12</v>
          </cell>
          <cell r="BS102">
            <v>10</v>
          </cell>
          <cell r="BT102">
            <v>11</v>
          </cell>
          <cell r="BU102">
            <v>16</v>
          </cell>
          <cell r="BV102">
            <v>14</v>
          </cell>
          <cell r="BW102">
            <v>16</v>
          </cell>
          <cell r="BX102">
            <v>16</v>
          </cell>
          <cell r="BY102">
            <v>16</v>
          </cell>
          <cell r="BZ102">
            <v>14</v>
          </cell>
          <cell r="CA102">
            <v>14</v>
          </cell>
        </row>
        <row r="103">
          <cell r="A103" t="str">
            <v>A4619</v>
          </cell>
          <cell r="B103" t="str">
            <v>SECHA NINDA HANA PUTRI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</row>
        <row r="104">
          <cell r="A104" t="str">
            <v>A4617</v>
          </cell>
          <cell r="B104" t="str">
            <v>MAYMONA RISKI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</row>
        <row r="105">
          <cell r="A105" t="str">
            <v>A4618</v>
          </cell>
          <cell r="B105" t="str">
            <v>AGNES SERLINA SEJA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</row>
        <row r="106">
          <cell r="A106" t="str">
            <v>A4620</v>
          </cell>
          <cell r="B106" t="str">
            <v>ARUM AISATUN NAFISAH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</row>
        <row r="107">
          <cell r="A107" t="str">
            <v>A4616</v>
          </cell>
          <cell r="B107" t="str">
            <v>NUR AWUNI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</row>
        <row r="110">
          <cell r="A110">
            <v>0</v>
          </cell>
          <cell r="B110" t="str">
            <v>Mengetahui,</v>
          </cell>
        </row>
        <row r="111">
          <cell r="A111">
            <v>0</v>
          </cell>
          <cell r="B111">
            <v>0</v>
          </cell>
        </row>
        <row r="112">
          <cell r="A112">
            <v>0</v>
          </cell>
          <cell r="B112">
            <v>0</v>
          </cell>
        </row>
        <row r="113">
          <cell r="A113">
            <v>0</v>
          </cell>
          <cell r="B113">
            <v>0</v>
          </cell>
        </row>
        <row r="114">
          <cell r="A114">
            <v>0</v>
          </cell>
          <cell r="B114">
            <v>0</v>
          </cell>
        </row>
        <row r="115">
          <cell r="A115">
            <v>0</v>
          </cell>
          <cell r="B115">
            <v>0</v>
          </cell>
          <cell r="BW115" t="str">
            <v xml:space="preserve">  </v>
          </cell>
        </row>
        <row r="116">
          <cell r="A116">
            <v>0</v>
          </cell>
          <cell r="B116">
            <v>0</v>
          </cell>
        </row>
        <row r="117">
          <cell r="A117">
            <v>0</v>
          </cell>
          <cell r="B117" t="str">
            <v xml:space="preserve">SRI RAHAYU GUNADI </v>
          </cell>
        </row>
        <row r="118">
          <cell r="A118">
            <v>0</v>
          </cell>
          <cell r="B118" t="str">
            <v>HC DOC HEAD</v>
          </cell>
        </row>
        <row r="119">
          <cell r="A119">
            <v>0</v>
          </cell>
        </row>
        <row r="120">
          <cell r="A120">
            <v>0</v>
          </cell>
        </row>
      </sheetData>
      <sheetData sheetId="3" refreshError="1"/>
      <sheetData sheetId="4" refreshError="1"/>
      <sheetData sheetId="5" refreshError="1">
        <row r="1">
          <cell r="A1" t="str">
            <v>PERIODE 2 DESEMBER 2024 SBPV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0</v>
          </cell>
          <cell r="F4">
            <v>45643</v>
          </cell>
          <cell r="G4">
            <v>0</v>
          </cell>
          <cell r="H4">
            <v>0</v>
          </cell>
          <cell r="I4">
            <v>45644</v>
          </cell>
          <cell r="J4">
            <v>0</v>
          </cell>
          <cell r="K4">
            <v>0</v>
          </cell>
          <cell r="L4">
            <v>45645</v>
          </cell>
          <cell r="M4">
            <v>0</v>
          </cell>
          <cell r="N4">
            <v>0</v>
          </cell>
          <cell r="O4">
            <v>45646</v>
          </cell>
          <cell r="P4">
            <v>0</v>
          </cell>
          <cell r="Q4">
            <v>0</v>
          </cell>
          <cell r="R4">
            <v>45647</v>
          </cell>
          <cell r="S4">
            <v>0</v>
          </cell>
          <cell r="T4">
            <v>45649</v>
          </cell>
          <cell r="U4">
            <v>0</v>
          </cell>
          <cell r="V4">
            <v>0</v>
          </cell>
          <cell r="W4">
            <v>45650</v>
          </cell>
          <cell r="X4">
            <v>0</v>
          </cell>
          <cell r="Y4">
            <v>0</v>
          </cell>
          <cell r="Z4">
            <v>45652</v>
          </cell>
          <cell r="AA4">
            <v>0</v>
          </cell>
          <cell r="AB4">
            <v>0</v>
          </cell>
          <cell r="AC4">
            <v>45653</v>
          </cell>
          <cell r="AD4">
            <v>0</v>
          </cell>
          <cell r="AE4">
            <v>0</v>
          </cell>
          <cell r="AF4">
            <v>45654</v>
          </cell>
          <cell r="AG4">
            <v>0</v>
          </cell>
          <cell r="AH4">
            <v>45656</v>
          </cell>
          <cell r="AI4">
            <v>0</v>
          </cell>
          <cell r="AJ4">
            <v>0</v>
          </cell>
          <cell r="AK4">
            <v>45657</v>
          </cell>
          <cell r="AL4">
            <v>0</v>
          </cell>
          <cell r="AM4">
            <v>0</v>
          </cell>
          <cell r="AN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3 </v>
          </cell>
          <cell r="F5" t="str">
            <v xml:space="preserve">SLOT 1 </v>
          </cell>
          <cell r="G5" t="str">
            <v xml:space="preserve">SLOT 2 </v>
          </cell>
          <cell r="H5" t="str">
            <v xml:space="preserve">SLOT 3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3 </v>
          </cell>
          <cell r="L5" t="str">
            <v xml:space="preserve">SLOT 1 </v>
          </cell>
          <cell r="M5" t="str">
            <v xml:space="preserve">SLOT 2 </v>
          </cell>
          <cell r="N5" t="str">
            <v xml:space="preserve">SLOT 3 </v>
          </cell>
          <cell r="O5" t="str">
            <v xml:space="preserve">SLOT 1 </v>
          </cell>
          <cell r="P5" t="str">
            <v xml:space="preserve">SLOT 2 </v>
          </cell>
          <cell r="Q5" t="str">
            <v xml:space="preserve">SLOT 3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3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3 </v>
          </cell>
          <cell r="Z5" t="str">
            <v xml:space="preserve">SLOT 1 </v>
          </cell>
          <cell r="AA5" t="str">
            <v xml:space="preserve">SLOT 2 </v>
          </cell>
          <cell r="AB5" t="str">
            <v xml:space="preserve">SLOT 3 </v>
          </cell>
          <cell r="AC5" t="str">
            <v xml:space="preserve">SLOT 1 </v>
          </cell>
          <cell r="AD5" t="str">
            <v xml:space="preserve">SLOT 2 </v>
          </cell>
          <cell r="AE5" t="str">
            <v xml:space="preserve">SLOT 3 </v>
          </cell>
          <cell r="AF5" t="str">
            <v xml:space="preserve">SLOT 1 </v>
          </cell>
          <cell r="AG5" t="str">
            <v xml:space="preserve">SLOT 2 </v>
          </cell>
          <cell r="AH5" t="str">
            <v xml:space="preserve">SLOT 1 </v>
          </cell>
          <cell r="AI5" t="str">
            <v xml:space="preserve">SLOT 2 </v>
          </cell>
          <cell r="AJ5" t="str">
            <v xml:space="preserve">SLOT 3 </v>
          </cell>
          <cell r="AK5" t="str">
            <v xml:space="preserve">SLOT 1 </v>
          </cell>
          <cell r="AL5" t="str">
            <v xml:space="preserve">SLOT 2 </v>
          </cell>
          <cell r="AM5" t="str">
            <v xml:space="preserve">SLOT 3 </v>
          </cell>
          <cell r="AN5">
            <v>0</v>
          </cell>
        </row>
        <row r="6">
          <cell r="A6">
            <v>92175</v>
          </cell>
          <cell r="B6" t="str">
            <v>Ayu Amelia Resanti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0</v>
          </cell>
          <cell r="N6">
            <v>1</v>
          </cell>
          <cell r="O6">
            <v>1</v>
          </cell>
          <cell r="P6">
            <v>1</v>
          </cell>
          <cell r="Q6">
            <v>0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  <cell r="AM6">
            <v>1</v>
          </cell>
          <cell r="AN6">
            <v>35</v>
          </cell>
        </row>
        <row r="7">
          <cell r="A7" t="str">
            <v>A0177</v>
          </cell>
          <cell r="B7" t="str">
            <v>Yunita Nuswantari Wiratna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0</v>
          </cell>
          <cell r="M7">
            <v>0</v>
          </cell>
          <cell r="N7">
            <v>1</v>
          </cell>
          <cell r="O7">
            <v>0</v>
          </cell>
          <cell r="P7">
            <v>0</v>
          </cell>
          <cell r="Q7">
            <v>0</v>
          </cell>
          <cell r="R7">
            <v>1</v>
          </cell>
          <cell r="S7">
            <v>0</v>
          </cell>
          <cell r="T7">
            <v>0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1</v>
          </cell>
          <cell r="AM7">
            <v>0</v>
          </cell>
          <cell r="AN7">
            <v>24</v>
          </cell>
        </row>
        <row r="8">
          <cell r="A8" t="str">
            <v>A0297</v>
          </cell>
          <cell r="B8" t="str">
            <v>Siwi Novitaningrum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0</v>
          </cell>
          <cell r="L8">
            <v>1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</v>
          </cell>
          <cell r="U8">
            <v>1</v>
          </cell>
          <cell r="V8">
            <v>1</v>
          </cell>
          <cell r="W8">
            <v>0</v>
          </cell>
          <cell r="X8">
            <v>0</v>
          </cell>
          <cell r="Y8">
            <v>0</v>
          </cell>
          <cell r="Z8">
            <v>1</v>
          </cell>
          <cell r="AA8">
            <v>1</v>
          </cell>
          <cell r="AB8">
            <v>0</v>
          </cell>
          <cell r="AC8">
            <v>1</v>
          </cell>
          <cell r="AD8">
            <v>1</v>
          </cell>
          <cell r="AE8">
            <v>1</v>
          </cell>
          <cell r="AF8">
            <v>0</v>
          </cell>
          <cell r="AG8">
            <v>0</v>
          </cell>
          <cell r="AH8">
            <v>1</v>
          </cell>
          <cell r="AI8">
            <v>1</v>
          </cell>
          <cell r="AJ8">
            <v>0</v>
          </cell>
          <cell r="AK8">
            <v>0</v>
          </cell>
          <cell r="AL8">
            <v>1</v>
          </cell>
          <cell r="AM8">
            <v>0</v>
          </cell>
          <cell r="AN8">
            <v>21</v>
          </cell>
        </row>
        <row r="9">
          <cell r="A9" t="str">
            <v>A1971</v>
          </cell>
          <cell r="B9" t="str">
            <v>ANGGI BEATRIKS SERAN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0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M9">
            <v>1</v>
          </cell>
          <cell r="AN9">
            <v>35</v>
          </cell>
        </row>
        <row r="10">
          <cell r="A10" t="str">
            <v>A2001</v>
          </cell>
          <cell r="B10" t="str">
            <v>M MENTARI GAGAT RAYNA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0</v>
          </cell>
          <cell r="AF10">
            <v>1</v>
          </cell>
          <cell r="AG10">
            <v>0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0</v>
          </cell>
          <cell r="AN10">
            <v>34</v>
          </cell>
        </row>
        <row r="11">
          <cell r="A11" t="str">
            <v>A2025</v>
          </cell>
          <cell r="B11" t="str">
            <v>NUR AINI HAFIDHA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1</v>
          </cell>
          <cell r="Q11">
            <v>0</v>
          </cell>
          <cell r="R11">
            <v>1</v>
          </cell>
          <cell r="S11">
            <v>0</v>
          </cell>
          <cell r="T11">
            <v>1</v>
          </cell>
          <cell r="U11">
            <v>1</v>
          </cell>
          <cell r="V11">
            <v>0</v>
          </cell>
          <cell r="W11">
            <v>1</v>
          </cell>
          <cell r="X11">
            <v>1</v>
          </cell>
          <cell r="Y11">
            <v>0</v>
          </cell>
          <cell r="Z11">
            <v>1</v>
          </cell>
          <cell r="AA11">
            <v>1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0</v>
          </cell>
          <cell r="AH11">
            <v>1</v>
          </cell>
          <cell r="AI11">
            <v>1</v>
          </cell>
          <cell r="AJ11">
            <v>0</v>
          </cell>
          <cell r="AK11">
            <v>1</v>
          </cell>
          <cell r="AL11">
            <v>1</v>
          </cell>
          <cell r="AM11">
            <v>0</v>
          </cell>
          <cell r="AN11">
            <v>17</v>
          </cell>
        </row>
        <row r="12">
          <cell r="A12" t="str">
            <v>A2383</v>
          </cell>
          <cell r="B12" t="str">
            <v>RYSMA NUR HIDAYAH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0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  <cell r="AM12">
            <v>1</v>
          </cell>
          <cell r="AN12">
            <v>33</v>
          </cell>
        </row>
        <row r="13">
          <cell r="A13" t="str">
            <v>A2385</v>
          </cell>
          <cell r="B13" t="str">
            <v>PUNGKI IRAWAN</v>
          </cell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  <cell r="Q13">
            <v>1</v>
          </cell>
          <cell r="R13">
            <v>0</v>
          </cell>
          <cell r="S13">
            <v>0</v>
          </cell>
          <cell r="T13">
            <v>0</v>
          </cell>
          <cell r="U13">
            <v>1</v>
          </cell>
          <cell r="V13">
            <v>0</v>
          </cell>
          <cell r="W13">
            <v>0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14</v>
          </cell>
        </row>
        <row r="14">
          <cell r="A14" t="str">
            <v>A2924</v>
          </cell>
          <cell r="B14" t="str">
            <v>IRA EVELIN SIHALOHO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F14">
            <v>0</v>
          </cell>
          <cell r="AG14">
            <v>0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34</v>
          </cell>
        </row>
        <row r="15">
          <cell r="A15" t="str">
            <v>A2976</v>
          </cell>
          <cell r="B15" t="str">
            <v>INTAN FIFIANA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0</v>
          </cell>
          <cell r="R15">
            <v>1</v>
          </cell>
          <cell r="S15">
            <v>0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0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  <cell r="AM15">
            <v>1</v>
          </cell>
          <cell r="AN15">
            <v>29</v>
          </cell>
        </row>
        <row r="16">
          <cell r="A16" t="str">
            <v>A3091</v>
          </cell>
          <cell r="B16" t="str">
            <v>ANDREANSYAH AFLAH SIGIT</v>
          </cell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1</v>
          </cell>
          <cell r="X16">
            <v>1</v>
          </cell>
          <cell r="Y16">
            <v>1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1</v>
          </cell>
          <cell r="AE16">
            <v>1</v>
          </cell>
          <cell r="AF16">
            <v>1</v>
          </cell>
          <cell r="AG16">
            <v>0</v>
          </cell>
          <cell r="AH16">
            <v>0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M16">
            <v>1</v>
          </cell>
          <cell r="AN16">
            <v>16</v>
          </cell>
        </row>
        <row r="17">
          <cell r="A17" t="str">
            <v>A4313</v>
          </cell>
          <cell r="B17" t="str">
            <v>VIDYA KALINGGA MURTI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0</v>
          </cell>
          <cell r="Q17">
            <v>0</v>
          </cell>
          <cell r="R17">
            <v>1</v>
          </cell>
          <cell r="S17">
            <v>0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0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33</v>
          </cell>
        </row>
        <row r="18">
          <cell r="A18" t="str">
            <v>A4314</v>
          </cell>
          <cell r="B18" t="str">
            <v>ADELIA FIRYAL HASNA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2</v>
          </cell>
        </row>
        <row r="19">
          <cell r="A19" t="str">
            <v>A4315</v>
          </cell>
          <cell r="B19" t="str">
            <v>WIDIA SIJABAT</v>
          </cell>
          <cell r="C19">
            <v>1</v>
          </cell>
          <cell r="D19">
            <v>1</v>
          </cell>
          <cell r="E19">
            <v>0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  <cell r="Q19">
            <v>0</v>
          </cell>
          <cell r="R19">
            <v>0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  <cell r="AM19">
            <v>1</v>
          </cell>
          <cell r="AN19">
            <v>31</v>
          </cell>
        </row>
        <row r="20">
          <cell r="A20" t="str">
            <v>A4460</v>
          </cell>
          <cell r="B20" t="str">
            <v>ALVYNA FAHARANY</v>
          </cell>
          <cell r="C20">
            <v>0</v>
          </cell>
          <cell r="D20">
            <v>0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2</v>
          </cell>
        </row>
        <row r="21">
          <cell r="A21" t="str">
            <v>A4461</v>
          </cell>
          <cell r="B21" t="str">
            <v>IMMANUEL CHRISTYAS JULIUS WICAKSONO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</v>
          </cell>
          <cell r="V21">
            <v>1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1</v>
          </cell>
          <cell r="AB21">
            <v>1</v>
          </cell>
          <cell r="AC21">
            <v>1</v>
          </cell>
          <cell r="AD21">
            <v>0</v>
          </cell>
          <cell r="AE21">
            <v>1</v>
          </cell>
          <cell r="AF21">
            <v>0</v>
          </cell>
          <cell r="AG21">
            <v>0</v>
          </cell>
          <cell r="AH21">
            <v>1</v>
          </cell>
          <cell r="AI21">
            <v>1</v>
          </cell>
          <cell r="AJ21">
            <v>1</v>
          </cell>
          <cell r="AK21">
            <v>0</v>
          </cell>
          <cell r="AL21">
            <v>1</v>
          </cell>
          <cell r="AM21">
            <v>1</v>
          </cell>
          <cell r="AN21">
            <v>14</v>
          </cell>
        </row>
        <row r="24">
          <cell r="A24">
            <v>0</v>
          </cell>
          <cell r="B24" t="str">
            <v>Mengetahui,</v>
          </cell>
        </row>
        <row r="25">
          <cell r="A25">
            <v>0</v>
          </cell>
          <cell r="B25">
            <v>0</v>
          </cell>
        </row>
        <row r="26">
          <cell r="A26">
            <v>0</v>
          </cell>
          <cell r="B26">
            <v>0</v>
          </cell>
        </row>
        <row r="27">
          <cell r="A27">
            <v>0</v>
          </cell>
          <cell r="B27">
            <v>0</v>
          </cell>
        </row>
        <row r="28">
          <cell r="A28">
            <v>0</v>
          </cell>
          <cell r="B28">
            <v>0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  <cell r="B30">
            <v>0</v>
          </cell>
        </row>
        <row r="31">
          <cell r="A31">
            <v>0</v>
          </cell>
          <cell r="B31" t="str">
            <v xml:space="preserve">SRI RAHAYU GUNADI </v>
          </cell>
        </row>
        <row r="32">
          <cell r="A32">
            <v>0</v>
          </cell>
          <cell r="B32" t="str">
            <v>HC DOC HEAD</v>
          </cell>
        </row>
      </sheetData>
      <sheetData sheetId="6" refreshError="1">
        <row r="1">
          <cell r="A1" t="str">
            <v>PERIODE 2 DESEMBER 2024 CC SK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0</v>
          </cell>
          <cell r="O4">
            <v>45649</v>
          </cell>
          <cell r="P4">
            <v>0</v>
          </cell>
          <cell r="Q4">
            <v>45650</v>
          </cell>
          <cell r="R4">
            <v>0</v>
          </cell>
          <cell r="S4">
            <v>45652</v>
          </cell>
          <cell r="T4">
            <v>0</v>
          </cell>
          <cell r="U4">
            <v>45653</v>
          </cell>
          <cell r="V4">
            <v>0</v>
          </cell>
          <cell r="W4">
            <v>45654</v>
          </cell>
          <cell r="X4">
            <v>0</v>
          </cell>
          <cell r="Y4">
            <v>45656</v>
          </cell>
          <cell r="Z4">
            <v>0</v>
          </cell>
          <cell r="AA4">
            <v>45657</v>
          </cell>
          <cell r="AB4">
            <v>0</v>
          </cell>
          <cell r="AC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2 </v>
          </cell>
          <cell r="O5" t="str">
            <v xml:space="preserve">SLOT 1 </v>
          </cell>
          <cell r="P5" t="str">
            <v xml:space="preserve">SLOT 2 </v>
          </cell>
          <cell r="Q5" t="str">
            <v xml:space="preserve">SLOT 1 </v>
          </cell>
          <cell r="R5" t="str">
            <v xml:space="preserve">SLOT 2 </v>
          </cell>
          <cell r="S5" t="str">
            <v xml:space="preserve">SLOT 1 </v>
          </cell>
          <cell r="T5" t="str">
            <v xml:space="preserve">SLOT 2 </v>
          </cell>
          <cell r="U5" t="str">
            <v xml:space="preserve">SLOT 1 </v>
          </cell>
          <cell r="V5" t="str">
            <v xml:space="preserve">SLOT 2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1 </v>
          </cell>
          <cell r="Z5" t="str">
            <v xml:space="preserve">SLOT 2 </v>
          </cell>
          <cell r="AA5" t="str">
            <v xml:space="preserve">SLOT 1 </v>
          </cell>
          <cell r="AB5" t="str">
            <v xml:space="preserve">SLOT 2 </v>
          </cell>
          <cell r="AC5">
            <v>0</v>
          </cell>
        </row>
        <row r="6">
          <cell r="A6" t="str">
            <v>A2342</v>
          </cell>
          <cell r="B6" t="str">
            <v>NAUFAL IKBAR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</v>
          </cell>
          <cell r="N6">
            <v>1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2</v>
          </cell>
        </row>
        <row r="7">
          <cell r="A7" t="str">
            <v>A3041</v>
          </cell>
          <cell r="B7" t="str">
            <v>ANISA FITRIANINGSIH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</v>
          </cell>
          <cell r="N7">
            <v>1</v>
          </cell>
          <cell r="O7">
            <v>0</v>
          </cell>
          <cell r="P7">
            <v>0</v>
          </cell>
          <cell r="Q7">
            <v>0</v>
          </cell>
          <cell r="R7">
            <v>1</v>
          </cell>
          <cell r="S7">
            <v>1</v>
          </cell>
          <cell r="T7">
            <v>1</v>
          </cell>
          <cell r="U7">
            <v>0</v>
          </cell>
          <cell r="V7">
            <v>0</v>
          </cell>
          <cell r="W7">
            <v>1</v>
          </cell>
          <cell r="X7">
            <v>1</v>
          </cell>
          <cell r="Y7">
            <v>0</v>
          </cell>
          <cell r="Z7">
            <v>0</v>
          </cell>
          <cell r="AA7">
            <v>0</v>
          </cell>
          <cell r="AB7">
            <v>1</v>
          </cell>
          <cell r="AC7">
            <v>11</v>
          </cell>
        </row>
        <row r="8">
          <cell r="A8" t="str">
            <v>A3870</v>
          </cell>
          <cell r="B8" t="str">
            <v>RIZKI FERNANDA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15</v>
          </cell>
        </row>
        <row r="9">
          <cell r="A9" t="str">
            <v>A4201</v>
          </cell>
          <cell r="B9" t="str">
            <v>JONATHAN ALRASHYD RIZKIANA PUTRA</v>
          </cell>
          <cell r="C9">
            <v>1</v>
          </cell>
          <cell r="D9">
            <v>0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0</v>
          </cell>
          <cell r="J9">
            <v>0</v>
          </cell>
          <cell r="K9">
            <v>1</v>
          </cell>
          <cell r="L9">
            <v>0</v>
          </cell>
          <cell r="M9">
            <v>0</v>
          </cell>
          <cell r="N9">
            <v>0</v>
          </cell>
          <cell r="O9">
            <v>1</v>
          </cell>
          <cell r="P9">
            <v>1</v>
          </cell>
          <cell r="Q9">
            <v>0</v>
          </cell>
          <cell r="R9">
            <v>0</v>
          </cell>
          <cell r="S9">
            <v>0</v>
          </cell>
          <cell r="T9">
            <v>1</v>
          </cell>
          <cell r="U9">
            <v>1</v>
          </cell>
          <cell r="V9">
            <v>1</v>
          </cell>
          <cell r="W9">
            <v>0</v>
          </cell>
          <cell r="X9">
            <v>0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15</v>
          </cell>
        </row>
        <row r="10">
          <cell r="A10" t="str">
            <v>A4317</v>
          </cell>
          <cell r="B10" t="str">
            <v>ANNISA SHOFI ROFIFAH</v>
          </cell>
          <cell r="C10">
            <v>0</v>
          </cell>
          <cell r="D10">
            <v>1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1</v>
          </cell>
          <cell r="L10">
            <v>1</v>
          </cell>
          <cell r="M10">
            <v>0</v>
          </cell>
          <cell r="N10">
            <v>0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19</v>
          </cell>
        </row>
        <row r="11">
          <cell r="A11" t="str">
            <v>A4393</v>
          </cell>
          <cell r="B11" t="str">
            <v>MARIA EVITA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10</v>
          </cell>
        </row>
        <row r="12">
          <cell r="A12" t="str">
            <v>A4466</v>
          </cell>
          <cell r="B12" t="str">
            <v>ARSYI MUTIARA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0</v>
          </cell>
          <cell r="T12">
            <v>0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18</v>
          </cell>
        </row>
        <row r="13">
          <cell r="A13" t="str">
            <v>A4467</v>
          </cell>
          <cell r="B13" t="str">
            <v>SALMA NAYLUL MUNA</v>
          </cell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1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1</v>
          </cell>
          <cell r="AB13">
            <v>0</v>
          </cell>
          <cell r="AC13">
            <v>7</v>
          </cell>
        </row>
        <row r="16">
          <cell r="A16">
            <v>0</v>
          </cell>
          <cell r="B16" t="str">
            <v>Mengetahui,</v>
          </cell>
        </row>
        <row r="17">
          <cell r="A17">
            <v>0</v>
          </cell>
          <cell r="B17">
            <v>0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 t="str">
            <v xml:space="preserve">SRI RAHAYU GUNADI </v>
          </cell>
        </row>
        <row r="24">
          <cell r="A24">
            <v>0</v>
          </cell>
          <cell r="B24" t="str">
            <v>HC DOC HEAD</v>
          </cell>
        </row>
      </sheetData>
      <sheetData sheetId="7" refreshError="1">
        <row r="1">
          <cell r="A1" t="str">
            <v>PERIODE 2 DESEMBER 2024 AAV AUTO 2000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45649</v>
          </cell>
          <cell r="O4">
            <v>0</v>
          </cell>
          <cell r="P4">
            <v>45650</v>
          </cell>
          <cell r="Q4">
            <v>0</v>
          </cell>
          <cell r="R4">
            <v>45652</v>
          </cell>
          <cell r="S4">
            <v>0</v>
          </cell>
          <cell r="T4">
            <v>45653</v>
          </cell>
          <cell r="U4">
            <v>0</v>
          </cell>
          <cell r="V4">
            <v>45654</v>
          </cell>
          <cell r="W4">
            <v>45656</v>
          </cell>
          <cell r="X4">
            <v>0</v>
          </cell>
          <cell r="Y4">
            <v>45657</v>
          </cell>
          <cell r="Z4">
            <v>0</v>
          </cell>
          <cell r="AA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1 </v>
          </cell>
          <cell r="Z5" t="str">
            <v xml:space="preserve">SLOT 2 </v>
          </cell>
          <cell r="AA5">
            <v>0</v>
          </cell>
        </row>
        <row r="6">
          <cell r="A6" t="str">
            <v>A4527</v>
          </cell>
          <cell r="B6" t="str">
            <v>DEWI ADELIA BANI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</v>
          </cell>
          <cell r="O6">
            <v>1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  <cell r="AA6">
            <v>3</v>
          </cell>
        </row>
        <row r="7">
          <cell r="A7" t="str">
            <v>A4526</v>
          </cell>
          <cell r="B7" t="str">
            <v>EREN JUWITA PURNAMA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24</v>
          </cell>
        </row>
        <row r="8">
          <cell r="A8" t="str">
            <v>A4529</v>
          </cell>
          <cell r="B8" t="str">
            <v>MILA KAMILA HAERAWATI</v>
          </cell>
          <cell r="C8">
            <v>1</v>
          </cell>
          <cell r="D8">
            <v>1</v>
          </cell>
          <cell r="E8">
            <v>0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0</v>
          </cell>
          <cell r="N8">
            <v>1</v>
          </cell>
          <cell r="O8">
            <v>1</v>
          </cell>
          <cell r="P8">
            <v>0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21</v>
          </cell>
        </row>
        <row r="9">
          <cell r="A9" t="str">
            <v>A4525</v>
          </cell>
          <cell r="B9" t="str">
            <v>NAILA SAFITRI</v>
          </cell>
          <cell r="C9">
            <v>0</v>
          </cell>
          <cell r="D9">
            <v>0</v>
          </cell>
          <cell r="E9">
            <v>1</v>
          </cell>
          <cell r="F9">
            <v>0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10</v>
          </cell>
        </row>
        <row r="10">
          <cell r="A10" t="str">
            <v>A4532</v>
          </cell>
          <cell r="B10" t="str">
            <v>KINTAN SHAFA AMELIA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0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23</v>
          </cell>
        </row>
        <row r="11">
          <cell r="A11" t="str">
            <v>A4524</v>
          </cell>
          <cell r="B11" t="str">
            <v>NAFIRA TAFASSUHA</v>
          </cell>
          <cell r="C11">
            <v>1</v>
          </cell>
          <cell r="D11">
            <v>0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23</v>
          </cell>
        </row>
        <row r="12">
          <cell r="A12" t="str">
            <v>A4523</v>
          </cell>
          <cell r="B12" t="str">
            <v>ALDI ILHAM BACHTIAR</v>
          </cell>
          <cell r="C12">
            <v>1</v>
          </cell>
          <cell r="D12">
            <v>1</v>
          </cell>
          <cell r="E12">
            <v>1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23</v>
          </cell>
        </row>
        <row r="13">
          <cell r="A13" t="str">
            <v>A4531</v>
          </cell>
          <cell r="B13" t="str">
            <v>RATNA AMALIYAH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0</v>
          </cell>
          <cell r="X13">
            <v>0</v>
          </cell>
          <cell r="Y13">
            <v>1</v>
          </cell>
          <cell r="Z13">
            <v>1</v>
          </cell>
          <cell r="AA13">
            <v>22</v>
          </cell>
        </row>
        <row r="14">
          <cell r="A14">
            <v>92298</v>
          </cell>
          <cell r="B14" t="str">
            <v>Herdhika Aryasena</v>
          </cell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  <cell r="Q14">
            <v>0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12</v>
          </cell>
        </row>
        <row r="15">
          <cell r="A15" t="str">
            <v>A4530</v>
          </cell>
          <cell r="B15" t="str">
            <v>NARESWARI NISITA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1</v>
          </cell>
          <cell r="Y15">
            <v>0</v>
          </cell>
          <cell r="Z15">
            <v>0</v>
          </cell>
          <cell r="AA15">
            <v>6</v>
          </cell>
        </row>
        <row r="16">
          <cell r="A16" t="str">
            <v>A4533</v>
          </cell>
          <cell r="B16" t="str">
            <v>PANDU WIDYASMARA</v>
          </cell>
          <cell r="C16">
            <v>0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  <cell r="Q16">
            <v>1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1</v>
          </cell>
          <cell r="AA16">
            <v>10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  <cell r="B19" t="str">
            <v>Mengetahui,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>
            <v>0</v>
          </cell>
        </row>
        <row r="24">
          <cell r="A24">
            <v>0</v>
          </cell>
          <cell r="B24">
            <v>0</v>
          </cell>
        </row>
        <row r="25">
          <cell r="A25">
            <v>0</v>
          </cell>
          <cell r="B25">
            <v>0</v>
          </cell>
        </row>
        <row r="26">
          <cell r="A26">
            <v>0</v>
          </cell>
          <cell r="B26" t="str">
            <v xml:space="preserve">SRI RAHAYU GUNADI </v>
          </cell>
        </row>
        <row r="27">
          <cell r="A27">
            <v>0</v>
          </cell>
          <cell r="B27" t="str">
            <v>HC DOC HEAD</v>
          </cell>
        </row>
        <row r="28">
          <cell r="A28">
            <v>0</v>
          </cell>
          <cell r="B28">
            <v>0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  <cell r="B35">
            <v>0</v>
          </cell>
        </row>
        <row r="36">
          <cell r="A36">
            <v>0</v>
          </cell>
          <cell r="B36">
            <v>0</v>
          </cell>
        </row>
      </sheetData>
      <sheetData sheetId="8" refreshError="1">
        <row r="1">
          <cell r="A1" t="str">
            <v>PERIODE 2 DESEMBER 2024 DELTA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B2">
            <v>0</v>
          </cell>
          <cell r="AC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0</v>
          </cell>
          <cell r="O4">
            <v>45649</v>
          </cell>
          <cell r="P4">
            <v>0</v>
          </cell>
          <cell r="Q4">
            <v>45650</v>
          </cell>
          <cell r="R4">
            <v>0</v>
          </cell>
          <cell r="S4">
            <v>45652</v>
          </cell>
          <cell r="T4">
            <v>0</v>
          </cell>
          <cell r="U4">
            <v>45653</v>
          </cell>
          <cell r="V4">
            <v>0</v>
          </cell>
          <cell r="W4">
            <v>45654</v>
          </cell>
          <cell r="X4">
            <v>0</v>
          </cell>
          <cell r="Y4">
            <v>45656</v>
          </cell>
          <cell r="Z4">
            <v>0</v>
          </cell>
          <cell r="AA4">
            <v>45657</v>
          </cell>
          <cell r="AB4">
            <v>0</v>
          </cell>
          <cell r="AC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2A </v>
          </cell>
          <cell r="E5" t="str">
            <v xml:space="preserve">SLOT 1 </v>
          </cell>
          <cell r="F5" t="str">
            <v xml:space="preserve">SLOT 2A </v>
          </cell>
          <cell r="G5" t="str">
            <v xml:space="preserve">SLOT 1 </v>
          </cell>
          <cell r="H5" t="str">
            <v xml:space="preserve">SLOT 2A </v>
          </cell>
          <cell r="I5" t="str">
            <v xml:space="preserve">SLOT 1 </v>
          </cell>
          <cell r="J5" t="str">
            <v xml:space="preserve">SLOT 2A </v>
          </cell>
          <cell r="K5" t="str">
            <v xml:space="preserve">SLOT 1 </v>
          </cell>
          <cell r="L5" t="str">
            <v>SLOT 2A</v>
          </cell>
          <cell r="M5" t="str">
            <v xml:space="preserve">SLOT 1 </v>
          </cell>
          <cell r="N5" t="str">
            <v xml:space="preserve">SLOT 2A </v>
          </cell>
          <cell r="O5" t="str">
            <v xml:space="preserve">SLOT 1 </v>
          </cell>
          <cell r="P5" t="str">
            <v xml:space="preserve">SLOT 2A </v>
          </cell>
          <cell r="Q5" t="str">
            <v xml:space="preserve">SLOT 1 </v>
          </cell>
          <cell r="R5" t="str">
            <v xml:space="preserve">SLOT 2A </v>
          </cell>
          <cell r="S5" t="str">
            <v xml:space="preserve">SLOT 1 </v>
          </cell>
          <cell r="T5" t="str">
            <v xml:space="preserve">SLOT 2A </v>
          </cell>
          <cell r="U5" t="str">
            <v xml:space="preserve">SLOT 1 </v>
          </cell>
          <cell r="V5" t="str">
            <v xml:space="preserve">SLOT 2A </v>
          </cell>
          <cell r="W5" t="str">
            <v xml:space="preserve">SLOT 1 </v>
          </cell>
          <cell r="X5" t="str">
            <v xml:space="preserve">SLOT 2A </v>
          </cell>
          <cell r="Y5" t="str">
            <v xml:space="preserve">SLOT 1 </v>
          </cell>
          <cell r="Z5" t="str">
            <v xml:space="preserve">SLOT 2A </v>
          </cell>
          <cell r="AA5" t="str">
            <v xml:space="preserve">SLOT 1 </v>
          </cell>
          <cell r="AB5" t="str">
            <v xml:space="preserve">SLOT 2A </v>
          </cell>
          <cell r="AC5">
            <v>0</v>
          </cell>
        </row>
        <row r="6">
          <cell r="A6">
            <v>90552</v>
          </cell>
          <cell r="B6" t="str">
            <v>Maria Rosaria Dewi Ratna Timur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0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0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22</v>
          </cell>
        </row>
        <row r="7">
          <cell r="A7">
            <v>90592</v>
          </cell>
          <cell r="B7" t="str">
            <v>Dini Shintia Putri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0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0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0</v>
          </cell>
          <cell r="Y7">
            <v>1</v>
          </cell>
          <cell r="Z7">
            <v>1</v>
          </cell>
          <cell r="AA7">
            <v>1</v>
          </cell>
          <cell r="AB7">
            <v>0</v>
          </cell>
          <cell r="AC7">
            <v>22</v>
          </cell>
        </row>
        <row r="8">
          <cell r="A8">
            <v>90648</v>
          </cell>
          <cell r="B8" t="str">
            <v>Wahyu idhayati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0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0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24</v>
          </cell>
        </row>
        <row r="9">
          <cell r="A9">
            <v>90653</v>
          </cell>
          <cell r="B9" t="str">
            <v>Weni Saputri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0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24</v>
          </cell>
        </row>
        <row r="10">
          <cell r="A10">
            <v>90694</v>
          </cell>
          <cell r="B10" t="str">
            <v>Daus Devyana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0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0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24</v>
          </cell>
        </row>
        <row r="11">
          <cell r="A11">
            <v>92135</v>
          </cell>
          <cell r="B11" t="str">
            <v>Ernawati Nofia Rindiani</v>
          </cell>
          <cell r="C11">
            <v>0</v>
          </cell>
          <cell r="D11">
            <v>0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1</v>
          </cell>
          <cell r="Z11">
            <v>0</v>
          </cell>
          <cell r="AA11">
            <v>1</v>
          </cell>
          <cell r="AB11">
            <v>0</v>
          </cell>
          <cell r="AC11">
            <v>16</v>
          </cell>
        </row>
        <row r="12">
          <cell r="A12">
            <v>92287</v>
          </cell>
          <cell r="B12" t="str">
            <v>Alyda Rizka Islamiyati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1</v>
          </cell>
          <cell r="L12">
            <v>1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0</v>
          </cell>
          <cell r="U12">
            <v>1</v>
          </cell>
          <cell r="V12">
            <v>1</v>
          </cell>
          <cell r="W12">
            <v>1</v>
          </cell>
          <cell r="X12">
            <v>0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22</v>
          </cell>
        </row>
        <row r="13">
          <cell r="A13">
            <v>92485</v>
          </cell>
          <cell r="B13" t="str">
            <v>Yulisa Eri Arvidayani</v>
          </cell>
          <cell r="C13">
            <v>1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0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21</v>
          </cell>
        </row>
        <row r="14">
          <cell r="A14">
            <v>92504</v>
          </cell>
          <cell r="B14" t="str">
            <v>Artika Yunita Ardi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0</v>
          </cell>
          <cell r="Y14">
            <v>1</v>
          </cell>
          <cell r="Z14">
            <v>1</v>
          </cell>
          <cell r="AA14">
            <v>1</v>
          </cell>
          <cell r="AB14">
            <v>1</v>
          </cell>
          <cell r="AC14">
            <v>23</v>
          </cell>
        </row>
        <row r="15">
          <cell r="A15">
            <v>92539</v>
          </cell>
          <cell r="B15" t="str">
            <v>Rosiana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0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24</v>
          </cell>
        </row>
        <row r="16">
          <cell r="A16">
            <v>92622</v>
          </cell>
          <cell r="B16" t="str">
            <v>Ayu Suci Nugroyanti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0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0</v>
          </cell>
          <cell r="Y16">
            <v>1</v>
          </cell>
          <cell r="Z16">
            <v>1</v>
          </cell>
          <cell r="AA16">
            <v>1</v>
          </cell>
          <cell r="AB16">
            <v>0</v>
          </cell>
          <cell r="AC16">
            <v>23</v>
          </cell>
        </row>
        <row r="17">
          <cell r="A17">
            <v>92669</v>
          </cell>
          <cell r="B17" t="str">
            <v>Apik Kusuma Ayu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0</v>
          </cell>
          <cell r="Y17">
            <v>1</v>
          </cell>
          <cell r="Z17">
            <v>1</v>
          </cell>
          <cell r="AA17">
            <v>1</v>
          </cell>
          <cell r="AB17">
            <v>0</v>
          </cell>
          <cell r="AC17">
            <v>23</v>
          </cell>
        </row>
        <row r="18">
          <cell r="A18">
            <v>92715</v>
          </cell>
          <cell r="B18" t="str">
            <v>HESTI WAHYU PRATIWI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0</v>
          </cell>
          <cell r="T18">
            <v>0</v>
          </cell>
          <cell r="U18">
            <v>1</v>
          </cell>
          <cell r="V18">
            <v>1</v>
          </cell>
          <cell r="W18">
            <v>1</v>
          </cell>
          <cell r="X18">
            <v>0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21</v>
          </cell>
        </row>
        <row r="19">
          <cell r="A19" t="str">
            <v>A0064</v>
          </cell>
          <cell r="B19" t="str">
            <v>Eko Septiardi</v>
          </cell>
          <cell r="C19">
            <v>1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  <cell r="Q19">
            <v>1</v>
          </cell>
          <cell r="R19">
            <v>0</v>
          </cell>
          <cell r="S19">
            <v>1</v>
          </cell>
          <cell r="T19">
            <v>1</v>
          </cell>
          <cell r="U19">
            <v>1</v>
          </cell>
          <cell r="V19">
            <v>0</v>
          </cell>
          <cell r="W19">
            <v>1</v>
          </cell>
          <cell r="X19">
            <v>0</v>
          </cell>
          <cell r="Y19">
            <v>1</v>
          </cell>
          <cell r="Z19">
            <v>0</v>
          </cell>
          <cell r="AA19">
            <v>1</v>
          </cell>
          <cell r="AB19">
            <v>0</v>
          </cell>
          <cell r="AC19">
            <v>15</v>
          </cell>
        </row>
        <row r="20">
          <cell r="A20" t="str">
            <v>A0192</v>
          </cell>
          <cell r="B20" t="str">
            <v>Agnes Haudi Suryantika</v>
          </cell>
          <cell r="C20">
            <v>1</v>
          </cell>
          <cell r="D20">
            <v>1</v>
          </cell>
          <cell r="E20">
            <v>1</v>
          </cell>
          <cell r="F20">
            <v>1</v>
          </cell>
          <cell r="G20">
            <v>0</v>
          </cell>
          <cell r="H20">
            <v>0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0</v>
          </cell>
          <cell r="Y20">
            <v>1</v>
          </cell>
          <cell r="Z20">
            <v>1</v>
          </cell>
          <cell r="AA20">
            <v>1</v>
          </cell>
          <cell r="AB20">
            <v>1</v>
          </cell>
          <cell r="AC20">
            <v>22</v>
          </cell>
        </row>
        <row r="21">
          <cell r="A21" t="str">
            <v>A0225</v>
          </cell>
          <cell r="B21" t="str">
            <v>Rizal Saputra</v>
          </cell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0</v>
          </cell>
          <cell r="I21">
            <v>1</v>
          </cell>
          <cell r="J21">
            <v>1</v>
          </cell>
          <cell r="K21">
            <v>1</v>
          </cell>
          <cell r="L21">
            <v>0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0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22</v>
          </cell>
        </row>
        <row r="22">
          <cell r="A22" t="str">
            <v>A0261</v>
          </cell>
          <cell r="B22" t="str">
            <v>Chelsi Ananda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0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0</v>
          </cell>
          <cell r="W22">
            <v>1</v>
          </cell>
          <cell r="X22">
            <v>0</v>
          </cell>
          <cell r="Y22">
            <v>1</v>
          </cell>
          <cell r="Z22">
            <v>1</v>
          </cell>
          <cell r="AA22">
            <v>1</v>
          </cell>
          <cell r="AB22">
            <v>1</v>
          </cell>
          <cell r="AC22">
            <v>23</v>
          </cell>
        </row>
        <row r="23">
          <cell r="A23" t="str">
            <v>A0320</v>
          </cell>
          <cell r="B23" t="str">
            <v>Deafni Dinda R Utami</v>
          </cell>
          <cell r="C23">
            <v>1</v>
          </cell>
          <cell r="D23">
            <v>1</v>
          </cell>
          <cell r="E23">
            <v>1</v>
          </cell>
          <cell r="F23">
            <v>1</v>
          </cell>
          <cell r="G23">
            <v>0</v>
          </cell>
          <cell r="H23">
            <v>0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  <cell r="N23">
            <v>0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0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22</v>
          </cell>
        </row>
        <row r="24">
          <cell r="A24" t="str">
            <v>A0327</v>
          </cell>
          <cell r="B24" t="str">
            <v>Wiwik Noryanti</v>
          </cell>
          <cell r="C24">
            <v>1</v>
          </cell>
          <cell r="D24">
            <v>0</v>
          </cell>
          <cell r="E24">
            <v>1</v>
          </cell>
          <cell r="F24">
            <v>0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0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0</v>
          </cell>
          <cell r="Y24">
            <v>1</v>
          </cell>
          <cell r="Z24">
            <v>1</v>
          </cell>
          <cell r="AA24">
            <v>1</v>
          </cell>
          <cell r="AB24">
            <v>1</v>
          </cell>
          <cell r="AC24">
            <v>20</v>
          </cell>
        </row>
        <row r="25">
          <cell r="A25" t="str">
            <v>A0378</v>
          </cell>
          <cell r="B25" t="str">
            <v>Wiranti Putri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0</v>
          </cell>
          <cell r="M25">
            <v>1</v>
          </cell>
          <cell r="N25">
            <v>0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0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23</v>
          </cell>
        </row>
        <row r="26">
          <cell r="A26" t="str">
            <v>A0415</v>
          </cell>
          <cell r="B26" t="str">
            <v>Dina Nakita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1</v>
          </cell>
          <cell r="R26">
            <v>1</v>
          </cell>
          <cell r="S26">
            <v>1</v>
          </cell>
          <cell r="T26">
            <v>0</v>
          </cell>
          <cell r="U26">
            <v>1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1</v>
          </cell>
          <cell r="AB26">
            <v>1</v>
          </cell>
          <cell r="AC26">
            <v>8</v>
          </cell>
        </row>
        <row r="27">
          <cell r="A27" t="str">
            <v>A0440</v>
          </cell>
          <cell r="B27" t="str">
            <v>MUHAMMAD HAMZAH</v>
          </cell>
          <cell r="C27">
            <v>1</v>
          </cell>
          <cell r="D27">
            <v>1</v>
          </cell>
          <cell r="E27">
            <v>1</v>
          </cell>
          <cell r="F27">
            <v>0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0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22</v>
          </cell>
        </row>
        <row r="28">
          <cell r="A28" t="str">
            <v>A0453</v>
          </cell>
          <cell r="B28" t="str">
            <v>ANISA SHELA NOVITA</v>
          </cell>
          <cell r="C28">
            <v>1</v>
          </cell>
          <cell r="D28">
            <v>1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0</v>
          </cell>
          <cell r="M28">
            <v>1</v>
          </cell>
          <cell r="N28">
            <v>0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0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23</v>
          </cell>
        </row>
        <row r="29">
          <cell r="A29" t="str">
            <v>A0458</v>
          </cell>
          <cell r="B29" t="str">
            <v>JOKO SLAMETO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0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0</v>
          </cell>
          <cell r="Y29">
            <v>1</v>
          </cell>
          <cell r="Z29">
            <v>1</v>
          </cell>
          <cell r="AA29">
            <v>1</v>
          </cell>
          <cell r="AB29">
            <v>1</v>
          </cell>
          <cell r="AC29">
            <v>24</v>
          </cell>
        </row>
        <row r="30">
          <cell r="A30" t="str">
            <v>A0519</v>
          </cell>
          <cell r="B30" t="str">
            <v>ANASTACIA JULIANA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0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0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B30">
            <v>1</v>
          </cell>
          <cell r="AC30">
            <v>24</v>
          </cell>
        </row>
        <row r="31">
          <cell r="A31" t="str">
            <v>A0597</v>
          </cell>
          <cell r="B31" t="str">
            <v>REHLITNA REJEKINTA BR PURBA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1</v>
          </cell>
          <cell r="W31">
            <v>0</v>
          </cell>
          <cell r="X31">
            <v>1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3</v>
          </cell>
        </row>
        <row r="32">
          <cell r="A32" t="str">
            <v>A0610</v>
          </cell>
          <cell r="B32" t="str">
            <v>MARGARETA INDAH PERMATASARI</v>
          </cell>
          <cell r="C32">
            <v>1</v>
          </cell>
          <cell r="D32">
            <v>1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0</v>
          </cell>
          <cell r="M32">
            <v>0</v>
          </cell>
          <cell r="N32">
            <v>0</v>
          </cell>
          <cell r="O32">
            <v>1</v>
          </cell>
          <cell r="P32">
            <v>1</v>
          </cell>
          <cell r="Q32">
            <v>1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1</v>
          </cell>
          <cell r="X32">
            <v>0</v>
          </cell>
          <cell r="Y32">
            <v>1</v>
          </cell>
          <cell r="Z32">
            <v>1</v>
          </cell>
          <cell r="AA32">
            <v>0</v>
          </cell>
          <cell r="AB32">
            <v>0</v>
          </cell>
          <cell r="AC32">
            <v>15</v>
          </cell>
        </row>
        <row r="33">
          <cell r="A33" t="str">
            <v>A0611</v>
          </cell>
          <cell r="B33" t="str">
            <v>PATWA JIWANI BOYE</v>
          </cell>
          <cell r="C33">
            <v>1</v>
          </cell>
          <cell r="D33">
            <v>1</v>
          </cell>
          <cell r="E33">
            <v>1</v>
          </cell>
          <cell r="F33">
            <v>1</v>
          </cell>
          <cell r="G33">
            <v>0</v>
          </cell>
          <cell r="H33">
            <v>1</v>
          </cell>
          <cell r="I33">
            <v>0</v>
          </cell>
          <cell r="J33">
            <v>1</v>
          </cell>
          <cell r="K33">
            <v>1</v>
          </cell>
          <cell r="L33">
            <v>1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1</v>
          </cell>
          <cell r="R33">
            <v>1</v>
          </cell>
          <cell r="S33">
            <v>0</v>
          </cell>
          <cell r="T33">
            <v>1</v>
          </cell>
          <cell r="U33">
            <v>1</v>
          </cell>
          <cell r="V33">
            <v>1</v>
          </cell>
          <cell r="W33">
            <v>0</v>
          </cell>
          <cell r="X33">
            <v>1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14</v>
          </cell>
        </row>
        <row r="34">
          <cell r="A34" t="str">
            <v>A0612</v>
          </cell>
          <cell r="B34" t="str">
            <v>BRITTA SEVIRA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</v>
          </cell>
          <cell r="T34">
            <v>0</v>
          </cell>
          <cell r="U34">
            <v>1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1</v>
          </cell>
          <cell r="AB34">
            <v>0</v>
          </cell>
          <cell r="AC34">
            <v>3</v>
          </cell>
        </row>
        <row r="35">
          <cell r="A35" t="str">
            <v>A0649</v>
          </cell>
          <cell r="B35" t="str">
            <v>ALYA NAYLA SALSABILA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</v>
          </cell>
          <cell r="L35">
            <v>1</v>
          </cell>
          <cell r="M35">
            <v>0</v>
          </cell>
          <cell r="N35">
            <v>0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0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15</v>
          </cell>
        </row>
        <row r="36">
          <cell r="A36" t="str">
            <v>A0682</v>
          </cell>
          <cell r="B36" t="str">
            <v>CAROLINE DESI</v>
          </cell>
          <cell r="C36">
            <v>1</v>
          </cell>
          <cell r="D36">
            <v>1</v>
          </cell>
          <cell r="E36">
            <v>0</v>
          </cell>
          <cell r="F36">
            <v>0</v>
          </cell>
          <cell r="G36">
            <v>1</v>
          </cell>
          <cell r="H36">
            <v>1</v>
          </cell>
          <cell r="I36">
            <v>1</v>
          </cell>
          <cell r="J36">
            <v>0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1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7</v>
          </cell>
        </row>
        <row r="37">
          <cell r="A37" t="str">
            <v>A0725</v>
          </cell>
          <cell r="B37" t="str">
            <v>NUR KHASANAH</v>
          </cell>
          <cell r="C37">
            <v>1</v>
          </cell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0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0</v>
          </cell>
          <cell r="U37">
            <v>1</v>
          </cell>
          <cell r="V37">
            <v>1</v>
          </cell>
          <cell r="W37">
            <v>1</v>
          </cell>
          <cell r="X37">
            <v>0</v>
          </cell>
          <cell r="Y37">
            <v>1</v>
          </cell>
          <cell r="Z37">
            <v>1</v>
          </cell>
          <cell r="AA37">
            <v>1</v>
          </cell>
          <cell r="AB37">
            <v>1</v>
          </cell>
          <cell r="AC37">
            <v>23</v>
          </cell>
        </row>
        <row r="38">
          <cell r="A38" t="str">
            <v>A0745</v>
          </cell>
          <cell r="B38" t="str">
            <v>ANE MELISA MURNI</v>
          </cell>
          <cell r="C38">
            <v>1</v>
          </cell>
          <cell r="D38">
            <v>1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0</v>
          </cell>
          <cell r="M38">
            <v>1</v>
          </cell>
          <cell r="N38">
            <v>0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0</v>
          </cell>
          <cell r="Y38">
            <v>1</v>
          </cell>
          <cell r="Z38">
            <v>1</v>
          </cell>
          <cell r="AA38">
            <v>1</v>
          </cell>
          <cell r="AB38">
            <v>1</v>
          </cell>
          <cell r="AC38">
            <v>23</v>
          </cell>
        </row>
        <row r="39">
          <cell r="A39" t="str">
            <v>A0750</v>
          </cell>
          <cell r="B39" t="str">
            <v>ARVIANTI JILLY VANESHA MULETE</v>
          </cell>
          <cell r="C39">
            <v>1</v>
          </cell>
          <cell r="D39">
            <v>1</v>
          </cell>
          <cell r="E39">
            <v>1</v>
          </cell>
          <cell r="F39">
            <v>1</v>
          </cell>
          <cell r="G39">
            <v>1</v>
          </cell>
          <cell r="H39">
            <v>0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0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0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23</v>
          </cell>
        </row>
        <row r="40">
          <cell r="A40" t="str">
            <v>A0770</v>
          </cell>
          <cell r="B40" t="str">
            <v>ELZE ZULFANNY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1</v>
          </cell>
          <cell r="N40">
            <v>0</v>
          </cell>
          <cell r="O40">
            <v>1</v>
          </cell>
          <cell r="P40">
            <v>1</v>
          </cell>
          <cell r="Q40">
            <v>1</v>
          </cell>
          <cell r="R40">
            <v>0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0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23</v>
          </cell>
        </row>
        <row r="41">
          <cell r="A41" t="str">
            <v>A0812</v>
          </cell>
          <cell r="B41" t="str">
            <v>HERLINI NUR AZIZAH</v>
          </cell>
          <cell r="C41">
            <v>1</v>
          </cell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M41">
            <v>1</v>
          </cell>
          <cell r="N41">
            <v>0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0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24</v>
          </cell>
        </row>
        <row r="42">
          <cell r="A42" t="str">
            <v>A0817</v>
          </cell>
          <cell r="B42" t="str">
            <v>YOLA VALENIA</v>
          </cell>
          <cell r="C42">
            <v>1</v>
          </cell>
          <cell r="D42">
            <v>1</v>
          </cell>
          <cell r="E42">
            <v>1</v>
          </cell>
          <cell r="F42">
            <v>0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0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0</v>
          </cell>
          <cell r="Y42">
            <v>1</v>
          </cell>
          <cell r="Z42">
            <v>1</v>
          </cell>
          <cell r="AA42">
            <v>1</v>
          </cell>
          <cell r="AB42">
            <v>1</v>
          </cell>
          <cell r="AC42">
            <v>23</v>
          </cell>
        </row>
        <row r="43">
          <cell r="A43" t="str">
            <v>A0818</v>
          </cell>
          <cell r="B43" t="str">
            <v>AGIS DWI RAHMAWATI</v>
          </cell>
          <cell r="C43">
            <v>1</v>
          </cell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0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0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24</v>
          </cell>
        </row>
        <row r="44">
          <cell r="A44" t="str">
            <v>A0821</v>
          </cell>
          <cell r="B44" t="str">
            <v>INDRIANA DAMAYANTI</v>
          </cell>
          <cell r="C44">
            <v>1</v>
          </cell>
          <cell r="D44">
            <v>1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0</v>
          </cell>
          <cell r="M44">
            <v>1</v>
          </cell>
          <cell r="N44">
            <v>0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0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23</v>
          </cell>
        </row>
        <row r="45">
          <cell r="A45" t="str">
            <v>A0830</v>
          </cell>
          <cell r="B45" t="str">
            <v>MARGI SURYANI</v>
          </cell>
          <cell r="C45">
            <v>1</v>
          </cell>
          <cell r="D45">
            <v>1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  <cell r="N45">
            <v>0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0</v>
          </cell>
          <cell r="Y45">
            <v>1</v>
          </cell>
          <cell r="Z45">
            <v>1</v>
          </cell>
          <cell r="AA45">
            <v>1</v>
          </cell>
          <cell r="AB45">
            <v>1</v>
          </cell>
          <cell r="AC45">
            <v>24</v>
          </cell>
        </row>
        <row r="46">
          <cell r="A46" t="str">
            <v>A0864</v>
          </cell>
          <cell r="B46" t="str">
            <v>WAHYU NURAENI</v>
          </cell>
          <cell r="C46">
            <v>1</v>
          </cell>
          <cell r="D46">
            <v>1</v>
          </cell>
          <cell r="E46">
            <v>1</v>
          </cell>
          <cell r="F46">
            <v>0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>
            <v>1</v>
          </cell>
          <cell r="N46">
            <v>0</v>
          </cell>
          <cell r="O46">
            <v>1</v>
          </cell>
          <cell r="P46">
            <v>1</v>
          </cell>
          <cell r="Q46">
            <v>1</v>
          </cell>
          <cell r="R46">
            <v>0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0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22</v>
          </cell>
        </row>
        <row r="47">
          <cell r="A47" t="str">
            <v>A0867</v>
          </cell>
          <cell r="B47" t="str">
            <v>SHABRINA DIAN FARAH FAUZIA</v>
          </cell>
          <cell r="C47">
            <v>1</v>
          </cell>
          <cell r="D47">
            <v>1</v>
          </cell>
          <cell r="E47">
            <v>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0</v>
          </cell>
          <cell r="X47">
            <v>0</v>
          </cell>
          <cell r="Y47">
            <v>1</v>
          </cell>
          <cell r="Z47">
            <v>0</v>
          </cell>
          <cell r="AA47">
            <v>0</v>
          </cell>
          <cell r="AB47">
            <v>0</v>
          </cell>
          <cell r="AC47">
            <v>15</v>
          </cell>
        </row>
        <row r="48">
          <cell r="A48" t="str">
            <v>A0874</v>
          </cell>
          <cell r="B48" t="str">
            <v>GALIH MARDIANA</v>
          </cell>
          <cell r="C48">
            <v>1</v>
          </cell>
          <cell r="D48">
            <v>1</v>
          </cell>
          <cell r="E48">
            <v>1</v>
          </cell>
          <cell r="F48">
            <v>1</v>
          </cell>
          <cell r="G48">
            <v>1</v>
          </cell>
          <cell r="H48">
            <v>0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>
            <v>1</v>
          </cell>
          <cell r="N48">
            <v>0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0</v>
          </cell>
          <cell r="W48">
            <v>0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22</v>
          </cell>
        </row>
        <row r="49">
          <cell r="A49" t="str">
            <v>A0879</v>
          </cell>
          <cell r="B49" t="str">
            <v>RISZA ANGGUN DWI ARIANANDA</v>
          </cell>
          <cell r="C49">
            <v>1</v>
          </cell>
          <cell r="D49">
            <v>1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  <cell r="N49">
            <v>0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0</v>
          </cell>
          <cell r="Y49">
            <v>1</v>
          </cell>
          <cell r="Z49">
            <v>1</v>
          </cell>
          <cell r="AA49">
            <v>1</v>
          </cell>
          <cell r="AB49">
            <v>1</v>
          </cell>
          <cell r="AC49">
            <v>24</v>
          </cell>
        </row>
        <row r="50">
          <cell r="A50" t="str">
            <v>A0881</v>
          </cell>
          <cell r="B50" t="str">
            <v>ERINA EKA WULANDARI</v>
          </cell>
          <cell r="C50">
            <v>1</v>
          </cell>
          <cell r="D50">
            <v>0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  <cell r="N50">
            <v>0</v>
          </cell>
          <cell r="O50">
            <v>1</v>
          </cell>
          <cell r="P50">
            <v>0</v>
          </cell>
          <cell r="Q50">
            <v>1</v>
          </cell>
          <cell r="R50">
            <v>0</v>
          </cell>
          <cell r="S50">
            <v>0</v>
          </cell>
          <cell r="T50">
            <v>0</v>
          </cell>
          <cell r="U50">
            <v>1</v>
          </cell>
          <cell r="V50">
            <v>1</v>
          </cell>
          <cell r="W50">
            <v>1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15</v>
          </cell>
        </row>
        <row r="51">
          <cell r="A51" t="str">
            <v>A0934</v>
          </cell>
          <cell r="B51" t="str">
            <v>SINDU PRATHIWI</v>
          </cell>
          <cell r="C51">
            <v>1</v>
          </cell>
          <cell r="D51">
            <v>1</v>
          </cell>
          <cell r="E51">
            <v>1</v>
          </cell>
          <cell r="F51">
            <v>0</v>
          </cell>
          <cell r="G51">
            <v>1</v>
          </cell>
          <cell r="H51">
            <v>1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  <cell r="M51">
            <v>1</v>
          </cell>
          <cell r="N51">
            <v>0</v>
          </cell>
          <cell r="O51">
            <v>1</v>
          </cell>
          <cell r="P51">
            <v>1</v>
          </cell>
          <cell r="Q51">
            <v>1</v>
          </cell>
          <cell r="R51">
            <v>0</v>
          </cell>
          <cell r="S51">
            <v>1</v>
          </cell>
          <cell r="T51">
            <v>1</v>
          </cell>
          <cell r="U51">
            <v>1</v>
          </cell>
          <cell r="V51">
            <v>0</v>
          </cell>
          <cell r="W51">
            <v>1</v>
          </cell>
          <cell r="X51">
            <v>0</v>
          </cell>
          <cell r="Y51">
            <v>1</v>
          </cell>
          <cell r="Z51">
            <v>1</v>
          </cell>
          <cell r="AA51">
            <v>1</v>
          </cell>
          <cell r="AB51">
            <v>1</v>
          </cell>
          <cell r="AC51">
            <v>18</v>
          </cell>
        </row>
        <row r="52">
          <cell r="A52" t="str">
            <v>A0964</v>
          </cell>
          <cell r="B52" t="str">
            <v>ANISA DESIANTI RAMADHANI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1</v>
          </cell>
          <cell r="N52">
            <v>0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0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24</v>
          </cell>
        </row>
        <row r="53">
          <cell r="A53" t="str">
            <v>A0969</v>
          </cell>
          <cell r="B53" t="str">
            <v>ANGGI DWI</v>
          </cell>
          <cell r="C53">
            <v>1</v>
          </cell>
          <cell r="D53">
            <v>1</v>
          </cell>
          <cell r="E53">
            <v>1</v>
          </cell>
          <cell r="F53">
            <v>1</v>
          </cell>
          <cell r="G53">
            <v>0</v>
          </cell>
          <cell r="H53">
            <v>0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M53">
            <v>1</v>
          </cell>
          <cell r="N53">
            <v>0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0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22</v>
          </cell>
        </row>
        <row r="54">
          <cell r="A54" t="str">
            <v>A0977</v>
          </cell>
          <cell r="B54" t="str">
            <v>RIA ARIANTI</v>
          </cell>
          <cell r="C54">
            <v>1</v>
          </cell>
          <cell r="D54">
            <v>1</v>
          </cell>
          <cell r="E54">
            <v>1</v>
          </cell>
          <cell r="F54">
            <v>1</v>
          </cell>
          <cell r="G54">
            <v>0</v>
          </cell>
          <cell r="H54">
            <v>0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  <cell r="M54">
            <v>1</v>
          </cell>
          <cell r="N54">
            <v>0</v>
          </cell>
          <cell r="O54">
            <v>1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0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22</v>
          </cell>
        </row>
        <row r="55">
          <cell r="A55" t="str">
            <v>A0986</v>
          </cell>
          <cell r="B55" t="str">
            <v>DIMAS ADAM JORDAN</v>
          </cell>
          <cell r="C55">
            <v>1</v>
          </cell>
          <cell r="D55">
            <v>1</v>
          </cell>
          <cell r="E55">
            <v>1</v>
          </cell>
          <cell r="F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1</v>
          </cell>
          <cell r="L55">
            <v>1</v>
          </cell>
          <cell r="M55">
            <v>1</v>
          </cell>
          <cell r="N55">
            <v>0</v>
          </cell>
          <cell r="O55">
            <v>1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0</v>
          </cell>
          <cell r="Y55">
            <v>1</v>
          </cell>
          <cell r="Z55">
            <v>1</v>
          </cell>
          <cell r="AA55">
            <v>1</v>
          </cell>
          <cell r="AB55">
            <v>1</v>
          </cell>
          <cell r="AC55">
            <v>20</v>
          </cell>
        </row>
        <row r="56">
          <cell r="A56" t="str">
            <v>A0999</v>
          </cell>
          <cell r="B56" t="str">
            <v>MUHAMMAD LUTHFI AZIZ</v>
          </cell>
          <cell r="C56">
            <v>1</v>
          </cell>
          <cell r="D56">
            <v>1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0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23</v>
          </cell>
        </row>
        <row r="57">
          <cell r="A57" t="str">
            <v>A1025</v>
          </cell>
          <cell r="B57" t="str">
            <v>WAFA SINTA</v>
          </cell>
          <cell r="C57">
            <v>1</v>
          </cell>
          <cell r="D57">
            <v>1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J57">
            <v>0</v>
          </cell>
          <cell r="K57">
            <v>1</v>
          </cell>
          <cell r="L57">
            <v>1</v>
          </cell>
          <cell r="M57">
            <v>1</v>
          </cell>
          <cell r="N57">
            <v>0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0</v>
          </cell>
          <cell r="W57">
            <v>1</v>
          </cell>
          <cell r="X57">
            <v>0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22</v>
          </cell>
        </row>
        <row r="58">
          <cell r="A58" t="str">
            <v>A1030</v>
          </cell>
          <cell r="B58" t="str">
            <v>ENI RACHMI MURDANINGRUM</v>
          </cell>
          <cell r="C58">
            <v>1</v>
          </cell>
          <cell r="D58">
            <v>1</v>
          </cell>
          <cell r="E58">
            <v>1</v>
          </cell>
          <cell r="F58">
            <v>1</v>
          </cell>
          <cell r="G58">
            <v>0</v>
          </cell>
          <cell r="H58">
            <v>0</v>
          </cell>
          <cell r="I58">
            <v>1</v>
          </cell>
          <cell r="J58">
            <v>1</v>
          </cell>
          <cell r="K58">
            <v>1</v>
          </cell>
          <cell r="L58">
            <v>0</v>
          </cell>
          <cell r="M58">
            <v>1</v>
          </cell>
          <cell r="N58">
            <v>0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</v>
          </cell>
          <cell r="X58">
            <v>0</v>
          </cell>
          <cell r="Y58">
            <v>1</v>
          </cell>
          <cell r="Z58">
            <v>1</v>
          </cell>
          <cell r="AA58">
            <v>1</v>
          </cell>
          <cell r="AB58">
            <v>1</v>
          </cell>
          <cell r="AC58">
            <v>21</v>
          </cell>
        </row>
        <row r="59">
          <cell r="A59" t="str">
            <v>A1096</v>
          </cell>
          <cell r="B59" t="str">
            <v>NILA HAQIQI</v>
          </cell>
          <cell r="C59">
            <v>1</v>
          </cell>
          <cell r="D59">
            <v>1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J59">
            <v>1</v>
          </cell>
          <cell r="K59">
            <v>1</v>
          </cell>
          <cell r="L59">
            <v>0</v>
          </cell>
          <cell r="M59">
            <v>1</v>
          </cell>
          <cell r="N59">
            <v>0</v>
          </cell>
          <cell r="O59">
            <v>1</v>
          </cell>
          <cell r="P59">
            <v>1</v>
          </cell>
          <cell r="Q59">
            <v>1</v>
          </cell>
          <cell r="R59">
            <v>0</v>
          </cell>
          <cell r="S59">
            <v>1</v>
          </cell>
          <cell r="T59">
            <v>1</v>
          </cell>
          <cell r="U59">
            <v>1</v>
          </cell>
          <cell r="V59">
            <v>1</v>
          </cell>
          <cell r="W59">
            <v>1</v>
          </cell>
          <cell r="X59">
            <v>0</v>
          </cell>
          <cell r="Y59">
            <v>1</v>
          </cell>
          <cell r="Z59">
            <v>1</v>
          </cell>
          <cell r="AA59">
            <v>1</v>
          </cell>
          <cell r="AB59">
            <v>1</v>
          </cell>
          <cell r="AC59">
            <v>22</v>
          </cell>
        </row>
        <row r="60">
          <cell r="A60" t="str">
            <v>A1098</v>
          </cell>
          <cell r="B60" t="str">
            <v>DEXA CAHYA</v>
          </cell>
          <cell r="C60">
            <v>1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0</v>
          </cell>
          <cell r="K60">
            <v>1</v>
          </cell>
          <cell r="L60">
            <v>0</v>
          </cell>
          <cell r="M60">
            <v>1</v>
          </cell>
          <cell r="N60">
            <v>0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0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22</v>
          </cell>
        </row>
        <row r="61">
          <cell r="A61" t="str">
            <v>A1105</v>
          </cell>
          <cell r="B61" t="str">
            <v>ANISA NUR AINI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1</v>
          </cell>
          <cell r="M61">
            <v>1</v>
          </cell>
          <cell r="N61">
            <v>0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0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16</v>
          </cell>
        </row>
        <row r="62">
          <cell r="A62" t="str">
            <v>A1118</v>
          </cell>
          <cell r="B62" t="str">
            <v>OKSA ANDRIARDINA</v>
          </cell>
          <cell r="C62">
            <v>1</v>
          </cell>
          <cell r="D62">
            <v>1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1</v>
          </cell>
          <cell r="K62">
            <v>1</v>
          </cell>
          <cell r="L62">
            <v>0</v>
          </cell>
          <cell r="M62">
            <v>1</v>
          </cell>
          <cell r="N62">
            <v>0</v>
          </cell>
          <cell r="O62">
            <v>1</v>
          </cell>
          <cell r="P62">
            <v>1</v>
          </cell>
          <cell r="Q62">
            <v>1</v>
          </cell>
          <cell r="R62">
            <v>0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0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B62">
            <v>1</v>
          </cell>
          <cell r="AC62">
            <v>22</v>
          </cell>
        </row>
        <row r="63">
          <cell r="A63" t="str">
            <v>A1185</v>
          </cell>
          <cell r="B63" t="str">
            <v>SAFA PRAYUDA</v>
          </cell>
          <cell r="C63">
            <v>1</v>
          </cell>
          <cell r="D63">
            <v>1</v>
          </cell>
          <cell r="E63">
            <v>1</v>
          </cell>
          <cell r="F63">
            <v>1</v>
          </cell>
          <cell r="G63">
            <v>1</v>
          </cell>
          <cell r="H63">
            <v>0</v>
          </cell>
          <cell r="I63">
            <v>1</v>
          </cell>
          <cell r="J63">
            <v>1</v>
          </cell>
          <cell r="K63">
            <v>1</v>
          </cell>
          <cell r="L63">
            <v>1</v>
          </cell>
          <cell r="M63">
            <v>1</v>
          </cell>
          <cell r="N63">
            <v>0</v>
          </cell>
          <cell r="O63">
            <v>1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V63">
            <v>1</v>
          </cell>
          <cell r="W63">
            <v>1</v>
          </cell>
          <cell r="X63">
            <v>0</v>
          </cell>
          <cell r="Y63">
            <v>1</v>
          </cell>
          <cell r="Z63">
            <v>1</v>
          </cell>
          <cell r="AA63">
            <v>1</v>
          </cell>
          <cell r="AB63">
            <v>1</v>
          </cell>
          <cell r="AC63">
            <v>23</v>
          </cell>
        </row>
        <row r="64">
          <cell r="A64" t="str">
            <v>A1209</v>
          </cell>
          <cell r="B64" t="str">
            <v>ZULFI FAQIH NURUL JANNAH</v>
          </cell>
          <cell r="C64">
            <v>1</v>
          </cell>
          <cell r="D64">
            <v>1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J64">
            <v>1</v>
          </cell>
          <cell r="K64">
            <v>1</v>
          </cell>
          <cell r="L64">
            <v>1</v>
          </cell>
          <cell r="M64">
            <v>0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0</v>
          </cell>
          <cell r="W64">
            <v>1</v>
          </cell>
          <cell r="X64">
            <v>0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23</v>
          </cell>
        </row>
        <row r="65">
          <cell r="A65" t="str">
            <v>A1215</v>
          </cell>
          <cell r="B65" t="str">
            <v>ESTERINA KUSUMAWATI</v>
          </cell>
          <cell r="C65">
            <v>0</v>
          </cell>
          <cell r="D65">
            <v>0</v>
          </cell>
          <cell r="E65">
            <v>1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  <cell r="N65">
            <v>0</v>
          </cell>
          <cell r="O65">
            <v>1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0</v>
          </cell>
          <cell r="Y65">
            <v>1</v>
          </cell>
          <cell r="Z65">
            <v>1</v>
          </cell>
          <cell r="AA65">
            <v>1</v>
          </cell>
          <cell r="AB65">
            <v>1</v>
          </cell>
          <cell r="AC65">
            <v>22</v>
          </cell>
        </row>
        <row r="66">
          <cell r="A66" t="str">
            <v>A1219</v>
          </cell>
          <cell r="B66" t="str">
            <v>AZIZ ALFISYAHRI</v>
          </cell>
          <cell r="C66">
            <v>1</v>
          </cell>
          <cell r="D66">
            <v>1</v>
          </cell>
          <cell r="E66">
            <v>1</v>
          </cell>
          <cell r="F66">
            <v>1</v>
          </cell>
          <cell r="G66">
            <v>1</v>
          </cell>
          <cell r="H66">
            <v>1</v>
          </cell>
          <cell r="I66">
            <v>1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0</v>
          </cell>
          <cell r="O66">
            <v>1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1</v>
          </cell>
          <cell r="W66">
            <v>0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B66">
            <v>1</v>
          </cell>
          <cell r="AC66">
            <v>24</v>
          </cell>
        </row>
        <row r="67">
          <cell r="A67" t="str">
            <v>A1276</v>
          </cell>
          <cell r="B67" t="str">
            <v>SINDI ARLINDA DEWI</v>
          </cell>
          <cell r="C67">
            <v>1</v>
          </cell>
          <cell r="D67">
            <v>1</v>
          </cell>
          <cell r="E67">
            <v>1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  <cell r="N67">
            <v>0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0</v>
          </cell>
          <cell r="U67">
            <v>1</v>
          </cell>
          <cell r="V67">
            <v>1</v>
          </cell>
          <cell r="W67">
            <v>1</v>
          </cell>
          <cell r="X67">
            <v>0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23</v>
          </cell>
        </row>
        <row r="68">
          <cell r="A68" t="str">
            <v>A1277</v>
          </cell>
          <cell r="B68" t="str">
            <v>ARDIANA ZAHRA YULITA</v>
          </cell>
          <cell r="C68">
            <v>1</v>
          </cell>
          <cell r="D68">
            <v>1</v>
          </cell>
          <cell r="E68">
            <v>1</v>
          </cell>
          <cell r="F68">
            <v>1</v>
          </cell>
          <cell r="G68">
            <v>0</v>
          </cell>
          <cell r="H68">
            <v>1</v>
          </cell>
          <cell r="I68">
            <v>1</v>
          </cell>
          <cell r="J68">
            <v>1</v>
          </cell>
          <cell r="K68">
            <v>1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0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22</v>
          </cell>
        </row>
        <row r="69">
          <cell r="A69" t="str">
            <v>A1280</v>
          </cell>
          <cell r="B69" t="str">
            <v>PASKHA APRILIANINGSIH APRILIANINGSIH</v>
          </cell>
          <cell r="C69">
            <v>1</v>
          </cell>
          <cell r="D69">
            <v>1</v>
          </cell>
          <cell r="E69">
            <v>1</v>
          </cell>
          <cell r="F69">
            <v>1</v>
          </cell>
          <cell r="G69">
            <v>1</v>
          </cell>
          <cell r="H69">
            <v>1</v>
          </cell>
          <cell r="I69">
            <v>1</v>
          </cell>
          <cell r="J69">
            <v>1</v>
          </cell>
          <cell r="K69">
            <v>1</v>
          </cell>
          <cell r="L69">
            <v>1</v>
          </cell>
          <cell r="M69">
            <v>0</v>
          </cell>
          <cell r="N69">
            <v>0</v>
          </cell>
          <cell r="O69">
            <v>1</v>
          </cell>
          <cell r="P69">
            <v>1</v>
          </cell>
          <cell r="Q69">
            <v>1</v>
          </cell>
          <cell r="R69">
            <v>1</v>
          </cell>
          <cell r="S69">
            <v>1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>
            <v>0</v>
          </cell>
          <cell r="Y69">
            <v>1</v>
          </cell>
          <cell r="Z69">
            <v>1</v>
          </cell>
          <cell r="AA69">
            <v>1</v>
          </cell>
          <cell r="AB69">
            <v>1</v>
          </cell>
          <cell r="AC69">
            <v>23</v>
          </cell>
        </row>
        <row r="70">
          <cell r="A70" t="str">
            <v>A1281</v>
          </cell>
          <cell r="B70" t="str">
            <v>BENEDICTA MARISA</v>
          </cell>
          <cell r="C70">
            <v>1</v>
          </cell>
          <cell r="D70">
            <v>0</v>
          </cell>
          <cell r="E70">
            <v>0</v>
          </cell>
          <cell r="F70">
            <v>0</v>
          </cell>
          <cell r="G70">
            <v>1</v>
          </cell>
          <cell r="H70">
            <v>1</v>
          </cell>
          <cell r="I70">
            <v>1</v>
          </cell>
          <cell r="J70">
            <v>1</v>
          </cell>
          <cell r="K70">
            <v>0</v>
          </cell>
          <cell r="L70">
            <v>1</v>
          </cell>
          <cell r="M70">
            <v>1</v>
          </cell>
          <cell r="N70">
            <v>0</v>
          </cell>
          <cell r="O70">
            <v>1</v>
          </cell>
          <cell r="P70">
            <v>0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0</v>
          </cell>
          <cell r="W70">
            <v>1</v>
          </cell>
          <cell r="X70">
            <v>0</v>
          </cell>
          <cell r="Y70">
            <v>1</v>
          </cell>
          <cell r="Z70">
            <v>0</v>
          </cell>
          <cell r="AA70">
            <v>1</v>
          </cell>
          <cell r="AB70">
            <v>0</v>
          </cell>
          <cell r="AC70">
            <v>16</v>
          </cell>
        </row>
        <row r="71">
          <cell r="A71" t="str">
            <v>A1329</v>
          </cell>
          <cell r="B71" t="str">
            <v>NABILA HASNA</v>
          </cell>
          <cell r="C71">
            <v>1</v>
          </cell>
          <cell r="D71">
            <v>1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  <cell r="L71">
            <v>1</v>
          </cell>
          <cell r="M71">
            <v>1</v>
          </cell>
          <cell r="N71">
            <v>0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0</v>
          </cell>
          <cell r="W71">
            <v>1</v>
          </cell>
          <cell r="X71">
            <v>0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23</v>
          </cell>
        </row>
        <row r="72">
          <cell r="A72" t="str">
            <v>A1342</v>
          </cell>
          <cell r="B72" t="str">
            <v>ENZELLENA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1</v>
          </cell>
          <cell r="N72">
            <v>0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0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15</v>
          </cell>
        </row>
        <row r="73">
          <cell r="A73" t="str">
            <v>A1349</v>
          </cell>
          <cell r="B73" t="str">
            <v>TISA NORSARI</v>
          </cell>
          <cell r="C73">
            <v>1</v>
          </cell>
          <cell r="D73">
            <v>1</v>
          </cell>
          <cell r="E73">
            <v>1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  <cell r="N73">
            <v>0</v>
          </cell>
          <cell r="O73">
            <v>1</v>
          </cell>
          <cell r="P73">
            <v>1</v>
          </cell>
          <cell r="Q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0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B73">
            <v>1</v>
          </cell>
          <cell r="AC73">
            <v>24</v>
          </cell>
        </row>
        <row r="74">
          <cell r="A74" t="str">
            <v>A1357</v>
          </cell>
          <cell r="B74" t="str">
            <v>AGNES TRINITAS</v>
          </cell>
          <cell r="C74">
            <v>1</v>
          </cell>
          <cell r="D74">
            <v>1</v>
          </cell>
          <cell r="E74">
            <v>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  <cell r="Z74">
            <v>1</v>
          </cell>
          <cell r="AA74">
            <v>1</v>
          </cell>
          <cell r="AB74">
            <v>1</v>
          </cell>
          <cell r="AC74">
            <v>15</v>
          </cell>
        </row>
        <row r="75">
          <cell r="A75" t="str">
            <v>A1360</v>
          </cell>
          <cell r="B75" t="str">
            <v>NURPUTRANTO LAKSONO</v>
          </cell>
          <cell r="C75">
            <v>1</v>
          </cell>
          <cell r="D75">
            <v>1</v>
          </cell>
          <cell r="E75">
            <v>1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0</v>
          </cell>
          <cell r="L75">
            <v>1</v>
          </cell>
          <cell r="M75">
            <v>1</v>
          </cell>
          <cell r="N75">
            <v>0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V75">
            <v>1</v>
          </cell>
          <cell r="W75">
            <v>1</v>
          </cell>
          <cell r="X75">
            <v>0</v>
          </cell>
          <cell r="Y75">
            <v>1</v>
          </cell>
          <cell r="Z75">
            <v>1</v>
          </cell>
          <cell r="AA75">
            <v>1</v>
          </cell>
          <cell r="AB75">
            <v>1</v>
          </cell>
          <cell r="AC75">
            <v>23</v>
          </cell>
        </row>
        <row r="76">
          <cell r="A76" t="str">
            <v>A1417</v>
          </cell>
          <cell r="B76" t="str">
            <v>ISTAJIB HAMAMI</v>
          </cell>
          <cell r="C76">
            <v>1</v>
          </cell>
          <cell r="D76">
            <v>1</v>
          </cell>
          <cell r="E76">
            <v>1</v>
          </cell>
          <cell r="F76">
            <v>0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1</v>
          </cell>
          <cell r="L76">
            <v>0</v>
          </cell>
          <cell r="M76">
            <v>1</v>
          </cell>
          <cell r="N76">
            <v>0</v>
          </cell>
          <cell r="O76">
            <v>1</v>
          </cell>
          <cell r="P76">
            <v>1</v>
          </cell>
          <cell r="Q76">
            <v>1</v>
          </cell>
          <cell r="R76">
            <v>0</v>
          </cell>
          <cell r="S76">
            <v>1</v>
          </cell>
          <cell r="T76">
            <v>0</v>
          </cell>
          <cell r="U76">
            <v>1</v>
          </cell>
          <cell r="V76">
            <v>1</v>
          </cell>
          <cell r="W76">
            <v>1</v>
          </cell>
          <cell r="X76">
            <v>0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20</v>
          </cell>
        </row>
        <row r="77">
          <cell r="A77" t="str">
            <v>A1461</v>
          </cell>
          <cell r="B77" t="str">
            <v>AKHSA EKA MAHARANI</v>
          </cell>
          <cell r="C77">
            <v>1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0</v>
          </cell>
          <cell r="O77">
            <v>1</v>
          </cell>
          <cell r="P77">
            <v>1</v>
          </cell>
          <cell r="Q77">
            <v>1</v>
          </cell>
          <cell r="R77">
            <v>0</v>
          </cell>
          <cell r="S77">
            <v>1</v>
          </cell>
          <cell r="T77">
            <v>1</v>
          </cell>
          <cell r="U77">
            <v>1</v>
          </cell>
          <cell r="V77">
            <v>1</v>
          </cell>
          <cell r="W77">
            <v>1</v>
          </cell>
          <cell r="X77">
            <v>0</v>
          </cell>
          <cell r="Y77">
            <v>1</v>
          </cell>
          <cell r="Z77">
            <v>1</v>
          </cell>
          <cell r="AA77">
            <v>1</v>
          </cell>
          <cell r="AB77">
            <v>1</v>
          </cell>
          <cell r="AC77">
            <v>23</v>
          </cell>
        </row>
        <row r="78">
          <cell r="A78" t="str">
            <v>A1525</v>
          </cell>
          <cell r="B78" t="str">
            <v>MARSIDAH</v>
          </cell>
          <cell r="C78">
            <v>1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0</v>
          </cell>
          <cell r="O78">
            <v>1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0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24</v>
          </cell>
        </row>
        <row r="79">
          <cell r="A79" t="str">
            <v>A1531</v>
          </cell>
          <cell r="B79" t="str">
            <v>ERIN ALFINATA</v>
          </cell>
          <cell r="C79">
            <v>1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J79">
            <v>1</v>
          </cell>
          <cell r="K79">
            <v>1</v>
          </cell>
          <cell r="L79">
            <v>0</v>
          </cell>
          <cell r="M79">
            <v>0</v>
          </cell>
          <cell r="N79">
            <v>0</v>
          </cell>
          <cell r="O79">
            <v>1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V79">
            <v>1</v>
          </cell>
          <cell r="W79">
            <v>1</v>
          </cell>
          <cell r="X79">
            <v>0</v>
          </cell>
          <cell r="Y79">
            <v>1</v>
          </cell>
          <cell r="Z79">
            <v>1</v>
          </cell>
          <cell r="AA79">
            <v>1</v>
          </cell>
          <cell r="AB79">
            <v>1</v>
          </cell>
          <cell r="AC79">
            <v>22</v>
          </cell>
        </row>
        <row r="80">
          <cell r="A80" t="str">
            <v>A1556</v>
          </cell>
          <cell r="B80" t="str">
            <v>ISMA AUDIA PRABAWATI</v>
          </cell>
          <cell r="C80">
            <v>1</v>
          </cell>
          <cell r="D80">
            <v>1</v>
          </cell>
          <cell r="E80">
            <v>1</v>
          </cell>
          <cell r="F80">
            <v>1</v>
          </cell>
          <cell r="G80">
            <v>1</v>
          </cell>
          <cell r="H80">
            <v>0</v>
          </cell>
          <cell r="I80">
            <v>1</v>
          </cell>
          <cell r="J80">
            <v>1</v>
          </cell>
          <cell r="K80">
            <v>1</v>
          </cell>
          <cell r="L80">
            <v>1</v>
          </cell>
          <cell r="M80">
            <v>1</v>
          </cell>
          <cell r="N80">
            <v>0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0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23</v>
          </cell>
        </row>
        <row r="81">
          <cell r="A81" t="str">
            <v>A1650</v>
          </cell>
          <cell r="B81" t="str">
            <v>RISKA PUTRI ADELIA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1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2</v>
          </cell>
        </row>
        <row r="82">
          <cell r="A82" t="str">
            <v>A1651</v>
          </cell>
          <cell r="B82" t="str">
            <v>NUR ROMADANI FITRIANA</v>
          </cell>
          <cell r="C82">
            <v>1</v>
          </cell>
          <cell r="D82">
            <v>1</v>
          </cell>
          <cell r="E82">
            <v>1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J82">
            <v>0</v>
          </cell>
          <cell r="K82">
            <v>1</v>
          </cell>
          <cell r="L82">
            <v>1</v>
          </cell>
          <cell r="M82">
            <v>1</v>
          </cell>
          <cell r="N82">
            <v>0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0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C82">
            <v>23</v>
          </cell>
        </row>
        <row r="83">
          <cell r="A83" t="str">
            <v>A1652</v>
          </cell>
          <cell r="B83" t="str">
            <v>ADINDA PUTRI AMALIA</v>
          </cell>
          <cell r="C83">
            <v>0</v>
          </cell>
          <cell r="D83">
            <v>0</v>
          </cell>
          <cell r="E83">
            <v>1</v>
          </cell>
          <cell r="F83">
            <v>0</v>
          </cell>
          <cell r="G83">
            <v>1</v>
          </cell>
          <cell r="H83">
            <v>1</v>
          </cell>
          <cell r="I83">
            <v>1</v>
          </cell>
          <cell r="J83">
            <v>1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0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C83">
            <v>18</v>
          </cell>
        </row>
        <row r="84">
          <cell r="A84" t="str">
            <v>A1669</v>
          </cell>
          <cell r="B84" t="str">
            <v>CINTIA ANINDA HEKA SHAFIRA</v>
          </cell>
          <cell r="C84">
            <v>1</v>
          </cell>
          <cell r="D84">
            <v>1</v>
          </cell>
          <cell r="E84">
            <v>1</v>
          </cell>
          <cell r="F84">
            <v>1</v>
          </cell>
          <cell r="G84">
            <v>1</v>
          </cell>
          <cell r="H84">
            <v>0</v>
          </cell>
          <cell r="I84">
            <v>1</v>
          </cell>
          <cell r="J84">
            <v>1</v>
          </cell>
          <cell r="K84">
            <v>1</v>
          </cell>
          <cell r="L84">
            <v>0</v>
          </cell>
          <cell r="M84">
            <v>1</v>
          </cell>
          <cell r="N84">
            <v>0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0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22</v>
          </cell>
        </row>
        <row r="85">
          <cell r="A85" t="str">
            <v>A1721</v>
          </cell>
          <cell r="B85" t="str">
            <v>MEGA AUDILIA</v>
          </cell>
          <cell r="C85">
            <v>1</v>
          </cell>
          <cell r="D85">
            <v>1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0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0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C85">
            <v>24</v>
          </cell>
        </row>
        <row r="86">
          <cell r="A86" t="str">
            <v>A1728</v>
          </cell>
          <cell r="B86" t="str">
            <v>AYU TRI LESTARI</v>
          </cell>
          <cell r="C86">
            <v>1</v>
          </cell>
          <cell r="D86">
            <v>1</v>
          </cell>
          <cell r="E86">
            <v>1</v>
          </cell>
          <cell r="F86">
            <v>0</v>
          </cell>
          <cell r="G86">
            <v>1</v>
          </cell>
          <cell r="H86">
            <v>1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  <cell r="M86">
            <v>1</v>
          </cell>
          <cell r="N86">
            <v>0</v>
          </cell>
          <cell r="O86">
            <v>1</v>
          </cell>
          <cell r="P86">
            <v>1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0</v>
          </cell>
          <cell r="Y86">
            <v>1</v>
          </cell>
          <cell r="Z86">
            <v>1</v>
          </cell>
          <cell r="AA86">
            <v>1</v>
          </cell>
          <cell r="AB86">
            <v>1</v>
          </cell>
          <cell r="AC86">
            <v>23</v>
          </cell>
        </row>
        <row r="87">
          <cell r="A87" t="str">
            <v>A1755</v>
          </cell>
          <cell r="B87" t="str">
            <v>TIFANI ADELIA SYAFITRI</v>
          </cell>
          <cell r="C87">
            <v>1</v>
          </cell>
          <cell r="D87">
            <v>1</v>
          </cell>
          <cell r="E87">
            <v>1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J87">
            <v>1</v>
          </cell>
          <cell r="K87">
            <v>1</v>
          </cell>
          <cell r="L87">
            <v>1</v>
          </cell>
          <cell r="M87">
            <v>1</v>
          </cell>
          <cell r="N87">
            <v>0</v>
          </cell>
          <cell r="O87">
            <v>1</v>
          </cell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0</v>
          </cell>
          <cell r="Y87">
            <v>1</v>
          </cell>
          <cell r="Z87">
            <v>1</v>
          </cell>
          <cell r="AA87">
            <v>1</v>
          </cell>
          <cell r="AB87">
            <v>1</v>
          </cell>
          <cell r="AC87">
            <v>24</v>
          </cell>
        </row>
        <row r="88">
          <cell r="A88" t="str">
            <v>A1766</v>
          </cell>
          <cell r="B88" t="str">
            <v>ELIZABETH PARAMITA</v>
          </cell>
          <cell r="C88">
            <v>1</v>
          </cell>
          <cell r="D88">
            <v>1</v>
          </cell>
          <cell r="E88">
            <v>1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J88">
            <v>1</v>
          </cell>
          <cell r="K88">
            <v>1</v>
          </cell>
          <cell r="L88">
            <v>1</v>
          </cell>
          <cell r="M88">
            <v>1</v>
          </cell>
          <cell r="N88">
            <v>0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0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24</v>
          </cell>
        </row>
        <row r="89">
          <cell r="A89" t="str">
            <v>A1773</v>
          </cell>
          <cell r="B89" t="str">
            <v>MELINIA WINDY ERLIYA</v>
          </cell>
          <cell r="C89">
            <v>1</v>
          </cell>
          <cell r="D89">
            <v>1</v>
          </cell>
          <cell r="E89">
            <v>1</v>
          </cell>
          <cell r="F89">
            <v>1</v>
          </cell>
          <cell r="G89">
            <v>1</v>
          </cell>
          <cell r="H89">
            <v>1</v>
          </cell>
          <cell r="I89">
            <v>1</v>
          </cell>
          <cell r="J89">
            <v>0</v>
          </cell>
          <cell r="K89">
            <v>1</v>
          </cell>
          <cell r="L89">
            <v>1</v>
          </cell>
          <cell r="M89">
            <v>1</v>
          </cell>
          <cell r="N89">
            <v>0</v>
          </cell>
          <cell r="O89">
            <v>1</v>
          </cell>
          <cell r="P89">
            <v>1</v>
          </cell>
          <cell r="Q89">
            <v>1</v>
          </cell>
          <cell r="R89">
            <v>1</v>
          </cell>
          <cell r="S89">
            <v>1</v>
          </cell>
          <cell r="T89">
            <v>1</v>
          </cell>
          <cell r="U89">
            <v>1</v>
          </cell>
          <cell r="V89">
            <v>1</v>
          </cell>
          <cell r="W89">
            <v>1</v>
          </cell>
          <cell r="X89">
            <v>0</v>
          </cell>
          <cell r="Y89">
            <v>1</v>
          </cell>
          <cell r="Z89">
            <v>1</v>
          </cell>
          <cell r="AA89">
            <v>1</v>
          </cell>
          <cell r="AB89">
            <v>1</v>
          </cell>
          <cell r="AC89">
            <v>23</v>
          </cell>
        </row>
        <row r="90">
          <cell r="A90" t="str">
            <v>A1774</v>
          </cell>
          <cell r="B90" t="str">
            <v>MARIA DEWI TIRTA PERWITA SARI PERWITA SARI</v>
          </cell>
          <cell r="C90">
            <v>1</v>
          </cell>
          <cell r="D90">
            <v>1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1</v>
          </cell>
          <cell r="J90">
            <v>1</v>
          </cell>
          <cell r="K90">
            <v>1</v>
          </cell>
          <cell r="L90">
            <v>1</v>
          </cell>
          <cell r="M90">
            <v>1</v>
          </cell>
          <cell r="N90">
            <v>0</v>
          </cell>
          <cell r="O90">
            <v>1</v>
          </cell>
          <cell r="P90">
            <v>1</v>
          </cell>
          <cell r="Q90">
            <v>1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1</v>
          </cell>
          <cell r="Z90">
            <v>1</v>
          </cell>
          <cell r="AA90">
            <v>0</v>
          </cell>
          <cell r="AB90">
            <v>0</v>
          </cell>
          <cell r="AC90">
            <v>16</v>
          </cell>
        </row>
        <row r="91">
          <cell r="A91" t="str">
            <v>A1777</v>
          </cell>
          <cell r="B91" t="str">
            <v>MUTIANI WULANDARI</v>
          </cell>
          <cell r="C91">
            <v>1</v>
          </cell>
          <cell r="D91">
            <v>1</v>
          </cell>
          <cell r="E91">
            <v>1</v>
          </cell>
          <cell r="F91">
            <v>1</v>
          </cell>
          <cell r="G91">
            <v>1</v>
          </cell>
          <cell r="H91">
            <v>0</v>
          </cell>
          <cell r="I91">
            <v>1</v>
          </cell>
          <cell r="J91">
            <v>1</v>
          </cell>
          <cell r="K91">
            <v>1</v>
          </cell>
          <cell r="L91">
            <v>0</v>
          </cell>
          <cell r="M91">
            <v>1</v>
          </cell>
          <cell r="N91">
            <v>0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0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22</v>
          </cell>
        </row>
        <row r="92">
          <cell r="A92" t="str">
            <v>A1781</v>
          </cell>
          <cell r="B92" t="str">
            <v>ZULFA AZIZAH</v>
          </cell>
          <cell r="C92">
            <v>1</v>
          </cell>
          <cell r="D92">
            <v>1</v>
          </cell>
          <cell r="E92">
            <v>1</v>
          </cell>
          <cell r="F92">
            <v>1</v>
          </cell>
          <cell r="G92">
            <v>1</v>
          </cell>
          <cell r="H92">
            <v>1</v>
          </cell>
          <cell r="I92">
            <v>1</v>
          </cell>
          <cell r="J92">
            <v>0</v>
          </cell>
          <cell r="K92">
            <v>1</v>
          </cell>
          <cell r="L92">
            <v>1</v>
          </cell>
          <cell r="M92">
            <v>1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1</v>
          </cell>
          <cell r="U92">
            <v>1</v>
          </cell>
          <cell r="V92">
            <v>0</v>
          </cell>
          <cell r="W92">
            <v>1</v>
          </cell>
          <cell r="X92">
            <v>0</v>
          </cell>
          <cell r="Y92">
            <v>1</v>
          </cell>
          <cell r="Z92">
            <v>0</v>
          </cell>
          <cell r="AA92">
            <v>0</v>
          </cell>
          <cell r="AB92">
            <v>1</v>
          </cell>
          <cell r="AC92">
            <v>16</v>
          </cell>
        </row>
        <row r="93">
          <cell r="A93" t="str">
            <v>A1825</v>
          </cell>
          <cell r="B93" t="str">
            <v>MARLIANA</v>
          </cell>
          <cell r="C93">
            <v>1</v>
          </cell>
          <cell r="D93">
            <v>1</v>
          </cell>
          <cell r="E93">
            <v>1</v>
          </cell>
          <cell r="F93">
            <v>1</v>
          </cell>
          <cell r="G93">
            <v>1</v>
          </cell>
          <cell r="H93">
            <v>0</v>
          </cell>
          <cell r="I93">
            <v>1</v>
          </cell>
          <cell r="J93">
            <v>1</v>
          </cell>
          <cell r="K93">
            <v>1</v>
          </cell>
          <cell r="L93">
            <v>1</v>
          </cell>
          <cell r="M93">
            <v>0</v>
          </cell>
          <cell r="N93">
            <v>1</v>
          </cell>
          <cell r="O93">
            <v>1</v>
          </cell>
          <cell r="P93">
            <v>1</v>
          </cell>
          <cell r="Q93">
            <v>1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V93">
            <v>0</v>
          </cell>
          <cell r="W93">
            <v>1</v>
          </cell>
          <cell r="X93">
            <v>0</v>
          </cell>
          <cell r="Y93">
            <v>1</v>
          </cell>
          <cell r="Z93">
            <v>1</v>
          </cell>
          <cell r="AA93">
            <v>1</v>
          </cell>
          <cell r="AB93">
            <v>1</v>
          </cell>
          <cell r="AC93">
            <v>22</v>
          </cell>
        </row>
        <row r="94">
          <cell r="A94" t="str">
            <v>A1841</v>
          </cell>
          <cell r="B94" t="str">
            <v>ADHINA PUTRIANA KUSUMAWATI</v>
          </cell>
          <cell r="C94">
            <v>1</v>
          </cell>
          <cell r="D94">
            <v>1</v>
          </cell>
          <cell r="E94">
            <v>0</v>
          </cell>
          <cell r="F94">
            <v>0</v>
          </cell>
          <cell r="G94">
            <v>1</v>
          </cell>
          <cell r="H94">
            <v>1</v>
          </cell>
          <cell r="I94">
            <v>1</v>
          </cell>
          <cell r="J94">
            <v>0</v>
          </cell>
          <cell r="K94">
            <v>1</v>
          </cell>
          <cell r="L94">
            <v>0</v>
          </cell>
          <cell r="M94">
            <v>1</v>
          </cell>
          <cell r="N94">
            <v>0</v>
          </cell>
          <cell r="O94">
            <v>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>
            <v>1</v>
          </cell>
          <cell r="X94">
            <v>0</v>
          </cell>
          <cell r="Y94">
            <v>1</v>
          </cell>
          <cell r="Z94">
            <v>1</v>
          </cell>
          <cell r="AA94">
            <v>1</v>
          </cell>
          <cell r="AB94">
            <v>1</v>
          </cell>
          <cell r="AC94">
            <v>20</v>
          </cell>
        </row>
        <row r="95">
          <cell r="A95" t="str">
            <v>A1854</v>
          </cell>
          <cell r="B95" t="str">
            <v>SALSABILA OKTAVIMADIANA</v>
          </cell>
          <cell r="C95">
            <v>1</v>
          </cell>
          <cell r="D95">
            <v>1</v>
          </cell>
          <cell r="E95">
            <v>1</v>
          </cell>
          <cell r="F95">
            <v>1</v>
          </cell>
          <cell r="G95">
            <v>1</v>
          </cell>
          <cell r="H95">
            <v>1</v>
          </cell>
          <cell r="I95">
            <v>1</v>
          </cell>
          <cell r="J95">
            <v>1</v>
          </cell>
          <cell r="K95">
            <v>1</v>
          </cell>
          <cell r="L95">
            <v>1</v>
          </cell>
          <cell r="M95">
            <v>1</v>
          </cell>
          <cell r="N95">
            <v>0</v>
          </cell>
          <cell r="O95">
            <v>1</v>
          </cell>
          <cell r="P95">
            <v>1</v>
          </cell>
          <cell r="Q95">
            <v>1</v>
          </cell>
          <cell r="R95">
            <v>0</v>
          </cell>
          <cell r="S95">
            <v>1</v>
          </cell>
          <cell r="T95">
            <v>1</v>
          </cell>
          <cell r="U95">
            <v>1</v>
          </cell>
          <cell r="V95">
            <v>1</v>
          </cell>
          <cell r="W95">
            <v>1</v>
          </cell>
          <cell r="X95">
            <v>0</v>
          </cell>
          <cell r="Y95">
            <v>1</v>
          </cell>
          <cell r="Z95">
            <v>0</v>
          </cell>
          <cell r="AA95">
            <v>1</v>
          </cell>
          <cell r="AB95">
            <v>1</v>
          </cell>
          <cell r="AC95">
            <v>22</v>
          </cell>
        </row>
        <row r="96">
          <cell r="A96" t="str">
            <v>A1855</v>
          </cell>
          <cell r="B96" t="str">
            <v>WANINGSIH YONA LARASATI</v>
          </cell>
          <cell r="C96">
            <v>0</v>
          </cell>
          <cell r="D96">
            <v>0</v>
          </cell>
          <cell r="E96">
            <v>1</v>
          </cell>
          <cell r="F96">
            <v>0</v>
          </cell>
          <cell r="G96">
            <v>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2</v>
          </cell>
        </row>
        <row r="97">
          <cell r="A97" t="str">
            <v>A1944</v>
          </cell>
          <cell r="B97" t="str">
            <v>MUHAMMAD HILMI AZZAHIDI</v>
          </cell>
          <cell r="C97">
            <v>1</v>
          </cell>
          <cell r="D97">
            <v>1</v>
          </cell>
          <cell r="E97">
            <v>1</v>
          </cell>
          <cell r="F97">
            <v>1</v>
          </cell>
          <cell r="G97">
            <v>1</v>
          </cell>
          <cell r="H97">
            <v>1</v>
          </cell>
          <cell r="I97">
            <v>1</v>
          </cell>
          <cell r="J97">
            <v>1</v>
          </cell>
          <cell r="K97">
            <v>1</v>
          </cell>
          <cell r="L97">
            <v>1</v>
          </cell>
          <cell r="M97">
            <v>1</v>
          </cell>
          <cell r="N97">
            <v>0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0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24</v>
          </cell>
        </row>
        <row r="98">
          <cell r="A98" t="str">
            <v>A1954</v>
          </cell>
          <cell r="B98" t="str">
            <v>JELITA AYUNDA FITRIA</v>
          </cell>
          <cell r="C98">
            <v>1</v>
          </cell>
          <cell r="D98">
            <v>1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M98">
            <v>1</v>
          </cell>
          <cell r="N98">
            <v>0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0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24</v>
          </cell>
        </row>
        <row r="99">
          <cell r="A99" t="str">
            <v>A1957</v>
          </cell>
          <cell r="B99" t="str">
            <v>FATIA</v>
          </cell>
          <cell r="C99">
            <v>1</v>
          </cell>
          <cell r="D99">
            <v>1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M99">
            <v>1</v>
          </cell>
          <cell r="N99">
            <v>0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>
            <v>1</v>
          </cell>
          <cell r="T99">
            <v>1</v>
          </cell>
          <cell r="U99">
            <v>1</v>
          </cell>
          <cell r="V99">
            <v>1</v>
          </cell>
          <cell r="W99">
            <v>1</v>
          </cell>
          <cell r="X99">
            <v>0</v>
          </cell>
          <cell r="Y99">
            <v>1</v>
          </cell>
          <cell r="Z99">
            <v>0</v>
          </cell>
          <cell r="AA99">
            <v>1</v>
          </cell>
          <cell r="AB99">
            <v>1</v>
          </cell>
          <cell r="AC99">
            <v>23</v>
          </cell>
        </row>
        <row r="100">
          <cell r="A100" t="str">
            <v>A2145</v>
          </cell>
          <cell r="B100" t="str">
            <v>LAILY FAJRIYANTI</v>
          </cell>
          <cell r="C100">
            <v>1</v>
          </cell>
          <cell r="D100">
            <v>1</v>
          </cell>
          <cell r="E100">
            <v>1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0</v>
          </cell>
          <cell r="K100">
            <v>1</v>
          </cell>
          <cell r="L100">
            <v>0</v>
          </cell>
          <cell r="M100">
            <v>1</v>
          </cell>
          <cell r="N100">
            <v>0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0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22</v>
          </cell>
        </row>
        <row r="101">
          <cell r="A101" t="str">
            <v>A2179</v>
          </cell>
          <cell r="B101" t="str">
            <v>ANNISA LARASATI</v>
          </cell>
          <cell r="C101">
            <v>1</v>
          </cell>
          <cell r="D101">
            <v>1</v>
          </cell>
          <cell r="E101">
            <v>1</v>
          </cell>
          <cell r="F101">
            <v>1</v>
          </cell>
          <cell r="G101">
            <v>1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0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0</v>
          </cell>
          <cell r="U101">
            <v>1</v>
          </cell>
          <cell r="V101">
            <v>0</v>
          </cell>
          <cell r="W101">
            <v>1</v>
          </cell>
          <cell r="X101">
            <v>0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22</v>
          </cell>
        </row>
        <row r="102">
          <cell r="A102" t="str">
            <v>A2255</v>
          </cell>
          <cell r="B102" t="str">
            <v>ELI SITOHANG</v>
          </cell>
          <cell r="C102">
            <v>1</v>
          </cell>
          <cell r="D102">
            <v>1</v>
          </cell>
          <cell r="E102">
            <v>1</v>
          </cell>
          <cell r="F102">
            <v>1</v>
          </cell>
          <cell r="G102">
            <v>0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0</v>
          </cell>
          <cell r="O102">
            <v>1</v>
          </cell>
          <cell r="P102">
            <v>1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  <cell r="Z102">
            <v>1</v>
          </cell>
          <cell r="AA102">
            <v>1</v>
          </cell>
          <cell r="AB102">
            <v>0</v>
          </cell>
          <cell r="AC102">
            <v>15</v>
          </cell>
        </row>
        <row r="103">
          <cell r="A103" t="str">
            <v>A2322</v>
          </cell>
          <cell r="B103" t="str">
            <v>ROSI NOVI LUTFITASARI</v>
          </cell>
          <cell r="C103">
            <v>1</v>
          </cell>
          <cell r="D103">
            <v>1</v>
          </cell>
          <cell r="E103">
            <v>1</v>
          </cell>
          <cell r="F103">
            <v>1</v>
          </cell>
          <cell r="G103">
            <v>1</v>
          </cell>
          <cell r="H103">
            <v>0</v>
          </cell>
          <cell r="I103">
            <v>1</v>
          </cell>
          <cell r="J103">
            <v>1</v>
          </cell>
          <cell r="K103">
            <v>1</v>
          </cell>
          <cell r="L103">
            <v>0</v>
          </cell>
          <cell r="M103">
            <v>1</v>
          </cell>
          <cell r="N103">
            <v>0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  <cell r="T103">
            <v>1</v>
          </cell>
          <cell r="U103">
            <v>1</v>
          </cell>
          <cell r="V103">
            <v>1</v>
          </cell>
          <cell r="W103">
            <v>1</v>
          </cell>
          <cell r="X103">
            <v>0</v>
          </cell>
          <cell r="Y103">
            <v>1</v>
          </cell>
          <cell r="Z103">
            <v>1</v>
          </cell>
          <cell r="AA103">
            <v>1</v>
          </cell>
          <cell r="AB103">
            <v>1</v>
          </cell>
          <cell r="AC103">
            <v>22</v>
          </cell>
        </row>
        <row r="104">
          <cell r="A104" t="str">
            <v>A2417</v>
          </cell>
          <cell r="B104" t="str">
            <v>LALANG WINATA BINTANG NANOE</v>
          </cell>
          <cell r="C104">
            <v>1</v>
          </cell>
          <cell r="D104">
            <v>1</v>
          </cell>
          <cell r="E104">
            <v>1</v>
          </cell>
          <cell r="F104">
            <v>1</v>
          </cell>
          <cell r="G104">
            <v>1</v>
          </cell>
          <cell r="H104">
            <v>1</v>
          </cell>
          <cell r="I104">
            <v>1</v>
          </cell>
          <cell r="J104">
            <v>1</v>
          </cell>
          <cell r="K104">
            <v>1</v>
          </cell>
          <cell r="L104">
            <v>1</v>
          </cell>
          <cell r="M104">
            <v>1</v>
          </cell>
          <cell r="N104">
            <v>0</v>
          </cell>
          <cell r="O104">
            <v>1</v>
          </cell>
          <cell r="P104">
            <v>1</v>
          </cell>
          <cell r="Q104">
            <v>1</v>
          </cell>
          <cell r="R104">
            <v>1</v>
          </cell>
          <cell r="S104">
            <v>1</v>
          </cell>
          <cell r="T104">
            <v>1</v>
          </cell>
          <cell r="U104">
            <v>1</v>
          </cell>
          <cell r="V104">
            <v>1</v>
          </cell>
          <cell r="W104">
            <v>0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  <cell r="AB104">
            <v>1</v>
          </cell>
          <cell r="AC104">
            <v>24</v>
          </cell>
        </row>
        <row r="105">
          <cell r="A105" t="str">
            <v>A2418</v>
          </cell>
          <cell r="B105" t="str">
            <v>RIZKA MAULIA ROKHMAH</v>
          </cell>
          <cell r="C105">
            <v>1</v>
          </cell>
          <cell r="D105">
            <v>1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0</v>
          </cell>
          <cell r="K105">
            <v>1</v>
          </cell>
          <cell r="L105">
            <v>0</v>
          </cell>
          <cell r="M105">
            <v>1</v>
          </cell>
          <cell r="N105">
            <v>0</v>
          </cell>
          <cell r="O105">
            <v>1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T105">
            <v>1</v>
          </cell>
          <cell r="U105">
            <v>1</v>
          </cell>
          <cell r="V105">
            <v>1</v>
          </cell>
          <cell r="W105">
            <v>1</v>
          </cell>
          <cell r="X105">
            <v>0</v>
          </cell>
          <cell r="Y105">
            <v>1</v>
          </cell>
          <cell r="Z105">
            <v>1</v>
          </cell>
          <cell r="AA105">
            <v>1</v>
          </cell>
          <cell r="AB105">
            <v>1</v>
          </cell>
          <cell r="AC105">
            <v>22</v>
          </cell>
        </row>
        <row r="106">
          <cell r="A106" t="str">
            <v>A2442</v>
          </cell>
          <cell r="B106" t="str">
            <v>FAYI SALSABILA</v>
          </cell>
          <cell r="C106">
            <v>1</v>
          </cell>
          <cell r="D106">
            <v>1</v>
          </cell>
          <cell r="E106">
            <v>1</v>
          </cell>
          <cell r="F106">
            <v>1</v>
          </cell>
          <cell r="G106">
            <v>1</v>
          </cell>
          <cell r="H106">
            <v>1</v>
          </cell>
          <cell r="I106">
            <v>1</v>
          </cell>
          <cell r="J106">
            <v>1</v>
          </cell>
          <cell r="K106">
            <v>0</v>
          </cell>
          <cell r="L106">
            <v>0</v>
          </cell>
          <cell r="M106">
            <v>1</v>
          </cell>
          <cell r="N106">
            <v>0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  <cell r="T106">
            <v>1</v>
          </cell>
          <cell r="U106">
            <v>1</v>
          </cell>
          <cell r="V106">
            <v>1</v>
          </cell>
          <cell r="W106">
            <v>1</v>
          </cell>
          <cell r="X106">
            <v>0</v>
          </cell>
          <cell r="Y106">
            <v>1</v>
          </cell>
          <cell r="Z106">
            <v>1</v>
          </cell>
          <cell r="AA106">
            <v>1</v>
          </cell>
          <cell r="AB106">
            <v>1</v>
          </cell>
          <cell r="AC106">
            <v>22</v>
          </cell>
        </row>
        <row r="107">
          <cell r="A107" t="str">
            <v>A2462</v>
          </cell>
          <cell r="B107" t="str">
            <v>KHUSNUL KHATIMAH</v>
          </cell>
          <cell r="C107">
            <v>1</v>
          </cell>
          <cell r="D107">
            <v>1</v>
          </cell>
          <cell r="E107">
            <v>1</v>
          </cell>
          <cell r="F107">
            <v>1</v>
          </cell>
          <cell r="G107">
            <v>1</v>
          </cell>
          <cell r="H107">
            <v>1</v>
          </cell>
          <cell r="I107">
            <v>1</v>
          </cell>
          <cell r="J107">
            <v>1</v>
          </cell>
          <cell r="K107">
            <v>1</v>
          </cell>
          <cell r="L107">
            <v>1</v>
          </cell>
          <cell r="M107">
            <v>0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>
            <v>0</v>
          </cell>
          <cell r="U107">
            <v>1</v>
          </cell>
          <cell r="V107">
            <v>1</v>
          </cell>
          <cell r="W107">
            <v>1</v>
          </cell>
          <cell r="X107">
            <v>0</v>
          </cell>
          <cell r="Y107">
            <v>1</v>
          </cell>
          <cell r="Z107">
            <v>1</v>
          </cell>
          <cell r="AA107">
            <v>1</v>
          </cell>
          <cell r="AB107">
            <v>1</v>
          </cell>
          <cell r="AC107">
            <v>23</v>
          </cell>
        </row>
        <row r="108">
          <cell r="A108" t="str">
            <v>A2507</v>
          </cell>
          <cell r="B108" t="str">
            <v>ARJUNA TANJUNG</v>
          </cell>
          <cell r="C108">
            <v>1</v>
          </cell>
          <cell r="D108">
            <v>1</v>
          </cell>
          <cell r="E108">
            <v>1</v>
          </cell>
          <cell r="F108">
            <v>1</v>
          </cell>
          <cell r="G108">
            <v>1</v>
          </cell>
          <cell r="H108">
            <v>1</v>
          </cell>
          <cell r="I108">
            <v>1</v>
          </cell>
          <cell r="J108">
            <v>1</v>
          </cell>
          <cell r="K108">
            <v>1</v>
          </cell>
          <cell r="L108">
            <v>1</v>
          </cell>
          <cell r="M108">
            <v>1</v>
          </cell>
          <cell r="N108">
            <v>0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>
            <v>1</v>
          </cell>
          <cell r="U108">
            <v>1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1</v>
          </cell>
          <cell r="AA108">
            <v>1</v>
          </cell>
          <cell r="AB108">
            <v>1</v>
          </cell>
          <cell r="AC108">
            <v>22</v>
          </cell>
        </row>
        <row r="109">
          <cell r="A109" t="str">
            <v>A2510</v>
          </cell>
          <cell r="B109" t="str">
            <v>THIFAL KHANSA NABILA</v>
          </cell>
          <cell r="C109">
            <v>1</v>
          </cell>
          <cell r="D109">
            <v>0</v>
          </cell>
          <cell r="E109">
            <v>1</v>
          </cell>
          <cell r="F109">
            <v>0</v>
          </cell>
          <cell r="G109">
            <v>1</v>
          </cell>
          <cell r="H109">
            <v>0</v>
          </cell>
          <cell r="I109">
            <v>1</v>
          </cell>
          <cell r="J109">
            <v>0</v>
          </cell>
          <cell r="K109">
            <v>1</v>
          </cell>
          <cell r="L109">
            <v>0</v>
          </cell>
          <cell r="M109">
            <v>1</v>
          </cell>
          <cell r="N109">
            <v>0</v>
          </cell>
          <cell r="O109">
            <v>1</v>
          </cell>
          <cell r="P109">
            <v>0</v>
          </cell>
          <cell r="Q109">
            <v>1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V109">
            <v>0</v>
          </cell>
          <cell r="W109">
            <v>1</v>
          </cell>
          <cell r="X109">
            <v>0</v>
          </cell>
          <cell r="Y109">
            <v>1</v>
          </cell>
          <cell r="Z109">
            <v>0</v>
          </cell>
          <cell r="AA109">
            <v>1</v>
          </cell>
          <cell r="AB109">
            <v>0</v>
          </cell>
          <cell r="AC109">
            <v>15</v>
          </cell>
        </row>
        <row r="110">
          <cell r="A110" t="str">
            <v>A2719</v>
          </cell>
          <cell r="B110" t="str">
            <v>DYAH AYU MIRA BELLA</v>
          </cell>
          <cell r="C110">
            <v>1</v>
          </cell>
          <cell r="D110">
            <v>1</v>
          </cell>
          <cell r="E110">
            <v>1</v>
          </cell>
          <cell r="F110">
            <v>0</v>
          </cell>
          <cell r="G110">
            <v>1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  <cell r="L110">
            <v>1</v>
          </cell>
          <cell r="M110">
            <v>1</v>
          </cell>
          <cell r="N110">
            <v>0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0</v>
          </cell>
          <cell r="Y110">
            <v>1</v>
          </cell>
          <cell r="Z110">
            <v>1</v>
          </cell>
          <cell r="AA110">
            <v>1</v>
          </cell>
          <cell r="AB110">
            <v>1</v>
          </cell>
          <cell r="AC110">
            <v>23</v>
          </cell>
        </row>
        <row r="111">
          <cell r="A111" t="str">
            <v>A2782</v>
          </cell>
          <cell r="B111" t="str">
            <v>ADRIAL RAMDHANI</v>
          </cell>
          <cell r="C111">
            <v>1</v>
          </cell>
          <cell r="D111">
            <v>1</v>
          </cell>
          <cell r="E111">
            <v>1</v>
          </cell>
          <cell r="F111">
            <v>0</v>
          </cell>
          <cell r="G111">
            <v>1</v>
          </cell>
          <cell r="H111">
            <v>0</v>
          </cell>
          <cell r="I111">
            <v>0</v>
          </cell>
          <cell r="J111">
            <v>0</v>
          </cell>
          <cell r="K111">
            <v>1</v>
          </cell>
          <cell r="L111">
            <v>1</v>
          </cell>
          <cell r="M111">
            <v>0</v>
          </cell>
          <cell r="N111">
            <v>0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  <cell r="T111">
            <v>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</v>
          </cell>
          <cell r="Z111">
            <v>0</v>
          </cell>
          <cell r="AA111">
            <v>1</v>
          </cell>
          <cell r="AB111">
            <v>1</v>
          </cell>
          <cell r="AC111">
            <v>15</v>
          </cell>
        </row>
        <row r="112">
          <cell r="A112" t="str">
            <v>A2886</v>
          </cell>
          <cell r="B112" t="str">
            <v>ASA HIRASNA SEPTIANI</v>
          </cell>
          <cell r="C112">
            <v>1</v>
          </cell>
          <cell r="D112">
            <v>1</v>
          </cell>
          <cell r="E112">
            <v>1</v>
          </cell>
          <cell r="F112">
            <v>1</v>
          </cell>
          <cell r="G112">
            <v>1</v>
          </cell>
          <cell r="H112">
            <v>0</v>
          </cell>
          <cell r="I112">
            <v>1</v>
          </cell>
          <cell r="J112">
            <v>1</v>
          </cell>
          <cell r="K112">
            <v>1</v>
          </cell>
          <cell r="L112">
            <v>0</v>
          </cell>
          <cell r="M112">
            <v>1</v>
          </cell>
          <cell r="N112">
            <v>0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W112">
            <v>1</v>
          </cell>
          <cell r="X112">
            <v>0</v>
          </cell>
          <cell r="Y112">
            <v>1</v>
          </cell>
          <cell r="Z112">
            <v>1</v>
          </cell>
          <cell r="AA112">
            <v>1</v>
          </cell>
          <cell r="AB112">
            <v>1</v>
          </cell>
          <cell r="AC112">
            <v>22</v>
          </cell>
        </row>
        <row r="113">
          <cell r="A113" t="str">
            <v>A2925</v>
          </cell>
          <cell r="B113" t="str">
            <v>MARIA GORETTI DIAN PERMATA HADI</v>
          </cell>
          <cell r="C113">
            <v>1</v>
          </cell>
          <cell r="D113">
            <v>1</v>
          </cell>
          <cell r="E113">
            <v>1</v>
          </cell>
          <cell r="F113">
            <v>1</v>
          </cell>
          <cell r="G113">
            <v>1</v>
          </cell>
          <cell r="H113">
            <v>1</v>
          </cell>
          <cell r="I113">
            <v>1</v>
          </cell>
          <cell r="J113">
            <v>1</v>
          </cell>
          <cell r="K113">
            <v>1</v>
          </cell>
          <cell r="L113">
            <v>0</v>
          </cell>
          <cell r="M113">
            <v>1</v>
          </cell>
          <cell r="N113">
            <v>0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0</v>
          </cell>
          <cell r="Y113">
            <v>1</v>
          </cell>
          <cell r="Z113">
            <v>1</v>
          </cell>
          <cell r="AA113">
            <v>1</v>
          </cell>
          <cell r="AB113">
            <v>1</v>
          </cell>
          <cell r="AC113">
            <v>23</v>
          </cell>
        </row>
        <row r="114">
          <cell r="A114" t="str">
            <v>A2936</v>
          </cell>
          <cell r="B114" t="str">
            <v>DIMAS AGUNG NUGROHO</v>
          </cell>
          <cell r="C114">
            <v>1</v>
          </cell>
          <cell r="D114">
            <v>1</v>
          </cell>
          <cell r="E114">
            <v>1</v>
          </cell>
          <cell r="F114">
            <v>0</v>
          </cell>
          <cell r="G114">
            <v>1</v>
          </cell>
          <cell r="H114">
            <v>0</v>
          </cell>
          <cell r="I114">
            <v>1</v>
          </cell>
          <cell r="J114">
            <v>0</v>
          </cell>
          <cell r="K114">
            <v>1</v>
          </cell>
          <cell r="L114">
            <v>0</v>
          </cell>
          <cell r="M114">
            <v>1</v>
          </cell>
          <cell r="N114">
            <v>0</v>
          </cell>
          <cell r="O114">
            <v>1</v>
          </cell>
          <cell r="P114">
            <v>1</v>
          </cell>
          <cell r="Q114">
            <v>1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V114">
            <v>1</v>
          </cell>
          <cell r="W114">
            <v>1</v>
          </cell>
          <cell r="X114">
            <v>0</v>
          </cell>
          <cell r="Y114">
            <v>1</v>
          </cell>
          <cell r="Z114">
            <v>1</v>
          </cell>
          <cell r="AA114">
            <v>1</v>
          </cell>
          <cell r="AB114">
            <v>1</v>
          </cell>
          <cell r="AC114">
            <v>20</v>
          </cell>
        </row>
        <row r="115">
          <cell r="A115" t="str">
            <v>A2937</v>
          </cell>
          <cell r="B115" t="str">
            <v>ALEXANDRO ELSIKA SOGE</v>
          </cell>
          <cell r="C115">
            <v>1</v>
          </cell>
          <cell r="D115">
            <v>1</v>
          </cell>
          <cell r="E115">
            <v>1</v>
          </cell>
          <cell r="F115">
            <v>1</v>
          </cell>
          <cell r="G115">
            <v>1</v>
          </cell>
          <cell r="H115">
            <v>0</v>
          </cell>
          <cell r="I115">
            <v>1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0</v>
          </cell>
          <cell r="O115">
            <v>1</v>
          </cell>
          <cell r="P115">
            <v>1</v>
          </cell>
          <cell r="Q115">
            <v>0</v>
          </cell>
          <cell r="R115">
            <v>0</v>
          </cell>
          <cell r="S115">
            <v>1</v>
          </cell>
          <cell r="T115">
            <v>1</v>
          </cell>
          <cell r="U115">
            <v>1</v>
          </cell>
          <cell r="V115">
            <v>0</v>
          </cell>
          <cell r="W115">
            <v>1</v>
          </cell>
          <cell r="X115">
            <v>0</v>
          </cell>
          <cell r="Y115">
            <v>1</v>
          </cell>
          <cell r="Z115">
            <v>1</v>
          </cell>
          <cell r="AA115">
            <v>1</v>
          </cell>
          <cell r="AB115">
            <v>1</v>
          </cell>
          <cell r="AC115">
            <v>20</v>
          </cell>
        </row>
        <row r="116">
          <cell r="A116" t="str">
            <v>A2944</v>
          </cell>
          <cell r="B116" t="str">
            <v>I LUH LAKSMI EKA DEWI</v>
          </cell>
          <cell r="C116">
            <v>1</v>
          </cell>
          <cell r="D116">
            <v>1</v>
          </cell>
          <cell r="E116">
            <v>1</v>
          </cell>
          <cell r="F116">
            <v>0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0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0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23</v>
          </cell>
        </row>
        <row r="117">
          <cell r="A117" t="str">
            <v>A2953</v>
          </cell>
          <cell r="B117" t="str">
            <v>NAWANGWULAN DESIKUMALA</v>
          </cell>
          <cell r="C117">
            <v>1</v>
          </cell>
          <cell r="D117">
            <v>1</v>
          </cell>
          <cell r="E117">
            <v>1</v>
          </cell>
          <cell r="F117">
            <v>1</v>
          </cell>
          <cell r="G117">
            <v>1</v>
          </cell>
          <cell r="H117">
            <v>1</v>
          </cell>
          <cell r="I117">
            <v>1</v>
          </cell>
          <cell r="J117">
            <v>1</v>
          </cell>
          <cell r="K117">
            <v>1</v>
          </cell>
          <cell r="L117">
            <v>1</v>
          </cell>
          <cell r="M117">
            <v>0</v>
          </cell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V117">
            <v>1</v>
          </cell>
          <cell r="W117">
            <v>0</v>
          </cell>
          <cell r="X117">
            <v>0</v>
          </cell>
          <cell r="Y117">
            <v>1</v>
          </cell>
          <cell r="Z117">
            <v>1</v>
          </cell>
          <cell r="AA117">
            <v>1</v>
          </cell>
          <cell r="AB117">
            <v>1</v>
          </cell>
          <cell r="AC117">
            <v>23</v>
          </cell>
        </row>
        <row r="118">
          <cell r="A118" t="str">
            <v>A2961</v>
          </cell>
          <cell r="B118" t="str">
            <v>AGUNG PRASETYADI</v>
          </cell>
          <cell r="C118">
            <v>1</v>
          </cell>
          <cell r="D118">
            <v>1</v>
          </cell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0</v>
          </cell>
          <cell r="O118">
            <v>1</v>
          </cell>
          <cell r="P118">
            <v>0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1</v>
          </cell>
          <cell r="X118">
            <v>0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23</v>
          </cell>
        </row>
        <row r="119">
          <cell r="A119" t="str">
            <v>A3007</v>
          </cell>
          <cell r="B119" t="str">
            <v>MELLINDA VERAWATI</v>
          </cell>
          <cell r="C119">
            <v>1</v>
          </cell>
          <cell r="D119">
            <v>1</v>
          </cell>
          <cell r="E119">
            <v>1</v>
          </cell>
          <cell r="F119">
            <v>1</v>
          </cell>
          <cell r="G119">
            <v>1</v>
          </cell>
          <cell r="H119">
            <v>0</v>
          </cell>
          <cell r="I119">
            <v>1</v>
          </cell>
          <cell r="J119">
            <v>0</v>
          </cell>
          <cell r="K119">
            <v>1</v>
          </cell>
          <cell r="L119">
            <v>0</v>
          </cell>
          <cell r="M119">
            <v>1</v>
          </cell>
          <cell r="N119">
            <v>0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0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21</v>
          </cell>
        </row>
        <row r="120">
          <cell r="A120" t="str">
            <v>A3029</v>
          </cell>
          <cell r="B120" t="str">
            <v>EMMIA CLARITA BR TARIGAN</v>
          </cell>
          <cell r="C120">
            <v>1</v>
          </cell>
          <cell r="D120">
            <v>1</v>
          </cell>
          <cell r="E120">
            <v>1</v>
          </cell>
          <cell r="F120">
            <v>1</v>
          </cell>
          <cell r="G120">
            <v>1</v>
          </cell>
          <cell r="H120">
            <v>0</v>
          </cell>
          <cell r="I120">
            <v>1</v>
          </cell>
          <cell r="J120">
            <v>1</v>
          </cell>
          <cell r="K120">
            <v>1</v>
          </cell>
          <cell r="L120">
            <v>1</v>
          </cell>
          <cell r="M120">
            <v>1</v>
          </cell>
          <cell r="N120">
            <v>0</v>
          </cell>
          <cell r="O120">
            <v>1</v>
          </cell>
          <cell r="P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X120">
            <v>0</v>
          </cell>
          <cell r="Y120">
            <v>1</v>
          </cell>
          <cell r="Z120">
            <v>1</v>
          </cell>
          <cell r="AA120">
            <v>1</v>
          </cell>
          <cell r="AB120">
            <v>1</v>
          </cell>
          <cell r="AC120">
            <v>23</v>
          </cell>
        </row>
        <row r="121">
          <cell r="A121" t="str">
            <v>A3117</v>
          </cell>
          <cell r="B121" t="str">
            <v>HAPSARI ARINTA</v>
          </cell>
          <cell r="C121">
            <v>1</v>
          </cell>
          <cell r="D121">
            <v>1</v>
          </cell>
          <cell r="E121">
            <v>1</v>
          </cell>
          <cell r="F121">
            <v>0</v>
          </cell>
          <cell r="G121">
            <v>1</v>
          </cell>
          <cell r="H121">
            <v>1</v>
          </cell>
          <cell r="I121">
            <v>1</v>
          </cell>
          <cell r="J121">
            <v>0</v>
          </cell>
          <cell r="K121">
            <v>1</v>
          </cell>
          <cell r="L121">
            <v>1</v>
          </cell>
          <cell r="M121">
            <v>1</v>
          </cell>
          <cell r="N121">
            <v>0</v>
          </cell>
          <cell r="O121">
            <v>1</v>
          </cell>
          <cell r="P121">
            <v>1</v>
          </cell>
          <cell r="Q121">
            <v>1</v>
          </cell>
          <cell r="R121">
            <v>0</v>
          </cell>
          <cell r="S121">
            <v>1</v>
          </cell>
          <cell r="T121">
            <v>1</v>
          </cell>
          <cell r="U121">
            <v>1</v>
          </cell>
          <cell r="V121">
            <v>0</v>
          </cell>
          <cell r="W121">
            <v>1</v>
          </cell>
          <cell r="X121">
            <v>0</v>
          </cell>
          <cell r="Y121">
            <v>1</v>
          </cell>
          <cell r="Z121">
            <v>0</v>
          </cell>
          <cell r="AA121">
            <v>1</v>
          </cell>
          <cell r="AB121">
            <v>1</v>
          </cell>
          <cell r="AC121">
            <v>19</v>
          </cell>
        </row>
        <row r="122">
          <cell r="A122" t="str">
            <v>A3172</v>
          </cell>
          <cell r="B122" t="str">
            <v>NURYANI NURYANI</v>
          </cell>
          <cell r="C122">
            <v>1</v>
          </cell>
          <cell r="D122">
            <v>1</v>
          </cell>
          <cell r="E122">
            <v>1</v>
          </cell>
          <cell r="F122">
            <v>1</v>
          </cell>
          <cell r="G122">
            <v>1</v>
          </cell>
          <cell r="H122">
            <v>1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0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15</v>
          </cell>
        </row>
        <row r="123">
          <cell r="A123" t="str">
            <v>A3218</v>
          </cell>
          <cell r="B123" t="str">
            <v>IRMA SEMBIRING</v>
          </cell>
          <cell r="C123">
            <v>1</v>
          </cell>
          <cell r="D123">
            <v>1</v>
          </cell>
          <cell r="E123">
            <v>1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0</v>
          </cell>
          <cell r="O123">
            <v>1</v>
          </cell>
          <cell r="P123">
            <v>0</v>
          </cell>
          <cell r="Q123">
            <v>1</v>
          </cell>
          <cell r="R123">
            <v>1</v>
          </cell>
          <cell r="S123">
            <v>1</v>
          </cell>
          <cell r="T123">
            <v>1</v>
          </cell>
          <cell r="U123">
            <v>1</v>
          </cell>
          <cell r="V123">
            <v>1</v>
          </cell>
          <cell r="W123">
            <v>1</v>
          </cell>
          <cell r="X123">
            <v>0</v>
          </cell>
          <cell r="Y123">
            <v>1</v>
          </cell>
          <cell r="Z123">
            <v>1</v>
          </cell>
          <cell r="AA123">
            <v>1</v>
          </cell>
          <cell r="AB123">
            <v>1</v>
          </cell>
          <cell r="AC123">
            <v>23</v>
          </cell>
        </row>
        <row r="124">
          <cell r="A124" t="str">
            <v>A3227</v>
          </cell>
          <cell r="B124" t="str">
            <v>AULIA TASYA AZZAHRA</v>
          </cell>
          <cell r="C124">
            <v>1</v>
          </cell>
          <cell r="D124">
            <v>1</v>
          </cell>
          <cell r="E124">
            <v>1</v>
          </cell>
          <cell r="F124">
            <v>1</v>
          </cell>
          <cell r="G124">
            <v>1</v>
          </cell>
          <cell r="H124">
            <v>0</v>
          </cell>
          <cell r="I124">
            <v>1</v>
          </cell>
          <cell r="J124">
            <v>1</v>
          </cell>
          <cell r="K124">
            <v>1</v>
          </cell>
          <cell r="L124">
            <v>0</v>
          </cell>
          <cell r="M124">
            <v>1</v>
          </cell>
          <cell r="N124">
            <v>0</v>
          </cell>
          <cell r="O124">
            <v>1</v>
          </cell>
          <cell r="P124">
            <v>1</v>
          </cell>
          <cell r="Q124">
            <v>1</v>
          </cell>
          <cell r="R124">
            <v>1</v>
          </cell>
          <cell r="S124">
            <v>1</v>
          </cell>
          <cell r="T124">
            <v>1</v>
          </cell>
          <cell r="U124">
            <v>1</v>
          </cell>
          <cell r="V124">
            <v>1</v>
          </cell>
          <cell r="W124">
            <v>1</v>
          </cell>
          <cell r="X124">
            <v>0</v>
          </cell>
          <cell r="Y124">
            <v>1</v>
          </cell>
          <cell r="Z124">
            <v>1</v>
          </cell>
          <cell r="AA124">
            <v>1</v>
          </cell>
          <cell r="AB124">
            <v>1</v>
          </cell>
          <cell r="AC124">
            <v>22</v>
          </cell>
        </row>
        <row r="125">
          <cell r="A125" t="str">
            <v>A3258</v>
          </cell>
          <cell r="B125" t="str">
            <v>CLARA DEVI MAHARANI</v>
          </cell>
          <cell r="C125">
            <v>1</v>
          </cell>
          <cell r="D125">
            <v>1</v>
          </cell>
          <cell r="E125">
            <v>1</v>
          </cell>
          <cell r="F125">
            <v>0</v>
          </cell>
          <cell r="G125">
            <v>1</v>
          </cell>
          <cell r="H125">
            <v>1</v>
          </cell>
          <cell r="I125">
            <v>1</v>
          </cell>
          <cell r="J125">
            <v>0</v>
          </cell>
          <cell r="K125">
            <v>1</v>
          </cell>
          <cell r="L125">
            <v>0</v>
          </cell>
          <cell r="M125">
            <v>1</v>
          </cell>
          <cell r="N125">
            <v>0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0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21</v>
          </cell>
        </row>
        <row r="126">
          <cell r="A126" t="str">
            <v>A3259</v>
          </cell>
          <cell r="B126" t="str">
            <v>ALBERTUS CHRISTIAN ADE DARMAWAN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1</v>
          </cell>
          <cell r="M126">
            <v>1</v>
          </cell>
          <cell r="N126">
            <v>0</v>
          </cell>
          <cell r="O126">
            <v>1</v>
          </cell>
          <cell r="P126">
            <v>1</v>
          </cell>
          <cell r="Q126">
            <v>1</v>
          </cell>
          <cell r="R126">
            <v>1</v>
          </cell>
          <cell r="S126">
            <v>1</v>
          </cell>
          <cell r="T126">
            <v>1</v>
          </cell>
          <cell r="U126">
            <v>1</v>
          </cell>
          <cell r="V126">
            <v>1</v>
          </cell>
          <cell r="W126">
            <v>1</v>
          </cell>
          <cell r="X126">
            <v>0</v>
          </cell>
          <cell r="Y126">
            <v>1</v>
          </cell>
          <cell r="Z126">
            <v>1</v>
          </cell>
          <cell r="AA126">
            <v>1</v>
          </cell>
          <cell r="AB126">
            <v>1</v>
          </cell>
          <cell r="AC126">
            <v>24</v>
          </cell>
        </row>
        <row r="127">
          <cell r="A127" t="str">
            <v>A3273</v>
          </cell>
          <cell r="B127" t="str">
            <v>BINTANG MUTIARAJATI</v>
          </cell>
          <cell r="C127">
            <v>1</v>
          </cell>
          <cell r="D127">
            <v>1</v>
          </cell>
          <cell r="E127">
            <v>1</v>
          </cell>
          <cell r="F127">
            <v>0</v>
          </cell>
          <cell r="G127">
            <v>1</v>
          </cell>
          <cell r="H127">
            <v>0</v>
          </cell>
          <cell r="I127">
            <v>1</v>
          </cell>
          <cell r="J127">
            <v>1</v>
          </cell>
          <cell r="K127">
            <v>1</v>
          </cell>
          <cell r="L127">
            <v>0</v>
          </cell>
          <cell r="M127">
            <v>1</v>
          </cell>
          <cell r="N127">
            <v>0</v>
          </cell>
          <cell r="O127">
            <v>1</v>
          </cell>
          <cell r="P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V127">
            <v>1</v>
          </cell>
          <cell r="W127">
            <v>1</v>
          </cell>
          <cell r="X127">
            <v>0</v>
          </cell>
          <cell r="Y127">
            <v>1</v>
          </cell>
          <cell r="Z127">
            <v>1</v>
          </cell>
          <cell r="AA127">
            <v>1</v>
          </cell>
          <cell r="AB127">
            <v>1</v>
          </cell>
          <cell r="AC127">
            <v>21</v>
          </cell>
        </row>
        <row r="128">
          <cell r="A128" t="str">
            <v>A3301</v>
          </cell>
          <cell r="B128" t="str">
            <v>MARIA SHINTA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1</v>
          </cell>
          <cell r="M128">
            <v>1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1</v>
          </cell>
          <cell r="Z128">
            <v>1</v>
          </cell>
          <cell r="AA128">
            <v>1</v>
          </cell>
          <cell r="AB128">
            <v>1</v>
          </cell>
          <cell r="AC128">
            <v>15</v>
          </cell>
        </row>
        <row r="129">
          <cell r="A129" t="str">
            <v>A3321</v>
          </cell>
          <cell r="B129" t="str">
            <v>DESTI RAHMAWATI</v>
          </cell>
          <cell r="C129">
            <v>1</v>
          </cell>
          <cell r="D129">
            <v>0</v>
          </cell>
          <cell r="E129">
            <v>1</v>
          </cell>
          <cell r="F129">
            <v>1</v>
          </cell>
          <cell r="G129">
            <v>0</v>
          </cell>
          <cell r="H129">
            <v>0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1</v>
          </cell>
          <cell r="N129">
            <v>0</v>
          </cell>
          <cell r="O129">
            <v>1</v>
          </cell>
          <cell r="P129">
            <v>1</v>
          </cell>
          <cell r="Q129">
            <v>1</v>
          </cell>
          <cell r="R129">
            <v>1</v>
          </cell>
          <cell r="S129">
            <v>0</v>
          </cell>
          <cell r="T129">
            <v>0</v>
          </cell>
          <cell r="U129">
            <v>1</v>
          </cell>
          <cell r="V129">
            <v>0</v>
          </cell>
          <cell r="W129">
            <v>1</v>
          </cell>
          <cell r="X129">
            <v>0</v>
          </cell>
          <cell r="Y129">
            <v>1</v>
          </cell>
          <cell r="Z129">
            <v>0</v>
          </cell>
          <cell r="AA129">
            <v>1</v>
          </cell>
          <cell r="AB129">
            <v>0</v>
          </cell>
          <cell r="AC129">
            <v>15</v>
          </cell>
        </row>
        <row r="130">
          <cell r="A130" t="str">
            <v>A3353</v>
          </cell>
          <cell r="B130" t="str">
            <v>GARUDA PAMUNGKAS</v>
          </cell>
          <cell r="C130">
            <v>1</v>
          </cell>
          <cell r="D130">
            <v>0</v>
          </cell>
          <cell r="E130">
            <v>0</v>
          </cell>
          <cell r="F130">
            <v>1</v>
          </cell>
          <cell r="G130">
            <v>0</v>
          </cell>
          <cell r="H130">
            <v>0</v>
          </cell>
          <cell r="I130">
            <v>1</v>
          </cell>
          <cell r="J130">
            <v>0</v>
          </cell>
          <cell r="K130">
            <v>1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1</v>
          </cell>
          <cell r="V130">
            <v>1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6</v>
          </cell>
        </row>
        <row r="131">
          <cell r="A131" t="str">
            <v>A3358</v>
          </cell>
          <cell r="B131" t="str">
            <v>NOVIA PUTRIANA KUSUMAWATI</v>
          </cell>
          <cell r="C131">
            <v>1</v>
          </cell>
          <cell r="D131">
            <v>0</v>
          </cell>
          <cell r="E131">
            <v>1</v>
          </cell>
          <cell r="F131">
            <v>1</v>
          </cell>
          <cell r="G131">
            <v>1</v>
          </cell>
          <cell r="H131">
            <v>0</v>
          </cell>
          <cell r="I131">
            <v>0</v>
          </cell>
          <cell r="J131">
            <v>0</v>
          </cell>
          <cell r="K131">
            <v>1</v>
          </cell>
          <cell r="L131">
            <v>0</v>
          </cell>
          <cell r="M131">
            <v>1</v>
          </cell>
          <cell r="N131">
            <v>0</v>
          </cell>
          <cell r="O131">
            <v>1</v>
          </cell>
          <cell r="P131">
            <v>1</v>
          </cell>
          <cell r="Q131">
            <v>1</v>
          </cell>
          <cell r="R131">
            <v>1</v>
          </cell>
          <cell r="S131">
            <v>1</v>
          </cell>
          <cell r="T131">
            <v>1</v>
          </cell>
          <cell r="U131">
            <v>1</v>
          </cell>
          <cell r="V131">
            <v>1</v>
          </cell>
          <cell r="W131">
            <v>1</v>
          </cell>
          <cell r="X131">
            <v>0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19</v>
          </cell>
        </row>
        <row r="132">
          <cell r="A132" t="str">
            <v>A3380</v>
          </cell>
          <cell r="B132" t="str">
            <v>KRISNITA YULI YANI</v>
          </cell>
          <cell r="C132">
            <v>0</v>
          </cell>
          <cell r="D132">
            <v>0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0</v>
          </cell>
          <cell r="K132">
            <v>1</v>
          </cell>
          <cell r="L132">
            <v>1</v>
          </cell>
          <cell r="M132">
            <v>0</v>
          </cell>
          <cell r="N132">
            <v>0</v>
          </cell>
          <cell r="O132">
            <v>1</v>
          </cell>
          <cell r="P132">
            <v>0</v>
          </cell>
          <cell r="Q132">
            <v>1</v>
          </cell>
          <cell r="R132">
            <v>0</v>
          </cell>
          <cell r="S132">
            <v>1</v>
          </cell>
          <cell r="T132">
            <v>1</v>
          </cell>
          <cell r="U132">
            <v>0</v>
          </cell>
          <cell r="V132">
            <v>0</v>
          </cell>
          <cell r="W132">
            <v>1</v>
          </cell>
          <cell r="X132">
            <v>0</v>
          </cell>
          <cell r="Y132">
            <v>1</v>
          </cell>
          <cell r="Z132">
            <v>0</v>
          </cell>
          <cell r="AA132">
            <v>1</v>
          </cell>
          <cell r="AB132">
            <v>1</v>
          </cell>
          <cell r="AC132">
            <v>15</v>
          </cell>
        </row>
        <row r="133">
          <cell r="A133" t="str">
            <v>A3403</v>
          </cell>
          <cell r="B133" t="str">
            <v>PINKAN NDARU DEWANTARI</v>
          </cell>
          <cell r="C133">
            <v>1</v>
          </cell>
          <cell r="D133">
            <v>1</v>
          </cell>
          <cell r="E133">
            <v>1</v>
          </cell>
          <cell r="F133">
            <v>0</v>
          </cell>
          <cell r="G133">
            <v>1</v>
          </cell>
          <cell r="H133">
            <v>1</v>
          </cell>
          <cell r="I133">
            <v>1</v>
          </cell>
          <cell r="J133">
            <v>1</v>
          </cell>
          <cell r="K133">
            <v>0</v>
          </cell>
          <cell r="L133">
            <v>0</v>
          </cell>
          <cell r="M133">
            <v>1</v>
          </cell>
          <cell r="N133">
            <v>0</v>
          </cell>
          <cell r="O133">
            <v>1</v>
          </cell>
          <cell r="P133">
            <v>1</v>
          </cell>
          <cell r="Q133">
            <v>1</v>
          </cell>
          <cell r="R133">
            <v>0</v>
          </cell>
          <cell r="S133">
            <v>1</v>
          </cell>
          <cell r="T133">
            <v>1</v>
          </cell>
          <cell r="U133">
            <v>0</v>
          </cell>
          <cell r="V133">
            <v>0</v>
          </cell>
          <cell r="W133">
            <v>1</v>
          </cell>
          <cell r="X133">
            <v>0</v>
          </cell>
          <cell r="Y133">
            <v>1</v>
          </cell>
          <cell r="Z133">
            <v>0</v>
          </cell>
          <cell r="AA133">
            <v>1</v>
          </cell>
          <cell r="AB133">
            <v>0</v>
          </cell>
          <cell r="AC133">
            <v>16</v>
          </cell>
        </row>
        <row r="134">
          <cell r="A134" t="str">
            <v>A3404</v>
          </cell>
          <cell r="B134" t="str">
            <v>AYU SUKMAWATI</v>
          </cell>
          <cell r="C134">
            <v>1</v>
          </cell>
          <cell r="D134">
            <v>1</v>
          </cell>
          <cell r="E134">
            <v>1</v>
          </cell>
          <cell r="F134">
            <v>1</v>
          </cell>
          <cell r="G134">
            <v>1</v>
          </cell>
          <cell r="H134">
            <v>1</v>
          </cell>
          <cell r="I134">
            <v>1</v>
          </cell>
          <cell r="J134">
            <v>1</v>
          </cell>
          <cell r="K134">
            <v>1</v>
          </cell>
          <cell r="L134">
            <v>1</v>
          </cell>
          <cell r="M134">
            <v>1</v>
          </cell>
          <cell r="N134">
            <v>0</v>
          </cell>
          <cell r="O134">
            <v>1</v>
          </cell>
          <cell r="P134">
            <v>1</v>
          </cell>
          <cell r="Q134">
            <v>1</v>
          </cell>
          <cell r="R134">
            <v>1</v>
          </cell>
          <cell r="S134">
            <v>1</v>
          </cell>
          <cell r="T134">
            <v>1</v>
          </cell>
          <cell r="U134">
            <v>1</v>
          </cell>
          <cell r="V134">
            <v>1</v>
          </cell>
          <cell r="W134">
            <v>1</v>
          </cell>
          <cell r="X134">
            <v>0</v>
          </cell>
          <cell r="Y134">
            <v>1</v>
          </cell>
          <cell r="Z134">
            <v>1</v>
          </cell>
          <cell r="AA134">
            <v>1</v>
          </cell>
          <cell r="AB134">
            <v>1</v>
          </cell>
          <cell r="AC134">
            <v>24</v>
          </cell>
        </row>
        <row r="135">
          <cell r="A135" t="str">
            <v>A3406</v>
          </cell>
          <cell r="B135" t="str">
            <v>SEPTI MUNTE</v>
          </cell>
          <cell r="C135">
            <v>1</v>
          </cell>
          <cell r="D135">
            <v>1</v>
          </cell>
          <cell r="E135">
            <v>1</v>
          </cell>
          <cell r="F135">
            <v>1</v>
          </cell>
          <cell r="G135">
            <v>1</v>
          </cell>
          <cell r="H135">
            <v>1</v>
          </cell>
          <cell r="I135">
            <v>1</v>
          </cell>
          <cell r="J135">
            <v>1</v>
          </cell>
          <cell r="K135">
            <v>1</v>
          </cell>
          <cell r="L135">
            <v>0</v>
          </cell>
          <cell r="M135">
            <v>0</v>
          </cell>
          <cell r="N135">
            <v>1</v>
          </cell>
          <cell r="O135">
            <v>1</v>
          </cell>
          <cell r="P135">
            <v>1</v>
          </cell>
          <cell r="Q135">
            <v>1</v>
          </cell>
          <cell r="R135">
            <v>1</v>
          </cell>
          <cell r="S135">
            <v>1</v>
          </cell>
          <cell r="T135">
            <v>1</v>
          </cell>
          <cell r="U135">
            <v>1</v>
          </cell>
          <cell r="V135">
            <v>1</v>
          </cell>
          <cell r="W135">
            <v>1</v>
          </cell>
          <cell r="X135">
            <v>0</v>
          </cell>
          <cell r="Y135">
            <v>1</v>
          </cell>
          <cell r="Z135">
            <v>1</v>
          </cell>
          <cell r="AA135">
            <v>1</v>
          </cell>
          <cell r="AB135">
            <v>1</v>
          </cell>
          <cell r="AC135">
            <v>23</v>
          </cell>
        </row>
        <row r="136">
          <cell r="A136" t="str">
            <v>A3408</v>
          </cell>
          <cell r="B136" t="str">
            <v>AGISTA WIGI NUROINI</v>
          </cell>
          <cell r="C136">
            <v>1</v>
          </cell>
          <cell r="D136">
            <v>1</v>
          </cell>
          <cell r="E136">
            <v>0</v>
          </cell>
          <cell r="F136">
            <v>0</v>
          </cell>
          <cell r="G136">
            <v>1</v>
          </cell>
          <cell r="H136">
            <v>0</v>
          </cell>
          <cell r="I136">
            <v>1</v>
          </cell>
          <cell r="J136">
            <v>1</v>
          </cell>
          <cell r="K136">
            <v>1</v>
          </cell>
          <cell r="L136">
            <v>0</v>
          </cell>
          <cell r="M136">
            <v>1</v>
          </cell>
          <cell r="N136">
            <v>0</v>
          </cell>
          <cell r="O136">
            <v>1</v>
          </cell>
          <cell r="P136">
            <v>1</v>
          </cell>
          <cell r="Q136">
            <v>1</v>
          </cell>
          <cell r="R136">
            <v>1</v>
          </cell>
          <cell r="S136">
            <v>1</v>
          </cell>
          <cell r="T136">
            <v>1</v>
          </cell>
          <cell r="U136">
            <v>1</v>
          </cell>
          <cell r="V136">
            <v>1</v>
          </cell>
          <cell r="W136">
            <v>1</v>
          </cell>
          <cell r="X136">
            <v>0</v>
          </cell>
          <cell r="Y136">
            <v>1</v>
          </cell>
          <cell r="Z136">
            <v>1</v>
          </cell>
          <cell r="AA136">
            <v>1</v>
          </cell>
          <cell r="AB136">
            <v>1</v>
          </cell>
          <cell r="AC136">
            <v>20</v>
          </cell>
        </row>
        <row r="137">
          <cell r="A137" t="str">
            <v>A3451</v>
          </cell>
          <cell r="B137" t="str">
            <v>MARCELLINA PUTRI</v>
          </cell>
          <cell r="C137">
            <v>1</v>
          </cell>
          <cell r="D137">
            <v>1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0</v>
          </cell>
          <cell r="O137">
            <v>1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0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22</v>
          </cell>
        </row>
        <row r="138">
          <cell r="A138" t="str">
            <v>A3456</v>
          </cell>
          <cell r="B138" t="str">
            <v>FEBY KURNIA</v>
          </cell>
          <cell r="C138">
            <v>1</v>
          </cell>
          <cell r="D138">
            <v>1</v>
          </cell>
          <cell r="E138">
            <v>1</v>
          </cell>
          <cell r="F138">
            <v>1</v>
          </cell>
          <cell r="G138">
            <v>0</v>
          </cell>
          <cell r="H138">
            <v>0</v>
          </cell>
          <cell r="I138">
            <v>1</v>
          </cell>
          <cell r="J138">
            <v>1</v>
          </cell>
          <cell r="K138">
            <v>1</v>
          </cell>
          <cell r="L138">
            <v>1</v>
          </cell>
          <cell r="M138">
            <v>1</v>
          </cell>
          <cell r="N138">
            <v>0</v>
          </cell>
          <cell r="O138">
            <v>1</v>
          </cell>
          <cell r="P138">
            <v>1</v>
          </cell>
          <cell r="Q138">
            <v>1</v>
          </cell>
          <cell r="R138">
            <v>1</v>
          </cell>
          <cell r="S138">
            <v>1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0</v>
          </cell>
          <cell r="Y138">
            <v>1</v>
          </cell>
          <cell r="Z138">
            <v>1</v>
          </cell>
          <cell r="AA138">
            <v>1</v>
          </cell>
          <cell r="AB138">
            <v>1</v>
          </cell>
          <cell r="AC138">
            <v>22</v>
          </cell>
        </row>
        <row r="139">
          <cell r="A139" t="str">
            <v>A3474</v>
          </cell>
          <cell r="B139" t="str">
            <v>IRMA TRIANA</v>
          </cell>
          <cell r="C139">
            <v>1</v>
          </cell>
          <cell r="D139">
            <v>1</v>
          </cell>
          <cell r="E139">
            <v>1</v>
          </cell>
          <cell r="F139">
            <v>0</v>
          </cell>
          <cell r="G139">
            <v>1</v>
          </cell>
          <cell r="H139">
            <v>1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  <cell r="M139">
            <v>1</v>
          </cell>
          <cell r="N139">
            <v>0</v>
          </cell>
          <cell r="O139">
            <v>1</v>
          </cell>
          <cell r="P139">
            <v>1</v>
          </cell>
          <cell r="Q139">
            <v>1</v>
          </cell>
          <cell r="R139">
            <v>1</v>
          </cell>
          <cell r="S139">
            <v>1</v>
          </cell>
          <cell r="T139">
            <v>1</v>
          </cell>
          <cell r="U139">
            <v>1</v>
          </cell>
          <cell r="V139">
            <v>1</v>
          </cell>
          <cell r="W139">
            <v>1</v>
          </cell>
          <cell r="X139">
            <v>0</v>
          </cell>
          <cell r="Y139">
            <v>1</v>
          </cell>
          <cell r="Z139">
            <v>1</v>
          </cell>
          <cell r="AA139">
            <v>1</v>
          </cell>
          <cell r="AB139">
            <v>1</v>
          </cell>
          <cell r="AC139">
            <v>23</v>
          </cell>
        </row>
        <row r="140">
          <cell r="A140" t="str">
            <v>A3475</v>
          </cell>
          <cell r="B140" t="str">
            <v>SEPTIANA DWI LESTARI PURBANINGRUM</v>
          </cell>
          <cell r="C140">
            <v>1</v>
          </cell>
          <cell r="D140">
            <v>1</v>
          </cell>
          <cell r="E140">
            <v>1</v>
          </cell>
          <cell r="F140">
            <v>0</v>
          </cell>
          <cell r="G140">
            <v>1</v>
          </cell>
          <cell r="H140">
            <v>0</v>
          </cell>
          <cell r="I140">
            <v>1</v>
          </cell>
          <cell r="J140">
            <v>1</v>
          </cell>
          <cell r="K140">
            <v>0</v>
          </cell>
          <cell r="L140">
            <v>0</v>
          </cell>
          <cell r="M140">
            <v>1</v>
          </cell>
          <cell r="N140">
            <v>0</v>
          </cell>
          <cell r="O140">
            <v>1</v>
          </cell>
          <cell r="P140">
            <v>1</v>
          </cell>
          <cell r="Q140">
            <v>1</v>
          </cell>
          <cell r="R140">
            <v>1</v>
          </cell>
          <cell r="S140">
            <v>1</v>
          </cell>
          <cell r="T140">
            <v>1</v>
          </cell>
          <cell r="U140">
            <v>1</v>
          </cell>
          <cell r="V140">
            <v>1</v>
          </cell>
          <cell r="W140">
            <v>1</v>
          </cell>
          <cell r="X140">
            <v>0</v>
          </cell>
          <cell r="Y140">
            <v>1</v>
          </cell>
          <cell r="Z140">
            <v>1</v>
          </cell>
          <cell r="AA140">
            <v>1</v>
          </cell>
          <cell r="AB140">
            <v>1</v>
          </cell>
          <cell r="AC140">
            <v>20</v>
          </cell>
        </row>
        <row r="141">
          <cell r="A141" t="str">
            <v>A3476</v>
          </cell>
          <cell r="B141" t="str">
            <v>PRILLA IMADIANA FAJRIN</v>
          </cell>
          <cell r="C141">
            <v>1</v>
          </cell>
          <cell r="D141">
            <v>1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  <cell r="M141">
            <v>1</v>
          </cell>
          <cell r="N141">
            <v>0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0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24</v>
          </cell>
        </row>
        <row r="142">
          <cell r="A142" t="str">
            <v>A3479</v>
          </cell>
          <cell r="B142" t="str">
            <v>VASSYA DIAN</v>
          </cell>
          <cell r="C142">
            <v>1</v>
          </cell>
          <cell r="D142">
            <v>1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  <cell r="N142">
            <v>0</v>
          </cell>
          <cell r="O142">
            <v>1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  <cell r="V142">
            <v>1</v>
          </cell>
          <cell r="W142">
            <v>1</v>
          </cell>
          <cell r="X142">
            <v>0</v>
          </cell>
          <cell r="Y142">
            <v>1</v>
          </cell>
          <cell r="Z142">
            <v>1</v>
          </cell>
          <cell r="AA142">
            <v>1</v>
          </cell>
          <cell r="AB142">
            <v>1</v>
          </cell>
          <cell r="AC142">
            <v>24</v>
          </cell>
        </row>
        <row r="143">
          <cell r="A143" t="str">
            <v>A3534</v>
          </cell>
          <cell r="B143" t="str">
            <v>RIZNA NOVALINDA WARDANA</v>
          </cell>
          <cell r="C143">
            <v>1</v>
          </cell>
          <cell r="D143">
            <v>1</v>
          </cell>
          <cell r="E143">
            <v>1</v>
          </cell>
          <cell r="F143">
            <v>1</v>
          </cell>
          <cell r="G143">
            <v>1</v>
          </cell>
          <cell r="H143">
            <v>0</v>
          </cell>
          <cell r="I143">
            <v>0</v>
          </cell>
          <cell r="J143">
            <v>0</v>
          </cell>
          <cell r="K143">
            <v>1</v>
          </cell>
          <cell r="L143">
            <v>0</v>
          </cell>
          <cell r="M143">
            <v>1</v>
          </cell>
          <cell r="N143">
            <v>0</v>
          </cell>
          <cell r="O143">
            <v>1</v>
          </cell>
          <cell r="P143">
            <v>1</v>
          </cell>
          <cell r="Q143">
            <v>1</v>
          </cell>
          <cell r="R143">
            <v>1</v>
          </cell>
          <cell r="S143">
            <v>1</v>
          </cell>
          <cell r="T143">
            <v>1</v>
          </cell>
          <cell r="U143">
            <v>1</v>
          </cell>
          <cell r="V143">
            <v>1</v>
          </cell>
          <cell r="W143">
            <v>1</v>
          </cell>
          <cell r="X143">
            <v>0</v>
          </cell>
          <cell r="Y143">
            <v>1</v>
          </cell>
          <cell r="Z143">
            <v>1</v>
          </cell>
          <cell r="AA143">
            <v>1</v>
          </cell>
          <cell r="AB143">
            <v>1</v>
          </cell>
          <cell r="AC143">
            <v>20</v>
          </cell>
        </row>
        <row r="144">
          <cell r="A144" t="str">
            <v>A3547</v>
          </cell>
          <cell r="B144" t="str">
            <v>SHERAVINA NADANTI</v>
          </cell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0</v>
          </cell>
          <cell r="I144">
            <v>1</v>
          </cell>
          <cell r="J144">
            <v>0</v>
          </cell>
          <cell r="K144">
            <v>1</v>
          </cell>
          <cell r="L144">
            <v>0</v>
          </cell>
          <cell r="M144">
            <v>0</v>
          </cell>
          <cell r="N144">
            <v>0</v>
          </cell>
          <cell r="O144">
            <v>1</v>
          </cell>
          <cell r="P144">
            <v>1</v>
          </cell>
          <cell r="Q144">
            <v>1</v>
          </cell>
          <cell r="R144">
            <v>1</v>
          </cell>
          <cell r="S144">
            <v>1</v>
          </cell>
          <cell r="T144">
            <v>1</v>
          </cell>
          <cell r="U144">
            <v>1</v>
          </cell>
          <cell r="V144">
            <v>1</v>
          </cell>
          <cell r="W144">
            <v>1</v>
          </cell>
          <cell r="X144">
            <v>0</v>
          </cell>
          <cell r="Y144">
            <v>1</v>
          </cell>
          <cell r="Z144">
            <v>1</v>
          </cell>
          <cell r="AA144">
            <v>1</v>
          </cell>
          <cell r="AB144">
            <v>1</v>
          </cell>
          <cell r="AC144">
            <v>20</v>
          </cell>
        </row>
        <row r="145">
          <cell r="A145" t="str">
            <v>A3558</v>
          </cell>
          <cell r="B145" t="str">
            <v>Andi Sofie Febrina Salshabila</v>
          </cell>
          <cell r="C145">
            <v>1</v>
          </cell>
          <cell r="D145">
            <v>1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  <cell r="I145">
            <v>1</v>
          </cell>
          <cell r="J145">
            <v>1</v>
          </cell>
          <cell r="K145">
            <v>0</v>
          </cell>
          <cell r="L145">
            <v>0</v>
          </cell>
          <cell r="M145">
            <v>1</v>
          </cell>
          <cell r="N145">
            <v>0</v>
          </cell>
          <cell r="O145">
            <v>1</v>
          </cell>
          <cell r="P145">
            <v>1</v>
          </cell>
          <cell r="Q145">
            <v>1</v>
          </cell>
          <cell r="R145">
            <v>1</v>
          </cell>
          <cell r="S145">
            <v>1</v>
          </cell>
          <cell r="T145">
            <v>1</v>
          </cell>
          <cell r="U145">
            <v>1</v>
          </cell>
          <cell r="V145">
            <v>1</v>
          </cell>
          <cell r="W145">
            <v>1</v>
          </cell>
          <cell r="X145">
            <v>0</v>
          </cell>
          <cell r="Y145">
            <v>1</v>
          </cell>
          <cell r="Z145">
            <v>1</v>
          </cell>
          <cell r="AA145">
            <v>0</v>
          </cell>
          <cell r="AB145">
            <v>0</v>
          </cell>
          <cell r="AC145">
            <v>20</v>
          </cell>
        </row>
        <row r="146">
          <cell r="A146" t="str">
            <v>A3597</v>
          </cell>
          <cell r="B146" t="str">
            <v>WINDI AYUNI SIJABAT</v>
          </cell>
          <cell r="C146">
            <v>1</v>
          </cell>
          <cell r="D146">
            <v>1</v>
          </cell>
          <cell r="E146">
            <v>1</v>
          </cell>
          <cell r="F146">
            <v>1</v>
          </cell>
          <cell r="G146">
            <v>1</v>
          </cell>
          <cell r="H146">
            <v>1</v>
          </cell>
          <cell r="I146">
            <v>1</v>
          </cell>
          <cell r="J146">
            <v>0</v>
          </cell>
          <cell r="K146">
            <v>1</v>
          </cell>
          <cell r="L146">
            <v>1</v>
          </cell>
          <cell r="M146">
            <v>0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0</v>
          </cell>
          <cell r="Y146">
            <v>1</v>
          </cell>
          <cell r="Z146">
            <v>1</v>
          </cell>
          <cell r="AA146">
            <v>1</v>
          </cell>
          <cell r="AB146">
            <v>0</v>
          </cell>
          <cell r="AC146">
            <v>22</v>
          </cell>
        </row>
        <row r="147">
          <cell r="A147" t="str">
            <v>A3599</v>
          </cell>
          <cell r="B147" t="str">
            <v>HANIFAH RAHMADHANI</v>
          </cell>
          <cell r="C147">
            <v>1</v>
          </cell>
          <cell r="D147">
            <v>1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1</v>
          </cell>
          <cell r="N147">
            <v>0</v>
          </cell>
          <cell r="O147">
            <v>1</v>
          </cell>
          <cell r="P147">
            <v>1</v>
          </cell>
          <cell r="Q147">
            <v>1</v>
          </cell>
          <cell r="R147">
            <v>0</v>
          </cell>
          <cell r="S147">
            <v>1</v>
          </cell>
          <cell r="T147">
            <v>1</v>
          </cell>
          <cell r="U147">
            <v>1</v>
          </cell>
          <cell r="V147">
            <v>1</v>
          </cell>
          <cell r="W147">
            <v>0</v>
          </cell>
          <cell r="X147">
            <v>1</v>
          </cell>
          <cell r="Y147">
            <v>1</v>
          </cell>
          <cell r="Z147">
            <v>1</v>
          </cell>
          <cell r="AA147">
            <v>1</v>
          </cell>
          <cell r="AB147">
            <v>1</v>
          </cell>
          <cell r="AC147">
            <v>23</v>
          </cell>
        </row>
        <row r="148">
          <cell r="A148" t="str">
            <v>A3601</v>
          </cell>
          <cell r="B148" t="str">
            <v>VIRGINIA LORENSA NUGRAHA</v>
          </cell>
          <cell r="C148">
            <v>1</v>
          </cell>
          <cell r="D148">
            <v>1</v>
          </cell>
          <cell r="E148">
            <v>1</v>
          </cell>
          <cell r="F148">
            <v>0</v>
          </cell>
          <cell r="G148">
            <v>1</v>
          </cell>
          <cell r="H148">
            <v>1</v>
          </cell>
          <cell r="I148">
            <v>1</v>
          </cell>
          <cell r="J148">
            <v>0</v>
          </cell>
          <cell r="K148">
            <v>1</v>
          </cell>
          <cell r="L148">
            <v>1</v>
          </cell>
          <cell r="M148">
            <v>1</v>
          </cell>
          <cell r="N148">
            <v>0</v>
          </cell>
          <cell r="O148">
            <v>1</v>
          </cell>
          <cell r="P148">
            <v>1</v>
          </cell>
          <cell r="Q148">
            <v>1</v>
          </cell>
          <cell r="R148">
            <v>0</v>
          </cell>
          <cell r="S148">
            <v>1</v>
          </cell>
          <cell r="T148">
            <v>0</v>
          </cell>
          <cell r="U148">
            <v>1</v>
          </cell>
          <cell r="V148">
            <v>0</v>
          </cell>
          <cell r="W148">
            <v>1</v>
          </cell>
          <cell r="X148">
            <v>0</v>
          </cell>
          <cell r="Y148">
            <v>1</v>
          </cell>
          <cell r="Z148">
            <v>0</v>
          </cell>
          <cell r="AA148">
            <v>1</v>
          </cell>
          <cell r="AB148">
            <v>1</v>
          </cell>
          <cell r="AC148">
            <v>18</v>
          </cell>
        </row>
        <row r="149">
          <cell r="A149" t="str">
            <v>A3622</v>
          </cell>
          <cell r="B149" t="str">
            <v>RAVELLINA NAIA SAFITRI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1</v>
          </cell>
          <cell r="M149">
            <v>0</v>
          </cell>
          <cell r="N149">
            <v>0</v>
          </cell>
          <cell r="O149">
            <v>1</v>
          </cell>
          <cell r="P149">
            <v>0</v>
          </cell>
          <cell r="Q149">
            <v>1</v>
          </cell>
          <cell r="R149">
            <v>1</v>
          </cell>
          <cell r="S149">
            <v>1</v>
          </cell>
          <cell r="T149">
            <v>1</v>
          </cell>
          <cell r="U149">
            <v>1</v>
          </cell>
          <cell r="V149">
            <v>1</v>
          </cell>
          <cell r="W149">
            <v>1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1</v>
          </cell>
          <cell r="AC149">
            <v>10</v>
          </cell>
        </row>
        <row r="150">
          <cell r="A150" t="str">
            <v>A3721</v>
          </cell>
          <cell r="B150" t="str">
            <v>ABYAN BARI BHRAMANTA</v>
          </cell>
          <cell r="C150">
            <v>1</v>
          </cell>
          <cell r="D150">
            <v>0</v>
          </cell>
          <cell r="E150">
            <v>1</v>
          </cell>
          <cell r="F150">
            <v>0</v>
          </cell>
          <cell r="G150">
            <v>1</v>
          </cell>
          <cell r="H150">
            <v>1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1</v>
          </cell>
          <cell r="N150">
            <v>0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  <cell r="S150">
            <v>1</v>
          </cell>
          <cell r="T150">
            <v>1</v>
          </cell>
          <cell r="U150">
            <v>1</v>
          </cell>
          <cell r="V150">
            <v>1</v>
          </cell>
          <cell r="W150">
            <v>1</v>
          </cell>
          <cell r="X150">
            <v>0</v>
          </cell>
          <cell r="Y150">
            <v>1</v>
          </cell>
          <cell r="Z150">
            <v>1</v>
          </cell>
          <cell r="AA150">
            <v>1</v>
          </cell>
          <cell r="AB150">
            <v>0</v>
          </cell>
          <cell r="AC150">
            <v>17</v>
          </cell>
        </row>
        <row r="151">
          <cell r="A151" t="str">
            <v>A3728</v>
          </cell>
          <cell r="B151" t="str">
            <v>MUHAMMAD ARDIAN SETYO KUSUMO</v>
          </cell>
          <cell r="C151">
            <v>0</v>
          </cell>
          <cell r="D151">
            <v>0</v>
          </cell>
          <cell r="E151">
            <v>1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J151">
            <v>1</v>
          </cell>
          <cell r="K151">
            <v>1</v>
          </cell>
          <cell r="L151">
            <v>1</v>
          </cell>
          <cell r="M151">
            <v>1</v>
          </cell>
          <cell r="N151">
            <v>0</v>
          </cell>
          <cell r="O151">
            <v>0</v>
          </cell>
          <cell r="P151">
            <v>0</v>
          </cell>
          <cell r="Q151">
            <v>1</v>
          </cell>
          <cell r="R151">
            <v>1</v>
          </cell>
          <cell r="S151">
            <v>1</v>
          </cell>
          <cell r="T151">
            <v>1</v>
          </cell>
          <cell r="U151">
            <v>0</v>
          </cell>
          <cell r="V151">
            <v>1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1</v>
          </cell>
          <cell r="AB151">
            <v>0</v>
          </cell>
          <cell r="AC151">
            <v>16</v>
          </cell>
        </row>
        <row r="152">
          <cell r="A152" t="str">
            <v>A3743</v>
          </cell>
          <cell r="B152" t="str">
            <v>PUTRI RAMADHANI</v>
          </cell>
          <cell r="C152">
            <v>1</v>
          </cell>
          <cell r="D152">
            <v>1</v>
          </cell>
          <cell r="E152">
            <v>1</v>
          </cell>
          <cell r="F152">
            <v>1</v>
          </cell>
          <cell r="G152">
            <v>1</v>
          </cell>
          <cell r="H152">
            <v>0</v>
          </cell>
          <cell r="I152">
            <v>1</v>
          </cell>
          <cell r="J152">
            <v>1</v>
          </cell>
          <cell r="K152">
            <v>1</v>
          </cell>
          <cell r="L152">
            <v>1</v>
          </cell>
          <cell r="M152">
            <v>1</v>
          </cell>
          <cell r="N152">
            <v>0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0</v>
          </cell>
          <cell r="Y152">
            <v>1</v>
          </cell>
          <cell r="Z152">
            <v>0</v>
          </cell>
          <cell r="AA152">
            <v>0</v>
          </cell>
          <cell r="AB152">
            <v>0</v>
          </cell>
          <cell r="AC152">
            <v>20</v>
          </cell>
        </row>
        <row r="153">
          <cell r="A153" t="str">
            <v>A3752</v>
          </cell>
          <cell r="B153" t="str">
            <v>MEYTA ANDIRA</v>
          </cell>
          <cell r="C153">
            <v>1</v>
          </cell>
          <cell r="D153">
            <v>1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1</v>
          </cell>
          <cell r="J153">
            <v>1</v>
          </cell>
          <cell r="K153">
            <v>1</v>
          </cell>
          <cell r="L153">
            <v>1</v>
          </cell>
          <cell r="M153">
            <v>1</v>
          </cell>
          <cell r="N153">
            <v>0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15</v>
          </cell>
        </row>
        <row r="154">
          <cell r="A154" t="str">
            <v>A3754</v>
          </cell>
          <cell r="B154" t="str">
            <v>FIRDA NUR KARIMA</v>
          </cell>
          <cell r="C154">
            <v>1</v>
          </cell>
          <cell r="D154">
            <v>1</v>
          </cell>
          <cell r="E154">
            <v>1</v>
          </cell>
          <cell r="F154">
            <v>1</v>
          </cell>
          <cell r="G154">
            <v>1</v>
          </cell>
          <cell r="H154">
            <v>1</v>
          </cell>
          <cell r="I154">
            <v>1</v>
          </cell>
          <cell r="J154">
            <v>0</v>
          </cell>
          <cell r="K154">
            <v>1</v>
          </cell>
          <cell r="L154">
            <v>1</v>
          </cell>
          <cell r="M154">
            <v>1</v>
          </cell>
          <cell r="N154">
            <v>0</v>
          </cell>
          <cell r="O154">
            <v>1</v>
          </cell>
          <cell r="P154">
            <v>1</v>
          </cell>
          <cell r="Q154">
            <v>0</v>
          </cell>
          <cell r="R154">
            <v>0</v>
          </cell>
          <cell r="S154">
            <v>1</v>
          </cell>
          <cell r="T154">
            <v>1</v>
          </cell>
          <cell r="U154">
            <v>1</v>
          </cell>
          <cell r="V154">
            <v>1</v>
          </cell>
          <cell r="W154">
            <v>0</v>
          </cell>
          <cell r="X154">
            <v>1</v>
          </cell>
          <cell r="Y154">
            <v>1</v>
          </cell>
          <cell r="Z154">
            <v>1</v>
          </cell>
          <cell r="AA154">
            <v>1</v>
          </cell>
          <cell r="AB154">
            <v>1</v>
          </cell>
          <cell r="AC154">
            <v>21</v>
          </cell>
        </row>
        <row r="155">
          <cell r="A155" t="str">
            <v>A3785</v>
          </cell>
          <cell r="B155" t="str">
            <v>MUHAMMAD DAFA FEBRIANSYAH</v>
          </cell>
          <cell r="C155">
            <v>1</v>
          </cell>
          <cell r="D155">
            <v>1</v>
          </cell>
          <cell r="E155">
            <v>1</v>
          </cell>
          <cell r="F155">
            <v>0</v>
          </cell>
          <cell r="G155">
            <v>1</v>
          </cell>
          <cell r="H155">
            <v>1</v>
          </cell>
          <cell r="I155">
            <v>1</v>
          </cell>
          <cell r="J155">
            <v>1</v>
          </cell>
          <cell r="K155">
            <v>1</v>
          </cell>
          <cell r="L155">
            <v>0</v>
          </cell>
          <cell r="M155">
            <v>1</v>
          </cell>
          <cell r="N155">
            <v>0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0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22</v>
          </cell>
        </row>
        <row r="156">
          <cell r="A156" t="str">
            <v>A3826</v>
          </cell>
          <cell r="B156" t="str">
            <v>IRENE INTAN PRADISTA</v>
          </cell>
          <cell r="C156">
            <v>1</v>
          </cell>
          <cell r="D156">
            <v>0</v>
          </cell>
          <cell r="E156">
            <v>1</v>
          </cell>
          <cell r="F156">
            <v>1</v>
          </cell>
          <cell r="G156">
            <v>1</v>
          </cell>
          <cell r="H156">
            <v>1</v>
          </cell>
          <cell r="I156">
            <v>1</v>
          </cell>
          <cell r="J156">
            <v>1</v>
          </cell>
          <cell r="K156">
            <v>1</v>
          </cell>
          <cell r="L156">
            <v>1</v>
          </cell>
          <cell r="M156">
            <v>0</v>
          </cell>
          <cell r="N156">
            <v>0</v>
          </cell>
          <cell r="O156">
            <v>1</v>
          </cell>
          <cell r="P156">
            <v>0</v>
          </cell>
          <cell r="Q156">
            <v>1</v>
          </cell>
          <cell r="R156">
            <v>0</v>
          </cell>
          <cell r="S156">
            <v>0</v>
          </cell>
          <cell r="T156">
            <v>0</v>
          </cell>
          <cell r="U156">
            <v>1</v>
          </cell>
          <cell r="V156">
            <v>1</v>
          </cell>
          <cell r="W156">
            <v>1</v>
          </cell>
          <cell r="X156">
            <v>0</v>
          </cell>
          <cell r="Y156">
            <v>1</v>
          </cell>
          <cell r="Z156">
            <v>0</v>
          </cell>
          <cell r="AA156">
            <v>0</v>
          </cell>
          <cell r="AB156">
            <v>0</v>
          </cell>
          <cell r="AC156">
            <v>15</v>
          </cell>
        </row>
        <row r="157">
          <cell r="A157" t="str">
            <v>A3833</v>
          </cell>
          <cell r="B157" t="str">
            <v>MUHAMMAD SUBHAN</v>
          </cell>
          <cell r="C157">
            <v>1</v>
          </cell>
          <cell r="D157">
            <v>1</v>
          </cell>
          <cell r="E157">
            <v>1</v>
          </cell>
          <cell r="F157">
            <v>1</v>
          </cell>
          <cell r="G157">
            <v>1</v>
          </cell>
          <cell r="H157">
            <v>1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0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0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24</v>
          </cell>
        </row>
        <row r="158">
          <cell r="A158" t="str">
            <v>A3840</v>
          </cell>
          <cell r="B158" t="str">
            <v>NATHANIA PUTRI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1</v>
          </cell>
          <cell r="N158">
            <v>0</v>
          </cell>
          <cell r="O158">
            <v>1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5</v>
          </cell>
        </row>
        <row r="159">
          <cell r="A159" t="str">
            <v>A3869</v>
          </cell>
          <cell r="B159" t="str">
            <v>MAGHFUR AL MUBAROK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1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</v>
          </cell>
        </row>
        <row r="160">
          <cell r="A160" t="str">
            <v>A3877</v>
          </cell>
          <cell r="B160" t="str">
            <v>FELSA INKIRIWANG</v>
          </cell>
          <cell r="C160">
            <v>0</v>
          </cell>
          <cell r="D160">
            <v>0</v>
          </cell>
          <cell r="E160">
            <v>0</v>
          </cell>
          <cell r="F160">
            <v>1</v>
          </cell>
          <cell r="G160">
            <v>0</v>
          </cell>
          <cell r="H160">
            <v>1</v>
          </cell>
          <cell r="I160">
            <v>0</v>
          </cell>
          <cell r="J160">
            <v>0</v>
          </cell>
          <cell r="K160">
            <v>0</v>
          </cell>
          <cell r="L160">
            <v>1</v>
          </cell>
          <cell r="M160">
            <v>1</v>
          </cell>
          <cell r="N160">
            <v>0</v>
          </cell>
          <cell r="O160">
            <v>0</v>
          </cell>
          <cell r="P160">
            <v>0</v>
          </cell>
          <cell r="Q160">
            <v>1</v>
          </cell>
          <cell r="R160">
            <v>1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0</v>
          </cell>
          <cell r="AB160">
            <v>1</v>
          </cell>
          <cell r="AC160">
            <v>8</v>
          </cell>
        </row>
        <row r="161">
          <cell r="A161" t="str">
            <v>A3899</v>
          </cell>
          <cell r="B161" t="str">
            <v>ZAHRA FATIHAH MIFTAHURRAHMAH</v>
          </cell>
          <cell r="C161">
            <v>1</v>
          </cell>
          <cell r="D161">
            <v>1</v>
          </cell>
          <cell r="E161">
            <v>1</v>
          </cell>
          <cell r="F161">
            <v>1</v>
          </cell>
          <cell r="G161">
            <v>1</v>
          </cell>
          <cell r="H161">
            <v>1</v>
          </cell>
          <cell r="I161">
            <v>1</v>
          </cell>
          <cell r="J161">
            <v>1</v>
          </cell>
          <cell r="K161">
            <v>1</v>
          </cell>
          <cell r="L161">
            <v>0</v>
          </cell>
          <cell r="M161">
            <v>1</v>
          </cell>
          <cell r="N161">
            <v>0</v>
          </cell>
          <cell r="O161">
            <v>1</v>
          </cell>
          <cell r="P161">
            <v>1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1</v>
          </cell>
          <cell r="X161">
            <v>0</v>
          </cell>
          <cell r="Y161">
            <v>1</v>
          </cell>
          <cell r="Z161">
            <v>1</v>
          </cell>
          <cell r="AA161">
            <v>1</v>
          </cell>
          <cell r="AB161">
            <v>1</v>
          </cell>
          <cell r="AC161">
            <v>17</v>
          </cell>
        </row>
        <row r="162">
          <cell r="A162" t="str">
            <v>A3905</v>
          </cell>
          <cell r="B162" t="str">
            <v>RISMAWATY</v>
          </cell>
          <cell r="C162">
            <v>1</v>
          </cell>
          <cell r="D162">
            <v>1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J162">
            <v>1</v>
          </cell>
          <cell r="K162">
            <v>1</v>
          </cell>
          <cell r="L162">
            <v>1</v>
          </cell>
          <cell r="M162">
            <v>1</v>
          </cell>
          <cell r="N162">
            <v>0</v>
          </cell>
          <cell r="O162">
            <v>1</v>
          </cell>
          <cell r="P162">
            <v>1</v>
          </cell>
          <cell r="Q162">
            <v>1</v>
          </cell>
          <cell r="R162">
            <v>1</v>
          </cell>
          <cell r="S162">
            <v>1</v>
          </cell>
          <cell r="T162">
            <v>1</v>
          </cell>
          <cell r="U162">
            <v>1</v>
          </cell>
          <cell r="V162">
            <v>1</v>
          </cell>
          <cell r="W162">
            <v>1</v>
          </cell>
          <cell r="X162">
            <v>0</v>
          </cell>
          <cell r="Y162">
            <v>1</v>
          </cell>
          <cell r="Z162">
            <v>1</v>
          </cell>
          <cell r="AA162">
            <v>1</v>
          </cell>
          <cell r="AB162">
            <v>1</v>
          </cell>
          <cell r="AC162">
            <v>24</v>
          </cell>
        </row>
        <row r="163">
          <cell r="A163" t="str">
            <v>A3935</v>
          </cell>
          <cell r="B163" t="str">
            <v>MARSEL HAMANDIKA</v>
          </cell>
          <cell r="C163">
            <v>1</v>
          </cell>
          <cell r="D163">
            <v>1</v>
          </cell>
          <cell r="E163">
            <v>1</v>
          </cell>
          <cell r="F163">
            <v>1</v>
          </cell>
          <cell r="G163">
            <v>1</v>
          </cell>
          <cell r="H163">
            <v>1</v>
          </cell>
          <cell r="I163">
            <v>1</v>
          </cell>
          <cell r="J163">
            <v>1</v>
          </cell>
          <cell r="K163">
            <v>0</v>
          </cell>
          <cell r="L163">
            <v>0</v>
          </cell>
          <cell r="M163">
            <v>1</v>
          </cell>
          <cell r="N163">
            <v>0</v>
          </cell>
          <cell r="O163">
            <v>1</v>
          </cell>
          <cell r="P163">
            <v>1</v>
          </cell>
          <cell r="Q163">
            <v>1</v>
          </cell>
          <cell r="R163">
            <v>1</v>
          </cell>
          <cell r="S163">
            <v>1</v>
          </cell>
          <cell r="T163">
            <v>1</v>
          </cell>
          <cell r="U163">
            <v>1</v>
          </cell>
          <cell r="V163">
            <v>1</v>
          </cell>
          <cell r="W163">
            <v>1</v>
          </cell>
          <cell r="X163">
            <v>0</v>
          </cell>
          <cell r="Y163">
            <v>1</v>
          </cell>
          <cell r="Z163">
            <v>1</v>
          </cell>
          <cell r="AA163">
            <v>1</v>
          </cell>
          <cell r="AB163">
            <v>1</v>
          </cell>
          <cell r="AC163">
            <v>22</v>
          </cell>
        </row>
        <row r="164">
          <cell r="A164" t="str">
            <v>A3941</v>
          </cell>
          <cell r="B164" t="str">
            <v>RIZQI LANOVA</v>
          </cell>
          <cell r="C164">
            <v>1</v>
          </cell>
          <cell r="D164">
            <v>1</v>
          </cell>
          <cell r="E164">
            <v>1</v>
          </cell>
          <cell r="F164">
            <v>1</v>
          </cell>
          <cell r="G164">
            <v>1</v>
          </cell>
          <cell r="H164">
            <v>0</v>
          </cell>
          <cell r="I164">
            <v>1</v>
          </cell>
          <cell r="J164">
            <v>1</v>
          </cell>
          <cell r="K164">
            <v>1</v>
          </cell>
          <cell r="L164">
            <v>1</v>
          </cell>
          <cell r="M164">
            <v>1</v>
          </cell>
          <cell r="N164">
            <v>0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1</v>
          </cell>
          <cell r="U164">
            <v>1</v>
          </cell>
          <cell r="V164">
            <v>1</v>
          </cell>
          <cell r="W164">
            <v>1</v>
          </cell>
          <cell r="X164">
            <v>0</v>
          </cell>
          <cell r="Y164">
            <v>1</v>
          </cell>
          <cell r="Z164">
            <v>1</v>
          </cell>
          <cell r="AA164">
            <v>1</v>
          </cell>
          <cell r="AB164">
            <v>1</v>
          </cell>
          <cell r="AC164">
            <v>23</v>
          </cell>
        </row>
        <row r="165">
          <cell r="A165" t="str">
            <v>A3992</v>
          </cell>
          <cell r="B165" t="str">
            <v>SARWATUL KARIMAH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1</v>
          </cell>
          <cell r="H165">
            <v>0</v>
          </cell>
          <cell r="I165">
            <v>0</v>
          </cell>
          <cell r="J165">
            <v>1</v>
          </cell>
          <cell r="K165">
            <v>0</v>
          </cell>
          <cell r="L165">
            <v>1</v>
          </cell>
          <cell r="M165">
            <v>0</v>
          </cell>
          <cell r="N165">
            <v>1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4</v>
          </cell>
        </row>
        <row r="166">
          <cell r="A166" t="str">
            <v>A3994</v>
          </cell>
          <cell r="B166" t="str">
            <v>ALIF BINTANG HASIHOLAN POHAN</v>
          </cell>
          <cell r="C166">
            <v>1</v>
          </cell>
          <cell r="D166">
            <v>1</v>
          </cell>
          <cell r="E166">
            <v>1</v>
          </cell>
          <cell r="F166">
            <v>1</v>
          </cell>
          <cell r="G166">
            <v>1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0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W166">
            <v>1</v>
          </cell>
          <cell r="X166">
            <v>0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24</v>
          </cell>
        </row>
        <row r="167">
          <cell r="A167" t="str">
            <v>A3999</v>
          </cell>
          <cell r="B167" t="str">
            <v>MIKHA MAMORU</v>
          </cell>
          <cell r="C167">
            <v>1</v>
          </cell>
          <cell r="D167">
            <v>1</v>
          </cell>
          <cell r="E167">
            <v>1</v>
          </cell>
          <cell r="F167">
            <v>1</v>
          </cell>
          <cell r="G167">
            <v>1</v>
          </cell>
          <cell r="H167">
            <v>1</v>
          </cell>
          <cell r="I167">
            <v>1</v>
          </cell>
          <cell r="J167">
            <v>1</v>
          </cell>
          <cell r="K167">
            <v>1</v>
          </cell>
          <cell r="L167">
            <v>0</v>
          </cell>
          <cell r="M167">
            <v>1</v>
          </cell>
          <cell r="N167">
            <v>0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0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23</v>
          </cell>
        </row>
        <row r="168">
          <cell r="A168" t="str">
            <v>A4036</v>
          </cell>
          <cell r="B168" t="str">
            <v>DWIKA ELTANJUNG</v>
          </cell>
          <cell r="C168">
            <v>1</v>
          </cell>
          <cell r="D168">
            <v>1</v>
          </cell>
          <cell r="E168">
            <v>0</v>
          </cell>
          <cell r="F168">
            <v>1</v>
          </cell>
          <cell r="G168">
            <v>1</v>
          </cell>
          <cell r="H168">
            <v>1</v>
          </cell>
          <cell r="I168">
            <v>1</v>
          </cell>
          <cell r="J168">
            <v>1</v>
          </cell>
          <cell r="K168">
            <v>1</v>
          </cell>
          <cell r="L168">
            <v>0</v>
          </cell>
          <cell r="M168">
            <v>1</v>
          </cell>
          <cell r="N168">
            <v>0</v>
          </cell>
          <cell r="O168">
            <v>1</v>
          </cell>
          <cell r="P168">
            <v>1</v>
          </cell>
          <cell r="Q168">
            <v>1</v>
          </cell>
          <cell r="R168">
            <v>0</v>
          </cell>
          <cell r="S168">
            <v>1</v>
          </cell>
          <cell r="T168">
            <v>0</v>
          </cell>
          <cell r="U168">
            <v>0</v>
          </cell>
          <cell r="V168">
            <v>0</v>
          </cell>
          <cell r="W168">
            <v>1</v>
          </cell>
          <cell r="X168">
            <v>0</v>
          </cell>
          <cell r="Y168">
            <v>1</v>
          </cell>
          <cell r="Z168">
            <v>0</v>
          </cell>
          <cell r="AA168">
            <v>0</v>
          </cell>
          <cell r="AB168">
            <v>0</v>
          </cell>
          <cell r="AC168">
            <v>15</v>
          </cell>
        </row>
        <row r="169">
          <cell r="A169" t="str">
            <v>A4039</v>
          </cell>
          <cell r="B169" t="str">
            <v>IBRAHIM FEBA NAUFALINDO</v>
          </cell>
          <cell r="C169">
            <v>1</v>
          </cell>
          <cell r="D169">
            <v>1</v>
          </cell>
          <cell r="E169">
            <v>1</v>
          </cell>
          <cell r="F169">
            <v>1</v>
          </cell>
          <cell r="G169">
            <v>1</v>
          </cell>
          <cell r="H169">
            <v>1</v>
          </cell>
          <cell r="I169">
            <v>1</v>
          </cell>
          <cell r="J169">
            <v>1</v>
          </cell>
          <cell r="K169">
            <v>1</v>
          </cell>
          <cell r="L169">
            <v>1</v>
          </cell>
          <cell r="M169">
            <v>0</v>
          </cell>
          <cell r="N169">
            <v>1</v>
          </cell>
          <cell r="O169">
            <v>1</v>
          </cell>
          <cell r="P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0</v>
          </cell>
          <cell r="U169">
            <v>1</v>
          </cell>
          <cell r="V169">
            <v>1</v>
          </cell>
          <cell r="W169">
            <v>1</v>
          </cell>
          <cell r="X169">
            <v>0</v>
          </cell>
          <cell r="Y169">
            <v>1</v>
          </cell>
          <cell r="Z169">
            <v>1</v>
          </cell>
          <cell r="AA169">
            <v>1</v>
          </cell>
          <cell r="AB169">
            <v>1</v>
          </cell>
          <cell r="AC169">
            <v>23</v>
          </cell>
        </row>
        <row r="170">
          <cell r="A170" t="str">
            <v>A4152</v>
          </cell>
          <cell r="B170" t="str">
            <v>KAMAL MAULANA RAMADHAN</v>
          </cell>
          <cell r="C170">
            <v>1</v>
          </cell>
          <cell r="D170">
            <v>1</v>
          </cell>
          <cell r="E170">
            <v>1</v>
          </cell>
          <cell r="F170">
            <v>1</v>
          </cell>
          <cell r="G170">
            <v>1</v>
          </cell>
          <cell r="H170">
            <v>1</v>
          </cell>
          <cell r="I170">
            <v>1</v>
          </cell>
          <cell r="J170">
            <v>1</v>
          </cell>
          <cell r="K170">
            <v>1</v>
          </cell>
          <cell r="L170">
            <v>1</v>
          </cell>
          <cell r="M170">
            <v>1</v>
          </cell>
          <cell r="N170">
            <v>1</v>
          </cell>
          <cell r="O170">
            <v>1</v>
          </cell>
          <cell r="P170">
            <v>1</v>
          </cell>
          <cell r="Q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1</v>
          </cell>
          <cell r="V170">
            <v>1</v>
          </cell>
          <cell r="W170">
            <v>1</v>
          </cell>
          <cell r="X170">
            <v>0</v>
          </cell>
          <cell r="Y170">
            <v>1</v>
          </cell>
          <cell r="Z170">
            <v>1</v>
          </cell>
          <cell r="AA170">
            <v>1</v>
          </cell>
          <cell r="AB170">
            <v>1</v>
          </cell>
          <cell r="AC170">
            <v>25</v>
          </cell>
        </row>
        <row r="171">
          <cell r="A171" t="str">
            <v>A4188</v>
          </cell>
          <cell r="B171" t="str">
            <v>NOVA SANDA</v>
          </cell>
          <cell r="C171">
            <v>0</v>
          </cell>
          <cell r="D171">
            <v>0</v>
          </cell>
          <cell r="E171">
            <v>1</v>
          </cell>
          <cell r="F171">
            <v>0</v>
          </cell>
          <cell r="G171">
            <v>1</v>
          </cell>
          <cell r="H171">
            <v>0</v>
          </cell>
          <cell r="I171">
            <v>1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1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4</v>
          </cell>
        </row>
        <row r="172">
          <cell r="A172" t="str">
            <v>A4194</v>
          </cell>
          <cell r="B172" t="str">
            <v>WISLY WISESA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1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1</v>
          </cell>
          <cell r="W172">
            <v>0</v>
          </cell>
          <cell r="X172">
            <v>1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3</v>
          </cell>
        </row>
        <row r="173">
          <cell r="A173" t="str">
            <v>A4211</v>
          </cell>
          <cell r="B173" t="str">
            <v>EASTIN SIMBOLON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1</v>
          </cell>
          <cell r="J173">
            <v>1</v>
          </cell>
          <cell r="K173">
            <v>1</v>
          </cell>
          <cell r="L173">
            <v>1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4</v>
          </cell>
        </row>
        <row r="174">
          <cell r="A174" t="str">
            <v>A4217</v>
          </cell>
          <cell r="B174" t="str">
            <v>ROFIYU ANGGRAINI</v>
          </cell>
          <cell r="C174">
            <v>1</v>
          </cell>
          <cell r="D174">
            <v>1</v>
          </cell>
          <cell r="E174">
            <v>1</v>
          </cell>
          <cell r="F174">
            <v>1</v>
          </cell>
          <cell r="G174">
            <v>1</v>
          </cell>
          <cell r="H174">
            <v>1</v>
          </cell>
          <cell r="I174">
            <v>1</v>
          </cell>
          <cell r="J174">
            <v>1</v>
          </cell>
          <cell r="K174">
            <v>1</v>
          </cell>
          <cell r="L174">
            <v>0</v>
          </cell>
          <cell r="M174">
            <v>1</v>
          </cell>
          <cell r="N174">
            <v>0</v>
          </cell>
          <cell r="O174">
            <v>1</v>
          </cell>
          <cell r="P174">
            <v>1</v>
          </cell>
          <cell r="Q174">
            <v>1</v>
          </cell>
          <cell r="R174">
            <v>1</v>
          </cell>
          <cell r="S174">
            <v>1</v>
          </cell>
          <cell r="T174">
            <v>1</v>
          </cell>
          <cell r="U174">
            <v>1</v>
          </cell>
          <cell r="V174">
            <v>1</v>
          </cell>
          <cell r="W174">
            <v>1</v>
          </cell>
          <cell r="X174">
            <v>0</v>
          </cell>
          <cell r="Y174">
            <v>1</v>
          </cell>
          <cell r="Z174">
            <v>1</v>
          </cell>
          <cell r="AA174">
            <v>1</v>
          </cell>
          <cell r="AB174">
            <v>1</v>
          </cell>
          <cell r="AC174">
            <v>23</v>
          </cell>
        </row>
        <row r="175">
          <cell r="A175" t="str">
            <v>A4232</v>
          </cell>
          <cell r="B175" t="str">
            <v>FARICA KARIN BUTSAINA</v>
          </cell>
          <cell r="C175">
            <v>1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1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0</v>
          </cell>
          <cell r="V175">
            <v>1</v>
          </cell>
          <cell r="W175">
            <v>1</v>
          </cell>
          <cell r="X175">
            <v>0</v>
          </cell>
          <cell r="Y175">
            <v>1</v>
          </cell>
          <cell r="Z175">
            <v>1</v>
          </cell>
          <cell r="AA175">
            <v>1</v>
          </cell>
          <cell r="AB175">
            <v>0</v>
          </cell>
          <cell r="AC175">
            <v>11</v>
          </cell>
        </row>
        <row r="176">
          <cell r="A176" t="str">
            <v>A4330</v>
          </cell>
          <cell r="B176" t="str">
            <v>MUHAMMAD ALDI RIZAL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</v>
          </cell>
          <cell r="J176">
            <v>1</v>
          </cell>
          <cell r="K176">
            <v>1</v>
          </cell>
          <cell r="L176">
            <v>0</v>
          </cell>
          <cell r="M176">
            <v>1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1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5</v>
          </cell>
        </row>
        <row r="177">
          <cell r="A177" t="str">
            <v>A4331</v>
          </cell>
          <cell r="B177" t="str">
            <v>SATRIA SANDY QODLYZZAKA</v>
          </cell>
          <cell r="C177">
            <v>0</v>
          </cell>
          <cell r="D177">
            <v>0</v>
          </cell>
          <cell r="E177">
            <v>0</v>
          </cell>
          <cell r="F177">
            <v>1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1</v>
          </cell>
          <cell r="P177">
            <v>0</v>
          </cell>
          <cell r="Q177">
            <v>0</v>
          </cell>
          <cell r="R177">
            <v>1</v>
          </cell>
          <cell r="S177">
            <v>1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1</v>
          </cell>
          <cell r="AB177">
            <v>0</v>
          </cell>
          <cell r="AC177">
            <v>5</v>
          </cell>
        </row>
        <row r="178">
          <cell r="A178" t="str">
            <v>A4413</v>
          </cell>
          <cell r="B178" t="str">
            <v>KUSTI ANA</v>
          </cell>
          <cell r="C178">
            <v>1</v>
          </cell>
          <cell r="D178">
            <v>0</v>
          </cell>
          <cell r="E178">
            <v>1</v>
          </cell>
          <cell r="F178">
            <v>1</v>
          </cell>
          <cell r="G178">
            <v>1</v>
          </cell>
          <cell r="H178">
            <v>1</v>
          </cell>
          <cell r="I178">
            <v>1</v>
          </cell>
          <cell r="J178">
            <v>1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P178">
            <v>0</v>
          </cell>
          <cell r="Q178">
            <v>1</v>
          </cell>
          <cell r="R178">
            <v>1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1</v>
          </cell>
          <cell r="X178">
            <v>0</v>
          </cell>
          <cell r="Y178">
            <v>1</v>
          </cell>
          <cell r="Z178">
            <v>0</v>
          </cell>
          <cell r="AA178">
            <v>1</v>
          </cell>
          <cell r="AB178">
            <v>1</v>
          </cell>
          <cell r="AC178">
            <v>18</v>
          </cell>
        </row>
        <row r="179">
          <cell r="A179" t="str">
            <v>A4414</v>
          </cell>
          <cell r="B179" t="str">
            <v>DHIEMAS PRIYAGUNG MANALU</v>
          </cell>
          <cell r="C179">
            <v>1</v>
          </cell>
          <cell r="D179">
            <v>0</v>
          </cell>
          <cell r="E179">
            <v>0</v>
          </cell>
          <cell r="F179">
            <v>1</v>
          </cell>
          <cell r="G179">
            <v>1</v>
          </cell>
          <cell r="H179">
            <v>1</v>
          </cell>
          <cell r="I179">
            <v>1</v>
          </cell>
          <cell r="J179">
            <v>1</v>
          </cell>
          <cell r="K179">
            <v>1</v>
          </cell>
          <cell r="L179">
            <v>1</v>
          </cell>
          <cell r="M179">
            <v>0</v>
          </cell>
          <cell r="N179">
            <v>1</v>
          </cell>
          <cell r="O179">
            <v>1</v>
          </cell>
          <cell r="P179">
            <v>0</v>
          </cell>
          <cell r="Q179">
            <v>1</v>
          </cell>
          <cell r="R179">
            <v>1</v>
          </cell>
          <cell r="S179">
            <v>1</v>
          </cell>
          <cell r="T179">
            <v>0</v>
          </cell>
          <cell r="U179">
            <v>1</v>
          </cell>
          <cell r="V179">
            <v>0</v>
          </cell>
          <cell r="W179">
            <v>1</v>
          </cell>
          <cell r="X179">
            <v>0</v>
          </cell>
          <cell r="Y179">
            <v>1</v>
          </cell>
          <cell r="Z179">
            <v>0</v>
          </cell>
          <cell r="AA179">
            <v>1</v>
          </cell>
          <cell r="AB179">
            <v>1</v>
          </cell>
          <cell r="AC179">
            <v>18</v>
          </cell>
        </row>
        <row r="180">
          <cell r="A180" t="str">
            <v>A4415</v>
          </cell>
          <cell r="B180" t="str">
            <v>VENI RAHMAN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1</v>
          </cell>
          <cell r="J180">
            <v>1</v>
          </cell>
          <cell r="K180">
            <v>1</v>
          </cell>
          <cell r="L180">
            <v>0</v>
          </cell>
          <cell r="M180">
            <v>0</v>
          </cell>
          <cell r="N180">
            <v>1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1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5</v>
          </cell>
        </row>
        <row r="181">
          <cell r="A181" t="str">
            <v>A4480</v>
          </cell>
          <cell r="B181" t="str">
            <v>MALINDA APRILIANI P</v>
          </cell>
          <cell r="C181">
            <v>1</v>
          </cell>
          <cell r="D181">
            <v>1</v>
          </cell>
          <cell r="E181">
            <v>1</v>
          </cell>
          <cell r="F181">
            <v>1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1</v>
          </cell>
          <cell r="L181">
            <v>1</v>
          </cell>
          <cell r="M181">
            <v>1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0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21</v>
          </cell>
        </row>
        <row r="182">
          <cell r="A182" t="str">
            <v>A4481</v>
          </cell>
          <cell r="B182" t="str">
            <v>SYAHRUL NIZAM SUPARNO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1</v>
          </cell>
          <cell r="J182">
            <v>0</v>
          </cell>
          <cell r="K182">
            <v>1</v>
          </cell>
          <cell r="L182">
            <v>1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3</v>
          </cell>
        </row>
        <row r="183">
          <cell r="A183" t="str">
            <v>A4478</v>
          </cell>
          <cell r="B183" t="str">
            <v>DWI MUSTIKA WATI</v>
          </cell>
          <cell r="C183">
            <v>1</v>
          </cell>
          <cell r="D183">
            <v>1</v>
          </cell>
          <cell r="E183">
            <v>1</v>
          </cell>
          <cell r="F183">
            <v>1</v>
          </cell>
          <cell r="G183">
            <v>1</v>
          </cell>
          <cell r="H183">
            <v>1</v>
          </cell>
          <cell r="I183">
            <v>1</v>
          </cell>
          <cell r="J183">
            <v>1</v>
          </cell>
          <cell r="K183">
            <v>1</v>
          </cell>
          <cell r="L183">
            <v>1</v>
          </cell>
          <cell r="M183">
            <v>1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0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25</v>
          </cell>
        </row>
        <row r="184">
          <cell r="A184" t="str">
            <v>A4479</v>
          </cell>
          <cell r="B184" t="str">
            <v>KRISTINA BATU ALLO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1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1</v>
          </cell>
          <cell r="AA184">
            <v>0</v>
          </cell>
          <cell r="AB184">
            <v>0</v>
          </cell>
          <cell r="AC184">
            <v>3</v>
          </cell>
        </row>
        <row r="185">
          <cell r="A185" t="str">
            <v>A4541</v>
          </cell>
          <cell r="B185" t="str">
            <v>RIKI RUNANDA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1</v>
          </cell>
        </row>
        <row r="186">
          <cell r="A186" t="str">
            <v>A4539</v>
          </cell>
          <cell r="B186" t="str">
            <v>ELVYNA DAMAYANTI SIHOMBING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1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1</v>
          </cell>
        </row>
        <row r="187">
          <cell r="A187" t="str">
            <v>A4442</v>
          </cell>
          <cell r="B187" t="str">
            <v>RANI PUSPA ANJANI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1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1</v>
          </cell>
        </row>
        <row r="190">
          <cell r="A190">
            <v>0</v>
          </cell>
          <cell r="B190" t="str">
            <v>Mengetahui,</v>
          </cell>
        </row>
        <row r="191">
          <cell r="A191">
            <v>0</v>
          </cell>
          <cell r="B191">
            <v>0</v>
          </cell>
        </row>
        <row r="192">
          <cell r="A192">
            <v>0</v>
          </cell>
          <cell r="B192">
            <v>0</v>
          </cell>
        </row>
        <row r="193">
          <cell r="A193">
            <v>0</v>
          </cell>
          <cell r="B193">
            <v>0</v>
          </cell>
        </row>
        <row r="194">
          <cell r="A194">
            <v>0</v>
          </cell>
          <cell r="B194">
            <v>0</v>
          </cell>
        </row>
        <row r="195">
          <cell r="A195">
            <v>0</v>
          </cell>
          <cell r="B195">
            <v>0</v>
          </cell>
        </row>
        <row r="196">
          <cell r="A196">
            <v>0</v>
          </cell>
          <cell r="B196">
            <v>0</v>
          </cell>
        </row>
        <row r="197">
          <cell r="A197">
            <v>0</v>
          </cell>
          <cell r="B197" t="str">
            <v xml:space="preserve">SRI RAHAYU GUNADI </v>
          </cell>
        </row>
        <row r="198">
          <cell r="A198">
            <v>0</v>
          </cell>
          <cell r="B198" t="str">
            <v>HC DOC HEAD</v>
          </cell>
        </row>
      </sheetData>
      <sheetData sheetId="9" refreshError="1">
        <row r="1">
          <cell r="A1" t="str">
            <v>PERIODE 2 DESEMBER 2024 TEMA C1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45649</v>
          </cell>
          <cell r="N4">
            <v>0</v>
          </cell>
          <cell r="O4">
            <v>45650</v>
          </cell>
          <cell r="P4">
            <v>0</v>
          </cell>
          <cell r="Q4">
            <v>45652</v>
          </cell>
          <cell r="R4">
            <v>0</v>
          </cell>
          <cell r="S4">
            <v>45653</v>
          </cell>
          <cell r="T4">
            <v>0</v>
          </cell>
          <cell r="U4">
            <v>45656</v>
          </cell>
          <cell r="V4">
            <v>0</v>
          </cell>
          <cell r="W4">
            <v>45657</v>
          </cell>
          <cell r="X4">
            <v>0</v>
          </cell>
          <cell r="Y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2 </v>
          </cell>
          <cell r="O5" t="str">
            <v xml:space="preserve">SLOT 1 </v>
          </cell>
          <cell r="P5" t="str">
            <v xml:space="preserve">SLOT 2 </v>
          </cell>
          <cell r="Q5" t="str">
            <v xml:space="preserve">SLOT 1 </v>
          </cell>
          <cell r="R5" t="str">
            <v xml:space="preserve">SLOT 2 </v>
          </cell>
          <cell r="S5" t="str">
            <v xml:space="preserve">SLOT 1 </v>
          </cell>
          <cell r="T5" t="str">
            <v xml:space="preserve">SLOT 2 </v>
          </cell>
          <cell r="U5" t="str">
            <v xml:space="preserve">SLOT 1 </v>
          </cell>
          <cell r="V5" t="str">
            <v xml:space="preserve">SLOT 2 </v>
          </cell>
          <cell r="W5" t="str">
            <v xml:space="preserve">SLOT 1 </v>
          </cell>
          <cell r="X5" t="str">
            <v xml:space="preserve">SLOT 2 </v>
          </cell>
          <cell r="Y5">
            <v>0</v>
          </cell>
        </row>
        <row r="6">
          <cell r="A6" t="str">
            <v>A0417</v>
          </cell>
          <cell r="B6" t="str">
            <v>Nur Afifah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22</v>
          </cell>
        </row>
        <row r="7">
          <cell r="A7" t="str">
            <v>A3598</v>
          </cell>
          <cell r="B7" t="str">
            <v>DEPRILANA EGO PRAKASA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0</v>
          </cell>
          <cell r="L7">
            <v>0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0</v>
          </cell>
          <cell r="T7">
            <v>0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18</v>
          </cell>
        </row>
        <row r="8">
          <cell r="A8" t="str">
            <v>A3682</v>
          </cell>
          <cell r="B8" t="str">
            <v>JESSICA MAHARANI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12</v>
          </cell>
        </row>
        <row r="9">
          <cell r="A9" t="str">
            <v>A3742</v>
          </cell>
          <cell r="B9" t="str">
            <v>IRENE MAGANG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1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2</v>
          </cell>
        </row>
        <row r="10">
          <cell r="A10" t="str">
            <v>A3774</v>
          </cell>
          <cell r="B10" t="str">
            <v>NUR SRI MULYANINGSIH C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</v>
          </cell>
          <cell r="K10">
            <v>1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3</v>
          </cell>
        </row>
        <row r="11">
          <cell r="A11" t="str">
            <v>A4016</v>
          </cell>
          <cell r="B11" t="str">
            <v>RICHARD RONALDI SOUISA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1</v>
          </cell>
          <cell r="X11">
            <v>1</v>
          </cell>
          <cell r="Y11">
            <v>6</v>
          </cell>
        </row>
        <row r="12">
          <cell r="A12" t="str">
            <v>A4137</v>
          </cell>
          <cell r="B12" t="str">
            <v>MISYELLA FANNY CHRISTIANI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22</v>
          </cell>
        </row>
        <row r="13">
          <cell r="A13" t="str">
            <v>A4138</v>
          </cell>
          <cell r="B13" t="str">
            <v>DIAN KRISTINA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22</v>
          </cell>
        </row>
        <row r="14">
          <cell r="A14" t="str">
            <v>A4277</v>
          </cell>
          <cell r="B14" t="str">
            <v>ANGELINE CHALYA AURANTI LAKSITA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4</v>
          </cell>
        </row>
        <row r="15">
          <cell r="A15" t="str">
            <v>A4278</v>
          </cell>
          <cell r="B15" t="str">
            <v>INDAHRIZKY DINARTANTY PRASETYO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22</v>
          </cell>
        </row>
        <row r="16">
          <cell r="A16" t="str">
            <v>A4513</v>
          </cell>
          <cell r="B16" t="str">
            <v>MUHAMMAD NUR RAMADANI</v>
          </cell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  <cell r="Y16">
            <v>18</v>
          </cell>
        </row>
        <row r="17">
          <cell r="A17" t="str">
            <v>A4569</v>
          </cell>
          <cell r="B17" t="str">
            <v>MANUEL APRILIYO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22</v>
          </cell>
        </row>
        <row r="18">
          <cell r="A18" t="str">
            <v>A2921</v>
          </cell>
          <cell r="B18" t="str">
            <v>AZZAHROTUL JANNAH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3</v>
          </cell>
        </row>
        <row r="19">
          <cell r="A19" t="str">
            <v>A4514</v>
          </cell>
          <cell r="B19" t="str">
            <v>PRINCE EKA SAPUTRI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A20" t="str">
            <v>A4570</v>
          </cell>
          <cell r="B20" t="str">
            <v>DIMAS AJI SAPUTRA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11</v>
          </cell>
        </row>
        <row r="21">
          <cell r="A21" t="str">
            <v>A4572</v>
          </cell>
          <cell r="B21" t="str">
            <v>SEKAR AYU ARUMDITA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1</v>
          </cell>
          <cell r="O21">
            <v>0</v>
          </cell>
          <cell r="P21">
            <v>1</v>
          </cell>
          <cell r="Q21">
            <v>0</v>
          </cell>
          <cell r="R21">
            <v>1</v>
          </cell>
          <cell r="S21">
            <v>1</v>
          </cell>
          <cell r="T21">
            <v>1</v>
          </cell>
          <cell r="U21">
            <v>0</v>
          </cell>
          <cell r="V21">
            <v>1</v>
          </cell>
          <cell r="W21">
            <v>1</v>
          </cell>
          <cell r="X21">
            <v>0</v>
          </cell>
          <cell r="Y21">
            <v>8</v>
          </cell>
        </row>
        <row r="22">
          <cell r="A22" t="str">
            <v>A4512</v>
          </cell>
          <cell r="B22" t="str">
            <v>AZZAHRA SEGITHA GANISWARI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</v>
          </cell>
          <cell r="V22">
            <v>1</v>
          </cell>
          <cell r="W22">
            <v>0</v>
          </cell>
          <cell r="X22">
            <v>0</v>
          </cell>
          <cell r="Y22">
            <v>2</v>
          </cell>
        </row>
        <row r="23">
          <cell r="A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 t="str">
            <v>Mengetahui,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A32">
            <v>0</v>
          </cell>
          <cell r="B32" t="str">
            <v xml:space="preserve">SRI RAHAYU GUNADI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A33">
            <v>0</v>
          </cell>
          <cell r="B33" t="str">
            <v>HC DOC HEAD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A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A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A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A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A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A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A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A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A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A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A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A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49">
          <cell r="A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A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A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2">
          <cell r="A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</row>
        <row r="53">
          <cell r="A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A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</row>
        <row r="55">
          <cell r="A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7">
          <cell r="A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</row>
        <row r="58">
          <cell r="A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</row>
      </sheetData>
      <sheetData sheetId="10" refreshError="1">
        <row r="1">
          <cell r="A1" t="str">
            <v>PERIODE 2 DESEMBER 2024 TEMA C2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45649</v>
          </cell>
          <cell r="O4">
            <v>0</v>
          </cell>
          <cell r="P4">
            <v>45650</v>
          </cell>
          <cell r="Q4">
            <v>0</v>
          </cell>
          <cell r="R4">
            <v>45652</v>
          </cell>
          <cell r="S4">
            <v>0</v>
          </cell>
          <cell r="T4">
            <v>45653</v>
          </cell>
          <cell r="U4">
            <v>0</v>
          </cell>
          <cell r="V4">
            <v>45654</v>
          </cell>
          <cell r="W4">
            <v>45656</v>
          </cell>
          <cell r="X4">
            <v>0</v>
          </cell>
          <cell r="Y4">
            <v>45657</v>
          </cell>
          <cell r="Z4">
            <v>0</v>
          </cell>
          <cell r="AA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1 </v>
          </cell>
          <cell r="Z5" t="str">
            <v xml:space="preserve">SLOT 2 </v>
          </cell>
          <cell r="AA5">
            <v>0</v>
          </cell>
        </row>
        <row r="6">
          <cell r="A6">
            <v>90118</v>
          </cell>
          <cell r="B6" t="str">
            <v>AGRESITABELA PURNANINGRUM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0</v>
          </cell>
          <cell r="H6">
            <v>0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22</v>
          </cell>
        </row>
        <row r="7">
          <cell r="A7">
            <v>90759</v>
          </cell>
          <cell r="B7" t="str">
            <v>Pertiwi Handayani</v>
          </cell>
          <cell r="C7">
            <v>0</v>
          </cell>
          <cell r="D7">
            <v>0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6</v>
          </cell>
        </row>
        <row r="8">
          <cell r="A8">
            <v>92192</v>
          </cell>
          <cell r="B8" t="str">
            <v>Bima Bagaskara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24</v>
          </cell>
        </row>
        <row r="9">
          <cell r="A9">
            <v>92259</v>
          </cell>
          <cell r="B9" t="str">
            <v>Novi Anggraini</v>
          </cell>
          <cell r="C9">
            <v>1</v>
          </cell>
          <cell r="D9">
            <v>1</v>
          </cell>
          <cell r="E9">
            <v>0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0</v>
          </cell>
          <cell r="P9">
            <v>0</v>
          </cell>
          <cell r="Q9">
            <v>0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20</v>
          </cell>
        </row>
        <row r="10">
          <cell r="A10">
            <v>92265</v>
          </cell>
          <cell r="B10" t="str">
            <v>IKA MUZAINATUL KHASANAH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0</v>
          </cell>
          <cell r="H10">
            <v>0</v>
          </cell>
          <cell r="I10">
            <v>1</v>
          </cell>
          <cell r="J10">
            <v>1</v>
          </cell>
          <cell r="K10">
            <v>1</v>
          </cell>
          <cell r="L10">
            <v>0</v>
          </cell>
          <cell r="M10">
            <v>0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20</v>
          </cell>
        </row>
        <row r="11">
          <cell r="A11">
            <v>92303</v>
          </cell>
          <cell r="B11" t="str">
            <v>KELVIN REVIDO HAFIDH SYAHPUTRA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16</v>
          </cell>
        </row>
        <row r="12">
          <cell r="A12">
            <v>92347</v>
          </cell>
          <cell r="B12" t="str">
            <v>RAHMAD SABTONO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  <cell r="Q12">
            <v>0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19</v>
          </cell>
        </row>
        <row r="13">
          <cell r="A13">
            <v>92628</v>
          </cell>
          <cell r="B13" t="str">
            <v>Nini Aulia Sari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24</v>
          </cell>
        </row>
        <row r="14">
          <cell r="A14">
            <v>92744</v>
          </cell>
          <cell r="B14" t="str">
            <v>Esti Musriana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4</v>
          </cell>
        </row>
        <row r="15">
          <cell r="A15" t="str">
            <v>A0056</v>
          </cell>
          <cell r="B15" t="str">
            <v>Elsa Salsabila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20</v>
          </cell>
        </row>
        <row r="16">
          <cell r="A16" t="str">
            <v>A0105</v>
          </cell>
          <cell r="B16" t="str">
            <v>Sanda Irianto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24</v>
          </cell>
        </row>
        <row r="17">
          <cell r="A17" t="str">
            <v>A0216</v>
          </cell>
          <cell r="B17" t="str">
            <v>Devi Prastika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19</v>
          </cell>
        </row>
        <row r="18">
          <cell r="A18" t="str">
            <v>A0244</v>
          </cell>
          <cell r="B18" t="str">
            <v>Setyaningtyas Trinovitasari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22</v>
          </cell>
        </row>
        <row r="19">
          <cell r="A19" t="str">
            <v>A0369</v>
          </cell>
          <cell r="B19" t="str">
            <v>Isna Nur Muharimah</v>
          </cell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0</v>
          </cell>
          <cell r="R19">
            <v>1</v>
          </cell>
          <cell r="S19">
            <v>0</v>
          </cell>
          <cell r="T19">
            <v>1</v>
          </cell>
          <cell r="U19">
            <v>0</v>
          </cell>
          <cell r="V19">
            <v>0</v>
          </cell>
          <cell r="W19">
            <v>1</v>
          </cell>
          <cell r="X19">
            <v>0</v>
          </cell>
          <cell r="Y19">
            <v>1</v>
          </cell>
          <cell r="Z19">
            <v>0</v>
          </cell>
          <cell r="AA19">
            <v>7</v>
          </cell>
        </row>
        <row r="20">
          <cell r="A20" t="str">
            <v>A0486</v>
          </cell>
          <cell r="B20" t="str">
            <v>YACINTA PUSPITASARI</v>
          </cell>
          <cell r="C20">
            <v>1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0</v>
          </cell>
          <cell r="K20">
            <v>1</v>
          </cell>
          <cell r="L20">
            <v>0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21</v>
          </cell>
        </row>
        <row r="21">
          <cell r="A21" t="str">
            <v>A0560</v>
          </cell>
          <cell r="B21" t="str">
            <v>MATHILDA EUNIKE ANDREA R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2</v>
          </cell>
        </row>
        <row r="22">
          <cell r="A22" t="str">
            <v>A0565</v>
          </cell>
          <cell r="B22" t="str">
            <v>PRADIPTA NIWAYANI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0</v>
          </cell>
          <cell r="H22">
            <v>0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22</v>
          </cell>
        </row>
        <row r="23">
          <cell r="A23" t="str">
            <v>A0707</v>
          </cell>
          <cell r="B23" t="str">
            <v>NAILI AZKA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A24" t="str">
            <v>A0708</v>
          </cell>
          <cell r="B24" t="str">
            <v>REZZA KHAERUNISA</v>
          </cell>
          <cell r="C24">
            <v>0</v>
          </cell>
          <cell r="D24">
            <v>0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0</v>
          </cell>
          <cell r="K24">
            <v>1</v>
          </cell>
          <cell r="L24">
            <v>1</v>
          </cell>
          <cell r="M24">
            <v>0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20</v>
          </cell>
        </row>
        <row r="25">
          <cell r="A25" t="str">
            <v>A0710</v>
          </cell>
          <cell r="B25" t="str">
            <v>MILLENIA MALINGGAS</v>
          </cell>
          <cell r="C25">
            <v>1</v>
          </cell>
          <cell r="D25">
            <v>0</v>
          </cell>
          <cell r="E25">
            <v>1</v>
          </cell>
          <cell r="F25">
            <v>0</v>
          </cell>
          <cell r="G25">
            <v>1</v>
          </cell>
          <cell r="H25">
            <v>0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1</v>
          </cell>
          <cell r="R25">
            <v>0</v>
          </cell>
          <cell r="S25">
            <v>0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14</v>
          </cell>
        </row>
        <row r="26">
          <cell r="A26" t="str">
            <v>A0723</v>
          </cell>
          <cell r="B26" t="str">
            <v>FRANSISCA AYU PUSPITA SARI</v>
          </cell>
          <cell r="C26">
            <v>0</v>
          </cell>
          <cell r="D26">
            <v>0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0</v>
          </cell>
          <cell r="M26">
            <v>1</v>
          </cell>
          <cell r="N26">
            <v>1</v>
          </cell>
          <cell r="O26">
            <v>1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1</v>
          </cell>
          <cell r="X26">
            <v>0</v>
          </cell>
          <cell r="Y26">
            <v>0</v>
          </cell>
          <cell r="Z26">
            <v>0</v>
          </cell>
          <cell r="AA26">
            <v>11</v>
          </cell>
        </row>
        <row r="27">
          <cell r="A27" t="str">
            <v>A0724</v>
          </cell>
          <cell r="B27" t="str">
            <v>RIZKY REYNALDI</v>
          </cell>
          <cell r="C27">
            <v>1</v>
          </cell>
          <cell r="D27">
            <v>1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24</v>
          </cell>
        </row>
        <row r="28">
          <cell r="A28" t="str">
            <v>A0786</v>
          </cell>
          <cell r="B28" t="str">
            <v>ARYA KEY</v>
          </cell>
          <cell r="C28">
            <v>1</v>
          </cell>
          <cell r="D28">
            <v>1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0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23</v>
          </cell>
        </row>
        <row r="29">
          <cell r="A29" t="str">
            <v>A0855</v>
          </cell>
          <cell r="B29" t="str">
            <v>DWIKE MUTIARA RAHMADANI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0</v>
          </cell>
          <cell r="I29">
            <v>1</v>
          </cell>
          <cell r="J29">
            <v>1</v>
          </cell>
          <cell r="K29">
            <v>1</v>
          </cell>
          <cell r="L29">
            <v>0</v>
          </cell>
          <cell r="M29">
            <v>0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21</v>
          </cell>
        </row>
        <row r="30">
          <cell r="A30" t="str">
            <v>A0898</v>
          </cell>
          <cell r="B30" t="str">
            <v>FIENDA KURNIAWATI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0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23</v>
          </cell>
        </row>
        <row r="31">
          <cell r="A31" t="str">
            <v>A0911</v>
          </cell>
          <cell r="B31" t="str">
            <v>ENGELINA GALUH WINDIASARI</v>
          </cell>
          <cell r="C31">
            <v>1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20</v>
          </cell>
        </row>
        <row r="32">
          <cell r="A32" t="str">
            <v>A0918</v>
          </cell>
          <cell r="B32" t="str">
            <v>OGIE PRAYOGA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16</v>
          </cell>
        </row>
        <row r="33">
          <cell r="A33" t="str">
            <v>A0919</v>
          </cell>
          <cell r="B33" t="str">
            <v>NABILA YUDISTYA PRATIWI</v>
          </cell>
          <cell r="C33">
            <v>1</v>
          </cell>
          <cell r="D33">
            <v>1</v>
          </cell>
          <cell r="E33">
            <v>1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0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23</v>
          </cell>
        </row>
        <row r="34">
          <cell r="A34" t="str">
            <v>A0920</v>
          </cell>
          <cell r="B34" t="str">
            <v>HANGESTI RETNO UTARI UTARI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24</v>
          </cell>
        </row>
        <row r="35">
          <cell r="A35" t="str">
            <v>A0927</v>
          </cell>
          <cell r="B35" t="str">
            <v>INTAN AYU WARDANI</v>
          </cell>
          <cell r="C35">
            <v>1</v>
          </cell>
          <cell r="D35">
            <v>1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24</v>
          </cell>
        </row>
        <row r="36">
          <cell r="A36" t="str">
            <v>A1059</v>
          </cell>
          <cell r="B36" t="str">
            <v>AZILA ZALWA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0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23</v>
          </cell>
        </row>
        <row r="37">
          <cell r="A37" t="str">
            <v>A1089</v>
          </cell>
          <cell r="B37" t="str">
            <v>DINA ROHMATIKA</v>
          </cell>
          <cell r="C37">
            <v>0</v>
          </cell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0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15</v>
          </cell>
        </row>
        <row r="38">
          <cell r="A38" t="str">
            <v>A1135</v>
          </cell>
          <cell r="B38" t="str">
            <v>FANNI MELIA ALVIONALIZA</v>
          </cell>
          <cell r="C38">
            <v>1</v>
          </cell>
          <cell r="D38">
            <v>1</v>
          </cell>
          <cell r="E38">
            <v>1</v>
          </cell>
          <cell r="F38">
            <v>1</v>
          </cell>
          <cell r="G38">
            <v>1</v>
          </cell>
          <cell r="H38">
            <v>0</v>
          </cell>
          <cell r="I38">
            <v>1</v>
          </cell>
          <cell r="J38">
            <v>1</v>
          </cell>
          <cell r="K38">
            <v>1</v>
          </cell>
          <cell r="L38">
            <v>0</v>
          </cell>
          <cell r="M38">
            <v>0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21</v>
          </cell>
        </row>
        <row r="39">
          <cell r="A39" t="str">
            <v>A1208</v>
          </cell>
          <cell r="B39" t="str">
            <v>RIYAN ISTIQOMAH</v>
          </cell>
          <cell r="C39">
            <v>1</v>
          </cell>
          <cell r="D39">
            <v>1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0</v>
          </cell>
          <cell r="M39">
            <v>0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22</v>
          </cell>
        </row>
        <row r="40">
          <cell r="A40" t="str">
            <v>A1232</v>
          </cell>
          <cell r="B40" t="str">
            <v>FIORENTINA BR SEBAYANG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0</v>
          </cell>
          <cell r="N40">
            <v>1</v>
          </cell>
          <cell r="O40">
            <v>1</v>
          </cell>
          <cell r="P40">
            <v>1</v>
          </cell>
          <cell r="Q40">
            <v>0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22</v>
          </cell>
        </row>
        <row r="41">
          <cell r="A41" t="str">
            <v>A1237</v>
          </cell>
          <cell r="B41" t="str">
            <v>FEBRIANTI SIANTURI</v>
          </cell>
          <cell r="C41">
            <v>1</v>
          </cell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9</v>
          </cell>
        </row>
        <row r="42">
          <cell r="A42" t="str">
            <v>A1244</v>
          </cell>
          <cell r="B42" t="str">
            <v>SHOFIA NOVIANTI</v>
          </cell>
          <cell r="C42">
            <v>1</v>
          </cell>
          <cell r="D42">
            <v>1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24</v>
          </cell>
        </row>
        <row r="43">
          <cell r="A43" t="str">
            <v>A1249</v>
          </cell>
          <cell r="B43" t="str">
            <v>ARDIANSYAH ABUBAKAR</v>
          </cell>
          <cell r="C43">
            <v>1</v>
          </cell>
          <cell r="D43">
            <v>1</v>
          </cell>
          <cell r="E43">
            <v>0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0</v>
          </cell>
          <cell r="K43">
            <v>1</v>
          </cell>
          <cell r="L43">
            <v>0</v>
          </cell>
          <cell r="M43">
            <v>0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20</v>
          </cell>
        </row>
        <row r="44">
          <cell r="A44" t="str">
            <v>A1250</v>
          </cell>
          <cell r="B44" t="str">
            <v>MAYANG PUTRI INANDA SARI</v>
          </cell>
          <cell r="C44">
            <v>1</v>
          </cell>
          <cell r="D44">
            <v>1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J44">
            <v>0</v>
          </cell>
          <cell r="K44">
            <v>1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10</v>
          </cell>
        </row>
        <row r="45">
          <cell r="A45" t="str">
            <v>A1305</v>
          </cell>
          <cell r="B45" t="str">
            <v>HANIFAH DUWI AMALIA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20</v>
          </cell>
        </row>
        <row r="46">
          <cell r="A46" t="str">
            <v>A1362</v>
          </cell>
          <cell r="B46" t="str">
            <v>NATALIA SIMAMORA</v>
          </cell>
          <cell r="C46">
            <v>1</v>
          </cell>
          <cell r="D46">
            <v>1</v>
          </cell>
          <cell r="E46">
            <v>1</v>
          </cell>
          <cell r="F46">
            <v>1</v>
          </cell>
          <cell r="G46">
            <v>1</v>
          </cell>
          <cell r="H46">
            <v>0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>
            <v>0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22</v>
          </cell>
        </row>
        <row r="47">
          <cell r="A47" t="str">
            <v>A1366</v>
          </cell>
          <cell r="B47" t="str">
            <v>MIFTA UL ULUM</v>
          </cell>
          <cell r="C47">
            <v>1</v>
          </cell>
          <cell r="D47">
            <v>1</v>
          </cell>
          <cell r="E47">
            <v>1</v>
          </cell>
          <cell r="F47">
            <v>0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9</v>
          </cell>
        </row>
        <row r="48">
          <cell r="A48" t="str">
            <v>A1407</v>
          </cell>
          <cell r="B48" t="str">
            <v>HARDINI KOMALASARI</v>
          </cell>
          <cell r="C48">
            <v>1</v>
          </cell>
          <cell r="D48">
            <v>1</v>
          </cell>
          <cell r="E48">
            <v>1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>
            <v>0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23</v>
          </cell>
        </row>
        <row r="49">
          <cell r="A49" t="str">
            <v>A1409</v>
          </cell>
          <cell r="B49" t="str">
            <v>YULI ANA</v>
          </cell>
          <cell r="C49">
            <v>1</v>
          </cell>
          <cell r="D49">
            <v>1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0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23</v>
          </cell>
        </row>
        <row r="50">
          <cell r="A50" t="str">
            <v>A1428</v>
          </cell>
          <cell r="B50" t="str">
            <v>RIFKA AYU PRADITA</v>
          </cell>
          <cell r="C50">
            <v>1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24</v>
          </cell>
        </row>
        <row r="51">
          <cell r="A51" t="str">
            <v>A1496</v>
          </cell>
          <cell r="B51" t="str">
            <v>INDAH PUSPITA DEWI</v>
          </cell>
          <cell r="C51">
            <v>1</v>
          </cell>
          <cell r="D51">
            <v>0</v>
          </cell>
          <cell r="E51">
            <v>1</v>
          </cell>
          <cell r="F51">
            <v>1</v>
          </cell>
          <cell r="G51">
            <v>0</v>
          </cell>
          <cell r="H51">
            <v>0</v>
          </cell>
          <cell r="I51">
            <v>1</v>
          </cell>
          <cell r="J51">
            <v>0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0</v>
          </cell>
          <cell r="Q51">
            <v>0</v>
          </cell>
          <cell r="R51">
            <v>1</v>
          </cell>
          <cell r="S51">
            <v>1</v>
          </cell>
          <cell r="T51">
            <v>0</v>
          </cell>
          <cell r="U51">
            <v>0</v>
          </cell>
          <cell r="V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16</v>
          </cell>
        </row>
        <row r="52">
          <cell r="A52" t="str">
            <v>A1638</v>
          </cell>
          <cell r="B52" t="str">
            <v>ERNI DWI WIDYANTI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0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0</v>
          </cell>
          <cell r="Y52">
            <v>1</v>
          </cell>
          <cell r="Z52">
            <v>1</v>
          </cell>
          <cell r="AA52">
            <v>22</v>
          </cell>
        </row>
        <row r="53">
          <cell r="A53" t="str">
            <v>A1792</v>
          </cell>
          <cell r="B53" t="str">
            <v>ADINDA PUTRI ZELA</v>
          </cell>
          <cell r="C53">
            <v>0</v>
          </cell>
          <cell r="D53">
            <v>0</v>
          </cell>
          <cell r="E53">
            <v>1</v>
          </cell>
          <cell r="F53">
            <v>0</v>
          </cell>
          <cell r="G53">
            <v>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3</v>
          </cell>
        </row>
        <row r="54">
          <cell r="A54" t="str">
            <v>A1836</v>
          </cell>
          <cell r="B54" t="str">
            <v>ANNISA DISAFIRA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1</v>
          </cell>
          <cell r="J54">
            <v>1</v>
          </cell>
          <cell r="K54">
            <v>0</v>
          </cell>
          <cell r="L54">
            <v>0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16</v>
          </cell>
        </row>
        <row r="55">
          <cell r="A55" t="str">
            <v>A2014</v>
          </cell>
          <cell r="B55" t="str">
            <v>NUR ANISA</v>
          </cell>
          <cell r="C55">
            <v>1</v>
          </cell>
          <cell r="D55">
            <v>1</v>
          </cell>
          <cell r="E55">
            <v>1</v>
          </cell>
          <cell r="F55">
            <v>1</v>
          </cell>
          <cell r="G55">
            <v>1</v>
          </cell>
          <cell r="H55">
            <v>1</v>
          </cell>
          <cell r="I55">
            <v>1</v>
          </cell>
          <cell r="J55">
            <v>1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24</v>
          </cell>
        </row>
        <row r="56">
          <cell r="A56" t="str">
            <v>A2026</v>
          </cell>
          <cell r="B56" t="str">
            <v>ALMAY CAESARI ISMIAJI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</v>
          </cell>
          <cell r="U56">
            <v>1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3</v>
          </cell>
        </row>
        <row r="57">
          <cell r="A57" t="str">
            <v>A2072</v>
          </cell>
          <cell r="B57" t="str">
            <v>DIANA PUTERI MAHARANI</v>
          </cell>
          <cell r="C57">
            <v>1</v>
          </cell>
          <cell r="D57">
            <v>1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J57">
            <v>1</v>
          </cell>
          <cell r="K57">
            <v>1</v>
          </cell>
          <cell r="L57">
            <v>1</v>
          </cell>
          <cell r="M57">
            <v>0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23</v>
          </cell>
        </row>
        <row r="58">
          <cell r="A58" t="str">
            <v>A2300</v>
          </cell>
          <cell r="B58" t="str">
            <v>GRACE SIFRA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1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13</v>
          </cell>
        </row>
        <row r="59">
          <cell r="A59" t="str">
            <v>A2369</v>
          </cell>
          <cell r="B59" t="str">
            <v>ANIS DIANA SARI</v>
          </cell>
          <cell r="C59">
            <v>1</v>
          </cell>
          <cell r="D59">
            <v>1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J59">
            <v>1</v>
          </cell>
          <cell r="K59">
            <v>1</v>
          </cell>
          <cell r="L59">
            <v>0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Q59">
            <v>1</v>
          </cell>
          <cell r="R59">
            <v>1</v>
          </cell>
          <cell r="S59">
            <v>1</v>
          </cell>
          <cell r="T59">
            <v>1</v>
          </cell>
          <cell r="U59">
            <v>1</v>
          </cell>
          <cell r="V59">
            <v>1</v>
          </cell>
          <cell r="W59">
            <v>1</v>
          </cell>
          <cell r="X59">
            <v>1</v>
          </cell>
          <cell r="Y59">
            <v>0</v>
          </cell>
          <cell r="Z59">
            <v>0</v>
          </cell>
          <cell r="AA59">
            <v>21</v>
          </cell>
        </row>
        <row r="60">
          <cell r="A60" t="str">
            <v>A2495</v>
          </cell>
          <cell r="B60" t="str">
            <v>FADLIN ROHMAWATI</v>
          </cell>
          <cell r="C60">
            <v>1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1</v>
          </cell>
          <cell r="K60">
            <v>1</v>
          </cell>
          <cell r="L60">
            <v>1</v>
          </cell>
          <cell r="M60">
            <v>0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23</v>
          </cell>
        </row>
        <row r="61">
          <cell r="A61" t="str">
            <v>A2574</v>
          </cell>
          <cell r="B61" t="str">
            <v>JATU ASTRI PRADISTA</v>
          </cell>
          <cell r="C61">
            <v>1</v>
          </cell>
          <cell r="D61">
            <v>0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23</v>
          </cell>
        </row>
        <row r="62">
          <cell r="A62" t="str">
            <v>A2604</v>
          </cell>
          <cell r="B62" t="str">
            <v>YUSRIDAH LUBIS</v>
          </cell>
          <cell r="C62">
            <v>1</v>
          </cell>
          <cell r="D62">
            <v>1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1</v>
          </cell>
          <cell r="K62">
            <v>1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24</v>
          </cell>
        </row>
        <row r="63">
          <cell r="A63" t="str">
            <v>A2619</v>
          </cell>
          <cell r="B63" t="str">
            <v>TEDI AFRIYANTO</v>
          </cell>
          <cell r="C63">
            <v>1</v>
          </cell>
          <cell r="D63">
            <v>1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1</v>
          </cell>
          <cell r="J63">
            <v>1</v>
          </cell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V63">
            <v>1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21</v>
          </cell>
        </row>
        <row r="64">
          <cell r="A64" t="str">
            <v>A2684</v>
          </cell>
          <cell r="B64" t="str">
            <v>DIMAS VERGIAWAN AFIAT</v>
          </cell>
          <cell r="C64">
            <v>1</v>
          </cell>
          <cell r="D64">
            <v>1</v>
          </cell>
          <cell r="E64">
            <v>1</v>
          </cell>
          <cell r="F64">
            <v>1</v>
          </cell>
          <cell r="G64">
            <v>1</v>
          </cell>
          <cell r="H64">
            <v>0</v>
          </cell>
          <cell r="I64">
            <v>1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0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22</v>
          </cell>
        </row>
        <row r="65">
          <cell r="A65" t="str">
            <v>A2702</v>
          </cell>
          <cell r="B65" t="str">
            <v>DILA FITRIANI</v>
          </cell>
          <cell r="C65">
            <v>0</v>
          </cell>
          <cell r="D65">
            <v>0</v>
          </cell>
          <cell r="E65">
            <v>1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22</v>
          </cell>
        </row>
        <row r="66">
          <cell r="A66" t="str">
            <v>A2705</v>
          </cell>
          <cell r="B66" t="str">
            <v>ANTONIA DESI ENDAH KRISTIYANTI</v>
          </cell>
          <cell r="C66">
            <v>1</v>
          </cell>
          <cell r="D66">
            <v>1</v>
          </cell>
          <cell r="E66">
            <v>1</v>
          </cell>
          <cell r="F66">
            <v>1</v>
          </cell>
          <cell r="G66">
            <v>1</v>
          </cell>
          <cell r="H66">
            <v>1</v>
          </cell>
          <cell r="I66">
            <v>1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Q66">
            <v>0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0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22</v>
          </cell>
        </row>
        <row r="67">
          <cell r="A67" t="str">
            <v>A2964</v>
          </cell>
          <cell r="B67" t="str">
            <v>AKHAYA ARSYOGA</v>
          </cell>
          <cell r="C67">
            <v>0</v>
          </cell>
          <cell r="D67">
            <v>0</v>
          </cell>
          <cell r="E67">
            <v>1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1</v>
          </cell>
          <cell r="O67">
            <v>1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3</v>
          </cell>
        </row>
        <row r="68">
          <cell r="A68" t="str">
            <v>A3034</v>
          </cell>
          <cell r="B68" t="str">
            <v>MEYTIA EKA PUTRI</v>
          </cell>
          <cell r="C68">
            <v>1</v>
          </cell>
          <cell r="D68">
            <v>1</v>
          </cell>
          <cell r="E68">
            <v>1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J68">
            <v>1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24</v>
          </cell>
        </row>
        <row r="69">
          <cell r="A69" t="str">
            <v>A3147</v>
          </cell>
          <cell r="B69" t="str">
            <v>SAGITA DEO SANTOSA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>
            <v>1</v>
          </cell>
          <cell r="Y69">
            <v>1</v>
          </cell>
          <cell r="Z69">
            <v>0</v>
          </cell>
          <cell r="AA69">
            <v>7</v>
          </cell>
        </row>
        <row r="70">
          <cell r="A70" t="str">
            <v>A3175</v>
          </cell>
          <cell r="B70" t="str">
            <v>INDRI SARI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13</v>
          </cell>
        </row>
        <row r="71">
          <cell r="A71" t="str">
            <v>A3188</v>
          </cell>
          <cell r="B71" t="str">
            <v>FAUZIYATI KHAIRUL LATIFAH</v>
          </cell>
          <cell r="C71">
            <v>1</v>
          </cell>
          <cell r="D71">
            <v>1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  <cell r="L71">
            <v>1</v>
          </cell>
          <cell r="M71">
            <v>0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23</v>
          </cell>
        </row>
        <row r="72">
          <cell r="A72" t="str">
            <v>A3210</v>
          </cell>
          <cell r="B72" t="str">
            <v>HAFIDZ HILMY</v>
          </cell>
          <cell r="C72">
            <v>0</v>
          </cell>
          <cell r="D72">
            <v>0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1</v>
          </cell>
          <cell r="K72">
            <v>0</v>
          </cell>
          <cell r="L72">
            <v>0</v>
          </cell>
          <cell r="M72">
            <v>1</v>
          </cell>
          <cell r="N72">
            <v>0</v>
          </cell>
          <cell r="O72">
            <v>0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0</v>
          </cell>
          <cell r="U72">
            <v>0</v>
          </cell>
          <cell r="V72">
            <v>0</v>
          </cell>
          <cell r="W72">
            <v>1</v>
          </cell>
          <cell r="X72">
            <v>1</v>
          </cell>
          <cell r="Y72">
            <v>0</v>
          </cell>
          <cell r="Z72">
            <v>0</v>
          </cell>
          <cell r="AA72">
            <v>10</v>
          </cell>
        </row>
        <row r="73">
          <cell r="A73" t="str">
            <v>A3216</v>
          </cell>
          <cell r="B73" t="str">
            <v>INTAN KHOIRUNISA FEBILIANA</v>
          </cell>
          <cell r="C73">
            <v>1</v>
          </cell>
          <cell r="D73">
            <v>1</v>
          </cell>
          <cell r="E73">
            <v>0</v>
          </cell>
          <cell r="F73">
            <v>0</v>
          </cell>
          <cell r="G73">
            <v>1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18</v>
          </cell>
        </row>
        <row r="74">
          <cell r="A74" t="str">
            <v>A3220</v>
          </cell>
          <cell r="B74" t="str">
            <v>MUHAMAD AGUNG GUMELAR</v>
          </cell>
          <cell r="C74">
            <v>0</v>
          </cell>
          <cell r="D74">
            <v>1</v>
          </cell>
          <cell r="E74">
            <v>0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V74">
            <v>1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22</v>
          </cell>
        </row>
        <row r="75">
          <cell r="A75" t="str">
            <v>A3305</v>
          </cell>
          <cell r="B75" t="str">
            <v>ARIF NOVIANTO</v>
          </cell>
          <cell r="C75">
            <v>1</v>
          </cell>
          <cell r="D75">
            <v>1</v>
          </cell>
          <cell r="E75">
            <v>1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1</v>
          </cell>
          <cell r="L75">
            <v>1</v>
          </cell>
          <cell r="M75">
            <v>1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V75">
            <v>1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24</v>
          </cell>
        </row>
        <row r="76">
          <cell r="A76" t="str">
            <v>A3306</v>
          </cell>
          <cell r="B76" t="str">
            <v>ILHAM MUHAMMAD DYAN FAUZI</v>
          </cell>
          <cell r="C76">
            <v>1</v>
          </cell>
          <cell r="D76">
            <v>0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0</v>
          </cell>
          <cell r="L76">
            <v>0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0</v>
          </cell>
          <cell r="Z76">
            <v>0</v>
          </cell>
          <cell r="AA76">
            <v>19</v>
          </cell>
        </row>
        <row r="77">
          <cell r="A77" t="str">
            <v>A3326</v>
          </cell>
          <cell r="B77" t="str">
            <v>DISA PUTRI HAPSARI</v>
          </cell>
          <cell r="C77">
            <v>0</v>
          </cell>
          <cell r="D77">
            <v>0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6</v>
          </cell>
        </row>
        <row r="78">
          <cell r="A78" t="str">
            <v>A3333</v>
          </cell>
          <cell r="B78" t="str">
            <v>ZEFANYA NOVIANA HEHAMAHUA</v>
          </cell>
          <cell r="C78">
            <v>1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15</v>
          </cell>
        </row>
        <row r="79">
          <cell r="A79" t="str">
            <v>A3371</v>
          </cell>
          <cell r="B79" t="str">
            <v>EMMANUELA YOSEPHINE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1</v>
          </cell>
          <cell r="H79">
            <v>1</v>
          </cell>
          <cell r="I79">
            <v>1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>
            <v>1</v>
          </cell>
          <cell r="O79">
            <v>1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V79">
            <v>1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17</v>
          </cell>
        </row>
        <row r="80">
          <cell r="A80" t="str">
            <v>A3510</v>
          </cell>
          <cell r="B80" t="str">
            <v>ANNISA FADYA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1</v>
          </cell>
          <cell r="K80">
            <v>1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17</v>
          </cell>
        </row>
        <row r="81">
          <cell r="A81" t="str">
            <v>A3514</v>
          </cell>
          <cell r="B81" t="str">
            <v>ALEXSANDRE DEDE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</v>
          </cell>
          <cell r="H81">
            <v>1</v>
          </cell>
          <cell r="I81">
            <v>1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4</v>
          </cell>
        </row>
        <row r="82">
          <cell r="A82" t="str">
            <v>A3515</v>
          </cell>
          <cell r="B82" t="str">
            <v>AGATA ISTIKALANI</v>
          </cell>
          <cell r="C82">
            <v>1</v>
          </cell>
          <cell r="D82">
            <v>1</v>
          </cell>
          <cell r="E82">
            <v>1</v>
          </cell>
          <cell r="F82">
            <v>1</v>
          </cell>
          <cell r="G82">
            <v>1</v>
          </cell>
          <cell r="H82">
            <v>1</v>
          </cell>
          <cell r="I82">
            <v>0</v>
          </cell>
          <cell r="J82">
            <v>0</v>
          </cell>
          <cell r="K82">
            <v>1</v>
          </cell>
          <cell r="L82">
            <v>1</v>
          </cell>
          <cell r="M82">
            <v>1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9</v>
          </cell>
        </row>
        <row r="83">
          <cell r="A83" t="str">
            <v>A3680</v>
          </cell>
          <cell r="B83" t="str">
            <v>FARAH NADHIFAH</v>
          </cell>
          <cell r="C83">
            <v>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1</v>
          </cell>
          <cell r="J83">
            <v>1</v>
          </cell>
          <cell r="K83">
            <v>1</v>
          </cell>
          <cell r="L83">
            <v>1</v>
          </cell>
          <cell r="M83">
            <v>0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18</v>
          </cell>
        </row>
        <row r="84">
          <cell r="A84" t="str">
            <v>A3692</v>
          </cell>
          <cell r="B84" t="str">
            <v>ANGELA ROSELIE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13</v>
          </cell>
        </row>
        <row r="85">
          <cell r="A85" t="str">
            <v>A3693</v>
          </cell>
          <cell r="B85" t="str">
            <v>LENSE SITOMPUL</v>
          </cell>
          <cell r="C85">
            <v>1</v>
          </cell>
          <cell r="D85">
            <v>1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24</v>
          </cell>
        </row>
        <row r="86">
          <cell r="A86" t="str">
            <v>A3766</v>
          </cell>
          <cell r="B86" t="str">
            <v>BESTFEBRI CHRISTY DAMERIA PAKPAHAN</v>
          </cell>
          <cell r="C86">
            <v>0</v>
          </cell>
          <cell r="D86">
            <v>0</v>
          </cell>
          <cell r="E86">
            <v>1</v>
          </cell>
          <cell r="F86">
            <v>1</v>
          </cell>
          <cell r="G86">
            <v>1</v>
          </cell>
          <cell r="H86">
            <v>1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  <cell r="Q86">
            <v>0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21</v>
          </cell>
        </row>
        <row r="87">
          <cell r="A87" t="str">
            <v>A3815</v>
          </cell>
          <cell r="B87" t="str">
            <v>ANDREANE AMARISSA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1</v>
          </cell>
          <cell r="H87">
            <v>1</v>
          </cell>
          <cell r="I87">
            <v>1</v>
          </cell>
          <cell r="J87">
            <v>1</v>
          </cell>
          <cell r="K87">
            <v>1</v>
          </cell>
          <cell r="L87">
            <v>1</v>
          </cell>
          <cell r="M87">
            <v>0</v>
          </cell>
          <cell r="N87">
            <v>1</v>
          </cell>
          <cell r="O87">
            <v>1</v>
          </cell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19</v>
          </cell>
        </row>
        <row r="88">
          <cell r="A88" t="str">
            <v>A3927</v>
          </cell>
          <cell r="B88" t="str">
            <v>ARIS HERMAWAN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13</v>
          </cell>
        </row>
        <row r="89">
          <cell r="A89" t="str">
            <v>A3996</v>
          </cell>
          <cell r="B89" t="str">
            <v>JOANICA INTAN CAHYANDARI</v>
          </cell>
          <cell r="C89">
            <v>1</v>
          </cell>
          <cell r="D89">
            <v>1</v>
          </cell>
          <cell r="E89">
            <v>1</v>
          </cell>
          <cell r="F89">
            <v>1</v>
          </cell>
          <cell r="G89">
            <v>1</v>
          </cell>
          <cell r="H89">
            <v>1</v>
          </cell>
          <cell r="I89">
            <v>0</v>
          </cell>
          <cell r="J89">
            <v>0</v>
          </cell>
          <cell r="K89">
            <v>1</v>
          </cell>
          <cell r="L89">
            <v>1</v>
          </cell>
          <cell r="M89">
            <v>1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</v>
          </cell>
          <cell r="S89">
            <v>1</v>
          </cell>
          <cell r="T89">
            <v>1</v>
          </cell>
          <cell r="U89">
            <v>1</v>
          </cell>
          <cell r="V89">
            <v>1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18</v>
          </cell>
        </row>
        <row r="90">
          <cell r="A90" t="str">
            <v>A4011</v>
          </cell>
          <cell r="B90" t="str">
            <v>MUHAMMAD FAJRIADY</v>
          </cell>
          <cell r="C90">
            <v>1</v>
          </cell>
          <cell r="D90">
            <v>1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1</v>
          </cell>
          <cell r="J90">
            <v>1</v>
          </cell>
          <cell r="K90">
            <v>1</v>
          </cell>
          <cell r="L90">
            <v>1</v>
          </cell>
          <cell r="M90">
            <v>1</v>
          </cell>
          <cell r="N90">
            <v>1</v>
          </cell>
          <cell r="O90">
            <v>1</v>
          </cell>
          <cell r="P90">
            <v>1</v>
          </cell>
          <cell r="Q90">
            <v>1</v>
          </cell>
          <cell r="R90">
            <v>1</v>
          </cell>
          <cell r="S90">
            <v>1</v>
          </cell>
          <cell r="T90">
            <v>1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24</v>
          </cell>
        </row>
        <row r="91">
          <cell r="A91" t="str">
            <v>A4024</v>
          </cell>
          <cell r="B91" t="str">
            <v>FITRIA NURUL</v>
          </cell>
          <cell r="C91">
            <v>1</v>
          </cell>
          <cell r="D91">
            <v>1</v>
          </cell>
          <cell r="E91">
            <v>1</v>
          </cell>
          <cell r="F91">
            <v>1</v>
          </cell>
          <cell r="G91">
            <v>1</v>
          </cell>
          <cell r="H91">
            <v>1</v>
          </cell>
          <cell r="I91">
            <v>1</v>
          </cell>
          <cell r="J91">
            <v>1</v>
          </cell>
          <cell r="K91">
            <v>1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24</v>
          </cell>
        </row>
        <row r="92">
          <cell r="A92" t="str">
            <v>A4035</v>
          </cell>
          <cell r="B92" t="str">
            <v>RIZKI MULYAWAN</v>
          </cell>
          <cell r="C92">
            <v>0</v>
          </cell>
          <cell r="D92">
            <v>1</v>
          </cell>
          <cell r="E92">
            <v>1</v>
          </cell>
          <cell r="F92">
            <v>0</v>
          </cell>
          <cell r="G92">
            <v>0</v>
          </cell>
          <cell r="H92">
            <v>1</v>
          </cell>
          <cell r="I92">
            <v>1</v>
          </cell>
          <cell r="J92">
            <v>1</v>
          </cell>
          <cell r="K92">
            <v>0</v>
          </cell>
          <cell r="L92">
            <v>0</v>
          </cell>
          <cell r="M92">
            <v>1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19</v>
          </cell>
        </row>
        <row r="93">
          <cell r="A93" t="str">
            <v>A4046</v>
          </cell>
          <cell r="B93" t="str">
            <v>DANIEL RIO ANDIKA PUTRA</v>
          </cell>
          <cell r="C93">
            <v>1</v>
          </cell>
          <cell r="D93">
            <v>1</v>
          </cell>
          <cell r="E93">
            <v>1</v>
          </cell>
          <cell r="F93">
            <v>1</v>
          </cell>
          <cell r="G93">
            <v>1</v>
          </cell>
          <cell r="H93">
            <v>1</v>
          </cell>
          <cell r="I93">
            <v>1</v>
          </cell>
          <cell r="J93">
            <v>1</v>
          </cell>
          <cell r="K93">
            <v>1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1</v>
          </cell>
          <cell r="Q93">
            <v>1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V93">
            <v>1</v>
          </cell>
          <cell r="W93">
            <v>1</v>
          </cell>
          <cell r="X93">
            <v>1</v>
          </cell>
          <cell r="Y93">
            <v>0</v>
          </cell>
          <cell r="Z93">
            <v>0</v>
          </cell>
          <cell r="AA93">
            <v>22</v>
          </cell>
        </row>
        <row r="94">
          <cell r="A94" t="str">
            <v>A4050</v>
          </cell>
          <cell r="B94" t="str">
            <v>DITA PUSPITA SARI</v>
          </cell>
          <cell r="C94">
            <v>1</v>
          </cell>
          <cell r="D94">
            <v>1</v>
          </cell>
          <cell r="E94">
            <v>1</v>
          </cell>
          <cell r="F94">
            <v>1</v>
          </cell>
          <cell r="G94">
            <v>1</v>
          </cell>
          <cell r="H94">
            <v>1</v>
          </cell>
          <cell r="I94">
            <v>1</v>
          </cell>
          <cell r="J94">
            <v>1</v>
          </cell>
          <cell r="K94">
            <v>0</v>
          </cell>
          <cell r="L94">
            <v>1</v>
          </cell>
          <cell r="M94">
            <v>0</v>
          </cell>
          <cell r="N94">
            <v>1</v>
          </cell>
          <cell r="O94">
            <v>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22</v>
          </cell>
        </row>
        <row r="95">
          <cell r="A95" t="str">
            <v>A4087</v>
          </cell>
          <cell r="B95" t="str">
            <v>ARIF TEGUH WICAKSONO</v>
          </cell>
          <cell r="C95">
            <v>1</v>
          </cell>
          <cell r="D95">
            <v>1</v>
          </cell>
          <cell r="E95">
            <v>1</v>
          </cell>
          <cell r="F95">
            <v>1</v>
          </cell>
          <cell r="G95">
            <v>1</v>
          </cell>
          <cell r="H95">
            <v>1</v>
          </cell>
          <cell r="I95">
            <v>1</v>
          </cell>
          <cell r="J95">
            <v>1</v>
          </cell>
          <cell r="K95">
            <v>1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1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U95">
            <v>1</v>
          </cell>
          <cell r="V95">
            <v>1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24</v>
          </cell>
        </row>
        <row r="96">
          <cell r="A96" t="str">
            <v>A4089</v>
          </cell>
          <cell r="B96" t="str">
            <v>ADI FIRMANSYAH</v>
          </cell>
          <cell r="C96">
            <v>1</v>
          </cell>
          <cell r="D96">
            <v>1</v>
          </cell>
          <cell r="E96">
            <v>1</v>
          </cell>
          <cell r="F96">
            <v>0</v>
          </cell>
          <cell r="G96">
            <v>1</v>
          </cell>
          <cell r="H96">
            <v>1</v>
          </cell>
          <cell r="I96">
            <v>1</v>
          </cell>
          <cell r="J96">
            <v>1</v>
          </cell>
          <cell r="K96">
            <v>1</v>
          </cell>
          <cell r="L96">
            <v>1</v>
          </cell>
          <cell r="M96">
            <v>1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23</v>
          </cell>
        </row>
        <row r="97">
          <cell r="A97" t="str">
            <v>A4112</v>
          </cell>
          <cell r="B97" t="str">
            <v>VENY SIPAYUNG</v>
          </cell>
          <cell r="C97">
            <v>1</v>
          </cell>
          <cell r="D97">
            <v>1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16</v>
          </cell>
        </row>
        <row r="98">
          <cell r="A98" t="str">
            <v>A4139</v>
          </cell>
          <cell r="B98" t="str">
            <v>KEYLA REISA IARA</v>
          </cell>
          <cell r="C98">
            <v>1</v>
          </cell>
          <cell r="D98">
            <v>1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0</v>
          </cell>
          <cell r="V98">
            <v>0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22</v>
          </cell>
        </row>
        <row r="99">
          <cell r="A99" t="str">
            <v>A4141</v>
          </cell>
          <cell r="B99" t="str">
            <v>AILSA SHELEY</v>
          </cell>
          <cell r="C99">
            <v>1</v>
          </cell>
          <cell r="D99">
            <v>1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M99">
            <v>0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>
            <v>1</v>
          </cell>
          <cell r="T99">
            <v>1</v>
          </cell>
          <cell r="U99">
            <v>1</v>
          </cell>
          <cell r="V99">
            <v>1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23</v>
          </cell>
        </row>
        <row r="100">
          <cell r="A100" t="str">
            <v>A4143</v>
          </cell>
          <cell r="B100" t="str">
            <v>GREVLIANY JOURIEN NOYA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1</v>
          </cell>
          <cell r="H100">
            <v>0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2</v>
          </cell>
        </row>
        <row r="101">
          <cell r="A101" t="str">
            <v>A4162</v>
          </cell>
          <cell r="B101" t="str">
            <v>FATHUL MUBAROQ</v>
          </cell>
          <cell r="C101">
            <v>1</v>
          </cell>
          <cell r="D101">
            <v>1</v>
          </cell>
          <cell r="E101">
            <v>1</v>
          </cell>
          <cell r="F101">
            <v>1</v>
          </cell>
          <cell r="G101">
            <v>1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24</v>
          </cell>
        </row>
        <row r="102">
          <cell r="A102" t="str">
            <v>A4191</v>
          </cell>
          <cell r="B102" t="str">
            <v>FLORENTINA SRI RATNANINGRUM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20</v>
          </cell>
        </row>
        <row r="103">
          <cell r="A103" t="str">
            <v>A4205</v>
          </cell>
          <cell r="B103" t="str">
            <v>ARIN ISNAENI FEBRIYANTI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1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  <cell r="T103">
            <v>1</v>
          </cell>
          <cell r="U103">
            <v>1</v>
          </cell>
          <cell r="V103">
            <v>1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13</v>
          </cell>
        </row>
        <row r="104">
          <cell r="A104" t="str">
            <v>A4225</v>
          </cell>
          <cell r="B104" t="str">
            <v>TOPAN JIWODEWO</v>
          </cell>
          <cell r="C104">
            <v>0</v>
          </cell>
          <cell r="D104">
            <v>0</v>
          </cell>
          <cell r="E104">
            <v>1</v>
          </cell>
          <cell r="F104">
            <v>1</v>
          </cell>
          <cell r="G104">
            <v>1</v>
          </cell>
          <cell r="H104">
            <v>0</v>
          </cell>
          <cell r="I104">
            <v>1</v>
          </cell>
          <cell r="J104">
            <v>1</v>
          </cell>
          <cell r="K104">
            <v>1</v>
          </cell>
          <cell r="L104">
            <v>1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8</v>
          </cell>
        </row>
        <row r="105">
          <cell r="A105" t="str">
            <v>A4242</v>
          </cell>
          <cell r="B105" t="str">
            <v>NI KADEK SUCIATI</v>
          </cell>
          <cell r="C105">
            <v>1</v>
          </cell>
          <cell r="D105">
            <v>1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0</v>
          </cell>
          <cell r="J105">
            <v>1</v>
          </cell>
          <cell r="K105">
            <v>0</v>
          </cell>
          <cell r="L105">
            <v>0</v>
          </cell>
          <cell r="M105">
            <v>0</v>
          </cell>
          <cell r="N105">
            <v>1</v>
          </cell>
          <cell r="O105">
            <v>1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T105">
            <v>1</v>
          </cell>
          <cell r="U105">
            <v>1</v>
          </cell>
          <cell r="V105">
            <v>1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20</v>
          </cell>
        </row>
        <row r="106">
          <cell r="A106" t="str">
            <v>A4244</v>
          </cell>
          <cell r="B106" t="str">
            <v>SITI FATIMATUZ ZAHROH</v>
          </cell>
          <cell r="C106">
            <v>0</v>
          </cell>
          <cell r="D106">
            <v>0</v>
          </cell>
          <cell r="E106">
            <v>1</v>
          </cell>
          <cell r="F106">
            <v>1</v>
          </cell>
          <cell r="G106">
            <v>0</v>
          </cell>
          <cell r="H106">
            <v>1</v>
          </cell>
          <cell r="I106">
            <v>1</v>
          </cell>
          <cell r="J106">
            <v>1</v>
          </cell>
          <cell r="K106">
            <v>1</v>
          </cell>
          <cell r="L106">
            <v>0</v>
          </cell>
          <cell r="M106">
            <v>1</v>
          </cell>
          <cell r="N106">
            <v>1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  <cell r="T106">
            <v>1</v>
          </cell>
          <cell r="U106">
            <v>1</v>
          </cell>
          <cell r="V106">
            <v>1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20</v>
          </cell>
        </row>
        <row r="107">
          <cell r="A107" t="str">
            <v>A4270</v>
          </cell>
          <cell r="B107" t="str">
            <v>DELLA OXZA</v>
          </cell>
          <cell r="C107">
            <v>1</v>
          </cell>
          <cell r="D107">
            <v>1</v>
          </cell>
          <cell r="E107">
            <v>1</v>
          </cell>
          <cell r="F107">
            <v>1</v>
          </cell>
          <cell r="G107">
            <v>1</v>
          </cell>
          <cell r="H107">
            <v>1</v>
          </cell>
          <cell r="I107">
            <v>1</v>
          </cell>
          <cell r="J107">
            <v>0</v>
          </cell>
          <cell r="K107">
            <v>1</v>
          </cell>
          <cell r="L107">
            <v>1</v>
          </cell>
          <cell r="M107">
            <v>1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>
            <v>1</v>
          </cell>
          <cell r="U107">
            <v>1</v>
          </cell>
          <cell r="V107">
            <v>1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23</v>
          </cell>
        </row>
        <row r="108">
          <cell r="A108" t="str">
            <v>A4271</v>
          </cell>
          <cell r="B108" t="str">
            <v>LAKSMI DYAH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A109" t="str">
            <v>A4273</v>
          </cell>
          <cell r="B109" t="str">
            <v>RUTH TRIS KRISTIANTI</v>
          </cell>
          <cell r="C109">
            <v>1</v>
          </cell>
          <cell r="D109">
            <v>1</v>
          </cell>
          <cell r="E109">
            <v>1</v>
          </cell>
          <cell r="F109">
            <v>1</v>
          </cell>
          <cell r="G109">
            <v>1</v>
          </cell>
          <cell r="H109">
            <v>1</v>
          </cell>
          <cell r="I109">
            <v>1</v>
          </cell>
          <cell r="J109">
            <v>1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V109">
            <v>1</v>
          </cell>
          <cell r="W109">
            <v>1</v>
          </cell>
          <cell r="X109">
            <v>1</v>
          </cell>
          <cell r="Y109">
            <v>0</v>
          </cell>
          <cell r="Z109">
            <v>0</v>
          </cell>
          <cell r="AA109">
            <v>22</v>
          </cell>
        </row>
        <row r="110">
          <cell r="A110" t="str">
            <v>A4276</v>
          </cell>
          <cell r="B110" t="str">
            <v>UMMI AISYATUL LATIFAH ASARO</v>
          </cell>
          <cell r="C110">
            <v>1</v>
          </cell>
          <cell r="D110">
            <v>1</v>
          </cell>
          <cell r="E110">
            <v>1</v>
          </cell>
          <cell r="F110">
            <v>1</v>
          </cell>
          <cell r="G110">
            <v>1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  <cell r="L110">
            <v>1</v>
          </cell>
          <cell r="M110">
            <v>0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23</v>
          </cell>
        </row>
        <row r="111">
          <cell r="A111" t="str">
            <v>A4285</v>
          </cell>
          <cell r="B111" t="str">
            <v>VINO MUJAHIDIN</v>
          </cell>
          <cell r="C111">
            <v>1</v>
          </cell>
          <cell r="D111">
            <v>1</v>
          </cell>
          <cell r="E111">
            <v>1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0</v>
          </cell>
          <cell r="N111">
            <v>1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  <cell r="T111">
            <v>1</v>
          </cell>
          <cell r="U111">
            <v>1</v>
          </cell>
          <cell r="V111">
            <v>1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23</v>
          </cell>
        </row>
        <row r="112">
          <cell r="A112" t="str">
            <v>A4287</v>
          </cell>
          <cell r="B112" t="str">
            <v>FARA DHIYA HASFANA</v>
          </cell>
          <cell r="C112">
            <v>0</v>
          </cell>
          <cell r="D112">
            <v>1</v>
          </cell>
          <cell r="E112">
            <v>1</v>
          </cell>
          <cell r="F112">
            <v>1</v>
          </cell>
          <cell r="G112">
            <v>1</v>
          </cell>
          <cell r="H112">
            <v>1</v>
          </cell>
          <cell r="I112">
            <v>1</v>
          </cell>
          <cell r="J112">
            <v>0</v>
          </cell>
          <cell r="K112">
            <v>1</v>
          </cell>
          <cell r="L112">
            <v>1</v>
          </cell>
          <cell r="M112">
            <v>0</v>
          </cell>
          <cell r="N112">
            <v>0</v>
          </cell>
          <cell r="O112">
            <v>0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19</v>
          </cell>
        </row>
        <row r="113">
          <cell r="A113" t="str">
            <v>A4319</v>
          </cell>
          <cell r="B113" t="str">
            <v>FINA ARIMBI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13</v>
          </cell>
        </row>
        <row r="114">
          <cell r="A114" t="str">
            <v>A4320</v>
          </cell>
          <cell r="B114" t="str">
            <v>CARINA MONIQ ANADELLA</v>
          </cell>
          <cell r="C114">
            <v>1</v>
          </cell>
          <cell r="D114">
            <v>1</v>
          </cell>
          <cell r="E114">
            <v>1</v>
          </cell>
          <cell r="F114">
            <v>1</v>
          </cell>
          <cell r="G114">
            <v>1</v>
          </cell>
          <cell r="H114">
            <v>1</v>
          </cell>
          <cell r="I114">
            <v>1</v>
          </cell>
          <cell r="J114">
            <v>1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1</v>
          </cell>
          <cell r="Q114">
            <v>1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V114">
            <v>1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24</v>
          </cell>
        </row>
        <row r="115">
          <cell r="A115" t="str">
            <v>A4321</v>
          </cell>
          <cell r="B115" t="str">
            <v>AULIA NUR AZIZAH</v>
          </cell>
          <cell r="C115">
            <v>1</v>
          </cell>
          <cell r="D115">
            <v>1</v>
          </cell>
          <cell r="E115">
            <v>1</v>
          </cell>
          <cell r="F115">
            <v>1</v>
          </cell>
          <cell r="G115">
            <v>1</v>
          </cell>
          <cell r="H115">
            <v>1</v>
          </cell>
          <cell r="I115">
            <v>1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1</v>
          </cell>
          <cell r="O115">
            <v>1</v>
          </cell>
          <cell r="P115">
            <v>1</v>
          </cell>
          <cell r="Q115">
            <v>1</v>
          </cell>
          <cell r="R115">
            <v>1</v>
          </cell>
          <cell r="S115">
            <v>1</v>
          </cell>
          <cell r="T115">
            <v>1</v>
          </cell>
          <cell r="U115">
            <v>1</v>
          </cell>
          <cell r="V115">
            <v>1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24</v>
          </cell>
        </row>
        <row r="116">
          <cell r="A116" t="str">
            <v>A4322</v>
          </cell>
          <cell r="B116" t="str">
            <v>AICO JUSU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24</v>
          </cell>
        </row>
        <row r="117">
          <cell r="A117" t="str">
            <v>A4323</v>
          </cell>
          <cell r="B117" t="str">
            <v>ROHEDI ANNISA WIJAYANTI</v>
          </cell>
          <cell r="C117">
            <v>1</v>
          </cell>
          <cell r="D117">
            <v>1</v>
          </cell>
          <cell r="E117">
            <v>1</v>
          </cell>
          <cell r="F117">
            <v>1</v>
          </cell>
          <cell r="G117">
            <v>1</v>
          </cell>
          <cell r="H117">
            <v>1</v>
          </cell>
          <cell r="I117">
            <v>1</v>
          </cell>
          <cell r="J117">
            <v>1</v>
          </cell>
          <cell r="K117">
            <v>1</v>
          </cell>
          <cell r="L117">
            <v>1</v>
          </cell>
          <cell r="M117">
            <v>1</v>
          </cell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V117">
            <v>1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24</v>
          </cell>
        </row>
        <row r="118">
          <cell r="A118" t="str">
            <v>A4324</v>
          </cell>
          <cell r="B118" t="str">
            <v>MARIA CESHA PUTRIAWAN</v>
          </cell>
          <cell r="C118">
            <v>1</v>
          </cell>
          <cell r="D118">
            <v>1</v>
          </cell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24</v>
          </cell>
        </row>
        <row r="119">
          <cell r="A119" t="str">
            <v>A4325</v>
          </cell>
          <cell r="B119" t="str">
            <v>SHAFA KANDRAYU</v>
          </cell>
          <cell r="C119">
            <v>1</v>
          </cell>
          <cell r="D119">
            <v>1</v>
          </cell>
          <cell r="E119">
            <v>1</v>
          </cell>
          <cell r="F119">
            <v>1</v>
          </cell>
          <cell r="G119">
            <v>1</v>
          </cell>
          <cell r="H119">
            <v>1</v>
          </cell>
          <cell r="I119">
            <v>1</v>
          </cell>
          <cell r="J119">
            <v>1</v>
          </cell>
          <cell r="K119">
            <v>1</v>
          </cell>
          <cell r="L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24</v>
          </cell>
        </row>
        <row r="120">
          <cell r="A120" t="str">
            <v>A4326</v>
          </cell>
          <cell r="B120" t="str">
            <v>ASTIRA NOVANTARA</v>
          </cell>
          <cell r="C120">
            <v>1</v>
          </cell>
          <cell r="D120">
            <v>1</v>
          </cell>
          <cell r="E120">
            <v>1</v>
          </cell>
          <cell r="F120">
            <v>1</v>
          </cell>
          <cell r="G120">
            <v>1</v>
          </cell>
          <cell r="H120">
            <v>1</v>
          </cell>
          <cell r="I120">
            <v>1</v>
          </cell>
          <cell r="J120">
            <v>0</v>
          </cell>
          <cell r="K120">
            <v>1</v>
          </cell>
          <cell r="L120">
            <v>1</v>
          </cell>
          <cell r="M120">
            <v>1</v>
          </cell>
          <cell r="N120">
            <v>1</v>
          </cell>
          <cell r="O120">
            <v>1</v>
          </cell>
          <cell r="P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23</v>
          </cell>
        </row>
        <row r="121">
          <cell r="A121" t="str">
            <v>A4341</v>
          </cell>
          <cell r="B121" t="str">
            <v>RIZA ULHIDAYAH</v>
          </cell>
          <cell r="C121">
            <v>1</v>
          </cell>
          <cell r="D121">
            <v>1</v>
          </cell>
          <cell r="E121">
            <v>1</v>
          </cell>
          <cell r="F121">
            <v>1</v>
          </cell>
          <cell r="G121">
            <v>0</v>
          </cell>
          <cell r="H121">
            <v>0</v>
          </cell>
          <cell r="I121">
            <v>1</v>
          </cell>
          <cell r="J121">
            <v>1</v>
          </cell>
          <cell r="K121">
            <v>1</v>
          </cell>
          <cell r="L121">
            <v>1</v>
          </cell>
          <cell r="M121">
            <v>1</v>
          </cell>
          <cell r="N121">
            <v>1</v>
          </cell>
          <cell r="O121">
            <v>1</v>
          </cell>
          <cell r="P121">
            <v>1</v>
          </cell>
          <cell r="Q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22</v>
          </cell>
        </row>
        <row r="122">
          <cell r="A122" t="str">
            <v>A4344</v>
          </cell>
          <cell r="B122" t="str">
            <v>MUHAMMAD RANDY FIRMANSYAH</v>
          </cell>
          <cell r="C122">
            <v>1</v>
          </cell>
          <cell r="D122">
            <v>1</v>
          </cell>
          <cell r="E122">
            <v>0</v>
          </cell>
          <cell r="F122">
            <v>1</v>
          </cell>
          <cell r="G122">
            <v>0</v>
          </cell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1</v>
          </cell>
          <cell r="M122">
            <v>0</v>
          </cell>
          <cell r="N122">
            <v>1</v>
          </cell>
          <cell r="O122">
            <v>1</v>
          </cell>
          <cell r="P122">
            <v>0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20</v>
          </cell>
        </row>
        <row r="123">
          <cell r="A123" t="str">
            <v>A4363</v>
          </cell>
          <cell r="B123" t="str">
            <v>RINA IKA LESTARI</v>
          </cell>
          <cell r="C123">
            <v>1</v>
          </cell>
          <cell r="D123">
            <v>1</v>
          </cell>
          <cell r="E123">
            <v>1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1</v>
          </cell>
          <cell r="Q123">
            <v>1</v>
          </cell>
          <cell r="R123">
            <v>1</v>
          </cell>
          <cell r="S123">
            <v>1</v>
          </cell>
          <cell r="T123">
            <v>1</v>
          </cell>
          <cell r="U123">
            <v>1</v>
          </cell>
          <cell r="V123">
            <v>1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24</v>
          </cell>
        </row>
        <row r="124">
          <cell r="A124" t="str">
            <v>A4364</v>
          </cell>
          <cell r="B124" t="str">
            <v>MUHAMMAD RAIHANDRA</v>
          </cell>
          <cell r="C124">
            <v>1</v>
          </cell>
          <cell r="D124">
            <v>1</v>
          </cell>
          <cell r="E124">
            <v>1</v>
          </cell>
          <cell r="F124">
            <v>1</v>
          </cell>
          <cell r="G124">
            <v>1</v>
          </cell>
          <cell r="H124">
            <v>1</v>
          </cell>
          <cell r="I124">
            <v>1</v>
          </cell>
          <cell r="J124">
            <v>1</v>
          </cell>
          <cell r="K124">
            <v>1</v>
          </cell>
          <cell r="L124">
            <v>1</v>
          </cell>
          <cell r="M124">
            <v>0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1</v>
          </cell>
          <cell r="S124">
            <v>1</v>
          </cell>
          <cell r="T124">
            <v>1</v>
          </cell>
          <cell r="U124">
            <v>1</v>
          </cell>
          <cell r="V124">
            <v>1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23</v>
          </cell>
        </row>
        <row r="125">
          <cell r="A125" t="str">
            <v>A4366</v>
          </cell>
          <cell r="B125" t="str">
            <v>RISKA KRISTIANA</v>
          </cell>
          <cell r="C125">
            <v>1</v>
          </cell>
          <cell r="D125">
            <v>1</v>
          </cell>
          <cell r="E125">
            <v>1</v>
          </cell>
          <cell r="F125">
            <v>1</v>
          </cell>
          <cell r="G125">
            <v>0</v>
          </cell>
          <cell r="H125">
            <v>1</v>
          </cell>
          <cell r="I125">
            <v>1</v>
          </cell>
          <cell r="J125">
            <v>1</v>
          </cell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0</v>
          </cell>
          <cell r="U125">
            <v>0</v>
          </cell>
          <cell r="V125">
            <v>0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20</v>
          </cell>
        </row>
        <row r="126">
          <cell r="A126" t="str">
            <v>A4367</v>
          </cell>
          <cell r="B126" t="str">
            <v>SISWI HARDIYANTI RUKMANA DEWI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1</v>
          </cell>
          <cell r="M126">
            <v>1</v>
          </cell>
          <cell r="N126">
            <v>1</v>
          </cell>
          <cell r="O126">
            <v>1</v>
          </cell>
          <cell r="P126">
            <v>1</v>
          </cell>
          <cell r="Q126">
            <v>1</v>
          </cell>
          <cell r="R126">
            <v>1</v>
          </cell>
          <cell r="S126">
            <v>1</v>
          </cell>
          <cell r="T126">
            <v>1</v>
          </cell>
          <cell r="U126">
            <v>1</v>
          </cell>
          <cell r="V126">
            <v>1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24</v>
          </cell>
        </row>
        <row r="127">
          <cell r="A127" t="str">
            <v>A4369</v>
          </cell>
          <cell r="B127" t="str">
            <v>AULIA PUTRI WULANDARI</v>
          </cell>
          <cell r="C127">
            <v>1</v>
          </cell>
          <cell r="D127">
            <v>1</v>
          </cell>
          <cell r="E127">
            <v>1</v>
          </cell>
          <cell r="F127">
            <v>1</v>
          </cell>
          <cell r="G127">
            <v>1</v>
          </cell>
          <cell r="H127">
            <v>1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1</v>
          </cell>
          <cell r="O127">
            <v>1</v>
          </cell>
          <cell r="P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V127">
            <v>1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24</v>
          </cell>
        </row>
        <row r="128">
          <cell r="A128" t="str">
            <v>A4382</v>
          </cell>
          <cell r="B128" t="str">
            <v>YESSHIS FAYN</v>
          </cell>
          <cell r="C128">
            <v>1</v>
          </cell>
          <cell r="D128">
            <v>0</v>
          </cell>
          <cell r="E128">
            <v>1</v>
          </cell>
          <cell r="F128">
            <v>0</v>
          </cell>
          <cell r="G128">
            <v>1</v>
          </cell>
          <cell r="H128">
            <v>0</v>
          </cell>
          <cell r="I128">
            <v>0</v>
          </cell>
          <cell r="J128">
            <v>0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1</v>
          </cell>
          <cell r="X128">
            <v>0</v>
          </cell>
          <cell r="Y128">
            <v>0</v>
          </cell>
          <cell r="Z128">
            <v>0</v>
          </cell>
          <cell r="AA128">
            <v>5</v>
          </cell>
        </row>
        <row r="129">
          <cell r="A129" t="str">
            <v>A4383</v>
          </cell>
          <cell r="B129" t="str">
            <v>MOHAMMAD ADIB ABDUL JALIL</v>
          </cell>
          <cell r="C129">
            <v>1</v>
          </cell>
          <cell r="D129">
            <v>1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1</v>
          </cell>
          <cell r="J129">
            <v>1</v>
          </cell>
          <cell r="K129">
            <v>1</v>
          </cell>
          <cell r="L129">
            <v>1</v>
          </cell>
          <cell r="M129">
            <v>0</v>
          </cell>
          <cell r="N129">
            <v>1</v>
          </cell>
          <cell r="O129">
            <v>1</v>
          </cell>
          <cell r="P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19</v>
          </cell>
        </row>
        <row r="130">
          <cell r="A130" t="str">
            <v>A4385</v>
          </cell>
          <cell r="B130" t="str">
            <v>ANANDA AYU LESTARI</v>
          </cell>
          <cell r="C130">
            <v>0</v>
          </cell>
          <cell r="D130">
            <v>1</v>
          </cell>
          <cell r="E130">
            <v>0</v>
          </cell>
          <cell r="F130">
            <v>1</v>
          </cell>
          <cell r="G130">
            <v>0</v>
          </cell>
          <cell r="H130">
            <v>0</v>
          </cell>
          <cell r="I130">
            <v>0</v>
          </cell>
          <cell r="J130">
            <v>1</v>
          </cell>
          <cell r="K130">
            <v>0</v>
          </cell>
          <cell r="L130">
            <v>1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4</v>
          </cell>
        </row>
        <row r="131">
          <cell r="A131" t="str">
            <v>A4405</v>
          </cell>
          <cell r="B131" t="str">
            <v>SALWA AYU WIGATI</v>
          </cell>
          <cell r="C131">
            <v>1</v>
          </cell>
          <cell r="D131">
            <v>1</v>
          </cell>
          <cell r="E131">
            <v>1</v>
          </cell>
          <cell r="F131">
            <v>1</v>
          </cell>
          <cell r="G131">
            <v>1</v>
          </cell>
          <cell r="H131">
            <v>1</v>
          </cell>
          <cell r="I131">
            <v>1</v>
          </cell>
          <cell r="J131">
            <v>1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1</v>
          </cell>
          <cell r="Q131">
            <v>1</v>
          </cell>
          <cell r="R131">
            <v>1</v>
          </cell>
          <cell r="S131">
            <v>1</v>
          </cell>
          <cell r="T131">
            <v>1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24</v>
          </cell>
        </row>
        <row r="132">
          <cell r="A132" t="str">
            <v>A4408</v>
          </cell>
          <cell r="B132" t="str">
            <v>VALENTINUS DICKY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1</v>
          </cell>
          <cell r="P132">
            <v>1</v>
          </cell>
          <cell r="Q132">
            <v>0</v>
          </cell>
          <cell r="R132">
            <v>1</v>
          </cell>
          <cell r="S132">
            <v>0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0</v>
          </cell>
          <cell r="AA132">
            <v>9</v>
          </cell>
        </row>
        <row r="133">
          <cell r="A133" t="str">
            <v>A4422</v>
          </cell>
          <cell r="B133" t="str">
            <v>NUR SABILA</v>
          </cell>
          <cell r="C133">
            <v>1</v>
          </cell>
          <cell r="D133">
            <v>1</v>
          </cell>
          <cell r="E133">
            <v>1</v>
          </cell>
          <cell r="F133">
            <v>1</v>
          </cell>
          <cell r="G133">
            <v>1</v>
          </cell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1</v>
          </cell>
          <cell r="M133">
            <v>1</v>
          </cell>
          <cell r="N133">
            <v>1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1</v>
          </cell>
          <cell r="T133">
            <v>1</v>
          </cell>
          <cell r="U133">
            <v>1</v>
          </cell>
          <cell r="V133">
            <v>1</v>
          </cell>
          <cell r="W133">
            <v>1</v>
          </cell>
          <cell r="X133">
            <v>0</v>
          </cell>
          <cell r="Y133">
            <v>1</v>
          </cell>
          <cell r="Z133">
            <v>1</v>
          </cell>
          <cell r="AA133">
            <v>22</v>
          </cell>
        </row>
        <row r="134">
          <cell r="A134" t="str">
            <v>A4423</v>
          </cell>
          <cell r="B134" t="str">
            <v>CHOIRUNISA ADILIA SURYANI</v>
          </cell>
          <cell r="C134">
            <v>1</v>
          </cell>
          <cell r="D134">
            <v>1</v>
          </cell>
          <cell r="E134">
            <v>1</v>
          </cell>
          <cell r="F134">
            <v>0</v>
          </cell>
          <cell r="G134">
            <v>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4</v>
          </cell>
        </row>
        <row r="135">
          <cell r="A135" t="str">
            <v>A4425</v>
          </cell>
          <cell r="B135" t="str">
            <v>FITTA MARDHI YANTI</v>
          </cell>
          <cell r="C135">
            <v>0</v>
          </cell>
          <cell r="D135">
            <v>1</v>
          </cell>
          <cell r="E135">
            <v>0</v>
          </cell>
          <cell r="F135">
            <v>0</v>
          </cell>
          <cell r="G135">
            <v>1</v>
          </cell>
          <cell r="H135">
            <v>0</v>
          </cell>
          <cell r="I135">
            <v>0</v>
          </cell>
          <cell r="J135">
            <v>0</v>
          </cell>
          <cell r="K135">
            <v>1</v>
          </cell>
          <cell r="L135">
            <v>0</v>
          </cell>
          <cell r="M135">
            <v>1</v>
          </cell>
          <cell r="N135">
            <v>1</v>
          </cell>
          <cell r="O135">
            <v>1</v>
          </cell>
          <cell r="P135">
            <v>1</v>
          </cell>
          <cell r="Q135">
            <v>1</v>
          </cell>
          <cell r="R135">
            <v>1</v>
          </cell>
          <cell r="S135">
            <v>1</v>
          </cell>
          <cell r="T135">
            <v>1</v>
          </cell>
          <cell r="U135">
            <v>1</v>
          </cell>
          <cell r="V135">
            <v>1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17</v>
          </cell>
        </row>
        <row r="136">
          <cell r="A136" t="str">
            <v>A4437</v>
          </cell>
          <cell r="B136" t="str">
            <v>MUHAMMAD ILZAM</v>
          </cell>
          <cell r="C136">
            <v>1</v>
          </cell>
          <cell r="D136">
            <v>1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0</v>
          </cell>
          <cell r="O136">
            <v>0</v>
          </cell>
          <cell r="P136">
            <v>1</v>
          </cell>
          <cell r="Q136">
            <v>1</v>
          </cell>
          <cell r="R136">
            <v>1</v>
          </cell>
          <cell r="S136">
            <v>1</v>
          </cell>
          <cell r="T136">
            <v>1</v>
          </cell>
          <cell r="U136">
            <v>1</v>
          </cell>
          <cell r="V136">
            <v>1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22</v>
          </cell>
        </row>
        <row r="137">
          <cell r="A137" t="str">
            <v>A4439</v>
          </cell>
          <cell r="B137" t="str">
            <v>PIERINA PRIMA UTOMO</v>
          </cell>
          <cell r="C137">
            <v>0</v>
          </cell>
          <cell r="D137">
            <v>0</v>
          </cell>
          <cell r="E137">
            <v>0</v>
          </cell>
          <cell r="F137">
            <v>1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1</v>
          </cell>
        </row>
        <row r="138">
          <cell r="A138" t="str">
            <v>A4448</v>
          </cell>
          <cell r="B138" t="str">
            <v>MARIA INTAN PRAMESWARI</v>
          </cell>
          <cell r="C138">
            <v>0</v>
          </cell>
          <cell r="D138">
            <v>1</v>
          </cell>
          <cell r="E138">
            <v>1</v>
          </cell>
          <cell r="F138">
            <v>1</v>
          </cell>
          <cell r="G138">
            <v>1</v>
          </cell>
          <cell r="H138">
            <v>0</v>
          </cell>
          <cell r="I138">
            <v>1</v>
          </cell>
          <cell r="J138">
            <v>1</v>
          </cell>
          <cell r="K138">
            <v>1</v>
          </cell>
          <cell r="L138">
            <v>0</v>
          </cell>
          <cell r="M138">
            <v>1</v>
          </cell>
          <cell r="N138">
            <v>0</v>
          </cell>
          <cell r="O138">
            <v>1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9</v>
          </cell>
        </row>
        <row r="139">
          <cell r="A139" t="str">
            <v>A4449</v>
          </cell>
          <cell r="B139" t="str">
            <v>HERNANDA NUR RAHMAWATI</v>
          </cell>
          <cell r="C139">
            <v>1</v>
          </cell>
          <cell r="D139">
            <v>1</v>
          </cell>
          <cell r="E139">
            <v>1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J139">
            <v>0</v>
          </cell>
          <cell r="K139">
            <v>0</v>
          </cell>
          <cell r="L139">
            <v>0</v>
          </cell>
          <cell r="M139">
            <v>1</v>
          </cell>
          <cell r="N139">
            <v>1</v>
          </cell>
          <cell r="O139">
            <v>1</v>
          </cell>
          <cell r="P139">
            <v>1</v>
          </cell>
          <cell r="Q139">
            <v>1</v>
          </cell>
          <cell r="R139">
            <v>1</v>
          </cell>
          <cell r="S139">
            <v>1</v>
          </cell>
          <cell r="T139">
            <v>1</v>
          </cell>
          <cell r="U139">
            <v>1</v>
          </cell>
          <cell r="V139">
            <v>1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21</v>
          </cell>
        </row>
        <row r="140">
          <cell r="A140" t="str">
            <v>A4451</v>
          </cell>
          <cell r="B140" t="str">
            <v>HUSNIYA TAZKIYA AZZAHRA</v>
          </cell>
          <cell r="C140">
            <v>1</v>
          </cell>
          <cell r="D140">
            <v>1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0</v>
          </cell>
          <cell r="J140">
            <v>0</v>
          </cell>
          <cell r="K140">
            <v>1</v>
          </cell>
          <cell r="L140">
            <v>1</v>
          </cell>
          <cell r="M140">
            <v>0</v>
          </cell>
          <cell r="N140">
            <v>1</v>
          </cell>
          <cell r="O140">
            <v>1</v>
          </cell>
          <cell r="P140">
            <v>1</v>
          </cell>
          <cell r="Q140">
            <v>1</v>
          </cell>
          <cell r="R140">
            <v>1</v>
          </cell>
          <cell r="S140">
            <v>1</v>
          </cell>
          <cell r="T140">
            <v>1</v>
          </cell>
          <cell r="U140">
            <v>1</v>
          </cell>
          <cell r="V140">
            <v>1</v>
          </cell>
          <cell r="W140">
            <v>0</v>
          </cell>
          <cell r="X140">
            <v>0</v>
          </cell>
          <cell r="Y140">
            <v>1</v>
          </cell>
          <cell r="Z140">
            <v>1</v>
          </cell>
          <cell r="AA140">
            <v>19</v>
          </cell>
        </row>
        <row r="141">
          <cell r="A141" t="str">
            <v>A4468</v>
          </cell>
          <cell r="B141" t="str">
            <v>CHAIRUNNISA RIZQI NUGRAHANTI</v>
          </cell>
          <cell r="C141">
            <v>1</v>
          </cell>
          <cell r="D141">
            <v>1</v>
          </cell>
          <cell r="E141">
            <v>1</v>
          </cell>
          <cell r="F141">
            <v>0</v>
          </cell>
          <cell r="G141">
            <v>1</v>
          </cell>
          <cell r="H141">
            <v>1</v>
          </cell>
          <cell r="I141">
            <v>1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19</v>
          </cell>
        </row>
        <row r="142">
          <cell r="A142" t="str">
            <v>A4470</v>
          </cell>
          <cell r="B142" t="str">
            <v>SYARIFATUL MUKAROMAH</v>
          </cell>
          <cell r="C142">
            <v>1</v>
          </cell>
          <cell r="D142">
            <v>1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  <cell r="N142">
            <v>1</v>
          </cell>
          <cell r="O142">
            <v>1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  <cell r="V142">
            <v>1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24</v>
          </cell>
        </row>
        <row r="143">
          <cell r="A143" t="str">
            <v>A4471</v>
          </cell>
          <cell r="B143" t="str">
            <v>DWIYAN MAHARANI MUTIARA FIRDAUS</v>
          </cell>
          <cell r="C143">
            <v>1</v>
          </cell>
          <cell r="D143">
            <v>0</v>
          </cell>
          <cell r="E143">
            <v>1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1</v>
          </cell>
          <cell r="M143">
            <v>1</v>
          </cell>
          <cell r="N143">
            <v>1</v>
          </cell>
          <cell r="O143">
            <v>1</v>
          </cell>
          <cell r="P143">
            <v>1</v>
          </cell>
          <cell r="Q143">
            <v>1</v>
          </cell>
          <cell r="R143">
            <v>1</v>
          </cell>
          <cell r="S143">
            <v>1</v>
          </cell>
          <cell r="T143">
            <v>1</v>
          </cell>
          <cell r="U143">
            <v>1</v>
          </cell>
          <cell r="V143">
            <v>1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23</v>
          </cell>
        </row>
        <row r="144">
          <cell r="A144" t="str">
            <v>A4490</v>
          </cell>
          <cell r="B144" t="str">
            <v>RAHMA TRIANDITA ATMAJA</v>
          </cell>
          <cell r="C144">
            <v>1</v>
          </cell>
          <cell r="D144">
            <v>1</v>
          </cell>
          <cell r="E144">
            <v>0</v>
          </cell>
          <cell r="F144">
            <v>0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1</v>
          </cell>
          <cell r="Q144">
            <v>1</v>
          </cell>
          <cell r="R144">
            <v>1</v>
          </cell>
          <cell r="S144">
            <v>1</v>
          </cell>
          <cell r="T144">
            <v>1</v>
          </cell>
          <cell r="U144">
            <v>1</v>
          </cell>
          <cell r="V144">
            <v>1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22</v>
          </cell>
        </row>
        <row r="145">
          <cell r="A145" t="str">
            <v>A1117</v>
          </cell>
          <cell r="B145" t="str">
            <v>NINDA RIZQI SAFITRI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A146" t="str">
            <v>A4518</v>
          </cell>
          <cell r="B146" t="str">
            <v>NUR NUGROHO</v>
          </cell>
          <cell r="C146">
            <v>1</v>
          </cell>
          <cell r="D146">
            <v>0</v>
          </cell>
          <cell r="E146">
            <v>0</v>
          </cell>
          <cell r="F146">
            <v>1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1</v>
          </cell>
          <cell r="L146">
            <v>0</v>
          </cell>
          <cell r="M146">
            <v>1</v>
          </cell>
          <cell r="N146">
            <v>0</v>
          </cell>
          <cell r="O146">
            <v>1</v>
          </cell>
          <cell r="P146">
            <v>0</v>
          </cell>
          <cell r="Q146">
            <v>1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1</v>
          </cell>
          <cell r="W146">
            <v>0</v>
          </cell>
          <cell r="X146">
            <v>0</v>
          </cell>
          <cell r="Y146">
            <v>1</v>
          </cell>
          <cell r="Z146">
            <v>0</v>
          </cell>
          <cell r="AA146">
            <v>8</v>
          </cell>
        </row>
        <row r="147">
          <cell r="A147" t="str">
            <v>A4494</v>
          </cell>
          <cell r="B147" t="str">
            <v>INTAN SARI ALMASAH</v>
          </cell>
          <cell r="C147">
            <v>1</v>
          </cell>
          <cell r="D147">
            <v>1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0</v>
          </cell>
          <cell r="J147">
            <v>0</v>
          </cell>
          <cell r="K147">
            <v>1</v>
          </cell>
          <cell r="L147">
            <v>1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8</v>
          </cell>
        </row>
        <row r="148">
          <cell r="A148" t="str">
            <v>A4516</v>
          </cell>
          <cell r="B148" t="str">
            <v>KHARISMA INTAN</v>
          </cell>
          <cell r="C148">
            <v>1</v>
          </cell>
          <cell r="D148">
            <v>0</v>
          </cell>
          <cell r="E148">
            <v>1</v>
          </cell>
          <cell r="F148">
            <v>1</v>
          </cell>
          <cell r="G148">
            <v>1</v>
          </cell>
          <cell r="H148">
            <v>0</v>
          </cell>
          <cell r="I148">
            <v>0</v>
          </cell>
          <cell r="J148">
            <v>0</v>
          </cell>
          <cell r="K148">
            <v>1</v>
          </cell>
          <cell r="L148">
            <v>1</v>
          </cell>
          <cell r="M148">
            <v>1</v>
          </cell>
          <cell r="N148">
            <v>1</v>
          </cell>
          <cell r="O148">
            <v>1</v>
          </cell>
          <cell r="P148">
            <v>1</v>
          </cell>
          <cell r="Q148">
            <v>1</v>
          </cell>
          <cell r="R148">
            <v>1</v>
          </cell>
          <cell r="S148">
            <v>0</v>
          </cell>
          <cell r="T148">
            <v>1</v>
          </cell>
          <cell r="U148">
            <v>0</v>
          </cell>
          <cell r="V148">
            <v>1</v>
          </cell>
          <cell r="W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18</v>
          </cell>
        </row>
        <row r="149">
          <cell r="A149" t="str">
            <v>A4549</v>
          </cell>
          <cell r="B149" t="str">
            <v>MARIA ANGGRIANI JEHAMU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A150" t="str">
            <v>A4450</v>
          </cell>
          <cell r="B150" t="str">
            <v>ADINDA NURMALITA YULIYANTI</v>
          </cell>
          <cell r="C150">
            <v>1</v>
          </cell>
          <cell r="D150">
            <v>1</v>
          </cell>
          <cell r="E150">
            <v>1</v>
          </cell>
          <cell r="F150">
            <v>1</v>
          </cell>
          <cell r="G150">
            <v>1</v>
          </cell>
          <cell r="H150">
            <v>1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  <cell r="S150">
            <v>1</v>
          </cell>
          <cell r="T150">
            <v>1</v>
          </cell>
          <cell r="U150">
            <v>1</v>
          </cell>
          <cell r="V150">
            <v>1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19</v>
          </cell>
        </row>
        <row r="151">
          <cell r="A151" t="str">
            <v>A4515</v>
          </cell>
          <cell r="B151" t="str">
            <v>TRIVENA WALELANG</v>
          </cell>
          <cell r="C151">
            <v>0</v>
          </cell>
          <cell r="D151">
            <v>1</v>
          </cell>
          <cell r="E151">
            <v>1</v>
          </cell>
          <cell r="F151">
            <v>0</v>
          </cell>
          <cell r="G151">
            <v>0</v>
          </cell>
          <cell r="H151">
            <v>0</v>
          </cell>
          <cell r="I151">
            <v>1</v>
          </cell>
          <cell r="J151">
            <v>0</v>
          </cell>
          <cell r="K151">
            <v>1</v>
          </cell>
          <cell r="L151">
            <v>1</v>
          </cell>
          <cell r="M151">
            <v>0</v>
          </cell>
          <cell r="N151">
            <v>1</v>
          </cell>
          <cell r="O151">
            <v>1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7</v>
          </cell>
        </row>
        <row r="152">
          <cell r="A152" t="str">
            <v>A4517</v>
          </cell>
          <cell r="B152" t="str">
            <v>BRIGITA PUNDI</v>
          </cell>
          <cell r="C152">
            <v>1</v>
          </cell>
          <cell r="D152">
            <v>0</v>
          </cell>
          <cell r="E152">
            <v>1</v>
          </cell>
          <cell r="F152">
            <v>1</v>
          </cell>
          <cell r="G152">
            <v>1</v>
          </cell>
          <cell r="H152">
            <v>0</v>
          </cell>
          <cell r="I152">
            <v>1</v>
          </cell>
          <cell r="J152">
            <v>1</v>
          </cell>
          <cell r="K152">
            <v>1</v>
          </cell>
          <cell r="L152">
            <v>0</v>
          </cell>
          <cell r="M152">
            <v>0</v>
          </cell>
          <cell r="N152">
            <v>0</v>
          </cell>
          <cell r="O152">
            <v>1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</v>
          </cell>
          <cell r="X152">
            <v>0</v>
          </cell>
          <cell r="Y152">
            <v>0</v>
          </cell>
          <cell r="Z152">
            <v>0</v>
          </cell>
          <cell r="AA152">
            <v>9</v>
          </cell>
        </row>
        <row r="153">
          <cell r="A153" t="str">
            <v>A4441</v>
          </cell>
          <cell r="B153" t="str">
            <v>IRWANDA BUDI PANGESTU</v>
          </cell>
          <cell r="C153">
            <v>1</v>
          </cell>
          <cell r="D153">
            <v>1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1</v>
          </cell>
          <cell r="J153">
            <v>1</v>
          </cell>
          <cell r="K153">
            <v>1</v>
          </cell>
          <cell r="L153">
            <v>1</v>
          </cell>
          <cell r="M153">
            <v>1</v>
          </cell>
          <cell r="N153">
            <v>0</v>
          </cell>
          <cell r="O153">
            <v>0</v>
          </cell>
          <cell r="P153">
            <v>0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1</v>
          </cell>
          <cell r="V153">
            <v>1</v>
          </cell>
          <cell r="W153">
            <v>0</v>
          </cell>
          <cell r="X153">
            <v>1</v>
          </cell>
          <cell r="Y153">
            <v>1</v>
          </cell>
          <cell r="Z153">
            <v>1</v>
          </cell>
          <cell r="AA153">
            <v>20</v>
          </cell>
        </row>
        <row r="154">
          <cell r="A154" t="str">
            <v>A4551</v>
          </cell>
          <cell r="B154" t="str">
            <v>SHAVIRA NOVI SAFITRI</v>
          </cell>
          <cell r="C154">
            <v>1</v>
          </cell>
          <cell r="D154">
            <v>1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1</v>
          </cell>
          <cell r="O154">
            <v>1</v>
          </cell>
          <cell r="P154">
            <v>1</v>
          </cell>
          <cell r="Q154">
            <v>1</v>
          </cell>
          <cell r="R154">
            <v>1</v>
          </cell>
          <cell r="S154">
            <v>1</v>
          </cell>
          <cell r="T154">
            <v>1</v>
          </cell>
          <cell r="U154">
            <v>1</v>
          </cell>
          <cell r="V154">
            <v>1</v>
          </cell>
          <cell r="W154">
            <v>1</v>
          </cell>
          <cell r="X154">
            <v>1</v>
          </cell>
          <cell r="Y154">
            <v>1</v>
          </cell>
          <cell r="Z154">
            <v>1</v>
          </cell>
          <cell r="AA154">
            <v>15</v>
          </cell>
        </row>
        <row r="155">
          <cell r="A155" t="str">
            <v>A4552</v>
          </cell>
          <cell r="B155" t="str">
            <v>FANIA NURANISA</v>
          </cell>
          <cell r="C155">
            <v>1</v>
          </cell>
          <cell r="D155">
            <v>1</v>
          </cell>
          <cell r="E155">
            <v>1</v>
          </cell>
          <cell r="F155">
            <v>0</v>
          </cell>
          <cell r="G155">
            <v>0</v>
          </cell>
          <cell r="H155">
            <v>0</v>
          </cell>
          <cell r="I155">
            <v>1</v>
          </cell>
          <cell r="J155">
            <v>1</v>
          </cell>
          <cell r="K155">
            <v>1</v>
          </cell>
          <cell r="L155">
            <v>0</v>
          </cell>
          <cell r="M155">
            <v>0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14</v>
          </cell>
        </row>
        <row r="156">
          <cell r="A156" t="str">
            <v>A4554</v>
          </cell>
          <cell r="B156" t="str">
            <v>JILAN PUTRI RATU SASONGKO</v>
          </cell>
          <cell r="C156">
            <v>1</v>
          </cell>
          <cell r="D156">
            <v>1</v>
          </cell>
          <cell r="E156">
            <v>1</v>
          </cell>
          <cell r="F156">
            <v>1</v>
          </cell>
          <cell r="G156">
            <v>1</v>
          </cell>
          <cell r="H156">
            <v>1</v>
          </cell>
          <cell r="I156">
            <v>1</v>
          </cell>
          <cell r="J156">
            <v>1</v>
          </cell>
          <cell r="K156">
            <v>1</v>
          </cell>
          <cell r="L156">
            <v>0</v>
          </cell>
          <cell r="M156">
            <v>1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1</v>
          </cell>
          <cell r="S156">
            <v>1</v>
          </cell>
          <cell r="T156">
            <v>1</v>
          </cell>
          <cell r="U156">
            <v>1</v>
          </cell>
          <cell r="V156">
            <v>1</v>
          </cell>
          <cell r="W156">
            <v>1</v>
          </cell>
          <cell r="X156">
            <v>1</v>
          </cell>
          <cell r="Y156">
            <v>0</v>
          </cell>
          <cell r="Z156">
            <v>0</v>
          </cell>
          <cell r="AA156">
            <v>17</v>
          </cell>
        </row>
        <row r="157">
          <cell r="A157" t="str">
            <v>A4555</v>
          </cell>
          <cell r="B157" t="str">
            <v>RICO ARDYA KUSUMA</v>
          </cell>
          <cell r="C157">
            <v>1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1</v>
          </cell>
        </row>
        <row r="158">
          <cell r="A158" t="str">
            <v>A4582</v>
          </cell>
          <cell r="B158" t="str">
            <v>CHRISANTIA SEKAR IKARINI</v>
          </cell>
          <cell r="C158">
            <v>1</v>
          </cell>
          <cell r="D158">
            <v>1</v>
          </cell>
          <cell r="E158">
            <v>1</v>
          </cell>
          <cell r="F158">
            <v>1</v>
          </cell>
          <cell r="G158">
            <v>1</v>
          </cell>
          <cell r="H158">
            <v>1</v>
          </cell>
          <cell r="I158">
            <v>0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1</v>
          </cell>
          <cell r="V158">
            <v>1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23</v>
          </cell>
        </row>
        <row r="159">
          <cell r="A159" t="str">
            <v>A4583</v>
          </cell>
          <cell r="B159" t="str">
            <v>JIHAN PUTRI RATU SASONGKO</v>
          </cell>
          <cell r="C159">
            <v>1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1</v>
          </cell>
        </row>
        <row r="160">
          <cell r="A160" t="str">
            <v>A4584</v>
          </cell>
          <cell r="B160" t="str">
            <v>DEWINTA MUTIARA</v>
          </cell>
          <cell r="C160">
            <v>1</v>
          </cell>
          <cell r="D160">
            <v>1</v>
          </cell>
          <cell r="E160">
            <v>1</v>
          </cell>
          <cell r="F160">
            <v>1</v>
          </cell>
          <cell r="G160">
            <v>1</v>
          </cell>
          <cell r="H160">
            <v>1</v>
          </cell>
          <cell r="I160">
            <v>0</v>
          </cell>
          <cell r="J160">
            <v>1</v>
          </cell>
          <cell r="K160">
            <v>1</v>
          </cell>
          <cell r="L160">
            <v>1</v>
          </cell>
          <cell r="M160">
            <v>1</v>
          </cell>
          <cell r="N160">
            <v>1</v>
          </cell>
          <cell r="O160">
            <v>1</v>
          </cell>
          <cell r="P160">
            <v>1</v>
          </cell>
          <cell r="Q160">
            <v>1</v>
          </cell>
          <cell r="R160">
            <v>0</v>
          </cell>
          <cell r="S160">
            <v>1</v>
          </cell>
          <cell r="T160">
            <v>1</v>
          </cell>
          <cell r="U160">
            <v>1</v>
          </cell>
          <cell r="V160">
            <v>1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22</v>
          </cell>
        </row>
        <row r="161">
          <cell r="A161" t="str">
            <v>A4586</v>
          </cell>
          <cell r="B161" t="str">
            <v>CESHYA PUTRI ANASTASYA</v>
          </cell>
          <cell r="C161">
            <v>1</v>
          </cell>
          <cell r="D161">
            <v>1</v>
          </cell>
          <cell r="E161">
            <v>1</v>
          </cell>
          <cell r="F161">
            <v>1</v>
          </cell>
          <cell r="G161">
            <v>1</v>
          </cell>
          <cell r="H161">
            <v>1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0</v>
          </cell>
          <cell r="U161">
            <v>1</v>
          </cell>
          <cell r="V161">
            <v>1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18</v>
          </cell>
        </row>
        <row r="162">
          <cell r="A162" t="str">
            <v>A4587</v>
          </cell>
          <cell r="B162" t="str">
            <v>PASYA AULIA RACHMA</v>
          </cell>
          <cell r="C162">
            <v>1</v>
          </cell>
          <cell r="D162">
            <v>1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  <cell r="I162">
            <v>0</v>
          </cell>
          <cell r="J162">
            <v>1</v>
          </cell>
          <cell r="K162">
            <v>1</v>
          </cell>
          <cell r="L162">
            <v>0</v>
          </cell>
          <cell r="M162">
            <v>1</v>
          </cell>
          <cell r="N162">
            <v>1</v>
          </cell>
          <cell r="O162">
            <v>1</v>
          </cell>
          <cell r="P162">
            <v>1</v>
          </cell>
          <cell r="Q162">
            <v>1</v>
          </cell>
          <cell r="R162">
            <v>1</v>
          </cell>
          <cell r="S162">
            <v>1</v>
          </cell>
          <cell r="T162">
            <v>1</v>
          </cell>
          <cell r="U162">
            <v>1</v>
          </cell>
          <cell r="V162">
            <v>1</v>
          </cell>
          <cell r="W162">
            <v>1</v>
          </cell>
          <cell r="X162">
            <v>1</v>
          </cell>
          <cell r="Y162">
            <v>1</v>
          </cell>
          <cell r="Z162">
            <v>1</v>
          </cell>
          <cell r="AA162">
            <v>22</v>
          </cell>
        </row>
        <row r="163">
          <cell r="A163" t="str">
            <v>A4588</v>
          </cell>
          <cell r="B163" t="str">
            <v>ALIKA NAYLA FAWWAZA</v>
          </cell>
          <cell r="C163">
            <v>1</v>
          </cell>
          <cell r="D163">
            <v>1</v>
          </cell>
          <cell r="E163">
            <v>1</v>
          </cell>
          <cell r="F163">
            <v>1</v>
          </cell>
          <cell r="G163">
            <v>1</v>
          </cell>
          <cell r="H163">
            <v>1</v>
          </cell>
          <cell r="I163">
            <v>0</v>
          </cell>
          <cell r="J163">
            <v>1</v>
          </cell>
          <cell r="K163">
            <v>1</v>
          </cell>
          <cell r="L163">
            <v>1</v>
          </cell>
          <cell r="M163">
            <v>1</v>
          </cell>
          <cell r="N163">
            <v>1</v>
          </cell>
          <cell r="O163">
            <v>1</v>
          </cell>
          <cell r="P163">
            <v>1</v>
          </cell>
          <cell r="Q163">
            <v>1</v>
          </cell>
          <cell r="R163">
            <v>1</v>
          </cell>
          <cell r="S163">
            <v>1</v>
          </cell>
          <cell r="T163">
            <v>1</v>
          </cell>
          <cell r="U163">
            <v>1</v>
          </cell>
          <cell r="V163">
            <v>1</v>
          </cell>
          <cell r="W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23</v>
          </cell>
        </row>
        <row r="164">
          <cell r="A164" t="str">
            <v>A4589</v>
          </cell>
          <cell r="B164" t="str">
            <v>NUR ANNISA MUZDALIFAH</v>
          </cell>
          <cell r="C164">
            <v>1</v>
          </cell>
          <cell r="D164">
            <v>1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0</v>
          </cell>
          <cell r="J164">
            <v>1</v>
          </cell>
          <cell r="K164">
            <v>1</v>
          </cell>
          <cell r="L164">
            <v>0</v>
          </cell>
          <cell r="M164">
            <v>0</v>
          </cell>
          <cell r="N164">
            <v>1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1</v>
          </cell>
          <cell r="U164">
            <v>1</v>
          </cell>
          <cell r="V164">
            <v>1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21</v>
          </cell>
        </row>
        <row r="165">
          <cell r="A165" t="str">
            <v>A4590</v>
          </cell>
          <cell r="B165" t="str">
            <v>YURINDA DHEARISMA</v>
          </cell>
          <cell r="C165">
            <v>1</v>
          </cell>
          <cell r="D165">
            <v>1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0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1</v>
          </cell>
          <cell r="Q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W165">
            <v>1</v>
          </cell>
          <cell r="X165">
            <v>1</v>
          </cell>
          <cell r="Y165">
            <v>1</v>
          </cell>
          <cell r="Z165">
            <v>1</v>
          </cell>
          <cell r="AA165">
            <v>23</v>
          </cell>
        </row>
        <row r="166">
          <cell r="A166" t="str">
            <v>A4591</v>
          </cell>
          <cell r="B166" t="str">
            <v>CHIKA JUNIKA PASHA</v>
          </cell>
          <cell r="C166">
            <v>1</v>
          </cell>
          <cell r="D166">
            <v>1</v>
          </cell>
          <cell r="E166">
            <v>1</v>
          </cell>
          <cell r="F166">
            <v>1</v>
          </cell>
          <cell r="G166">
            <v>1</v>
          </cell>
          <cell r="H166">
            <v>1</v>
          </cell>
          <cell r="I166">
            <v>0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23</v>
          </cell>
        </row>
        <row r="167">
          <cell r="A167" t="str">
            <v>A4580</v>
          </cell>
          <cell r="B167" t="str">
            <v>FADHILLAH ANHAR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1</v>
          </cell>
          <cell r="P167">
            <v>1</v>
          </cell>
          <cell r="Q167">
            <v>1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3</v>
          </cell>
        </row>
        <row r="168">
          <cell r="A168" t="str">
            <v>A4599</v>
          </cell>
          <cell r="B168" t="str">
            <v>SAIDHA PUTRI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1</v>
          </cell>
          <cell r="O168">
            <v>1</v>
          </cell>
          <cell r="P168">
            <v>0</v>
          </cell>
          <cell r="Q168">
            <v>0</v>
          </cell>
          <cell r="R168">
            <v>1</v>
          </cell>
          <cell r="S168">
            <v>1</v>
          </cell>
          <cell r="T168">
            <v>0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10</v>
          </cell>
        </row>
        <row r="169">
          <cell r="A169" t="str">
            <v>A4600</v>
          </cell>
          <cell r="B169" t="str">
            <v>JOVENSYE KAREL GEOFFRI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1</v>
          </cell>
          <cell r="O169">
            <v>1</v>
          </cell>
          <cell r="P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0</v>
          </cell>
          <cell r="U169">
            <v>1</v>
          </cell>
          <cell r="V169">
            <v>1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12</v>
          </cell>
        </row>
        <row r="170">
          <cell r="A170" t="str">
            <v>A4601</v>
          </cell>
          <cell r="B170" t="str">
            <v>SITI NURAITUL JANAH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1</v>
          </cell>
          <cell r="O170">
            <v>1</v>
          </cell>
          <cell r="P170">
            <v>1</v>
          </cell>
          <cell r="Q170">
            <v>1</v>
          </cell>
          <cell r="R170">
            <v>1</v>
          </cell>
          <cell r="S170">
            <v>1</v>
          </cell>
          <cell r="T170">
            <v>0</v>
          </cell>
          <cell r="U170">
            <v>1</v>
          </cell>
          <cell r="V170">
            <v>1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12</v>
          </cell>
        </row>
        <row r="171">
          <cell r="A171" t="str">
            <v>A4602</v>
          </cell>
          <cell r="B171" t="str">
            <v>ERNIK DWI SETYANI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A172" t="str">
            <v>A4603</v>
          </cell>
          <cell r="B172" t="str">
            <v>NATHANIA CLARA DIONE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0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12</v>
          </cell>
        </row>
        <row r="173">
          <cell r="A173" t="str">
            <v>A3634</v>
          </cell>
          <cell r="B173" t="str">
            <v>NATANAEL HUTAGALUNG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1</v>
          </cell>
          <cell r="Z173">
            <v>0</v>
          </cell>
          <cell r="AA173">
            <v>1</v>
          </cell>
        </row>
        <row r="174">
          <cell r="A174" t="str">
            <v>A2985</v>
          </cell>
          <cell r="B174" t="str">
            <v>REGINA MICHELLE TANSAYA PRAMONO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1</v>
          </cell>
        </row>
        <row r="176">
          <cell r="A176">
            <v>0</v>
          </cell>
          <cell r="B176" t="str">
            <v>Mengetahui,</v>
          </cell>
        </row>
        <row r="177">
          <cell r="A177">
            <v>0</v>
          </cell>
          <cell r="B177">
            <v>0</v>
          </cell>
        </row>
        <row r="178">
          <cell r="A178">
            <v>0</v>
          </cell>
          <cell r="B178">
            <v>0</v>
          </cell>
        </row>
        <row r="179">
          <cell r="A179">
            <v>0</v>
          </cell>
          <cell r="B179">
            <v>0</v>
          </cell>
        </row>
        <row r="180">
          <cell r="A180">
            <v>0</v>
          </cell>
          <cell r="B180">
            <v>0</v>
          </cell>
        </row>
        <row r="181">
          <cell r="A181">
            <v>0</v>
          </cell>
          <cell r="B181">
            <v>0</v>
          </cell>
        </row>
        <row r="182">
          <cell r="A182">
            <v>0</v>
          </cell>
          <cell r="B182">
            <v>0</v>
          </cell>
        </row>
        <row r="183">
          <cell r="A183">
            <v>0</v>
          </cell>
          <cell r="B183" t="str">
            <v xml:space="preserve">SRI RAHAYU GUNADI </v>
          </cell>
        </row>
        <row r="184">
          <cell r="A184">
            <v>0</v>
          </cell>
          <cell r="B184" t="str">
            <v>HC DOC HEAD</v>
          </cell>
        </row>
      </sheetData>
      <sheetData sheetId="11" refreshError="1">
        <row r="1">
          <cell r="A1" t="str">
            <v>PERIODE 2 DESEMBER 2024 TEMA C3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45649</v>
          </cell>
          <cell r="O4">
            <v>0</v>
          </cell>
          <cell r="P4">
            <v>45650</v>
          </cell>
          <cell r="Q4">
            <v>0</v>
          </cell>
          <cell r="R4">
            <v>45652</v>
          </cell>
          <cell r="S4">
            <v>0</v>
          </cell>
          <cell r="T4">
            <v>45653</v>
          </cell>
          <cell r="U4">
            <v>0</v>
          </cell>
          <cell r="V4">
            <v>45654</v>
          </cell>
          <cell r="W4">
            <v>45656</v>
          </cell>
          <cell r="X4">
            <v>0</v>
          </cell>
          <cell r="Y4">
            <v>45657</v>
          </cell>
          <cell r="Z4">
            <v>0</v>
          </cell>
          <cell r="AA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1 </v>
          </cell>
          <cell r="Z5" t="str">
            <v xml:space="preserve">SLOT 2 </v>
          </cell>
          <cell r="AA5">
            <v>0</v>
          </cell>
        </row>
        <row r="6">
          <cell r="A6" t="str">
            <v>A0944</v>
          </cell>
          <cell r="B6" t="str">
            <v>SHAKIRA GIZELA DEWI PUTRI NANDIA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1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1</v>
          </cell>
        </row>
        <row r="7">
          <cell r="A7" t="str">
            <v>A1261</v>
          </cell>
          <cell r="B7" t="str">
            <v>A MISBAHUL ULUM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1</v>
          </cell>
          <cell r="I7">
            <v>1</v>
          </cell>
          <cell r="J7">
            <v>0</v>
          </cell>
          <cell r="K7">
            <v>0</v>
          </cell>
          <cell r="L7">
            <v>0</v>
          </cell>
          <cell r="M7">
            <v>1</v>
          </cell>
          <cell r="N7">
            <v>1</v>
          </cell>
          <cell r="O7">
            <v>0</v>
          </cell>
          <cell r="P7">
            <v>1</v>
          </cell>
          <cell r="Q7">
            <v>1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12</v>
          </cell>
        </row>
        <row r="8">
          <cell r="A8" t="str">
            <v>A2045</v>
          </cell>
          <cell r="B8" t="str">
            <v>DEVI OKTAVIANI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0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23</v>
          </cell>
        </row>
        <row r="9">
          <cell r="A9" t="str">
            <v>A2308</v>
          </cell>
          <cell r="B9" t="str">
            <v>AYU TRI ASTUTIK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24</v>
          </cell>
        </row>
        <row r="10">
          <cell r="A10" t="str">
            <v>A2317</v>
          </cell>
          <cell r="B10" t="str">
            <v>CICILLIA YOSSY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19</v>
          </cell>
        </row>
        <row r="11">
          <cell r="A11" t="str">
            <v>A2613</v>
          </cell>
          <cell r="B11" t="str">
            <v>DHEI KLAUDIYA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23</v>
          </cell>
        </row>
        <row r="12">
          <cell r="A12" t="str">
            <v>A3265</v>
          </cell>
          <cell r="B12" t="str">
            <v>YOLANDA ANDARESTA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24</v>
          </cell>
        </row>
        <row r="13">
          <cell r="A13" t="str">
            <v>A3929</v>
          </cell>
          <cell r="B13" t="str">
            <v>AGATHA DIAH SARASWATI</v>
          </cell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1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7</v>
          </cell>
        </row>
        <row r="14">
          <cell r="A14" t="str">
            <v>A4129</v>
          </cell>
          <cell r="B14" t="str">
            <v>MERLINDA ASTUTI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21</v>
          </cell>
        </row>
        <row r="15">
          <cell r="A15" t="str">
            <v>A4176</v>
          </cell>
          <cell r="B15" t="str">
            <v>HALIFAH SHAFIRA</v>
          </cell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19</v>
          </cell>
        </row>
        <row r="16">
          <cell r="A16" t="str">
            <v>A4345</v>
          </cell>
          <cell r="B16" t="str">
            <v>HEIDY ADELINE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8</v>
          </cell>
        </row>
        <row r="17">
          <cell r="A17" t="str">
            <v>A4377</v>
          </cell>
          <cell r="B17" t="str">
            <v>ANNISA SAFITRI</v>
          </cell>
          <cell r="C17">
            <v>1</v>
          </cell>
          <cell r="D17">
            <v>0</v>
          </cell>
          <cell r="E17">
            <v>1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17</v>
          </cell>
        </row>
        <row r="18">
          <cell r="A18" t="str">
            <v>A4391</v>
          </cell>
          <cell r="B18" t="str">
            <v>LINTANG KINANTHI WIDI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11</v>
          </cell>
        </row>
        <row r="19">
          <cell r="A19" t="str">
            <v>A4392</v>
          </cell>
          <cell r="B19" t="str">
            <v>DWI AGUNG NUGROHO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</v>
          </cell>
          <cell r="T19">
            <v>1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6</v>
          </cell>
        </row>
        <row r="20">
          <cell r="A20" t="str">
            <v>A4394</v>
          </cell>
          <cell r="B20" t="str">
            <v>AYU ANA WIDIASTUTIK</v>
          </cell>
          <cell r="C20">
            <v>0</v>
          </cell>
          <cell r="D20">
            <v>0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0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21</v>
          </cell>
        </row>
        <row r="21">
          <cell r="A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A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</row>
        <row r="23">
          <cell r="A23">
            <v>0</v>
          </cell>
          <cell r="B23" t="str">
            <v>Mengetahui,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A30">
            <v>0</v>
          </cell>
          <cell r="B30" t="str">
            <v xml:space="preserve">SRI RAHAYU GUNADI 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</row>
        <row r="31">
          <cell r="A31">
            <v>0</v>
          </cell>
          <cell r="B31" t="str">
            <v>HC DOC HEAD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</sheetData>
      <sheetData sheetId="12" refreshError="1">
        <row r="1">
          <cell r="A1" t="str">
            <v>PERIODE 2 DESEMBER 2024 TEMA HAJI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45649</v>
          </cell>
          <cell r="O4">
            <v>0</v>
          </cell>
          <cell r="P4">
            <v>45650</v>
          </cell>
          <cell r="Q4">
            <v>0</v>
          </cell>
          <cell r="R4">
            <v>45652</v>
          </cell>
          <cell r="S4">
            <v>0</v>
          </cell>
          <cell r="T4">
            <v>45653</v>
          </cell>
          <cell r="U4">
            <v>0</v>
          </cell>
          <cell r="V4">
            <v>45654</v>
          </cell>
          <cell r="W4">
            <v>45656</v>
          </cell>
          <cell r="X4">
            <v>0</v>
          </cell>
          <cell r="Y4">
            <v>45657</v>
          </cell>
          <cell r="Z4">
            <v>0</v>
          </cell>
          <cell r="AA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1 </v>
          </cell>
          <cell r="Z5" t="str">
            <v xml:space="preserve">SLOT 2 </v>
          </cell>
          <cell r="AA5">
            <v>0</v>
          </cell>
        </row>
        <row r="6">
          <cell r="A6" t="str">
            <v>A1802</v>
          </cell>
          <cell r="B6" t="str">
            <v>ZAQIYA PERMATA RISDA</v>
          </cell>
          <cell r="C6">
            <v>0</v>
          </cell>
          <cell r="D6">
            <v>0</v>
          </cell>
          <cell r="E6">
            <v>1</v>
          </cell>
          <cell r="F6">
            <v>0</v>
          </cell>
          <cell r="G6">
            <v>1</v>
          </cell>
          <cell r="H6">
            <v>0</v>
          </cell>
          <cell r="I6">
            <v>1</v>
          </cell>
          <cell r="J6">
            <v>1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1</v>
          </cell>
          <cell r="S6">
            <v>1</v>
          </cell>
          <cell r="T6">
            <v>0</v>
          </cell>
          <cell r="U6">
            <v>0</v>
          </cell>
          <cell r="V6">
            <v>0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  <cell r="AA6">
            <v>7</v>
          </cell>
        </row>
        <row r="7">
          <cell r="A7" t="str">
            <v>A3530</v>
          </cell>
          <cell r="B7" t="str">
            <v>SITI AFIFAH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</v>
          </cell>
          <cell r="I7">
            <v>1</v>
          </cell>
          <cell r="J7">
            <v>0</v>
          </cell>
          <cell r="K7">
            <v>1</v>
          </cell>
          <cell r="L7">
            <v>0</v>
          </cell>
          <cell r="M7">
            <v>1</v>
          </cell>
          <cell r="N7">
            <v>0</v>
          </cell>
          <cell r="O7">
            <v>0</v>
          </cell>
          <cell r="P7">
            <v>1</v>
          </cell>
          <cell r="Q7">
            <v>1</v>
          </cell>
          <cell r="R7">
            <v>1</v>
          </cell>
          <cell r="S7">
            <v>0</v>
          </cell>
          <cell r="T7">
            <v>1</v>
          </cell>
          <cell r="U7">
            <v>0</v>
          </cell>
          <cell r="V7">
            <v>1</v>
          </cell>
          <cell r="W7">
            <v>1</v>
          </cell>
          <cell r="X7">
            <v>0</v>
          </cell>
          <cell r="Y7">
            <v>1</v>
          </cell>
          <cell r="Z7">
            <v>1</v>
          </cell>
          <cell r="AA7">
            <v>13</v>
          </cell>
        </row>
        <row r="8">
          <cell r="A8" t="str">
            <v>A3654</v>
          </cell>
          <cell r="B8" t="str">
            <v>MUHAMAD SAIFURRAHMAN WAHID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24</v>
          </cell>
        </row>
        <row r="9">
          <cell r="A9" t="str">
            <v>A3685</v>
          </cell>
          <cell r="B9" t="str">
            <v>HENOK CHRISTOVEL VALENTINO MEWENGKANG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23</v>
          </cell>
        </row>
        <row r="10">
          <cell r="A10" t="str">
            <v>A4027</v>
          </cell>
          <cell r="B10" t="str">
            <v>FARHAN ADRIAN</v>
          </cell>
          <cell r="C10">
            <v>0</v>
          </cell>
          <cell r="D10">
            <v>1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12</v>
          </cell>
        </row>
        <row r="11">
          <cell r="A11" t="str">
            <v>A4043</v>
          </cell>
          <cell r="B11" t="str">
            <v>TABITA KRISTIN LINTANGINGTYAS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24</v>
          </cell>
        </row>
        <row r="12">
          <cell r="A12" t="str">
            <v>A4117</v>
          </cell>
          <cell r="B12" t="str">
            <v>JESSIANA ADE NOVITA</v>
          </cell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1</v>
          </cell>
        </row>
        <row r="13">
          <cell r="A13" t="str">
            <v>A4119</v>
          </cell>
          <cell r="B13" t="str">
            <v>NUR ELISA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24</v>
          </cell>
        </row>
        <row r="14">
          <cell r="A14" t="str">
            <v>A4121</v>
          </cell>
          <cell r="B14" t="str">
            <v>HINDA NOVIANTI</v>
          </cell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0</v>
          </cell>
          <cell r="Q14">
            <v>1</v>
          </cell>
          <cell r="R14">
            <v>1</v>
          </cell>
          <cell r="S14">
            <v>0</v>
          </cell>
          <cell r="T14">
            <v>1</v>
          </cell>
          <cell r="U14">
            <v>0</v>
          </cell>
          <cell r="V14">
            <v>1</v>
          </cell>
          <cell r="W14">
            <v>0</v>
          </cell>
          <cell r="X14">
            <v>0</v>
          </cell>
          <cell r="Y14">
            <v>1</v>
          </cell>
          <cell r="Z14">
            <v>1</v>
          </cell>
          <cell r="AA14">
            <v>15</v>
          </cell>
        </row>
        <row r="15">
          <cell r="A15" t="str">
            <v>A4123</v>
          </cell>
          <cell r="B15" t="str">
            <v>ATIKAH NUR AINI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1</v>
          </cell>
          <cell r="O15">
            <v>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1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4</v>
          </cell>
        </row>
        <row r="16">
          <cell r="A16" t="str">
            <v>A4280</v>
          </cell>
          <cell r="B16" t="str">
            <v>AGIL OKTANONA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</v>
          </cell>
          <cell r="T16">
            <v>0</v>
          </cell>
          <cell r="U16">
            <v>0</v>
          </cell>
          <cell r="V16">
            <v>1</v>
          </cell>
          <cell r="W16">
            <v>0</v>
          </cell>
          <cell r="X16">
            <v>0</v>
          </cell>
          <cell r="Y16">
            <v>1</v>
          </cell>
          <cell r="Z16">
            <v>0</v>
          </cell>
          <cell r="AA16">
            <v>3</v>
          </cell>
        </row>
        <row r="17">
          <cell r="A17" t="str">
            <v>A4282</v>
          </cell>
          <cell r="B17" t="str">
            <v>NAILA TAZKIYYA ROSYIDA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24</v>
          </cell>
        </row>
        <row r="18">
          <cell r="A18" t="str">
            <v>A4397</v>
          </cell>
          <cell r="B18" t="str">
            <v>CHYANA KHOIRUN RISKYANI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A19" t="str">
            <v>A4399</v>
          </cell>
          <cell r="B19" t="str">
            <v>ANISA AULIA RAHMA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23</v>
          </cell>
        </row>
        <row r="20">
          <cell r="A20" t="str">
            <v>A4431</v>
          </cell>
          <cell r="B20" t="str">
            <v>ANGGIT NUR DWIASTUTI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  <cell r="Q20">
            <v>1</v>
          </cell>
          <cell r="R20">
            <v>0</v>
          </cell>
          <cell r="S20">
            <v>1</v>
          </cell>
          <cell r="T20">
            <v>0</v>
          </cell>
          <cell r="U20">
            <v>1</v>
          </cell>
          <cell r="V20">
            <v>0</v>
          </cell>
          <cell r="W20">
            <v>0</v>
          </cell>
          <cell r="X20">
            <v>1</v>
          </cell>
          <cell r="Y20">
            <v>0</v>
          </cell>
          <cell r="Z20">
            <v>1</v>
          </cell>
          <cell r="AA20">
            <v>10</v>
          </cell>
        </row>
        <row r="21">
          <cell r="A21" t="str">
            <v>A4432</v>
          </cell>
          <cell r="B21" t="str">
            <v>NISITA NARESWARI</v>
          </cell>
          <cell r="C21">
            <v>0</v>
          </cell>
          <cell r="D21">
            <v>0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5</v>
          </cell>
        </row>
        <row r="22">
          <cell r="A22" t="str">
            <v>A4452</v>
          </cell>
          <cell r="B22" t="str">
            <v>INDRIA AYUNINGTYAS DWI RISANDY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0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0</v>
          </cell>
          <cell r="P22">
            <v>1</v>
          </cell>
          <cell r="Q22">
            <v>0</v>
          </cell>
          <cell r="R22">
            <v>1</v>
          </cell>
          <cell r="S22">
            <v>0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20</v>
          </cell>
        </row>
        <row r="23">
          <cell r="A23" t="str">
            <v>A3686</v>
          </cell>
          <cell r="B23" t="str">
            <v>YULIYANTI NUR HASANAH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</v>
          </cell>
          <cell r="V23">
            <v>0</v>
          </cell>
          <cell r="W23">
            <v>0</v>
          </cell>
          <cell r="X23">
            <v>1</v>
          </cell>
          <cell r="Y23">
            <v>0</v>
          </cell>
          <cell r="Z23">
            <v>1</v>
          </cell>
          <cell r="AA23">
            <v>3</v>
          </cell>
        </row>
        <row r="24">
          <cell r="A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A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A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A27">
            <v>0</v>
          </cell>
          <cell r="B27" t="str">
            <v>Mengetahui,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A34">
            <v>0</v>
          </cell>
          <cell r="B34" t="str">
            <v xml:space="preserve">SRI RAHAYU GUNADI 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</row>
        <row r="35">
          <cell r="A35">
            <v>0</v>
          </cell>
          <cell r="B35" t="str">
            <v>HC DOC HEAD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</sheetData>
      <sheetData sheetId="13" refreshError="1">
        <row r="1">
          <cell r="A1" t="str">
            <v>PERIODE 2 DESEMBER 2024 PRIO DANA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45649</v>
          </cell>
          <cell r="O4">
            <v>0</v>
          </cell>
          <cell r="P4">
            <v>45650</v>
          </cell>
          <cell r="Q4">
            <v>0</v>
          </cell>
          <cell r="R4">
            <v>45652</v>
          </cell>
          <cell r="S4">
            <v>0</v>
          </cell>
          <cell r="T4">
            <v>45653</v>
          </cell>
          <cell r="U4">
            <v>0</v>
          </cell>
          <cell r="V4">
            <v>45654</v>
          </cell>
          <cell r="W4">
            <v>45656</v>
          </cell>
          <cell r="X4">
            <v>0</v>
          </cell>
          <cell r="Y4">
            <v>45657</v>
          </cell>
          <cell r="Z4">
            <v>0</v>
          </cell>
          <cell r="AA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1 </v>
          </cell>
          <cell r="Z5" t="str">
            <v xml:space="preserve">SLOT 2 </v>
          </cell>
          <cell r="AA5">
            <v>0</v>
          </cell>
        </row>
        <row r="6">
          <cell r="A6">
            <v>90095</v>
          </cell>
          <cell r="B6" t="str">
            <v>INEXCELSIS DEO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1</v>
          </cell>
          <cell r="S6">
            <v>1</v>
          </cell>
          <cell r="T6">
            <v>0</v>
          </cell>
          <cell r="U6">
            <v>1</v>
          </cell>
          <cell r="V6">
            <v>0</v>
          </cell>
          <cell r="W6">
            <v>0</v>
          </cell>
          <cell r="X6">
            <v>1</v>
          </cell>
          <cell r="Y6">
            <v>0</v>
          </cell>
          <cell r="Z6">
            <v>0</v>
          </cell>
          <cell r="AA6">
            <v>4</v>
          </cell>
        </row>
        <row r="7">
          <cell r="A7" t="str">
            <v>A0441</v>
          </cell>
          <cell r="B7" t="str">
            <v>VIKA INDAH ENGGARWATI ZEGA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0</v>
          </cell>
          <cell r="H7">
            <v>0</v>
          </cell>
          <cell r="I7">
            <v>1</v>
          </cell>
          <cell r="J7">
            <v>1</v>
          </cell>
          <cell r="K7">
            <v>1</v>
          </cell>
          <cell r="L7">
            <v>0</v>
          </cell>
          <cell r="M7">
            <v>0</v>
          </cell>
          <cell r="N7">
            <v>1</v>
          </cell>
          <cell r="O7">
            <v>1</v>
          </cell>
          <cell r="P7">
            <v>1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0</v>
          </cell>
          <cell r="Z7">
            <v>0</v>
          </cell>
          <cell r="AA7">
            <v>11</v>
          </cell>
        </row>
        <row r="8">
          <cell r="A8" t="str">
            <v>A3943</v>
          </cell>
          <cell r="B8" t="str">
            <v>ZEFANYA CHRISTLEEN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0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1</v>
          </cell>
          <cell r="T8">
            <v>0</v>
          </cell>
          <cell r="U8">
            <v>0</v>
          </cell>
          <cell r="V8">
            <v>1</v>
          </cell>
          <cell r="W8">
            <v>0</v>
          </cell>
          <cell r="X8">
            <v>0</v>
          </cell>
          <cell r="Y8">
            <v>1</v>
          </cell>
          <cell r="Z8">
            <v>1</v>
          </cell>
          <cell r="AA8">
            <v>11</v>
          </cell>
        </row>
        <row r="9">
          <cell r="A9" t="str">
            <v>A4127</v>
          </cell>
          <cell r="B9" t="str">
            <v>ILHAM SETYA DHARMAWAN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8</v>
          </cell>
        </row>
        <row r="10">
          <cell r="A10" t="str">
            <v>A4400</v>
          </cell>
          <cell r="B10" t="str">
            <v>ANITA GABRELLA</v>
          </cell>
          <cell r="C10">
            <v>0</v>
          </cell>
          <cell r="D10">
            <v>0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0</v>
          </cell>
          <cell r="N10">
            <v>1</v>
          </cell>
          <cell r="O10">
            <v>1</v>
          </cell>
          <cell r="P10">
            <v>0</v>
          </cell>
          <cell r="Q10">
            <v>0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  <cell r="AA10">
            <v>17</v>
          </cell>
        </row>
        <row r="11">
          <cell r="A11" t="str">
            <v>A4402</v>
          </cell>
          <cell r="B11" t="str">
            <v>ANTIAS AYU ROMADHANI</v>
          </cell>
          <cell r="C11">
            <v>1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19</v>
          </cell>
        </row>
        <row r="12">
          <cell r="A12" t="str">
            <v>A4453</v>
          </cell>
          <cell r="B12" t="str">
            <v>AQIL FACHMI MEYSAL AMIR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0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18</v>
          </cell>
        </row>
        <row r="13">
          <cell r="A13" t="str">
            <v>A2744</v>
          </cell>
          <cell r="B13" t="str">
            <v>WI EL JANNAHI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1</v>
          </cell>
          <cell r="Z13">
            <v>1</v>
          </cell>
          <cell r="AA13">
            <v>4</v>
          </cell>
        </row>
        <row r="14">
          <cell r="A14" t="str">
            <v>A4457</v>
          </cell>
          <cell r="B14" t="str">
            <v>PUTRI KUSUMADEWI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19</v>
          </cell>
        </row>
        <row r="15">
          <cell r="A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0</v>
          </cell>
          <cell r="B17" t="str">
            <v>Mengetahui,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A24">
            <v>0</v>
          </cell>
          <cell r="B24" t="str">
            <v xml:space="preserve">SRI RAHAYU GUNADI 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A25">
            <v>0</v>
          </cell>
          <cell r="B25" t="str">
            <v>HC DOC HEAD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A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A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</row>
      </sheetData>
      <sheetData sheetId="14" refreshError="1"/>
      <sheetData sheetId="15" refreshError="1"/>
      <sheetData sheetId="16" refreshError="1">
        <row r="1">
          <cell r="A1" t="str">
            <v>PERIODE 2 DESEMBER 2024 DESIRE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</row>
        <row r="4">
          <cell r="A4" t="str">
            <v>NPK</v>
          </cell>
          <cell r="B4" t="str">
            <v>NAMA</v>
          </cell>
          <cell r="C4" t="str">
            <v>FUNGSI</v>
          </cell>
          <cell r="D4">
            <v>45642</v>
          </cell>
          <cell r="E4">
            <v>0</v>
          </cell>
          <cell r="F4">
            <v>0</v>
          </cell>
          <cell r="G4">
            <v>45643</v>
          </cell>
          <cell r="H4">
            <v>0</v>
          </cell>
          <cell r="I4">
            <v>0</v>
          </cell>
          <cell r="J4">
            <v>45644</v>
          </cell>
          <cell r="K4">
            <v>0</v>
          </cell>
          <cell r="L4">
            <v>0</v>
          </cell>
          <cell r="M4">
            <v>45645</v>
          </cell>
          <cell r="N4">
            <v>0</v>
          </cell>
          <cell r="O4">
            <v>0</v>
          </cell>
          <cell r="P4">
            <v>45646</v>
          </cell>
          <cell r="Q4">
            <v>0</v>
          </cell>
          <cell r="R4">
            <v>0</v>
          </cell>
          <cell r="S4">
            <v>0</v>
          </cell>
          <cell r="T4">
            <v>45647</v>
          </cell>
          <cell r="U4">
            <v>0</v>
          </cell>
          <cell r="V4">
            <v>45649</v>
          </cell>
          <cell r="W4">
            <v>0</v>
          </cell>
          <cell r="X4">
            <v>0</v>
          </cell>
          <cell r="Y4">
            <v>45650</v>
          </cell>
          <cell r="Z4">
            <v>0</v>
          </cell>
          <cell r="AA4">
            <v>0</v>
          </cell>
          <cell r="AB4">
            <v>45652</v>
          </cell>
          <cell r="AC4">
            <v>0</v>
          </cell>
          <cell r="AD4">
            <v>0</v>
          </cell>
          <cell r="AE4">
            <v>45653</v>
          </cell>
          <cell r="AF4">
            <v>0</v>
          </cell>
          <cell r="AG4">
            <v>0</v>
          </cell>
          <cell r="AH4">
            <v>45654</v>
          </cell>
          <cell r="AI4">
            <v>0</v>
          </cell>
          <cell r="AJ4">
            <v>45656</v>
          </cell>
          <cell r="AK4">
            <v>0</v>
          </cell>
          <cell r="AL4">
            <v>0</v>
          </cell>
          <cell r="AM4">
            <v>45657</v>
          </cell>
          <cell r="AN4">
            <v>0</v>
          </cell>
          <cell r="AO4">
            <v>0</v>
          </cell>
          <cell r="AP4" t="str">
            <v>Grand Total</v>
          </cell>
        </row>
        <row r="5">
          <cell r="A5">
            <v>0</v>
          </cell>
          <cell r="B5">
            <v>0</v>
          </cell>
          <cell r="C5">
            <v>0</v>
          </cell>
          <cell r="D5" t="str">
            <v xml:space="preserve">SLOT 1 </v>
          </cell>
          <cell r="E5" t="str">
            <v xml:space="preserve">SLOT 2 </v>
          </cell>
          <cell r="F5" t="str">
            <v xml:space="preserve">SLOT 3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3 </v>
          </cell>
          <cell r="J5" t="str">
            <v xml:space="preserve">SLOT 1 </v>
          </cell>
          <cell r="K5" t="str">
            <v xml:space="preserve">SLOT 2 </v>
          </cell>
          <cell r="L5" t="str">
            <v xml:space="preserve">SLOT 3 </v>
          </cell>
          <cell r="M5" t="str">
            <v xml:space="preserve">SLOT 1 </v>
          </cell>
          <cell r="N5" t="str">
            <v xml:space="preserve">SLOT 2 </v>
          </cell>
          <cell r="O5" t="str">
            <v xml:space="preserve">SLOT 3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3 </v>
          </cell>
          <cell r="S5" t="str">
            <v xml:space="preserve">SLOT 3B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2 </v>
          </cell>
          <cell r="X5" t="str">
            <v xml:space="preserve">SLOT 3 </v>
          </cell>
          <cell r="Y5" t="str">
            <v xml:space="preserve">SLOT 1 </v>
          </cell>
          <cell r="Z5" t="str">
            <v xml:space="preserve">SLOT 2 </v>
          </cell>
          <cell r="AA5" t="str">
            <v xml:space="preserve">SLOT 3 </v>
          </cell>
          <cell r="AB5" t="str">
            <v xml:space="preserve">SLOT 1 </v>
          </cell>
          <cell r="AC5" t="str">
            <v xml:space="preserve">SLOT 2 </v>
          </cell>
          <cell r="AD5" t="str">
            <v xml:space="preserve">SLOT 3 </v>
          </cell>
          <cell r="AE5" t="str">
            <v xml:space="preserve">SLOT 1 </v>
          </cell>
          <cell r="AF5" t="str">
            <v xml:space="preserve">SLOT 2 </v>
          </cell>
          <cell r="AG5" t="str">
            <v xml:space="preserve">SLOT 3 </v>
          </cell>
          <cell r="AH5" t="str">
            <v xml:space="preserve">SLOT 1 </v>
          </cell>
          <cell r="AI5" t="str">
            <v xml:space="preserve">SLOT 2 </v>
          </cell>
          <cell r="AJ5" t="str">
            <v xml:space="preserve">SLOT 1 </v>
          </cell>
          <cell r="AK5" t="str">
            <v xml:space="preserve">SLOT 2 </v>
          </cell>
          <cell r="AL5" t="str">
            <v xml:space="preserve">SLOT 3 </v>
          </cell>
          <cell r="AM5" t="str">
            <v xml:space="preserve">SLOT 1 </v>
          </cell>
          <cell r="AN5" t="str">
            <v xml:space="preserve">SLOT 2 </v>
          </cell>
          <cell r="AO5" t="str">
            <v xml:space="preserve">SLOT 3 </v>
          </cell>
          <cell r="AP5">
            <v>0</v>
          </cell>
        </row>
        <row r="6">
          <cell r="A6" t="str">
            <v>A2001</v>
          </cell>
          <cell r="B6" t="str">
            <v>M MENTARI GAGAT RAYNA</v>
          </cell>
          <cell r="C6" t="str">
            <v>SBPV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1</v>
          </cell>
          <cell r="AH6">
            <v>0</v>
          </cell>
          <cell r="AI6">
            <v>1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1</v>
          </cell>
          <cell r="AP6">
            <v>4</v>
          </cell>
        </row>
        <row r="7">
          <cell r="A7" t="str">
            <v>A2084</v>
          </cell>
          <cell r="B7" t="str">
            <v>DEWI AMIMI</v>
          </cell>
          <cell r="C7" t="str">
            <v>DESIRE</v>
          </cell>
          <cell r="D7">
            <v>0</v>
          </cell>
          <cell r="E7">
            <v>1</v>
          </cell>
          <cell r="F7">
            <v>1</v>
          </cell>
          <cell r="G7">
            <v>0</v>
          </cell>
          <cell r="H7">
            <v>1</v>
          </cell>
          <cell r="I7">
            <v>1</v>
          </cell>
          <cell r="J7">
            <v>0</v>
          </cell>
          <cell r="K7">
            <v>1</v>
          </cell>
          <cell r="L7">
            <v>1</v>
          </cell>
          <cell r="M7">
            <v>0</v>
          </cell>
          <cell r="N7">
            <v>1</v>
          </cell>
          <cell r="O7">
            <v>1</v>
          </cell>
          <cell r="P7">
            <v>0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0</v>
          </cell>
          <cell r="AI7">
            <v>0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31</v>
          </cell>
        </row>
        <row r="8">
          <cell r="A8" t="str">
            <v>A2383</v>
          </cell>
          <cell r="B8" t="str">
            <v>RYSMA NUR HIDAYAH</v>
          </cell>
          <cell r="C8" t="str">
            <v>SBPV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1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1</v>
          </cell>
        </row>
        <row r="9">
          <cell r="A9" t="str">
            <v>A4482</v>
          </cell>
          <cell r="B9" t="str">
            <v>ANISYA HUSNA</v>
          </cell>
          <cell r="C9" t="str">
            <v>DESIRE</v>
          </cell>
          <cell r="D9">
            <v>0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0</v>
          </cell>
          <cell r="J9">
            <v>1</v>
          </cell>
          <cell r="K9">
            <v>1</v>
          </cell>
          <cell r="L9">
            <v>0</v>
          </cell>
          <cell r="M9">
            <v>1</v>
          </cell>
          <cell r="N9">
            <v>1</v>
          </cell>
          <cell r="O9">
            <v>0</v>
          </cell>
          <cell r="P9">
            <v>1</v>
          </cell>
          <cell r="Q9">
            <v>1</v>
          </cell>
          <cell r="R9">
            <v>1</v>
          </cell>
          <cell r="S9">
            <v>0</v>
          </cell>
          <cell r="T9">
            <v>1</v>
          </cell>
          <cell r="U9">
            <v>0</v>
          </cell>
          <cell r="V9">
            <v>1</v>
          </cell>
          <cell r="W9">
            <v>1</v>
          </cell>
          <cell r="X9">
            <v>0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0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0</v>
          </cell>
          <cell r="AP9">
            <v>29</v>
          </cell>
        </row>
        <row r="10">
          <cell r="A10" t="str">
            <v>A4483</v>
          </cell>
          <cell r="B10" t="str">
            <v>CINDY MEILINDA GIRSANG</v>
          </cell>
          <cell r="C10" t="str">
            <v>DESIRE</v>
          </cell>
          <cell r="D10">
            <v>1</v>
          </cell>
          <cell r="E10">
            <v>0</v>
          </cell>
          <cell r="F10">
            <v>0</v>
          </cell>
          <cell r="G10">
            <v>1</v>
          </cell>
          <cell r="H10">
            <v>0</v>
          </cell>
          <cell r="I10">
            <v>0</v>
          </cell>
          <cell r="J10">
            <v>1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</v>
          </cell>
          <cell r="Q10">
            <v>0</v>
          </cell>
          <cell r="R10">
            <v>0</v>
          </cell>
          <cell r="S10">
            <v>1</v>
          </cell>
          <cell r="T10">
            <v>0</v>
          </cell>
          <cell r="U10">
            <v>1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1</v>
          </cell>
          <cell r="AI10">
            <v>0</v>
          </cell>
          <cell r="AJ10">
            <v>1</v>
          </cell>
          <cell r="AK10">
            <v>1</v>
          </cell>
          <cell r="AL10">
            <v>0</v>
          </cell>
          <cell r="AM10">
            <v>1</v>
          </cell>
          <cell r="AN10">
            <v>1</v>
          </cell>
          <cell r="AO10">
            <v>0</v>
          </cell>
          <cell r="AP10">
            <v>11</v>
          </cell>
        </row>
        <row r="11">
          <cell r="A11" t="str">
            <v>A4484</v>
          </cell>
          <cell r="B11" t="str">
            <v>DESTTY YOHANA SARI</v>
          </cell>
          <cell r="C11" t="str">
            <v>DESIRE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  <cell r="Q11">
            <v>1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1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6</v>
          </cell>
        </row>
        <row r="12">
          <cell r="A12" t="str">
            <v>A4485</v>
          </cell>
          <cell r="B12" t="str">
            <v>NITA SHOFWATIN</v>
          </cell>
          <cell r="C12" t="str">
            <v>DESIRE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1</v>
          </cell>
          <cell r="S12">
            <v>0</v>
          </cell>
          <cell r="T12">
            <v>1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0</v>
          </cell>
          <cell r="AB12">
            <v>0</v>
          </cell>
          <cell r="AC12">
            <v>1</v>
          </cell>
          <cell r="AD12">
            <v>1</v>
          </cell>
          <cell r="AE12">
            <v>0</v>
          </cell>
          <cell r="AF12">
            <v>0</v>
          </cell>
          <cell r="AG12">
            <v>0</v>
          </cell>
          <cell r="AH12">
            <v>1</v>
          </cell>
          <cell r="AI12">
            <v>0</v>
          </cell>
          <cell r="AJ12">
            <v>0</v>
          </cell>
          <cell r="AK12">
            <v>1</v>
          </cell>
          <cell r="AL12">
            <v>1</v>
          </cell>
          <cell r="AM12">
            <v>1</v>
          </cell>
          <cell r="AN12">
            <v>1</v>
          </cell>
          <cell r="AO12">
            <v>1</v>
          </cell>
          <cell r="AP12">
            <v>16</v>
          </cell>
        </row>
        <row r="13">
          <cell r="A13" t="str">
            <v>A4521</v>
          </cell>
          <cell r="B13" t="str">
            <v>CLARA DYAH CHANIFAH</v>
          </cell>
          <cell r="C13" t="str">
            <v>DESIRE</v>
          </cell>
          <cell r="D13">
            <v>1</v>
          </cell>
          <cell r="E13">
            <v>1</v>
          </cell>
          <cell r="F13">
            <v>1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1</v>
          </cell>
          <cell r="W13">
            <v>1</v>
          </cell>
          <cell r="X13">
            <v>1</v>
          </cell>
          <cell r="Y13">
            <v>0</v>
          </cell>
          <cell r="Z13">
            <v>0</v>
          </cell>
          <cell r="AA13">
            <v>0</v>
          </cell>
          <cell r="AB13">
            <v>1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1</v>
          </cell>
          <cell r="AI13">
            <v>1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1</v>
          </cell>
          <cell r="AP13">
            <v>15</v>
          </cell>
        </row>
        <row r="14">
          <cell r="A14" t="str">
            <v>A4522</v>
          </cell>
          <cell r="B14" t="str">
            <v>NILAM ADHININGSIH</v>
          </cell>
          <cell r="C14" t="str">
            <v>DESIRE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  <cell r="Q14">
            <v>0</v>
          </cell>
          <cell r="R14">
            <v>1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1</v>
          </cell>
          <cell r="X14">
            <v>1</v>
          </cell>
          <cell r="Y14">
            <v>0</v>
          </cell>
          <cell r="Z14">
            <v>0</v>
          </cell>
          <cell r="AA14">
            <v>1</v>
          </cell>
          <cell r="AB14">
            <v>0</v>
          </cell>
          <cell r="AC14">
            <v>1</v>
          </cell>
          <cell r="AD14">
            <v>1</v>
          </cell>
          <cell r="AE14">
            <v>0</v>
          </cell>
          <cell r="AF14">
            <v>1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1</v>
          </cell>
          <cell r="AL14">
            <v>1</v>
          </cell>
          <cell r="AM14">
            <v>0</v>
          </cell>
          <cell r="AN14">
            <v>1</v>
          </cell>
          <cell r="AO14">
            <v>0</v>
          </cell>
          <cell r="AP14">
            <v>17</v>
          </cell>
        </row>
        <row r="17">
          <cell r="A17">
            <v>0</v>
          </cell>
          <cell r="B17" t="str">
            <v>Mengetahui,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>
            <v>0</v>
          </cell>
        </row>
        <row r="24">
          <cell r="A24">
            <v>0</v>
          </cell>
          <cell r="B24" t="str">
            <v xml:space="preserve">SRI RAHAYU GUNADI </v>
          </cell>
        </row>
        <row r="25">
          <cell r="A25">
            <v>0</v>
          </cell>
          <cell r="B25" t="str">
            <v>HC DOC HEAD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A C1"/>
      <sheetName val="TEMA C2"/>
      <sheetName val="TEMA C3"/>
      <sheetName val="TEMA HAJI"/>
      <sheetName val="TEMA PD"/>
      <sheetName val="DELTA"/>
      <sheetName val="AAV"/>
      <sheetName val="RVO"/>
      <sheetName val="SBPV"/>
      <sheetName val="G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>
            <v>0</v>
          </cell>
          <cell r="E2">
            <v>4</v>
          </cell>
          <cell r="G2">
            <v>8</v>
          </cell>
          <cell r="I2">
            <v>12</v>
          </cell>
          <cell r="K2">
            <v>16</v>
          </cell>
          <cell r="M2">
            <v>20</v>
          </cell>
          <cell r="O2">
            <v>24</v>
          </cell>
          <cell r="Q2">
            <v>28</v>
          </cell>
          <cell r="S2">
            <v>32</v>
          </cell>
          <cell r="U2">
            <v>36</v>
          </cell>
          <cell r="W2">
            <v>40</v>
          </cell>
          <cell r="Y2">
            <v>44</v>
          </cell>
        </row>
        <row r="3">
          <cell r="A3" t="str">
            <v>NPK</v>
          </cell>
          <cell r="B3" t="str">
            <v>NAMA</v>
          </cell>
          <cell r="C3" t="str">
            <v>GRADING</v>
          </cell>
          <cell r="AA3" t="str">
            <v>TOTAL SLOT</v>
          </cell>
          <cell r="AB3" t="str">
            <v>TOTAL AAV</v>
          </cell>
          <cell r="AC3" t="str">
            <v>AAV/SLOT</v>
          </cell>
          <cell r="AD3" t="str">
            <v>GRADING</v>
          </cell>
        </row>
        <row r="4">
          <cell r="C4" t="str">
            <v>P2 DES</v>
          </cell>
          <cell r="E4" t="str">
            <v>P1 JAN</v>
          </cell>
          <cell r="G4" t="str">
            <v>P2 JAN</v>
          </cell>
          <cell r="I4" t="str">
            <v>P1 FEB</v>
          </cell>
          <cell r="K4" t="str">
            <v>P2 FEB</v>
          </cell>
          <cell r="M4" t="str">
            <v>P1 MAR</v>
          </cell>
          <cell r="O4" t="str">
            <v>P2 MAR</v>
          </cell>
          <cell r="Q4" t="str">
            <v>P1 APR</v>
          </cell>
          <cell r="S4" t="str">
            <v>P2 APR</v>
          </cell>
          <cell r="U4" t="str">
            <v>P1 MEI</v>
          </cell>
          <cell r="W4" t="str">
            <v>P2 MEI</v>
          </cell>
          <cell r="Y4" t="str">
            <v>P1 JUN</v>
          </cell>
        </row>
        <row r="5">
          <cell r="C5" t="str">
            <v>SLOT</v>
          </cell>
          <cell r="D5" t="str">
            <v>AAV</v>
          </cell>
          <cell r="E5" t="str">
            <v>SLOT</v>
          </cell>
          <cell r="F5" t="str">
            <v>AAV</v>
          </cell>
          <cell r="G5" t="str">
            <v>SLOT</v>
          </cell>
          <cell r="H5" t="str">
            <v>AAV</v>
          </cell>
          <cell r="I5" t="str">
            <v>SLOT</v>
          </cell>
          <cell r="J5" t="str">
            <v>AAV</v>
          </cell>
          <cell r="K5" t="str">
            <v>SLOT</v>
          </cell>
          <cell r="L5" t="str">
            <v>AAV</v>
          </cell>
          <cell r="M5" t="str">
            <v>SLOT</v>
          </cell>
          <cell r="N5" t="str">
            <v>AAV</v>
          </cell>
          <cell r="O5" t="str">
            <v>SLOT</v>
          </cell>
          <cell r="P5" t="str">
            <v>AAV</v>
          </cell>
          <cell r="Q5" t="str">
            <v>SLOT</v>
          </cell>
          <cell r="R5" t="str">
            <v>AAV</v>
          </cell>
          <cell r="S5" t="str">
            <v>SLOT</v>
          </cell>
          <cell r="T5" t="str">
            <v>AAV</v>
          </cell>
          <cell r="U5" t="str">
            <v>SLOT</v>
          </cell>
          <cell r="V5" t="str">
            <v>AAV</v>
          </cell>
          <cell r="W5" t="str">
            <v>SLOT</v>
          </cell>
          <cell r="X5" t="str">
            <v>AAV</v>
          </cell>
          <cell r="Y5" t="str">
            <v>SLOT</v>
          </cell>
          <cell r="Z5" t="str">
            <v>AAV</v>
          </cell>
        </row>
        <row r="6">
          <cell r="A6">
            <v>90170</v>
          </cell>
          <cell r="B6" t="str">
            <v>AMRI ROHMATINI</v>
          </cell>
          <cell r="C6">
            <v>13</v>
          </cell>
          <cell r="D6">
            <v>592</v>
          </cell>
          <cell r="E6">
            <v>12</v>
          </cell>
          <cell r="F6">
            <v>653</v>
          </cell>
          <cell r="G6">
            <v>12</v>
          </cell>
          <cell r="H6">
            <v>369</v>
          </cell>
          <cell r="I6">
            <v>13</v>
          </cell>
          <cell r="J6">
            <v>514</v>
          </cell>
          <cell r="K6">
            <v>11</v>
          </cell>
          <cell r="L6">
            <v>431</v>
          </cell>
          <cell r="M6">
            <v>13</v>
          </cell>
          <cell r="N6">
            <v>528</v>
          </cell>
          <cell r="O6">
            <v>12</v>
          </cell>
          <cell r="P6">
            <v>590</v>
          </cell>
          <cell r="Q6">
            <v>9</v>
          </cell>
          <cell r="R6">
            <v>333</v>
          </cell>
          <cell r="S6">
            <v>12</v>
          </cell>
          <cell r="T6">
            <v>473</v>
          </cell>
          <cell r="U6">
            <v>11</v>
          </cell>
          <cell r="V6">
            <v>442</v>
          </cell>
          <cell r="W6">
            <v>14</v>
          </cell>
          <cell r="X6">
            <v>654</v>
          </cell>
          <cell r="Y6">
            <v>11</v>
          </cell>
          <cell r="Z6">
            <v>418</v>
          </cell>
          <cell r="AA6">
            <v>143</v>
          </cell>
          <cell r="AB6">
            <v>5997</v>
          </cell>
          <cell r="AC6">
            <v>41.93706293706294</v>
          </cell>
          <cell r="AD6">
            <v>3</v>
          </cell>
        </row>
        <row r="7">
          <cell r="A7">
            <v>90557</v>
          </cell>
          <cell r="B7" t="str">
            <v>TIFANI EKA ALCISHA</v>
          </cell>
          <cell r="C7">
            <v>11</v>
          </cell>
          <cell r="D7">
            <v>656</v>
          </cell>
          <cell r="E7">
            <v>19</v>
          </cell>
          <cell r="F7">
            <v>1227</v>
          </cell>
          <cell r="G7">
            <v>20</v>
          </cell>
          <cell r="H7">
            <v>817</v>
          </cell>
          <cell r="I7">
            <v>16</v>
          </cell>
          <cell r="J7">
            <v>789</v>
          </cell>
          <cell r="K7">
            <v>11</v>
          </cell>
          <cell r="L7">
            <v>470</v>
          </cell>
          <cell r="M7">
            <v>9</v>
          </cell>
          <cell r="N7">
            <v>414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  <cell r="X7" t="str">
            <v>-</v>
          </cell>
          <cell r="Y7">
            <v>3</v>
          </cell>
          <cell r="Z7">
            <v>119</v>
          </cell>
          <cell r="AA7">
            <v>89</v>
          </cell>
          <cell r="AB7">
            <v>4492</v>
          </cell>
          <cell r="AC7">
            <v>50.471910112359552</v>
          </cell>
          <cell r="AD7">
            <v>3</v>
          </cell>
        </row>
        <row r="8">
          <cell r="A8">
            <v>90565</v>
          </cell>
          <cell r="B8" t="str">
            <v>ELISABETH YOVITA NATHANIA</v>
          </cell>
          <cell r="C8">
            <v>13</v>
          </cell>
          <cell r="D8">
            <v>511</v>
          </cell>
          <cell r="E8">
            <v>21</v>
          </cell>
          <cell r="F8">
            <v>918</v>
          </cell>
          <cell r="G8">
            <v>21</v>
          </cell>
          <cell r="H8">
            <v>697</v>
          </cell>
          <cell r="I8">
            <v>25</v>
          </cell>
          <cell r="J8">
            <v>907</v>
          </cell>
          <cell r="K8">
            <v>23</v>
          </cell>
          <cell r="L8">
            <v>873</v>
          </cell>
          <cell r="M8">
            <v>13</v>
          </cell>
          <cell r="N8">
            <v>479</v>
          </cell>
          <cell r="O8">
            <v>22</v>
          </cell>
          <cell r="P8">
            <v>1025</v>
          </cell>
          <cell r="Q8">
            <v>21</v>
          </cell>
          <cell r="R8">
            <v>843</v>
          </cell>
          <cell r="S8">
            <v>28</v>
          </cell>
          <cell r="T8">
            <v>1007</v>
          </cell>
          <cell r="U8">
            <v>20</v>
          </cell>
          <cell r="V8">
            <v>780</v>
          </cell>
          <cell r="W8">
            <v>28</v>
          </cell>
          <cell r="X8">
            <v>1117</v>
          </cell>
          <cell r="Y8">
            <v>13</v>
          </cell>
          <cell r="Z8">
            <v>487</v>
          </cell>
          <cell r="AA8">
            <v>248</v>
          </cell>
          <cell r="AB8">
            <v>9644</v>
          </cell>
          <cell r="AC8">
            <v>38.887096774193552</v>
          </cell>
          <cell r="AD8">
            <v>2</v>
          </cell>
        </row>
        <row r="9">
          <cell r="A9" t="str">
            <v>A1945</v>
          </cell>
          <cell r="B9" t="str">
            <v>MARIA CHINDRYANITA GALA</v>
          </cell>
          <cell r="C9">
            <v>9</v>
          </cell>
          <cell r="D9">
            <v>320</v>
          </cell>
          <cell r="E9">
            <v>7</v>
          </cell>
          <cell r="F9">
            <v>335</v>
          </cell>
          <cell r="G9">
            <v>15</v>
          </cell>
          <cell r="H9">
            <v>497</v>
          </cell>
          <cell r="I9">
            <v>23</v>
          </cell>
          <cell r="J9">
            <v>809</v>
          </cell>
          <cell r="K9">
            <v>20</v>
          </cell>
          <cell r="L9">
            <v>807</v>
          </cell>
          <cell r="M9">
            <v>21</v>
          </cell>
          <cell r="N9">
            <v>798</v>
          </cell>
          <cell r="O9">
            <v>16</v>
          </cell>
          <cell r="P9">
            <v>739</v>
          </cell>
          <cell r="Q9">
            <v>16</v>
          </cell>
          <cell r="R9">
            <v>529</v>
          </cell>
          <cell r="S9">
            <v>23</v>
          </cell>
          <cell r="T9">
            <v>715</v>
          </cell>
          <cell r="U9">
            <v>22</v>
          </cell>
          <cell r="V9">
            <v>733</v>
          </cell>
          <cell r="W9">
            <v>26</v>
          </cell>
          <cell r="X9">
            <v>1022</v>
          </cell>
          <cell r="Y9">
            <v>23</v>
          </cell>
          <cell r="Z9">
            <v>803</v>
          </cell>
          <cell r="AA9">
            <v>221</v>
          </cell>
          <cell r="AB9">
            <v>8107</v>
          </cell>
          <cell r="AC9">
            <v>36.683257918552037</v>
          </cell>
          <cell r="AD9">
            <v>2</v>
          </cell>
        </row>
        <row r="10">
          <cell r="A10" t="str">
            <v>A1941</v>
          </cell>
          <cell r="B10" t="str">
            <v>HANA CHRISTINA</v>
          </cell>
          <cell r="C10">
            <v>8</v>
          </cell>
          <cell r="D10">
            <v>220</v>
          </cell>
          <cell r="E10">
            <v>14</v>
          </cell>
          <cell r="F10">
            <v>597</v>
          </cell>
          <cell r="G10">
            <v>13</v>
          </cell>
          <cell r="H10">
            <v>386</v>
          </cell>
          <cell r="I10">
            <v>20</v>
          </cell>
          <cell r="J10">
            <v>656</v>
          </cell>
          <cell r="K10">
            <v>16</v>
          </cell>
          <cell r="L10">
            <v>589</v>
          </cell>
          <cell r="M10">
            <v>19</v>
          </cell>
          <cell r="N10">
            <v>632</v>
          </cell>
          <cell r="O10">
            <v>18</v>
          </cell>
          <cell r="P10">
            <v>804</v>
          </cell>
          <cell r="Q10">
            <v>13</v>
          </cell>
          <cell r="R10">
            <v>459</v>
          </cell>
          <cell r="S10">
            <v>13</v>
          </cell>
          <cell r="T10">
            <v>503</v>
          </cell>
          <cell r="U10">
            <v>13</v>
          </cell>
          <cell r="V10">
            <v>474</v>
          </cell>
          <cell r="W10">
            <v>7</v>
          </cell>
          <cell r="X10">
            <v>293</v>
          </cell>
          <cell r="Y10">
            <v>12</v>
          </cell>
          <cell r="Z10">
            <v>384</v>
          </cell>
          <cell r="AA10">
            <v>166</v>
          </cell>
          <cell r="AB10">
            <v>5997</v>
          </cell>
          <cell r="AC10">
            <v>36.126506024096386</v>
          </cell>
          <cell r="AD10">
            <v>2</v>
          </cell>
        </row>
        <row r="11">
          <cell r="A11" t="str">
            <v>A2066</v>
          </cell>
          <cell r="B11" t="str">
            <v xml:space="preserve">YULIANT EFENDI </v>
          </cell>
          <cell r="C11">
            <v>28</v>
          </cell>
          <cell r="D11">
            <v>1338</v>
          </cell>
          <cell r="E11">
            <v>24</v>
          </cell>
          <cell r="F11">
            <v>1357</v>
          </cell>
          <cell r="G11">
            <v>25</v>
          </cell>
          <cell r="H11">
            <v>997</v>
          </cell>
          <cell r="I11">
            <v>24</v>
          </cell>
          <cell r="J11">
            <v>863</v>
          </cell>
          <cell r="K11">
            <v>21</v>
          </cell>
          <cell r="L11">
            <v>858</v>
          </cell>
          <cell r="M11">
            <v>26</v>
          </cell>
          <cell r="N11">
            <v>1024</v>
          </cell>
          <cell r="O11">
            <v>23</v>
          </cell>
          <cell r="P11">
            <v>1183</v>
          </cell>
          <cell r="Q11">
            <v>18</v>
          </cell>
          <cell r="R11">
            <v>640</v>
          </cell>
          <cell r="S11">
            <v>25</v>
          </cell>
          <cell r="T11">
            <v>914</v>
          </cell>
          <cell r="U11">
            <v>22</v>
          </cell>
          <cell r="V11">
            <v>895</v>
          </cell>
          <cell r="W11">
            <v>27</v>
          </cell>
          <cell r="X11">
            <v>1138</v>
          </cell>
          <cell r="Y11">
            <v>20</v>
          </cell>
          <cell r="Z11">
            <v>768</v>
          </cell>
          <cell r="AA11">
            <v>283</v>
          </cell>
          <cell r="AB11">
            <v>11975</v>
          </cell>
          <cell r="AC11">
            <v>42.314487632508836</v>
          </cell>
          <cell r="AD11">
            <v>3</v>
          </cell>
        </row>
        <row r="12">
          <cell r="A12" t="str">
            <v>A0349</v>
          </cell>
          <cell r="B12" t="str">
            <v xml:space="preserve">AHMAD ZAINAL ARIFIN </v>
          </cell>
          <cell r="C12">
            <v>24</v>
          </cell>
          <cell r="D12">
            <v>1103</v>
          </cell>
          <cell r="E12">
            <v>22</v>
          </cell>
          <cell r="F12">
            <v>1230</v>
          </cell>
          <cell r="G12">
            <v>24</v>
          </cell>
          <cell r="H12">
            <v>939</v>
          </cell>
          <cell r="I12">
            <v>23</v>
          </cell>
          <cell r="J12">
            <v>908</v>
          </cell>
          <cell r="K12">
            <v>20</v>
          </cell>
          <cell r="L12">
            <v>885</v>
          </cell>
          <cell r="M12">
            <v>26</v>
          </cell>
          <cell r="N12">
            <v>1043</v>
          </cell>
          <cell r="O12">
            <v>20</v>
          </cell>
          <cell r="P12">
            <v>1054</v>
          </cell>
          <cell r="Q12">
            <v>16</v>
          </cell>
          <cell r="R12">
            <v>657</v>
          </cell>
          <cell r="S12">
            <v>24</v>
          </cell>
          <cell r="T12">
            <v>884</v>
          </cell>
          <cell r="U12">
            <v>22</v>
          </cell>
          <cell r="V12">
            <v>877</v>
          </cell>
          <cell r="W12">
            <v>28</v>
          </cell>
          <cell r="X12">
            <v>1194</v>
          </cell>
          <cell r="Y12">
            <v>20</v>
          </cell>
          <cell r="Z12">
            <v>785</v>
          </cell>
          <cell r="AA12">
            <v>269</v>
          </cell>
          <cell r="AB12">
            <v>11559</v>
          </cell>
          <cell r="AC12">
            <v>42.970260223048328</v>
          </cell>
          <cell r="AD12">
            <v>3</v>
          </cell>
        </row>
        <row r="13">
          <cell r="A13" t="str">
            <v>A2873</v>
          </cell>
          <cell r="B13" t="str">
            <v>CHRISTOPHER LAKSAWANA</v>
          </cell>
          <cell r="C13">
            <v>26</v>
          </cell>
          <cell r="D13">
            <v>1164</v>
          </cell>
          <cell r="E13">
            <v>22</v>
          </cell>
          <cell r="F13">
            <v>1245</v>
          </cell>
          <cell r="G13">
            <v>24</v>
          </cell>
          <cell r="H13">
            <v>938</v>
          </cell>
          <cell r="I13">
            <v>23</v>
          </cell>
          <cell r="J13">
            <v>876</v>
          </cell>
          <cell r="K13">
            <v>21</v>
          </cell>
          <cell r="L13">
            <v>891</v>
          </cell>
          <cell r="M13">
            <v>26</v>
          </cell>
          <cell r="N13">
            <v>989</v>
          </cell>
          <cell r="O13">
            <v>21</v>
          </cell>
          <cell r="P13">
            <v>1091</v>
          </cell>
          <cell r="Q13">
            <v>18</v>
          </cell>
          <cell r="R13">
            <v>698</v>
          </cell>
          <cell r="S13">
            <v>25</v>
          </cell>
          <cell r="T13">
            <v>943</v>
          </cell>
          <cell r="U13">
            <v>22</v>
          </cell>
          <cell r="V13">
            <v>832</v>
          </cell>
          <cell r="W13">
            <v>26</v>
          </cell>
          <cell r="X13">
            <v>1084</v>
          </cell>
          <cell r="Y13">
            <v>22</v>
          </cell>
          <cell r="Z13">
            <v>830</v>
          </cell>
          <cell r="AA13">
            <v>276</v>
          </cell>
          <cell r="AB13">
            <v>11581</v>
          </cell>
          <cell r="AC13">
            <v>41.960144927536234</v>
          </cell>
          <cell r="AD13">
            <v>3</v>
          </cell>
        </row>
        <row r="14">
          <cell r="A14" t="str">
            <v>A2879</v>
          </cell>
          <cell r="B14" t="str">
            <v>FAUZI</v>
          </cell>
          <cell r="C14">
            <v>23</v>
          </cell>
          <cell r="D14">
            <v>1127</v>
          </cell>
          <cell r="E14">
            <v>18</v>
          </cell>
          <cell r="F14">
            <v>902</v>
          </cell>
          <cell r="G14">
            <v>15</v>
          </cell>
          <cell r="H14">
            <v>580</v>
          </cell>
          <cell r="I14">
            <v>22</v>
          </cell>
          <cell r="J14">
            <v>879</v>
          </cell>
          <cell r="K14">
            <v>11</v>
          </cell>
          <cell r="L14">
            <v>465</v>
          </cell>
          <cell r="M14">
            <v>19</v>
          </cell>
          <cell r="N14">
            <v>751</v>
          </cell>
          <cell r="O14">
            <v>4</v>
          </cell>
          <cell r="P14">
            <v>164</v>
          </cell>
          <cell r="Q14">
            <v>5</v>
          </cell>
          <cell r="R14">
            <v>144</v>
          </cell>
          <cell r="S14">
            <v>17</v>
          </cell>
          <cell r="T14">
            <v>643</v>
          </cell>
          <cell r="U14">
            <v>14</v>
          </cell>
          <cell r="V14">
            <v>543</v>
          </cell>
          <cell r="W14">
            <v>20</v>
          </cell>
          <cell r="X14">
            <v>889</v>
          </cell>
          <cell r="Y14">
            <v>14</v>
          </cell>
          <cell r="Z14">
            <v>498</v>
          </cell>
          <cell r="AA14">
            <v>182</v>
          </cell>
          <cell r="AB14">
            <v>7585</v>
          </cell>
          <cell r="AC14">
            <v>41.675824175824175</v>
          </cell>
          <cell r="AD14">
            <v>3</v>
          </cell>
        </row>
        <row r="15">
          <cell r="A15" t="str">
            <v>A2615</v>
          </cell>
          <cell r="B15" t="str">
            <v>NOVITA LANGKAI</v>
          </cell>
          <cell r="C15">
            <v>26</v>
          </cell>
          <cell r="D15">
            <v>1252</v>
          </cell>
          <cell r="E15">
            <v>23</v>
          </cell>
          <cell r="F15">
            <v>1358</v>
          </cell>
          <cell r="G15">
            <v>25</v>
          </cell>
          <cell r="H15">
            <v>1066</v>
          </cell>
          <cell r="I15">
            <v>24</v>
          </cell>
          <cell r="J15">
            <v>996</v>
          </cell>
          <cell r="K15">
            <v>22</v>
          </cell>
          <cell r="L15">
            <v>1023</v>
          </cell>
          <cell r="M15">
            <v>25</v>
          </cell>
          <cell r="N15">
            <v>1047</v>
          </cell>
          <cell r="O15">
            <v>23</v>
          </cell>
          <cell r="P15">
            <v>1282</v>
          </cell>
          <cell r="Q15">
            <v>19</v>
          </cell>
          <cell r="R15">
            <v>725</v>
          </cell>
          <cell r="S15">
            <v>26</v>
          </cell>
          <cell r="T15">
            <v>1038</v>
          </cell>
          <cell r="U15">
            <v>22</v>
          </cell>
          <cell r="V15">
            <v>940</v>
          </cell>
          <cell r="W15">
            <v>29</v>
          </cell>
          <cell r="X15">
            <v>1338</v>
          </cell>
          <cell r="Y15">
            <v>20</v>
          </cell>
          <cell r="Z15">
            <v>845</v>
          </cell>
          <cell r="AA15">
            <v>284</v>
          </cell>
          <cell r="AB15">
            <v>12910</v>
          </cell>
          <cell r="AC15">
            <v>45.45774647887324</v>
          </cell>
          <cell r="AD15">
            <v>3</v>
          </cell>
        </row>
        <row r="16">
          <cell r="A16" t="str">
            <v>A3498</v>
          </cell>
          <cell r="B16" t="str">
            <v>KIRANA AMILYA</v>
          </cell>
          <cell r="C16">
            <v>15</v>
          </cell>
          <cell r="D16">
            <v>599</v>
          </cell>
          <cell r="E16">
            <v>4</v>
          </cell>
          <cell r="F16">
            <v>161</v>
          </cell>
          <cell r="G16">
            <v>9</v>
          </cell>
          <cell r="H16">
            <v>228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>
            <v>28</v>
          </cell>
          <cell r="AB16">
            <v>988</v>
          </cell>
          <cell r="AC16">
            <v>35.285714285714285</v>
          </cell>
          <cell r="AD16">
            <v>2</v>
          </cell>
        </row>
        <row r="17">
          <cell r="A17" t="str">
            <v>A4247</v>
          </cell>
          <cell r="B17" t="str">
            <v>WA ODE ALYA SHINTA AMALIA</v>
          </cell>
          <cell r="C17">
            <v>14</v>
          </cell>
          <cell r="D17">
            <v>478</v>
          </cell>
          <cell r="E17">
            <v>11</v>
          </cell>
          <cell r="F17">
            <v>437</v>
          </cell>
          <cell r="G17">
            <v>12</v>
          </cell>
          <cell r="H17">
            <v>453</v>
          </cell>
          <cell r="I17">
            <v>14</v>
          </cell>
          <cell r="J17">
            <v>497</v>
          </cell>
          <cell r="K17">
            <v>15</v>
          </cell>
          <cell r="L17">
            <v>582</v>
          </cell>
          <cell r="M17">
            <v>12</v>
          </cell>
          <cell r="N17">
            <v>393</v>
          </cell>
          <cell r="O17">
            <v>11</v>
          </cell>
          <cell r="P17">
            <v>489</v>
          </cell>
          <cell r="Q17">
            <v>9</v>
          </cell>
          <cell r="R17">
            <v>307</v>
          </cell>
          <cell r="S17">
            <v>18</v>
          </cell>
          <cell r="T17">
            <v>655</v>
          </cell>
          <cell r="U17">
            <v>10</v>
          </cell>
          <cell r="V17">
            <v>330</v>
          </cell>
          <cell r="W17">
            <v>6</v>
          </cell>
          <cell r="X17">
            <v>211</v>
          </cell>
          <cell r="Y17">
            <v>5</v>
          </cell>
          <cell r="Z17">
            <v>173</v>
          </cell>
          <cell r="AA17">
            <v>137</v>
          </cell>
          <cell r="AB17">
            <v>5005</v>
          </cell>
          <cell r="AC17">
            <v>36.532846715328468</v>
          </cell>
          <cell r="AD17">
            <v>2</v>
          </cell>
        </row>
        <row r="18">
          <cell r="A18" t="str">
            <v>A4348</v>
          </cell>
          <cell r="B18" t="str">
            <v>RISKA WULAN NAWANGSARI</v>
          </cell>
          <cell r="C18">
            <v>6</v>
          </cell>
          <cell r="D18">
            <v>209</v>
          </cell>
          <cell r="E18" t="str">
            <v>-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>
            <v>6</v>
          </cell>
          <cell r="AB18">
            <v>209</v>
          </cell>
          <cell r="AC18">
            <v>34.833333333333336</v>
          </cell>
          <cell r="AD18">
            <v>2</v>
          </cell>
        </row>
        <row r="19">
          <cell r="A19" t="str">
            <v>A4347</v>
          </cell>
          <cell r="B19" t="str">
            <v>CHINDI PRATIWI</v>
          </cell>
          <cell r="C19">
            <v>4</v>
          </cell>
          <cell r="D19">
            <v>82</v>
          </cell>
          <cell r="E19">
            <v>1</v>
          </cell>
          <cell r="F19">
            <v>23</v>
          </cell>
          <cell r="G19">
            <v>3</v>
          </cell>
          <cell r="H19">
            <v>54</v>
          </cell>
          <cell r="I19">
            <v>10</v>
          </cell>
          <cell r="J19">
            <v>217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>
            <v>18</v>
          </cell>
          <cell r="AB19">
            <v>376</v>
          </cell>
          <cell r="AC19">
            <v>20.888888888888889</v>
          </cell>
          <cell r="AD19">
            <v>1</v>
          </cell>
        </row>
        <row r="20">
          <cell r="A20" t="str">
            <v>A4404</v>
          </cell>
          <cell r="B20" t="str">
            <v>Antonia Maria Ajeng Galuh Dewanti</v>
          </cell>
          <cell r="C20">
            <v>12</v>
          </cell>
          <cell r="D20">
            <v>349</v>
          </cell>
          <cell r="E20">
            <v>16</v>
          </cell>
          <cell r="F20">
            <v>594</v>
          </cell>
          <cell r="G20">
            <v>16</v>
          </cell>
          <cell r="H20">
            <v>457</v>
          </cell>
          <cell r="I20">
            <v>17</v>
          </cell>
          <cell r="J20">
            <v>587</v>
          </cell>
          <cell r="K20">
            <v>12</v>
          </cell>
          <cell r="L20">
            <v>456</v>
          </cell>
          <cell r="M20">
            <v>18</v>
          </cell>
          <cell r="N20">
            <v>633</v>
          </cell>
          <cell r="O20">
            <v>18</v>
          </cell>
          <cell r="P20">
            <v>832</v>
          </cell>
          <cell r="Q20">
            <v>2</v>
          </cell>
          <cell r="R20">
            <v>45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-</v>
          </cell>
          <cell r="AA20">
            <v>111</v>
          </cell>
          <cell r="AB20">
            <v>3953</v>
          </cell>
          <cell r="AC20">
            <v>35.612612612612615</v>
          </cell>
          <cell r="AD20">
            <v>2</v>
          </cell>
        </row>
        <row r="21">
          <cell r="A21" t="str">
            <v>A4428</v>
          </cell>
          <cell r="B21" t="str">
            <v>FERDIAN ANGGA RACHMADHANI</v>
          </cell>
          <cell r="C21">
            <v>5</v>
          </cell>
          <cell r="D21">
            <v>123</v>
          </cell>
          <cell r="E21">
            <v>2</v>
          </cell>
          <cell r="F21">
            <v>77</v>
          </cell>
          <cell r="G21">
            <v>4</v>
          </cell>
          <cell r="H21">
            <v>89</v>
          </cell>
          <cell r="I21">
            <v>8</v>
          </cell>
          <cell r="J21">
            <v>222</v>
          </cell>
          <cell r="K21">
            <v>1</v>
          </cell>
          <cell r="L21">
            <v>31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>
            <v>5</v>
          </cell>
          <cell r="R21">
            <v>110</v>
          </cell>
          <cell r="S21">
            <v>7</v>
          </cell>
          <cell r="T21">
            <v>193</v>
          </cell>
          <cell r="U21" t="str">
            <v>-</v>
          </cell>
          <cell r="V21" t="str">
            <v>-</v>
          </cell>
          <cell r="W21">
            <v>5</v>
          </cell>
          <cell r="X21">
            <v>156</v>
          </cell>
          <cell r="Y21">
            <v>8</v>
          </cell>
          <cell r="Z21">
            <v>230</v>
          </cell>
          <cell r="AA21">
            <v>45</v>
          </cell>
          <cell r="AB21">
            <v>1231</v>
          </cell>
          <cell r="AC21">
            <v>27.355555555555554</v>
          </cell>
          <cell r="AD21">
            <v>1</v>
          </cell>
        </row>
        <row r="22">
          <cell r="A22" t="str">
            <v>A4834</v>
          </cell>
          <cell r="B22" t="str">
            <v>DESYA ANDHANI PRIHARTADI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11</v>
          </cell>
          <cell r="N22">
            <v>189</v>
          </cell>
          <cell r="O22">
            <v>3</v>
          </cell>
          <cell r="P22">
            <v>96</v>
          </cell>
          <cell r="Q22" t="str">
            <v>-</v>
          </cell>
          <cell r="R22" t="str">
            <v>-</v>
          </cell>
          <cell r="S22">
            <v>19</v>
          </cell>
          <cell r="T22">
            <v>509</v>
          </cell>
          <cell r="U22">
            <v>12</v>
          </cell>
          <cell r="V22">
            <v>400</v>
          </cell>
          <cell r="W22">
            <v>14</v>
          </cell>
          <cell r="X22">
            <v>538</v>
          </cell>
          <cell r="Y22">
            <v>13</v>
          </cell>
          <cell r="Z22">
            <v>466</v>
          </cell>
          <cell r="AA22">
            <v>72</v>
          </cell>
          <cell r="AB22">
            <v>2198</v>
          </cell>
          <cell r="AC22">
            <v>30.527777777777779</v>
          </cell>
          <cell r="AD22">
            <v>2</v>
          </cell>
        </row>
        <row r="23">
          <cell r="A23" t="str">
            <v>A4830</v>
          </cell>
          <cell r="B23" t="str">
            <v>Farel Rimawan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</v>
          </cell>
          <cell r="N23">
            <v>7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>
            <v>1</v>
          </cell>
          <cell r="AB23">
            <v>7</v>
          </cell>
          <cell r="AC23">
            <v>7</v>
          </cell>
          <cell r="AD23">
            <v>1</v>
          </cell>
        </row>
        <row r="24">
          <cell r="A24" t="str">
            <v>A4833</v>
          </cell>
          <cell r="B24" t="str">
            <v>Mohammad Rizky Ilham Makky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</v>
          </cell>
          <cell r="N24">
            <v>42</v>
          </cell>
          <cell r="O24">
            <v>4</v>
          </cell>
          <cell r="P24">
            <v>75</v>
          </cell>
          <cell r="Q24">
            <v>2</v>
          </cell>
          <cell r="R24">
            <v>38</v>
          </cell>
          <cell r="S24">
            <v>5</v>
          </cell>
          <cell r="T24">
            <v>89</v>
          </cell>
          <cell r="U24" t="str">
            <v>-</v>
          </cell>
          <cell r="V24" t="str">
            <v>-</v>
          </cell>
          <cell r="W24">
            <v>13</v>
          </cell>
          <cell r="X24">
            <v>290</v>
          </cell>
          <cell r="Y24" t="str">
            <v>-</v>
          </cell>
          <cell r="Z24" t="str">
            <v>-</v>
          </cell>
          <cell r="AA24">
            <v>29</v>
          </cell>
          <cell r="AB24">
            <v>534</v>
          </cell>
          <cell r="AC24">
            <v>18.413793103448278</v>
          </cell>
          <cell r="AD24">
            <v>1</v>
          </cell>
        </row>
        <row r="25">
          <cell r="A25" t="str">
            <v>A4654</v>
          </cell>
          <cell r="B25" t="str">
            <v>VERENA CHANDRA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</v>
          </cell>
          <cell r="N25">
            <v>14</v>
          </cell>
          <cell r="O25">
            <v>4</v>
          </cell>
          <cell r="P25">
            <v>58</v>
          </cell>
          <cell r="Q25">
            <v>8</v>
          </cell>
          <cell r="R25">
            <v>210</v>
          </cell>
          <cell r="S25">
            <v>14</v>
          </cell>
          <cell r="T25">
            <v>371</v>
          </cell>
          <cell r="U25">
            <v>7</v>
          </cell>
          <cell r="V25">
            <v>202</v>
          </cell>
          <cell r="W25">
            <v>6</v>
          </cell>
          <cell r="X25">
            <v>209</v>
          </cell>
          <cell r="Y25">
            <v>10</v>
          </cell>
          <cell r="Z25">
            <v>310</v>
          </cell>
          <cell r="AA25">
            <v>51</v>
          </cell>
          <cell r="AB25">
            <v>1374</v>
          </cell>
          <cell r="AC25">
            <v>26.941176470588236</v>
          </cell>
          <cell r="AD25">
            <v>1</v>
          </cell>
        </row>
        <row r="26">
          <cell r="A26" t="str">
            <v>A4832</v>
          </cell>
          <cell r="B26" t="str">
            <v>Yunan Rejasmara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</v>
          </cell>
          <cell r="N26">
            <v>16</v>
          </cell>
          <cell r="O26">
            <v>4</v>
          </cell>
          <cell r="P26">
            <v>78</v>
          </cell>
          <cell r="Q26">
            <v>0</v>
          </cell>
          <cell r="R26">
            <v>0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>
            <v>5</v>
          </cell>
          <cell r="AB26">
            <v>94</v>
          </cell>
          <cell r="AC26">
            <v>18.8</v>
          </cell>
          <cell r="AD26">
            <v>1</v>
          </cell>
        </row>
      </sheetData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B759-5C28-4D28-A17A-7B7B878F0F56}">
  <dimension ref="A1:EW200"/>
  <sheetViews>
    <sheetView tabSelected="1" topLeftCell="DV1" zoomScale="82" zoomScaleNormal="82" workbookViewId="0">
      <selection activeCell="EF7" sqref="EF7"/>
    </sheetView>
  </sheetViews>
  <sheetFormatPr defaultRowHeight="14.4"/>
  <cols>
    <col min="2" max="2" width="44.21875" bestFit="1" customWidth="1"/>
    <col min="3" max="3" width="17.77734375" bestFit="1" customWidth="1"/>
    <col min="4" max="5" width="17.88671875" bestFit="1" customWidth="1"/>
    <col min="6" max="6" width="13.21875" bestFit="1" customWidth="1"/>
    <col min="137" max="137" width="11.33203125" bestFit="1" customWidth="1"/>
  </cols>
  <sheetData>
    <row r="1" spans="1:153" ht="15.6">
      <c r="A1" s="8"/>
      <c r="B1" s="8"/>
      <c r="C1" s="8"/>
      <c r="D1" s="17"/>
      <c r="E1" s="17"/>
      <c r="F1" s="9"/>
      <c r="G1" s="9"/>
      <c r="H1" s="9"/>
      <c r="I1" s="9"/>
      <c r="J1" s="9"/>
      <c r="K1" s="9"/>
      <c r="L1" s="9"/>
      <c r="M1" s="10"/>
      <c r="N1" s="9"/>
      <c r="O1" s="9"/>
      <c r="P1" s="9"/>
      <c r="Q1" s="9"/>
      <c r="R1" s="9"/>
      <c r="S1" s="9"/>
      <c r="T1" s="11"/>
      <c r="U1" s="10"/>
      <c r="V1" s="10"/>
      <c r="W1" s="10"/>
      <c r="X1" s="10"/>
      <c r="Y1" s="10"/>
      <c r="Z1" s="10"/>
      <c r="AA1" s="10"/>
      <c r="AB1" s="11"/>
      <c r="AC1" s="11"/>
      <c r="AD1" s="11"/>
      <c r="AE1" s="11"/>
      <c r="AF1" s="11"/>
      <c r="AG1" s="10"/>
      <c r="AH1" s="11"/>
      <c r="AI1" s="11"/>
      <c r="AJ1" s="11"/>
      <c r="AK1" s="11"/>
      <c r="AL1" s="16"/>
      <c r="AM1" s="9"/>
      <c r="AN1" s="9"/>
      <c r="AO1" s="9"/>
      <c r="AP1" s="9"/>
      <c r="AQ1" s="9"/>
      <c r="AR1" s="9"/>
      <c r="AS1" s="9"/>
      <c r="AT1" s="9"/>
      <c r="AU1" s="9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9"/>
      <c r="BH1" s="11"/>
      <c r="BI1" s="11"/>
      <c r="BJ1" s="11"/>
      <c r="BK1" s="11"/>
      <c r="BL1" s="9"/>
      <c r="BM1" s="11"/>
      <c r="BN1" s="9"/>
      <c r="BO1" s="10"/>
      <c r="BP1" s="10"/>
      <c r="BQ1" s="10"/>
      <c r="BR1" s="10"/>
      <c r="BS1" s="10"/>
      <c r="BT1" s="10"/>
      <c r="BU1" s="10"/>
      <c r="BV1" s="9"/>
      <c r="BW1" s="11"/>
      <c r="BX1" s="11"/>
      <c r="BY1" s="11"/>
      <c r="BZ1" s="11"/>
      <c r="CA1" s="26"/>
      <c r="CB1" s="11"/>
      <c r="CC1" s="11"/>
      <c r="CD1" s="11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27"/>
      <c r="DU1" s="10"/>
      <c r="DV1" s="10"/>
      <c r="DW1" s="10"/>
      <c r="DX1" s="10"/>
      <c r="DY1" s="10"/>
      <c r="DZ1" s="10"/>
      <c r="EA1" s="10"/>
      <c r="EB1" s="27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9"/>
      <c r="ER1" s="9"/>
      <c r="ES1" s="9"/>
      <c r="ET1" s="9"/>
      <c r="EU1" s="9"/>
      <c r="EV1" s="9"/>
      <c r="EW1" s="11"/>
    </row>
    <row r="2" spans="1:153" ht="15.6">
      <c r="A2" s="20"/>
      <c r="B2" s="8"/>
      <c r="C2" s="9" t="s">
        <v>16</v>
      </c>
      <c r="D2" s="17" t="s">
        <v>16</v>
      </c>
      <c r="E2" s="17" t="s">
        <v>16</v>
      </c>
      <c r="F2" s="9" t="s">
        <v>16</v>
      </c>
      <c r="G2" s="9"/>
      <c r="H2" s="9" t="s">
        <v>16</v>
      </c>
      <c r="I2" s="9"/>
      <c r="J2" s="9"/>
      <c r="K2" s="9"/>
      <c r="L2" s="9" t="s">
        <v>16</v>
      </c>
      <c r="M2" s="10"/>
      <c r="N2" s="9" t="s">
        <v>16</v>
      </c>
      <c r="O2" s="9"/>
      <c r="P2" s="9"/>
      <c r="Q2" s="9"/>
      <c r="R2" s="9"/>
      <c r="S2" s="9" t="s">
        <v>16</v>
      </c>
      <c r="T2" s="11"/>
      <c r="U2" s="18">
        <v>45261</v>
      </c>
      <c r="V2" s="18">
        <v>45292</v>
      </c>
      <c r="W2" s="18">
        <v>45323</v>
      </c>
      <c r="X2" s="18">
        <v>45352</v>
      </c>
      <c r="Y2" s="18">
        <v>45383</v>
      </c>
      <c r="Z2" s="18">
        <v>45413</v>
      </c>
      <c r="AA2" s="18">
        <v>45444</v>
      </c>
      <c r="AB2" s="11"/>
      <c r="AC2" s="11"/>
      <c r="AD2" s="11"/>
      <c r="AE2" s="11"/>
      <c r="AF2" s="11"/>
      <c r="AG2" s="10"/>
      <c r="AH2" s="11"/>
      <c r="AI2" s="11"/>
      <c r="AJ2" s="11"/>
      <c r="AK2" s="11"/>
      <c r="AL2" s="16"/>
      <c r="AM2" s="9"/>
      <c r="AN2" s="9" t="s">
        <v>16</v>
      </c>
      <c r="AO2" s="9" t="s">
        <v>49</v>
      </c>
      <c r="AP2" s="9"/>
      <c r="AQ2" s="9" t="s">
        <v>24</v>
      </c>
      <c r="AR2" s="9"/>
      <c r="AS2" s="9"/>
      <c r="AT2" s="9"/>
      <c r="AU2" s="9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9"/>
      <c r="BH2" s="11"/>
      <c r="BI2" s="9"/>
      <c r="BJ2" s="11"/>
      <c r="BK2" s="11"/>
      <c r="BL2" s="9"/>
      <c r="BM2" s="11"/>
      <c r="BN2" s="9"/>
      <c r="BO2" s="18">
        <v>45444</v>
      </c>
      <c r="BP2" s="18">
        <v>45474</v>
      </c>
      <c r="BQ2" s="18">
        <v>45505</v>
      </c>
      <c r="BR2" s="18">
        <v>45536</v>
      </c>
      <c r="BS2" s="18">
        <v>45566</v>
      </c>
      <c r="BT2" s="18">
        <v>45597</v>
      </c>
      <c r="BU2" s="18">
        <v>45627</v>
      </c>
      <c r="BV2" s="9" t="s">
        <v>42</v>
      </c>
      <c r="BW2" s="11"/>
      <c r="BX2" s="11"/>
      <c r="BY2" s="11"/>
      <c r="BZ2" s="11"/>
      <c r="CA2" s="26"/>
      <c r="CB2" s="11"/>
      <c r="CC2" s="11"/>
      <c r="CD2" s="11"/>
      <c r="CE2" s="9"/>
      <c r="CF2" s="9"/>
      <c r="CG2" s="9"/>
      <c r="CH2" s="9"/>
      <c r="CI2" s="9"/>
      <c r="CJ2" s="9" t="s">
        <v>50</v>
      </c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27"/>
      <c r="DU2" s="18">
        <v>45992</v>
      </c>
      <c r="DV2" s="18">
        <v>46023</v>
      </c>
      <c r="DW2" s="18">
        <v>46054</v>
      </c>
      <c r="DX2" s="18">
        <v>46082</v>
      </c>
      <c r="DY2" s="18">
        <v>46113</v>
      </c>
      <c r="DZ2" s="18">
        <v>46143</v>
      </c>
      <c r="EA2" s="18">
        <v>46174</v>
      </c>
      <c r="EB2" s="27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 t="s">
        <v>51</v>
      </c>
      <c r="EQ2" s="9"/>
      <c r="ER2" s="9"/>
      <c r="ES2" s="9"/>
      <c r="ET2" s="9"/>
      <c r="EU2" s="9"/>
      <c r="EV2" s="9"/>
      <c r="EW2" s="11"/>
    </row>
    <row r="3" spans="1:153" ht="15.6">
      <c r="A3" s="42" t="s">
        <v>0</v>
      </c>
      <c r="B3" s="42" t="s">
        <v>1</v>
      </c>
      <c r="C3" s="42" t="s">
        <v>2</v>
      </c>
      <c r="D3" s="43" t="s">
        <v>29</v>
      </c>
      <c r="E3" s="43" t="s">
        <v>30</v>
      </c>
      <c r="F3" s="41" t="s">
        <v>23</v>
      </c>
      <c r="G3" s="41"/>
      <c r="H3" s="41"/>
      <c r="I3" s="41"/>
      <c r="J3" s="41"/>
      <c r="K3" s="41"/>
      <c r="L3" s="41"/>
      <c r="M3" s="42" t="s">
        <v>21</v>
      </c>
      <c r="N3" s="42"/>
      <c r="O3" s="42"/>
      <c r="P3" s="42"/>
      <c r="Q3" s="42"/>
      <c r="R3" s="42"/>
      <c r="S3" s="42"/>
      <c r="T3" s="42" t="s">
        <v>10</v>
      </c>
      <c r="U3" s="45" t="s">
        <v>20</v>
      </c>
      <c r="V3" s="45"/>
      <c r="W3" s="45"/>
      <c r="X3" s="45"/>
      <c r="Y3" s="45"/>
      <c r="Z3" s="45"/>
      <c r="AA3" s="45"/>
      <c r="AB3" s="45" t="s">
        <v>19</v>
      </c>
      <c r="AC3" s="41" t="s">
        <v>22</v>
      </c>
      <c r="AD3" s="41" t="s">
        <v>12</v>
      </c>
      <c r="AE3" s="41" t="s">
        <v>13</v>
      </c>
      <c r="AF3" s="46" t="s">
        <v>11</v>
      </c>
      <c r="AG3" s="47" t="s">
        <v>14</v>
      </c>
      <c r="AH3" s="48" t="s">
        <v>15</v>
      </c>
      <c r="AI3" s="44" t="s">
        <v>32</v>
      </c>
      <c r="AJ3" s="44" t="s">
        <v>33</v>
      </c>
      <c r="AK3" s="44" t="s">
        <v>34</v>
      </c>
      <c r="AL3" s="49" t="s">
        <v>25</v>
      </c>
      <c r="AM3" s="50" t="s">
        <v>26</v>
      </c>
      <c r="AN3" s="50" t="s">
        <v>27</v>
      </c>
      <c r="AO3" s="50" t="s">
        <v>18</v>
      </c>
      <c r="AP3" s="41" t="s">
        <v>23</v>
      </c>
      <c r="AQ3" s="41"/>
      <c r="AR3" s="41"/>
      <c r="AS3" s="41"/>
      <c r="AT3" s="41"/>
      <c r="AU3" s="41"/>
      <c r="AV3" s="41"/>
      <c r="AW3" s="51"/>
      <c r="AX3" s="52"/>
      <c r="AY3" s="52"/>
      <c r="AZ3" s="52"/>
      <c r="BA3" s="53"/>
      <c r="BB3" s="54"/>
      <c r="BC3" s="55"/>
      <c r="BD3" s="55"/>
      <c r="BE3" s="55"/>
      <c r="BF3" s="56"/>
      <c r="BG3" s="42" t="s">
        <v>21</v>
      </c>
      <c r="BH3" s="42"/>
      <c r="BI3" s="42"/>
      <c r="BJ3" s="42"/>
      <c r="BK3" s="42"/>
      <c r="BL3" s="42"/>
      <c r="BM3" s="42"/>
      <c r="BN3" s="42" t="s">
        <v>10</v>
      </c>
      <c r="BO3" s="45" t="s">
        <v>20</v>
      </c>
      <c r="BP3" s="45"/>
      <c r="BQ3" s="45"/>
      <c r="BR3" s="45"/>
      <c r="BS3" s="45"/>
      <c r="BT3" s="45"/>
      <c r="BU3" s="45"/>
      <c r="BV3" s="45" t="s">
        <v>19</v>
      </c>
      <c r="BW3" s="41" t="s">
        <v>22</v>
      </c>
      <c r="BX3" s="41" t="s">
        <v>12</v>
      </c>
      <c r="BY3" s="41" t="s">
        <v>13</v>
      </c>
      <c r="BZ3" s="46" t="s">
        <v>11</v>
      </c>
      <c r="CA3" s="47" t="s">
        <v>14</v>
      </c>
      <c r="CB3" s="48" t="s">
        <v>15</v>
      </c>
      <c r="CC3" s="57" t="s">
        <v>43</v>
      </c>
      <c r="CD3" s="44" t="s">
        <v>56</v>
      </c>
      <c r="CE3" s="44" t="s">
        <v>33</v>
      </c>
      <c r="CF3" s="44" t="s">
        <v>34</v>
      </c>
      <c r="CG3" s="49" t="s">
        <v>25</v>
      </c>
      <c r="CH3" s="50" t="s">
        <v>26</v>
      </c>
      <c r="CI3" s="59" t="s">
        <v>27</v>
      </c>
      <c r="CJ3" s="50" t="s">
        <v>18</v>
      </c>
      <c r="CK3" s="41" t="s">
        <v>23</v>
      </c>
      <c r="CL3" s="41"/>
      <c r="CM3" s="41"/>
      <c r="CN3" s="41"/>
      <c r="CO3" s="41"/>
      <c r="CP3" s="41"/>
      <c r="CQ3" s="41"/>
      <c r="CR3" s="31"/>
      <c r="CS3" s="31"/>
      <c r="CT3" s="31"/>
      <c r="CU3" s="31"/>
      <c r="CV3" s="31"/>
      <c r="CW3" s="31"/>
      <c r="CX3" s="31"/>
      <c r="CY3" s="32"/>
      <c r="CZ3" s="32"/>
      <c r="DA3" s="32"/>
      <c r="DB3" s="32"/>
      <c r="DC3" s="32"/>
      <c r="DD3" s="32"/>
      <c r="DE3" s="32"/>
      <c r="DF3" s="33"/>
      <c r="DG3" s="33"/>
      <c r="DH3" s="33"/>
      <c r="DI3" s="33"/>
      <c r="DJ3" s="33"/>
      <c r="DK3" s="33"/>
      <c r="DL3" s="33"/>
      <c r="DM3" s="42" t="s">
        <v>21</v>
      </c>
      <c r="DN3" s="42"/>
      <c r="DO3" s="42"/>
      <c r="DP3" s="42"/>
      <c r="DQ3" s="42"/>
      <c r="DR3" s="42"/>
      <c r="DS3" s="42"/>
      <c r="DT3" s="60" t="s">
        <v>10</v>
      </c>
      <c r="DU3" s="45" t="s">
        <v>20</v>
      </c>
      <c r="DV3" s="45"/>
      <c r="DW3" s="45"/>
      <c r="DX3" s="45"/>
      <c r="DY3" s="45"/>
      <c r="DZ3" s="45"/>
      <c r="EA3" s="45"/>
      <c r="EB3" s="61" t="s">
        <v>19</v>
      </c>
      <c r="EC3" s="62" t="s">
        <v>22</v>
      </c>
      <c r="ED3" s="62" t="s">
        <v>12</v>
      </c>
      <c r="EE3" s="62" t="s">
        <v>13</v>
      </c>
      <c r="EF3" s="46" t="s">
        <v>11</v>
      </c>
      <c r="EG3" s="47" t="s">
        <v>14</v>
      </c>
      <c r="EH3" s="48" t="s">
        <v>15</v>
      </c>
      <c r="EI3" s="63" t="s">
        <v>43</v>
      </c>
      <c r="EJ3" s="44" t="s">
        <v>55</v>
      </c>
      <c r="EK3" s="44" t="s">
        <v>33</v>
      </c>
      <c r="EL3" s="44" t="s">
        <v>34</v>
      </c>
      <c r="EM3" s="64" t="s">
        <v>25</v>
      </c>
      <c r="EN3" s="44" t="s">
        <v>26</v>
      </c>
      <c r="EO3" s="44" t="s">
        <v>27</v>
      </c>
      <c r="EP3" s="44" t="s">
        <v>18</v>
      </c>
      <c r="EQ3" s="32"/>
      <c r="ER3" s="32"/>
      <c r="ES3" s="32"/>
      <c r="ET3" s="32"/>
      <c r="EU3" s="32"/>
      <c r="EV3" s="32"/>
      <c r="EW3" s="32"/>
    </row>
    <row r="4" spans="1:153" ht="15.6">
      <c r="A4" s="42"/>
      <c r="B4" s="42"/>
      <c r="C4" s="42"/>
      <c r="D4" s="43"/>
      <c r="E4" s="43"/>
      <c r="F4" s="38" t="s">
        <v>9</v>
      </c>
      <c r="G4" s="38" t="s">
        <v>3</v>
      </c>
      <c r="H4" s="38" t="s">
        <v>4</v>
      </c>
      <c r="I4" s="38" t="s">
        <v>5</v>
      </c>
      <c r="J4" s="38" t="s">
        <v>6</v>
      </c>
      <c r="K4" s="38" t="s">
        <v>7</v>
      </c>
      <c r="L4" s="38" t="s">
        <v>8</v>
      </c>
      <c r="M4" s="39" t="s">
        <v>9</v>
      </c>
      <c r="N4" s="39" t="s">
        <v>3</v>
      </c>
      <c r="O4" s="39" t="s">
        <v>4</v>
      </c>
      <c r="P4" s="39" t="s">
        <v>5</v>
      </c>
      <c r="Q4" s="39" t="s">
        <v>6</v>
      </c>
      <c r="R4" s="39" t="s">
        <v>7</v>
      </c>
      <c r="S4" s="39" t="s">
        <v>8</v>
      </c>
      <c r="T4" s="42"/>
      <c r="U4" s="40" t="s">
        <v>9</v>
      </c>
      <c r="V4" s="40" t="s">
        <v>3</v>
      </c>
      <c r="W4" s="40" t="s">
        <v>4</v>
      </c>
      <c r="X4" s="40" t="s">
        <v>5</v>
      </c>
      <c r="Y4" s="40" t="s">
        <v>6</v>
      </c>
      <c r="Z4" s="40" t="s">
        <v>7</v>
      </c>
      <c r="AA4" s="40" t="s">
        <v>8</v>
      </c>
      <c r="AB4" s="45"/>
      <c r="AC4" s="41"/>
      <c r="AD4" s="41"/>
      <c r="AE4" s="41"/>
      <c r="AF4" s="46"/>
      <c r="AG4" s="47"/>
      <c r="AH4" s="48"/>
      <c r="AI4" s="44"/>
      <c r="AJ4" s="44"/>
      <c r="AK4" s="44"/>
      <c r="AL4" s="49"/>
      <c r="AM4" s="50"/>
      <c r="AN4" s="50"/>
      <c r="AO4" s="50"/>
      <c r="AP4" s="38" t="s">
        <v>35</v>
      </c>
      <c r="AQ4" s="38" t="s">
        <v>36</v>
      </c>
      <c r="AR4" s="38" t="s">
        <v>37</v>
      </c>
      <c r="AS4" s="38" t="s">
        <v>38</v>
      </c>
      <c r="AT4" s="38" t="s">
        <v>39</v>
      </c>
      <c r="AU4" s="38" t="s">
        <v>40</v>
      </c>
      <c r="AV4" s="38" t="s">
        <v>41</v>
      </c>
      <c r="AW4" s="25" t="s">
        <v>36</v>
      </c>
      <c r="AX4" s="25" t="s">
        <v>37</v>
      </c>
      <c r="AY4" s="25" t="s">
        <v>38</v>
      </c>
      <c r="AZ4" s="25" t="s">
        <v>39</v>
      </c>
      <c r="BA4" s="25" t="s">
        <v>40</v>
      </c>
      <c r="BB4" s="40" t="s">
        <v>36</v>
      </c>
      <c r="BC4" s="40" t="s">
        <v>37</v>
      </c>
      <c r="BD4" s="40" t="s">
        <v>38</v>
      </c>
      <c r="BE4" s="40" t="s">
        <v>39</v>
      </c>
      <c r="BF4" s="40" t="s">
        <v>40</v>
      </c>
      <c r="BG4" s="39" t="s">
        <v>35</v>
      </c>
      <c r="BH4" s="39" t="s">
        <v>36</v>
      </c>
      <c r="BI4" s="39" t="s">
        <v>37</v>
      </c>
      <c r="BJ4" s="39" t="s">
        <v>38</v>
      </c>
      <c r="BK4" s="39" t="s">
        <v>39</v>
      </c>
      <c r="BL4" s="39" t="s">
        <v>40</v>
      </c>
      <c r="BM4" s="39" t="s">
        <v>41</v>
      </c>
      <c r="BN4" s="42"/>
      <c r="BO4" s="40" t="s">
        <v>35</v>
      </c>
      <c r="BP4" s="40" t="s">
        <v>36</v>
      </c>
      <c r="BQ4" s="40" t="s">
        <v>37</v>
      </c>
      <c r="BR4" s="40" t="s">
        <v>38</v>
      </c>
      <c r="BS4" s="40" t="s">
        <v>39</v>
      </c>
      <c r="BT4" s="40" t="s">
        <v>40</v>
      </c>
      <c r="BU4" s="40" t="s">
        <v>41</v>
      </c>
      <c r="BV4" s="45"/>
      <c r="BW4" s="41"/>
      <c r="BX4" s="41"/>
      <c r="BY4" s="41"/>
      <c r="BZ4" s="46"/>
      <c r="CA4" s="47"/>
      <c r="CB4" s="48"/>
      <c r="CC4" s="58"/>
      <c r="CD4" s="44"/>
      <c r="CE4" s="44"/>
      <c r="CF4" s="44"/>
      <c r="CG4" s="49"/>
      <c r="CH4" s="50"/>
      <c r="CI4" s="59"/>
      <c r="CJ4" s="50"/>
      <c r="CK4" s="38" t="s">
        <v>9</v>
      </c>
      <c r="CL4" s="38" t="s">
        <v>3</v>
      </c>
      <c r="CM4" s="38" t="s">
        <v>4</v>
      </c>
      <c r="CN4" s="38" t="s">
        <v>5</v>
      </c>
      <c r="CO4" s="38" t="s">
        <v>6</v>
      </c>
      <c r="CP4" s="38" t="s">
        <v>52</v>
      </c>
      <c r="CQ4" s="38" t="s">
        <v>8</v>
      </c>
      <c r="CR4" s="31" t="s">
        <v>9</v>
      </c>
      <c r="CS4" s="31" t="s">
        <v>3</v>
      </c>
      <c r="CT4" s="31" t="s">
        <v>4</v>
      </c>
      <c r="CU4" s="31" t="s">
        <v>5</v>
      </c>
      <c r="CV4" s="31" t="s">
        <v>6</v>
      </c>
      <c r="CW4" s="31" t="s">
        <v>52</v>
      </c>
      <c r="CX4" s="31" t="s">
        <v>8</v>
      </c>
      <c r="CY4" s="32" t="s">
        <v>9</v>
      </c>
      <c r="CZ4" s="32" t="s">
        <v>3</v>
      </c>
      <c r="DA4" s="32" t="s">
        <v>4</v>
      </c>
      <c r="DB4" s="32" t="s">
        <v>5</v>
      </c>
      <c r="DC4" s="32" t="s">
        <v>6</v>
      </c>
      <c r="DD4" s="32" t="s">
        <v>52</v>
      </c>
      <c r="DE4" s="32" t="s">
        <v>8</v>
      </c>
      <c r="DF4" s="31" t="s">
        <v>9</v>
      </c>
      <c r="DG4" s="31" t="s">
        <v>3</v>
      </c>
      <c r="DH4" s="31" t="s">
        <v>4</v>
      </c>
      <c r="DI4" s="31" t="s">
        <v>5</v>
      </c>
      <c r="DJ4" s="31" t="s">
        <v>6</v>
      </c>
      <c r="DK4" s="31" t="s">
        <v>52</v>
      </c>
      <c r="DL4" s="31" t="s">
        <v>8</v>
      </c>
      <c r="DM4" s="39" t="s">
        <v>9</v>
      </c>
      <c r="DN4" s="39" t="s">
        <v>3</v>
      </c>
      <c r="DO4" s="39" t="s">
        <v>4</v>
      </c>
      <c r="DP4" s="39" t="s">
        <v>5</v>
      </c>
      <c r="DQ4" s="39" t="s">
        <v>6</v>
      </c>
      <c r="DR4" s="39" t="s">
        <v>52</v>
      </c>
      <c r="DS4" s="39" t="s">
        <v>8</v>
      </c>
      <c r="DT4" s="60"/>
      <c r="DU4" s="40" t="s">
        <v>9</v>
      </c>
      <c r="DV4" s="40" t="s">
        <v>3</v>
      </c>
      <c r="DW4" s="40" t="s">
        <v>4</v>
      </c>
      <c r="DX4" s="40" t="s">
        <v>5</v>
      </c>
      <c r="DY4" s="40" t="s">
        <v>6</v>
      </c>
      <c r="DZ4" s="40" t="s">
        <v>52</v>
      </c>
      <c r="EA4" s="40" t="s">
        <v>8</v>
      </c>
      <c r="EB4" s="61"/>
      <c r="EC4" s="62"/>
      <c r="ED4" s="62"/>
      <c r="EE4" s="62"/>
      <c r="EF4" s="46"/>
      <c r="EG4" s="47"/>
      <c r="EH4" s="48"/>
      <c r="EI4" s="63"/>
      <c r="EJ4" s="44"/>
      <c r="EK4" s="44"/>
      <c r="EL4" s="44"/>
      <c r="EM4" s="64"/>
      <c r="EN4" s="44"/>
      <c r="EO4" s="44"/>
      <c r="EP4" s="44"/>
      <c r="EQ4" s="32" t="s">
        <v>9</v>
      </c>
      <c r="ER4" s="32" t="s">
        <v>3</v>
      </c>
      <c r="ES4" s="32" t="s">
        <v>4</v>
      </c>
      <c r="ET4" s="32" t="s">
        <v>5</v>
      </c>
      <c r="EU4" s="32" t="s">
        <v>6</v>
      </c>
      <c r="EV4" s="32" t="s">
        <v>52</v>
      </c>
      <c r="EW4" s="32" t="s">
        <v>8</v>
      </c>
    </row>
    <row r="5" spans="1:153" ht="15.6">
      <c r="A5" s="36">
        <v>34567</v>
      </c>
      <c r="B5" s="1" t="s">
        <v>57</v>
      </c>
      <c r="C5" s="37" t="s">
        <v>17</v>
      </c>
      <c r="D5" s="15" t="str">
        <f>IFERROR(VLOOKUP(A5,[1]AAV!$A:$C,3,0),"")</f>
        <v/>
      </c>
      <c r="E5" s="15" t="str">
        <f t="shared" ref="E5:E6" si="0">TEXT(D5,"mmm-yy")</f>
        <v/>
      </c>
      <c r="F5" s="37" t="s">
        <v>28</v>
      </c>
      <c r="G5" s="37" t="s">
        <v>28</v>
      </c>
      <c r="H5" s="37" t="s">
        <v>28</v>
      </c>
      <c r="I5" s="37" t="s">
        <v>31</v>
      </c>
      <c r="J5" s="37" t="s">
        <v>31</v>
      </c>
      <c r="K5" s="37" t="s">
        <v>31</v>
      </c>
      <c r="L5" s="37" t="s">
        <v>31</v>
      </c>
      <c r="M5" s="36">
        <v>17</v>
      </c>
      <c r="N5" s="37">
        <v>30</v>
      </c>
      <c r="O5" s="37">
        <v>18</v>
      </c>
      <c r="P5" s="37">
        <v>48</v>
      </c>
      <c r="Q5" s="37">
        <v>42</v>
      </c>
      <c r="R5" s="37">
        <v>26</v>
      </c>
      <c r="S5" s="37">
        <v>24</v>
      </c>
      <c r="T5" s="36">
        <v>205</v>
      </c>
      <c r="U5" s="37">
        <v>17</v>
      </c>
      <c r="V5" s="37">
        <v>30</v>
      </c>
      <c r="W5" s="37">
        <v>18</v>
      </c>
      <c r="X5" s="14">
        <v>0</v>
      </c>
      <c r="Y5" s="14">
        <v>0</v>
      </c>
      <c r="Z5" s="14">
        <v>0</v>
      </c>
      <c r="AA5" s="14">
        <v>0</v>
      </c>
      <c r="AB5" s="36">
        <v>65</v>
      </c>
      <c r="AC5" s="36">
        <v>0</v>
      </c>
      <c r="AD5" s="36" t="s">
        <v>44</v>
      </c>
      <c r="AE5" s="36" t="s">
        <v>44</v>
      </c>
      <c r="AF5" s="37">
        <v>65</v>
      </c>
      <c r="AG5" s="13">
        <v>2</v>
      </c>
      <c r="AH5" s="37" t="s">
        <v>48</v>
      </c>
      <c r="AI5" s="37">
        <v>0</v>
      </c>
      <c r="AJ5" s="37" t="s">
        <v>53</v>
      </c>
      <c r="AK5" s="37">
        <v>0</v>
      </c>
      <c r="AL5" s="15">
        <v>45261</v>
      </c>
      <c r="AM5" s="15">
        <v>45701</v>
      </c>
      <c r="AN5" s="37">
        <v>1</v>
      </c>
      <c r="AO5" s="37">
        <v>65</v>
      </c>
      <c r="AP5" s="37" t="str">
        <f>IFERROR(VLOOKUP($A5,[2]Sheet1!$A:$D,4,0),"-")</f>
        <v>-</v>
      </c>
      <c r="AQ5" s="37" t="str">
        <f>IFERROR(VLOOKUP($A5,#REF!,3,0),"-")</f>
        <v>-</v>
      </c>
      <c r="AR5" s="37" t="str">
        <f>IFERROR(VLOOKUP(A5,[3]AAV!$A:$C,3,0),"-")</f>
        <v>-</v>
      </c>
      <c r="AS5" s="37" t="str">
        <f>IFERROR(VLOOKUP(A5,[4]AAV!$A:$C,3,0),"-")</f>
        <v>-</v>
      </c>
      <c r="AT5" s="37" t="str">
        <f>IFERROR(VLOOKUP(A5,[5]AAV!$A:$C,3,0),"-")</f>
        <v>-</v>
      </c>
      <c r="AU5" s="37" t="str">
        <f>IFERROR(VLOOKUP(A5,[6]AAV!$A:$C,3,0),"-")</f>
        <v>-</v>
      </c>
      <c r="AV5" s="37" t="str">
        <f>IFERROR(VLOOKUP(A5,#REF!,13,0),"")</f>
        <v/>
      </c>
      <c r="AW5" s="37" t="str">
        <f>IFERROR(VLOOKUP(A5,[7]DATABASE!$A:$BA,49,0),"")</f>
        <v/>
      </c>
      <c r="AX5" s="37" t="str">
        <f>IFERROR(VLOOKUP(A5,[7]DATABASE!$A:$BA,50,0),"")</f>
        <v/>
      </c>
      <c r="AY5" s="37" t="str">
        <f>IFERROR(VLOOKUP(A5,[7]DATABASE!$A:$BA,51,0),"")</f>
        <v/>
      </c>
      <c r="AZ5" s="37" t="str">
        <f>IFERROR(VLOOKUP(A5,[7]DATABASE!$A:$BA,52,0),"")</f>
        <v/>
      </c>
      <c r="BA5" s="37" t="str">
        <f>IFERROR(VLOOKUP(A5,[7]DATABASE!$A:$BA,53,0),"")</f>
        <v/>
      </c>
      <c r="BB5" s="37" t="str">
        <f>IFERROR(VLOOKUP(A5,[7]DATABASE!$A:$BF,54,0),"")</f>
        <v/>
      </c>
      <c r="BC5" s="37" t="str">
        <f>IFERROR(VLOOKUP(A5,[7]DATABASE!$A:$BF,55,0),"")</f>
        <v/>
      </c>
      <c r="BD5" s="37" t="str">
        <f>IFERROR(VLOOKUP(A5,[7]DATABASE!$A:$BF,56,0),"")</f>
        <v/>
      </c>
      <c r="BE5" s="37" t="str">
        <f>IFERROR(VLOOKUP(A5,[7]DATABASE!$A:$BF,57,0),"")</f>
        <v/>
      </c>
      <c r="BF5" s="37" t="str">
        <f>IFERROR(VLOOKUP(A5,[7]DATABASE!$A:$BF,58,0),"")</f>
        <v/>
      </c>
      <c r="BG5" s="36" t="str">
        <f>IFERROR(VLOOKUP($A5,[8]Summary!$A$3:$GA$66,183,0),"")</f>
        <v/>
      </c>
      <c r="BH5" s="37" t="str">
        <f>IFERROR(VLOOKUP(A5,[7]DATABASE!$A:$BM,60,0),"")</f>
        <v/>
      </c>
      <c r="BI5" s="37" t="str">
        <f>IFERROR(VLOOKUP(A5,[7]DATABASE!$A:$BM,61,0),"")</f>
        <v/>
      </c>
      <c r="BJ5" s="37" t="str">
        <f>IFERROR(VLOOKUP(A5,[7]DATABASE!$A:$BM,62,0),"")</f>
        <v/>
      </c>
      <c r="BK5" s="37" t="str">
        <f>IFERROR(VLOOKUP(A5,[7]DATABASE!$A:$BM,63,0),"")</f>
        <v/>
      </c>
      <c r="BL5" s="37" t="str">
        <f>IFERROR(VLOOKUP(A5,[7]DATABASE!$A:$BM,64,0),"")</f>
        <v/>
      </c>
      <c r="BM5" s="37" t="str">
        <f>IFERROR(VLOOKUP($A5,[9]AAV!$A:$AM,39,0),IFERROR(VLOOKUP($A5,[9]GC!$A:$Y,25,0),IFERROR(VLOOKUP($A5,[9]RVO!$A:$BS,71,0),IFERROR(VLOOKUP($A5,[9]SBPV!$A:$AK,37,0),IFERROR(VLOOKUP($A5,'[9]CC SK'!$A:$AA,27,0),IFERROR(VLOOKUP($A5,[9]DELTA!$A:$AA,27,0),IFERROR(VLOOKUP($A5,'[9]TEMA C1'!$A:$W,23,0),IFERROR(VLOOKUP($A5,'[9]TEMA C2'!$A:$Y,25,0),IFERROR(VLOOKUP($A5,'[9]TEMA C3'!$A:$Y,25,0),IFERROR(VLOOKUP($A5,'[9]TEMA HAJI'!$A:$Y,25,0),IFERROR(VLOOKUP($A5,'[9]TEMA PD'!$A:$Y,25,0),"")))))))))))</f>
        <v/>
      </c>
      <c r="BN5" s="37">
        <f t="shared" ref="BN5:BN6" si="1">SUM(BG5:BM5)</f>
        <v>0</v>
      </c>
      <c r="BO5" s="14" t="str">
        <f t="shared" ref="BO5:BU6" si="2">IF(AP5="EKSKLUSIF",0,BG5)</f>
        <v/>
      </c>
      <c r="BP5" s="14" t="str">
        <f t="shared" si="2"/>
        <v/>
      </c>
      <c r="BQ5" s="14" t="str">
        <f t="shared" si="2"/>
        <v/>
      </c>
      <c r="BR5" s="14" t="str">
        <f t="shared" si="2"/>
        <v/>
      </c>
      <c r="BS5" s="14" t="str">
        <f t="shared" si="2"/>
        <v/>
      </c>
      <c r="BT5" s="21" t="str">
        <f t="shared" si="2"/>
        <v/>
      </c>
      <c r="BU5" s="21" t="str">
        <f t="shared" si="2"/>
        <v/>
      </c>
      <c r="BV5" s="37">
        <f t="shared" ref="BV5:BV6" si="3">SUM(BO5:BU5)</f>
        <v>0</v>
      </c>
      <c r="BW5" s="36">
        <f t="shared" ref="BW5:BW6" si="4">IF($E5=BO$1,COUNTIF(BG5:BM5,0)+COUNTIF(BG5:BM5,""),IF($E5=BP$1,COUNTIF(BH5:BM5,0)+COUNTIF(BH5:BM5,""),IF($E5=BQ$1,COUNTIF(BI5:BM5,0)+COUNTIF(BI5:BM5,""),IF($E5=BR$1,COUNTIF(BJ5:BM5,0)+COUNTIF(BJ5:BM5,""),IF($E5=BS$1,COUNTIF(BK5:BM5,0)+COUNTIF(BK5:BM5,""),IF($E5=BT$1,COUNTIF(BL5:BM5,0)+COUNTIF(BL5:BM5,""),IF($E5=BU$1,COUNTIF(BM5:BM5,0)+COUNTIF(BM5:BM5,""),COUNTIF(BG5:BM5,0)+COUNTIF(BG5:BM5,""))))))))</f>
        <v>7</v>
      </c>
      <c r="BX5" s="36" t="str">
        <f t="shared" ref="BX5:BX6" si="5">IF(BW5&gt;=3,"DOWNGRADE","TIDAK")</f>
        <v>DOWNGRADE</v>
      </c>
      <c r="BY5" s="36" t="str">
        <f>IF($E5=BO$1,IF(OR(COUNT(BG5:BI5)=0,COUNT(BH5:BJ5)=0,COUNT(BI5:BK5)=0,COUNT(BJ5:BL5)=0,COUNT(BK5:BM5)=0),"RESET","TIDAK"),IF($E5=BP$1,IF(OR(COUNT(BH5:BJ5)=0,COUNT(BI5:BK5)=0,COUNT(BJ5:BL5)=0,COUNT(BK5:BM5)=0),"RESET","TIDAK"),IF($E5=BQ$1,IF(OR(COUNT(BI5:BK5)=0,COUNT(BJ5:BL5)=0,COUNT(BK5:BM5)=0),"RESET","TIDAK"),IF($E5=BR$1,IF(OR(COUNT(BJ5:BL5)=0,COUNT(BK5:BM5)=0),"RESET","TIDAK"),IF($E5=BS$1,IF(COUNT(BK5:BM5)=0,"RESET","TIDAK"),IF(OR($E5=BT$1,$E5=BU$1),"TIDAK",IF(OR(COUNT(BG5:BI5)=0,COUNT(BH5:BJ5)=0,COUNT(BI5:BK5)=0,COUNT(BJ5:BL5)=0,COUNT(BK5:BM5)=0),"RESET","TIDAK")))))))</f>
        <v>RESET</v>
      </c>
      <c r="BZ5" s="37">
        <f t="shared" ref="BZ5:BZ6" si="6">IF(BY5="RESET", 0, IF(AND(BY5&lt;&gt;"RESET", BX5="DOWNGRADE"), (BV5+AO5)*0.5, BV5+AO5))</f>
        <v>0</v>
      </c>
      <c r="CA5" s="12" t="str">
        <f>IFERROR(VLOOKUP(A5,[10]AAV!$A:$T,20,0),"")</f>
        <v/>
      </c>
      <c r="CB5" s="37" t="str">
        <f t="shared" ref="CB5:CB6" si="7">IF(AND(BZ5&gt;=1300,CA5&gt;=3),"DIAMOND",IF(AND(BZ5&gt;=860,CA5&gt;=2),"RUBY",IF(AND(BZ5&gt;=430),"EMERALD","SAPHIRE")))</f>
        <v>SAPHIRE</v>
      </c>
      <c r="CC5" s="37" t="str">
        <f>IFERROR(VLOOKUP(A5,[11]SUMMARY!$B:$E,4,0),"")</f>
        <v/>
      </c>
      <c r="CD5" s="37">
        <f>IFERROR(VLOOKUP(A5,'[12]RECAP REDEEM P2 - v2'!$A:$I,5,0),0)</f>
        <v>0</v>
      </c>
      <c r="CE5" s="37" t="str">
        <f t="shared" ref="CE5:CE6" si="8">IF(AND(BZ5&gt;64,CD5&lt;=BZ5),"Y","FALSE")</f>
        <v>FALSE</v>
      </c>
      <c r="CF5" s="37"/>
      <c r="CG5" s="15">
        <v>45093</v>
      </c>
      <c r="CH5" s="15">
        <f t="shared" ref="CH5:CH6" ca="1" si="9">TODAY()</f>
        <v>46174</v>
      </c>
      <c r="CI5" s="37">
        <f t="shared" ref="CI5:CI6" ca="1" si="10">DATEDIF(CG5,CH5,"Y")</f>
        <v>2</v>
      </c>
      <c r="CJ5" s="37">
        <v>138</v>
      </c>
      <c r="CK5" s="37" t="str">
        <f>IFERROR(VLOOKUP($A5,[13]ME!$A:$K,11,0),"-")</f>
        <v>-</v>
      </c>
      <c r="CL5" s="37" t="str">
        <f>IFERROR(VLOOKUP($A5,[14]EKS!$A:$K,11,0),"-")</f>
        <v>-</v>
      </c>
      <c r="CM5" s="37" t="str">
        <f>IFERROR(VLOOKUP($A5,[15]EKS!$A:$K,11,0),"-")</f>
        <v>-</v>
      </c>
      <c r="CN5" s="37" t="str">
        <f>IFERROR(VLOOKUP($A5,[16]EKS!$A:$K,11,0),"-")</f>
        <v>-</v>
      </c>
      <c r="CO5" s="37" t="str">
        <f>IFERROR(VLOOKUP($A5,[17]EKS!$A:$K,11,0),"-")</f>
        <v>-</v>
      </c>
      <c r="CP5" s="37" t="str">
        <f>IFERROR(VLOOKUP($A5,[18]EKS!$A:$K,11,0),"-")</f>
        <v>-</v>
      </c>
      <c r="CQ5" s="37" t="str">
        <f>IFERROR(VLOOKUP(A5,[19]Sheet1!$A:$D,4,0),"-")</f>
        <v>-</v>
      </c>
      <c r="CR5" s="37">
        <f>IFERROR(VLOOKUP($A5,[20]AAV!$A:$AR,44,0),IFERROR(VLOOKUP($A5,[20]GC!$A:$AC,29,0),IFERROR(VLOOKUP($A5,[20]RVO!$A:$CA,79,0),IFERROR(VLOOKUP($A5,[20]SBPV!$A:$AN,40,0),IFERROR(VLOOKUP($A5,'[20]CC SK'!$A:$AC,29,0),IFERROR(VLOOKUP($A5,'[20]AAV AUTO 2000'!$A:$AA,27,0),IFERROR(VLOOKUP($A5,[20]DELTA!$A:$AC,29,0),IFERROR(VLOOKUP($A5,'[20]TEMA C1'!$A:$Y,25,0),IFERROR(VLOOKUP($A5,'[20]TEMA C2'!$A:$AA,27,0),IFERROR(VLOOKUP($A5,'[20]TEMA C3'!$A:$AA,27,0),IFERROR(VLOOKUP($A5,'[20]TEMA HAJI'!$A:$AA,27,0),IFERROR(VLOOKUP($A5,'[20]TEMA PD'!$A:$AA,27,0),IFERROR(VLOOKUP($A5,[20]DESIRE!$A:$AP,42,0),0)))))))))))))</f>
        <v>0</v>
      </c>
      <c r="CS5" s="37">
        <f>IFERROR(VLOOKUP($A5,#REF!,42+CR$1,0),IFERROR(VLOOKUP($A5,#REF!,42+CR$1,0),IFERROR(VLOOKUP($A5,#REF!,29+CR$1,0),IFERROR(VLOOKUP($A5,#REF!,16+CR$1,0),IFERROR(VLOOKUP($A5,#REF!,42+CR$1,0),IFERROR(VLOOKUP($A5,#REF!,33+CR$1,0),IFERROR(VLOOKUP($A5,#REF!,29+CR$1,0),IFERROR(VLOOKUP($A5,#REF!,42+CR$1,0),IFERROR(VLOOKUP($A5,#REF!,42+CR$1,0),IFERROR(VLOOKUP($A5,#REF!,42+CR$1,0),IFERROR(VLOOKUP($A5,#REF!,26+CR$1,0),IFERROR(VLOOKUP($A5,#REF!,5+CR$1,0),0))))))))))))</f>
        <v>0</v>
      </c>
      <c r="CT5" s="37">
        <f>IFERROR(VLOOKUP($A5,#REF!,42+CS$1,0),IFERROR(VLOOKUP($A5,#REF!,42+CS$1,0),IFERROR(VLOOKUP($A5,#REF!,29+CS$1,0),IFERROR(VLOOKUP($A5,#REF!,16+CS$1,0),IFERROR(VLOOKUP($A5,#REF!,42+CS$1,0),IFERROR(VLOOKUP($A5,#REF!,33+CS$1,0),IFERROR(VLOOKUP($A5,#REF!,29+CS$1,0),IFERROR(VLOOKUP($A5,#REF!,42+CS$1,0),IFERROR(VLOOKUP($A5,#REF!,42+CS$1,0),IFERROR(VLOOKUP($A5,#REF!,42+CS$1,0),IFERROR(VLOOKUP($A5,#REF!,26+CS$1,0),IFERROR(VLOOKUP($A5,#REF!,5+CS$1,0),0))))))))))))</f>
        <v>0</v>
      </c>
      <c r="CU5" s="37">
        <f>IFERROR(VLOOKUP($A5,#REF!,42+CT$1,0),IFERROR(VLOOKUP($A5,#REF!,42+CT$1,0),IFERROR(VLOOKUP($A5,#REF!,29+CT$1,0),IFERROR(VLOOKUP($A5,#REF!,16+CT$1,0),IFERROR(VLOOKUP($A5,#REF!,42+CT$1,0),IFERROR(VLOOKUP($A5,#REF!,33+CT$1,0),IFERROR(VLOOKUP($A5,#REF!,29+CT$1,0),IFERROR(VLOOKUP($A5,#REF!,42+CT$1,0),IFERROR(VLOOKUP($A5,#REF!,42+CT$1,0),IFERROR(VLOOKUP($A5,#REF!,42+CT$1,0),IFERROR(VLOOKUP($A5,#REF!,26+CT$1,0),IFERROR(VLOOKUP($A5,#REF!,5+CT$1,0),0))))))))))))</f>
        <v>0</v>
      </c>
      <c r="CV5" s="37">
        <f>IFERROR(VLOOKUP($A5,#REF!,42+CU$1,0),IFERROR(VLOOKUP($A5,#REF!,42+CU$1,0),IFERROR(VLOOKUP($A5,#REF!,29+CU$1,0),IFERROR(VLOOKUP($A5,#REF!,16+CU$1,0),IFERROR(VLOOKUP($A5,#REF!,42+CU$1,0),IFERROR(VLOOKUP($A5,#REF!,33+CU$1,0),IFERROR(VLOOKUP($A5,#REF!,29+CU$1,0),IFERROR(VLOOKUP($A5,#REF!,42+CU$1,0),IFERROR(VLOOKUP($A5,#REF!,42+CU$1,0),IFERROR(VLOOKUP($A5,#REF!,42+CU$1,0),IFERROR(VLOOKUP($A5,#REF!,26+CU$1,0),IFERROR(VLOOKUP($A5,#REF!,5+CU$1,0),0))))))))))))</f>
        <v>0</v>
      </c>
      <c r="CW5" s="37">
        <f>IFERROR(VLOOKUP($A5,#REF!,42+CV$1,0),IFERROR(VLOOKUP($A5,#REF!,42+CV$1,0),IFERROR(VLOOKUP($A5,#REF!,29+CV$1,0),IFERROR(VLOOKUP($A5,#REF!,16+CV$1,0),IFERROR(VLOOKUP($A5,#REF!,42+CV$1,0),IFERROR(VLOOKUP($A5,#REF!,33+CV$1,0),IFERROR(VLOOKUP($A5,#REF!,29+CV$1,0),IFERROR(VLOOKUP($A5,#REF!,42+CV$1,0),IFERROR(VLOOKUP($A5,#REF!,42+CV$1,0),IFERROR(VLOOKUP($A5,#REF!,42+CV$1,0),IFERROR(VLOOKUP($A5,#REF!,26+CV$1,0),IFERROR(VLOOKUP($A5,#REF!,5+CV$1,0),0))))))))))))</f>
        <v>0</v>
      </c>
      <c r="CX5" s="37">
        <f>IFERROR(VLOOKUP($A5,#REF!,36,0),IFERROR(VLOOKUP($A5,#REF!,23,0),IFERROR(VLOOKUP($A5,#REF!,65,0),IFERROR(VLOOKUP($A5,#REF!,34,0),IFERROR(VLOOKUP($A5,#REF!,25,0),IFERROR(VLOOKUP($A5,#REF!,25,0),IFERROR(VLOOKUP($A5,#REF!,21,0),IFERROR(VLOOKUP($A5,#REF!,23,0),IFERROR(VLOOKUP($A5,#REF!,23,0),IFERROR(VLOOKUP($A5,#REF!,23,0),IFERROR(VLOOKUP($A5,#REF!,23,0),IFERROR(VLOOKUP($A5,#REF!,23,0),IFERROR(VLOOKUP($A5,#REF!,21,0),IFERROR(VLOOKUP($A5,#REF!,23,0),0))))))))))))))</f>
        <v>0</v>
      </c>
      <c r="CY5" s="37">
        <f>IFERROR(VLOOKUP($A5,[20]DESIRE!$A:$AP,42,0),IFERROR(VLOOKUP($A5,'[20]TEMA PD'!$A:$AA,27,0),IFERROR(VLOOKUP($A5,'[20]TEMA HAJI'!$A:$AA,27,0),IFERROR(VLOOKUP($A5,'[20]TEMA C3'!$A:$AA,27,0),IFERROR(VLOOKUP($A5,'[20]TEMA C2'!$A:$AA,27,0),IFERROR(VLOOKUP($A5,'[20]TEMA C1'!$A:$Y,25,0),IFERROR(VLOOKUP($A5,[20]DELTA!$A:$AC,29,0),IFERROR(VLOOKUP($A5,'[20]AAV AUTO 2000'!$A:$AA,27,0),IFERROR(VLOOKUP($A5,'[20]CC SK'!$A:$AC,29,0),IFERROR(VLOOKUP($A5,[20]SBPV!$A:$AN,40,0),IFERROR(VLOOKUP($A5,[20]RVO!$A:$CA,79,0),IFERROR(VLOOKUP($A5,[20]GC!$A:$AC,29,0),IFERROR(VLOOKUP($A5,[20]AAV!$A:$AR,44,0),0)))))))))))))</f>
        <v>0</v>
      </c>
      <c r="CZ5" s="37">
        <f>IFERROR(VLOOKUP($A5,#REF!,5+CY$1,0),IFERROR(VLOOKUP($A5,#REF!,26+CY$1,0),IFERROR(VLOOKUP($A5,#REF!,42+CY$1,0),IFERROR(VLOOKUP($A5,#REF!,42+CY$1,0),IFERROR(VLOOKUP($A5,#REF!,42+CY$1,0),IFERROR(VLOOKUP($A5,#REF!,29+CY$1,0),IFERROR(VLOOKUP($A5,#REF!,33+CY$1,0),IFERROR(VLOOKUP($A5,#REF!,42+CY$1,0),IFERROR(VLOOKUP($A5,#REF!,16+CY$1,0),IFERROR(VLOOKUP($A5,#REF!,29+CY$1,0),IFERROR(VLOOKUP($A5,#REF!,42+CY$1,0),IFERROR(VLOOKUP($A5,#REF!,42+CY$1,0),0))))))))))))</f>
        <v>0</v>
      </c>
      <c r="DA5" s="37">
        <f>IFERROR(VLOOKUP($A5,#REF!,5+CZ$1,0),IFERROR(VLOOKUP($A5,#REF!,26+CZ$1,0),IFERROR(VLOOKUP($A5,#REF!,42+CZ$1,0),IFERROR(VLOOKUP($A5,#REF!,42+CZ$1,0),IFERROR(VLOOKUP($A5,#REF!,42+CZ$1,0),IFERROR(VLOOKUP($A5,#REF!,29+CZ$1,0),IFERROR(VLOOKUP($A5,#REF!,33+CZ$1,0),IFERROR(VLOOKUP($A5,#REF!,42+CZ$1,0),IFERROR(VLOOKUP($A5,#REF!,16+CZ$1,0),IFERROR(VLOOKUP($A5,#REF!,29+CZ$1,0),IFERROR(VLOOKUP($A5,#REF!,42+CZ$1,0),IFERROR(VLOOKUP($A5,#REF!,42+CZ$1,0),0))))))))))))</f>
        <v>0</v>
      </c>
      <c r="DB5" s="37">
        <f>IFERROR(VLOOKUP($A5,#REF!,5+DA$1,0),IFERROR(VLOOKUP($A5,#REF!,26+DA$1,0),IFERROR(VLOOKUP($A5,#REF!,42+DA$1,0),IFERROR(VLOOKUP($A5,#REF!,42+DA$1,0),IFERROR(VLOOKUP($A5,#REF!,42+DA$1,0),IFERROR(VLOOKUP($A5,#REF!,29+DA$1,0),IFERROR(VLOOKUP($A5,#REF!,33+DA$1,0),IFERROR(VLOOKUP($A5,#REF!,42+DA$1,0),IFERROR(VLOOKUP($A5,#REF!,16+DA$1,0),IFERROR(VLOOKUP($A5,#REF!,29+DA$1,0),IFERROR(VLOOKUP($A5,#REF!,42+DA$1,0),IFERROR(VLOOKUP($A5,#REF!,42+DA$1,0),0))))))))))))</f>
        <v>0</v>
      </c>
      <c r="DC5" s="37">
        <f>IFERROR(VLOOKUP($A5,#REF!,5+DB$1,0),IFERROR(VLOOKUP($A5,#REF!,26+DB$1,0),IFERROR(VLOOKUP($A5,#REF!,42+DB$1,0),IFERROR(VLOOKUP($A5,#REF!,42+DB$1,0),IFERROR(VLOOKUP($A5,#REF!,42+DB$1,0),IFERROR(VLOOKUP($A5,#REF!,29+DB$1,0),IFERROR(VLOOKUP($A5,#REF!,33+DB$1,0),IFERROR(VLOOKUP($A5,#REF!,42+DB$1,0),IFERROR(VLOOKUP($A5,#REF!,16+DB$1,0),IFERROR(VLOOKUP($A5,#REF!,29+DB$1,0),IFERROR(VLOOKUP($A5,#REF!,42+DB$1,0),IFERROR(VLOOKUP($A5,#REF!,42+DB$1,0),0))))))))))))</f>
        <v>0</v>
      </c>
      <c r="DD5" s="37">
        <f>IFERROR(VLOOKUP($A5,#REF!,5+DC$1,0),IFERROR(VLOOKUP($A5,#REF!,26+DC$1,0),IFERROR(VLOOKUP($A5,#REF!,42+DC$1,0),IFERROR(VLOOKUP($A5,#REF!,42+DC$1,0),IFERROR(VLOOKUP($A5,#REF!,42+DC$1,0),IFERROR(VLOOKUP($A5,#REF!,29+DC$1,0),IFERROR(VLOOKUP($A5,#REF!,33+DC$1,0),IFERROR(VLOOKUP($A5,#REF!,42+DC$1,0),IFERROR(VLOOKUP($A5,#REF!,16+DC$1,0),IFERROR(VLOOKUP($A5,#REF!,29+DC$1,0),IFERROR(VLOOKUP($A5,#REF!,42+DC$1,0),IFERROR(VLOOKUP($A5,#REF!,42+DC$1,0),0))))))))))))</f>
        <v>0</v>
      </c>
      <c r="DE5" s="37">
        <f>IFERROR(VLOOKUP($A5,#REF!,23,0),IFERROR(VLOOKUP($A5,#REF!,21,0),IFERROR(VLOOKUP($A5,#REF!,23,0),IFERROR(VLOOKUP($A5,#REF!,23,0),IFERROR(VLOOKUP($A5,#REF!,23,0),IFERROR(VLOOKUP($A5,#REF!,23,0),IFERROR(VLOOKUP($A5,#REF!,23,0),IFERROR(VLOOKUP($A5,#REF!,21,0),IFERROR(VLOOKUP($A5,#REF!,25,0),IFERROR(VLOOKUP($A5,#REF!,25,0),IFERROR(VLOOKUP($A5,#REF!,34,0),IFERROR(VLOOKUP($A5,#REF!,65,0),IFERROR(VLOOKUP($A5,#REF!,23,0),IFERROR(VLOOKUP($A5,#REF!,36,0),0))))))))))))))</f>
        <v>0</v>
      </c>
      <c r="DF5" s="37" t="b">
        <f t="shared" ref="DF5:DL6" si="11">CR5=CY5</f>
        <v>1</v>
      </c>
      <c r="DG5" s="37" t="b">
        <f t="shared" si="11"/>
        <v>1</v>
      </c>
      <c r="DH5" s="37" t="b">
        <f t="shared" si="11"/>
        <v>1</v>
      </c>
      <c r="DI5" s="37" t="b">
        <f t="shared" si="11"/>
        <v>1</v>
      </c>
      <c r="DJ5" s="37" t="b">
        <f t="shared" si="11"/>
        <v>1</v>
      </c>
      <c r="DK5" s="37" t="b">
        <f t="shared" si="11"/>
        <v>1</v>
      </c>
      <c r="DL5" s="37" t="b">
        <f t="shared" si="11"/>
        <v>1</v>
      </c>
      <c r="DM5" s="37">
        <f t="shared" ref="DM5:DS6" si="12">CR5</f>
        <v>0</v>
      </c>
      <c r="DN5" s="37">
        <f t="shared" si="12"/>
        <v>0</v>
      </c>
      <c r="DO5" s="37">
        <f t="shared" si="12"/>
        <v>0</v>
      </c>
      <c r="DP5" s="37">
        <f t="shared" si="12"/>
        <v>0</v>
      </c>
      <c r="DQ5" s="37">
        <f t="shared" si="12"/>
        <v>0</v>
      </c>
      <c r="DR5" s="37">
        <f t="shared" si="12"/>
        <v>0</v>
      </c>
      <c r="DS5" s="37">
        <f t="shared" si="12"/>
        <v>0</v>
      </c>
      <c r="DT5" s="29">
        <f t="shared" ref="DT5:DT6" si="13">SUM(DM5:DS5)</f>
        <v>0</v>
      </c>
      <c r="DU5" s="14">
        <f t="shared" ref="DU5:EA6" si="14">IF(CK5="EKSKLUSIF",0,DM5)</f>
        <v>0</v>
      </c>
      <c r="DV5" s="14">
        <f t="shared" si="14"/>
        <v>0</v>
      </c>
      <c r="DW5" s="37">
        <f t="shared" si="14"/>
        <v>0</v>
      </c>
      <c r="DX5" s="37">
        <f t="shared" si="14"/>
        <v>0</v>
      </c>
      <c r="DY5" s="37">
        <f t="shared" si="14"/>
        <v>0</v>
      </c>
      <c r="DZ5" s="37">
        <f t="shared" si="14"/>
        <v>0</v>
      </c>
      <c r="EA5" s="37">
        <f t="shared" si="14"/>
        <v>0</v>
      </c>
      <c r="EB5" s="29">
        <f t="shared" ref="EB5:EB6" si="15">SUM(DU5:EA5)</f>
        <v>0</v>
      </c>
      <c r="EC5" s="36">
        <f t="shared" ref="EC5:EC6" si="16">IF($E5=DU$1,COUNTIF(DM5:DS5,0)+COUNTIF(DM5:DS5,""),IF($E5=DV$1,COUNTIF(DN5:DS5,0)+COUNTIF(DN5:DS5,""),IF($E5=DW$1,COUNTIF(DO5:DS5,0)+COUNTIF(DO5:DS5,""),IF($E5=DX$1,COUNTIF(DP5:DS5,0)+COUNTIF(DP5:DS5,""),IF($E5=DY$1,COUNTIF(DQ5:DS5,0)+COUNTIF(DQ5:DS5,""),IF($E5=DZ$1,COUNTIF(DR5:DS5,0)+COUNTIF(DR5:DS5,""),IF($E5=EA$1,COUNTIF(DS5:DS5,0)+COUNTIF(DS5:DS5,""),COUNTIF(DM5:DS5,0)+COUNTIF(DM5:DS5,""))))))))</f>
        <v>7</v>
      </c>
      <c r="ED5" s="36" t="str">
        <f t="shared" ref="ED5:ED6" si="17">IF(EC5&gt;=3,"DOWNGRADE","TIDAK")</f>
        <v>DOWNGRADE</v>
      </c>
      <c r="EE5" s="36" t="str">
        <f t="shared" ref="EE5:EE6" si="18">IF($E5=DU$1,IF(OR(SUM(DM5:DO5)=0,SUM(DN5:DP5)=0,SUM(DO5:DQ5)=0,SUM(DP5:DR5)=0,SUM(DQ5:DS5)=0),"RESET","TIDAK"),IF($E5=DV$1,IF(OR(SUM(DN5:DP5)=0,SUM(DO5:DQ5)=0,SUM(DP5:DR5)=0,SUM(DQ5:DS5)=0),"RESET","TIDAK"),IF($E5=DW$1,IF(OR(SUM(DO5:DQ5)=0,SUM(DP5:DR5)=0,SUM(DQ5:DS5)=0),"RESET","TIDAK"),IF($E5=DX$1,IF(OR(SUM(DP5:DR5)=0,SUM(DQ5:DS5)=0),"RESET","TIDAK"),IF($E5=DY$1,IF(SUM(DQ5:DS5)=0,"RESET","TIDAK"),IF(OR($E5=DZ$1,$E5=EA$1),"TIDAK",IF(OR(SUM(DM5:DO5)=0,SUM(DN5:DP5)=0,SUM(DO5:DQ5)=0,SUM(DP5:DR5)=0,SUM(DQ5:DS5)=0),"RESET","TIDAK")))))))</f>
        <v>RESET</v>
      </c>
      <c r="EF5" s="37">
        <v>100</v>
      </c>
      <c r="EG5" s="2" t="str">
        <f>IFERROR(VLOOKUP(A5,[21]AAV!$A:$AD,30,0),"")</f>
        <v/>
      </c>
      <c r="EH5" s="37" t="str">
        <f t="shared" ref="EH5:EH6" si="19">IF(AND(EF5&gt;=1300,EG5&gt;=3),"DIAMOND",IF(AND(EF5&gt;=860,EG5&gt;=2),"RUBY",IF(AND(EF5&gt;=430),"EMERALD","SAPHIRE")))</f>
        <v>SAPHIRE</v>
      </c>
      <c r="EI5" s="2"/>
      <c r="EJ5" s="2"/>
      <c r="EK5" s="2"/>
      <c r="EL5" s="2"/>
      <c r="EM5" s="2"/>
      <c r="EN5" s="2"/>
      <c r="EO5" s="2"/>
      <c r="EP5" s="2"/>
      <c r="EQ5" s="37">
        <f t="shared" ref="EQ5:EW6" si="20">IF(AND(CR5=CY5,CR5&gt;0),CR5,IF(AND(CR5=CY5,CR5&lt;=0),CY5,SUM(CR5,CY5)))</f>
        <v>0</v>
      </c>
      <c r="ER5" s="37">
        <f t="shared" si="20"/>
        <v>0</v>
      </c>
      <c r="ES5" s="37">
        <f t="shared" si="20"/>
        <v>0</v>
      </c>
      <c r="ET5" s="37">
        <f t="shared" si="20"/>
        <v>0</v>
      </c>
      <c r="EU5" s="37">
        <f t="shared" si="20"/>
        <v>0</v>
      </c>
      <c r="EV5" s="37">
        <f t="shared" si="20"/>
        <v>0</v>
      </c>
      <c r="EW5" s="37">
        <f t="shared" si="20"/>
        <v>0</v>
      </c>
    </row>
    <row r="6" spans="1:153" ht="15.6">
      <c r="A6" s="36">
        <v>40002</v>
      </c>
      <c r="B6" s="1" t="s">
        <v>57</v>
      </c>
      <c r="C6" s="37" t="s">
        <v>17</v>
      </c>
      <c r="D6" s="15" t="str">
        <f>IFERROR(VLOOKUP(A6,[1]AAV!$A:$C,3,0),"")</f>
        <v/>
      </c>
      <c r="E6" s="15" t="str">
        <f t="shared" si="0"/>
        <v/>
      </c>
      <c r="F6" s="37" t="s">
        <v>45</v>
      </c>
      <c r="G6" s="37" t="s">
        <v>28</v>
      </c>
      <c r="H6" s="37" t="s">
        <v>45</v>
      </c>
      <c r="I6" s="37" t="s">
        <v>28</v>
      </c>
      <c r="J6" s="37" t="s">
        <v>45</v>
      </c>
      <c r="K6" s="37" t="s">
        <v>45</v>
      </c>
      <c r="L6" s="37" t="s">
        <v>45</v>
      </c>
      <c r="M6" s="36"/>
      <c r="N6" s="37">
        <v>1</v>
      </c>
      <c r="O6" s="37"/>
      <c r="P6" s="37">
        <v>12</v>
      </c>
      <c r="Q6" s="37"/>
      <c r="R6" s="37"/>
      <c r="S6" s="37"/>
      <c r="T6" s="36">
        <v>13</v>
      </c>
      <c r="U6" s="37">
        <v>0</v>
      </c>
      <c r="V6" s="37">
        <v>1</v>
      </c>
      <c r="W6" s="37">
        <v>0</v>
      </c>
      <c r="X6" s="37">
        <v>12</v>
      </c>
      <c r="Y6" s="37">
        <v>0</v>
      </c>
      <c r="Z6" s="37">
        <v>0</v>
      </c>
      <c r="AA6" s="37">
        <v>0</v>
      </c>
      <c r="AB6" s="36">
        <v>13</v>
      </c>
      <c r="AC6" s="36">
        <v>5</v>
      </c>
      <c r="AD6" s="36" t="s">
        <v>46</v>
      </c>
      <c r="AE6" s="36" t="s">
        <v>47</v>
      </c>
      <c r="AF6" s="37">
        <v>0</v>
      </c>
      <c r="AG6" s="13">
        <v>2</v>
      </c>
      <c r="AH6" s="37" t="s">
        <v>48</v>
      </c>
      <c r="AI6" s="37">
        <v>0</v>
      </c>
      <c r="AJ6" s="37" t="s">
        <v>54</v>
      </c>
      <c r="AK6" s="37">
        <v>0</v>
      </c>
      <c r="AL6" s="15">
        <v>45261</v>
      </c>
      <c r="AM6" s="15">
        <v>45701</v>
      </c>
      <c r="AN6" s="37">
        <v>1</v>
      </c>
      <c r="AO6" s="37">
        <v>0</v>
      </c>
      <c r="AP6" s="37" t="str">
        <f>IFERROR(VLOOKUP($A6,[2]Sheet1!$A:$D,4,0),"-")</f>
        <v>-</v>
      </c>
      <c r="AQ6" s="37" t="str">
        <f>IFERROR(VLOOKUP($A6,#REF!,3,0),"-")</f>
        <v>-</v>
      </c>
      <c r="AR6" s="37" t="str">
        <f>IFERROR(VLOOKUP(A6,[3]AAV!$A:$C,3,0),"-")</f>
        <v>-</v>
      </c>
      <c r="AS6" s="37" t="str">
        <f>IFERROR(VLOOKUP(A6,[4]AAV!$A:$C,3,0),"-")</f>
        <v>-</v>
      </c>
      <c r="AT6" s="37" t="str">
        <f>IFERROR(VLOOKUP(A6,[5]AAV!$A:$C,3,0),"-")</f>
        <v>-</v>
      </c>
      <c r="AU6" s="37" t="str">
        <f>IFERROR(VLOOKUP(A6,[6]AAV!$A:$C,3,0),"-")</f>
        <v>-</v>
      </c>
      <c r="AV6" s="37" t="str">
        <f>IFERROR(VLOOKUP(A6,#REF!,13,0),"")</f>
        <v/>
      </c>
      <c r="AW6" s="37" t="str">
        <f>IFERROR(VLOOKUP(A6,[7]DATABASE!$A:$BA,49,0),"")</f>
        <v/>
      </c>
      <c r="AX6" s="37" t="str">
        <f>IFERROR(VLOOKUP(A6,[7]DATABASE!$A:$BA,50,0),"")</f>
        <v/>
      </c>
      <c r="AY6" s="37" t="str">
        <f>IFERROR(VLOOKUP(A6,[7]DATABASE!$A:$BA,51,0),"")</f>
        <v/>
      </c>
      <c r="AZ6" s="37" t="str">
        <f>IFERROR(VLOOKUP(A6,[7]DATABASE!$A:$BA,52,0),"")</f>
        <v/>
      </c>
      <c r="BA6" s="37" t="str">
        <f>IFERROR(VLOOKUP(A6,[7]DATABASE!$A:$BA,53,0),"")</f>
        <v/>
      </c>
      <c r="BB6" s="37" t="str">
        <f>IFERROR(VLOOKUP(A6,[7]DATABASE!$A:$BF,54,0),"")</f>
        <v/>
      </c>
      <c r="BC6" s="37" t="str">
        <f>IFERROR(VLOOKUP(A6,[7]DATABASE!$A:$BF,55,0),"")</f>
        <v/>
      </c>
      <c r="BD6" s="37" t="str">
        <f>IFERROR(VLOOKUP(A6,[7]DATABASE!$A:$BF,56,0),"")</f>
        <v/>
      </c>
      <c r="BE6" s="37" t="str">
        <f>IFERROR(VLOOKUP(A6,[7]DATABASE!$A:$BF,57,0),"")</f>
        <v/>
      </c>
      <c r="BF6" s="37" t="str">
        <f>IFERROR(VLOOKUP(A6,[7]DATABASE!$A:$BF,58,0),"")</f>
        <v/>
      </c>
      <c r="BG6" s="36"/>
      <c r="BH6" s="37" t="str">
        <f>IFERROR(VLOOKUP(A6,[7]DATABASE!$A:$BM,60,0),"")</f>
        <v/>
      </c>
      <c r="BI6" s="37" t="str">
        <f>IFERROR(VLOOKUP(A6,[7]DATABASE!$A:$BM,61,0),"")</f>
        <v/>
      </c>
      <c r="BJ6" s="37" t="str">
        <f>IFERROR(VLOOKUP(A6,[7]DATABASE!$A:$BM,62,0),"")</f>
        <v/>
      </c>
      <c r="BK6" s="37" t="str">
        <f>IFERROR(VLOOKUP(A6,[7]DATABASE!$A:$BM,63,0),"")</f>
        <v/>
      </c>
      <c r="BL6" s="37" t="str">
        <f>IFERROR(VLOOKUP(A6,[7]DATABASE!$A:$BM,64,0),"")</f>
        <v/>
      </c>
      <c r="BM6" s="37" t="str">
        <f>IFERROR(VLOOKUP($A6,[9]AAV!$A:$AM,39,0),IFERROR(VLOOKUP($A6,[9]GC!$A:$Y,25,0),IFERROR(VLOOKUP($A6,[9]RVO!$A:$BS,71,0),IFERROR(VLOOKUP($A6,[9]SBPV!$A:$AK,37,0),IFERROR(VLOOKUP($A6,'[9]CC SK'!$A:$AA,27,0),IFERROR(VLOOKUP($A6,[9]DELTA!$A:$AA,27,0),IFERROR(VLOOKUP($A6,'[9]TEMA C1'!$A:$W,23,0),IFERROR(VLOOKUP($A6,'[9]TEMA C2'!$A:$Y,25,0),IFERROR(VLOOKUP($A6,'[9]TEMA C3'!$A:$Y,25,0),IFERROR(VLOOKUP($A6,'[9]TEMA HAJI'!$A:$Y,25,0),IFERROR(VLOOKUP($A6,'[9]TEMA PD'!$A:$Y,25,0),"")))))))))))</f>
        <v/>
      </c>
      <c r="BN6" s="37">
        <f t="shared" si="1"/>
        <v>0</v>
      </c>
      <c r="BO6" s="37">
        <f t="shared" si="2"/>
        <v>0</v>
      </c>
      <c r="BP6" s="37" t="str">
        <f t="shared" si="2"/>
        <v/>
      </c>
      <c r="BQ6" s="37" t="str">
        <f t="shared" si="2"/>
        <v/>
      </c>
      <c r="BR6" s="37" t="str">
        <f t="shared" si="2"/>
        <v/>
      </c>
      <c r="BS6" s="37" t="str">
        <f t="shared" si="2"/>
        <v/>
      </c>
      <c r="BT6" s="37" t="str">
        <f t="shared" si="2"/>
        <v/>
      </c>
      <c r="BU6" s="37" t="str">
        <f t="shared" si="2"/>
        <v/>
      </c>
      <c r="BV6" s="37">
        <f t="shared" si="3"/>
        <v>0</v>
      </c>
      <c r="BW6" s="36">
        <f t="shared" si="4"/>
        <v>7</v>
      </c>
      <c r="BX6" s="36" t="str">
        <f t="shared" si="5"/>
        <v>DOWNGRADE</v>
      </c>
      <c r="BY6" s="36" t="str">
        <f>IFERROR(VLOOKUP(A6,[7]DATABASE!$A:$BY,77,0),"")</f>
        <v/>
      </c>
      <c r="BZ6" s="37">
        <f t="shared" si="6"/>
        <v>0</v>
      </c>
      <c r="CA6" s="12" t="str">
        <f>IFERROR(VLOOKUP(A6,[10]AAV!$A:$T,20,0),"")</f>
        <v/>
      </c>
      <c r="CB6" s="37" t="str">
        <f t="shared" si="7"/>
        <v>SAPHIRE</v>
      </c>
      <c r="CC6" s="37" t="str">
        <f>IFERROR(VLOOKUP(A6,[11]SUMMARY!$B:$E,4,0),"")</f>
        <v/>
      </c>
      <c r="CD6" s="37">
        <f>IFERROR(VLOOKUP(A6,'[12]RECAP REDEEM P2 - v2'!$A:$I,5,0),0)</f>
        <v>0</v>
      </c>
      <c r="CE6" s="37" t="str">
        <f t="shared" si="8"/>
        <v>FALSE</v>
      </c>
      <c r="CF6" s="37"/>
      <c r="CG6" s="15">
        <v>45093</v>
      </c>
      <c r="CH6" s="15">
        <f t="shared" ca="1" si="9"/>
        <v>46174</v>
      </c>
      <c r="CI6" s="37">
        <f t="shared" ca="1" si="10"/>
        <v>2</v>
      </c>
      <c r="CJ6" s="37">
        <v>0</v>
      </c>
      <c r="CK6" s="37" t="str">
        <f>IFERROR(VLOOKUP($A6,[13]ME!$A:$K,11,0),"-")</f>
        <v>-</v>
      </c>
      <c r="CL6" s="37" t="str">
        <f>IFERROR(VLOOKUP($A6,[14]EKS!$A:$K,11,0),"-")</f>
        <v>-</v>
      </c>
      <c r="CM6" s="37" t="str">
        <f>IFERROR(VLOOKUP($A6,[15]EKS!$A:$K,11,0),"-")</f>
        <v>-</v>
      </c>
      <c r="CN6" s="37" t="str">
        <f>IFERROR(VLOOKUP($A6,[16]EKS!$A:$K,11,0),"-")</f>
        <v>-</v>
      </c>
      <c r="CO6" s="37" t="str">
        <f>IFERROR(VLOOKUP($A6,[17]EKS!$A:$K,11,0),"-")</f>
        <v>-</v>
      </c>
      <c r="CP6" s="37" t="str">
        <f>IFERROR(VLOOKUP($A6,[18]EKS!$A:$K,11,0),"-")</f>
        <v>-</v>
      </c>
      <c r="CQ6" s="37" t="str">
        <f>IFERROR(VLOOKUP(A6,[19]Sheet1!$A:$D,4,0),"-")</f>
        <v>-</v>
      </c>
      <c r="CR6" s="37">
        <f>IFERROR(VLOOKUP($A6,[20]AAV!$A:$AR,44,0),IFERROR(VLOOKUP($A6,[20]GC!$A:$AC,29,0),IFERROR(VLOOKUP($A6,[20]RVO!$A:$CA,79,0),IFERROR(VLOOKUP($A6,[20]SBPV!$A:$AN,40,0),IFERROR(VLOOKUP($A6,'[20]CC SK'!$A:$AC,29,0),IFERROR(VLOOKUP($A6,'[20]AAV AUTO 2000'!$A:$AA,27,0),IFERROR(VLOOKUP($A6,[20]DELTA!$A:$AC,29,0),IFERROR(VLOOKUP($A6,'[20]TEMA C1'!$A:$Y,25,0),IFERROR(VLOOKUP($A6,'[20]TEMA C2'!$A:$AA,27,0),IFERROR(VLOOKUP($A6,'[20]TEMA C3'!$A:$AA,27,0),IFERROR(VLOOKUP($A6,'[20]TEMA HAJI'!$A:$AA,27,0),IFERROR(VLOOKUP($A6,'[20]TEMA PD'!$A:$AA,27,0),IFERROR(VLOOKUP($A6,[20]DESIRE!$A:$AP,42,0),0)))))))))))))</f>
        <v>0</v>
      </c>
      <c r="CS6" s="37">
        <f>IFERROR(VLOOKUP($A6,#REF!,42+CR$1,0),IFERROR(VLOOKUP($A6,#REF!,42+CR$1,0),IFERROR(VLOOKUP($A6,#REF!,29+CR$1,0),IFERROR(VLOOKUP($A6,#REF!,16+CR$1,0),IFERROR(VLOOKUP($A6,#REF!,42+CR$1,0),IFERROR(VLOOKUP($A6,#REF!,33+CR$1,0),IFERROR(VLOOKUP($A6,#REF!,29+CR$1,0),IFERROR(VLOOKUP($A6,#REF!,42+CR$1,0),IFERROR(VLOOKUP($A6,#REF!,42+CR$1,0),IFERROR(VLOOKUP($A6,#REF!,42+CR$1,0),IFERROR(VLOOKUP($A6,#REF!,26+CR$1,0),IFERROR(VLOOKUP($A6,#REF!,5+CR$1,0),0))))))))))))</f>
        <v>0</v>
      </c>
      <c r="CT6" s="37">
        <f>IFERROR(VLOOKUP($A6,#REF!,42+CS$1,0),IFERROR(VLOOKUP($A6,#REF!,42+CS$1,0),IFERROR(VLOOKUP($A6,#REF!,29+CS$1,0),IFERROR(VLOOKUP($A6,#REF!,16+CS$1,0),IFERROR(VLOOKUP($A6,#REF!,42+CS$1,0),IFERROR(VLOOKUP($A6,#REF!,33+CS$1,0),IFERROR(VLOOKUP($A6,#REF!,29+CS$1,0),IFERROR(VLOOKUP($A6,#REF!,42+CS$1,0),IFERROR(VLOOKUP($A6,#REF!,42+CS$1,0),IFERROR(VLOOKUP($A6,#REF!,42+CS$1,0),IFERROR(VLOOKUP($A6,#REF!,26+CS$1,0),IFERROR(VLOOKUP($A6,#REF!,5+CS$1,0),0))))))))))))</f>
        <v>0</v>
      </c>
      <c r="CU6" s="37">
        <f>IFERROR(VLOOKUP($A6,#REF!,42+CT$1,0),IFERROR(VLOOKUP($A6,#REF!,42+CT$1,0),IFERROR(VLOOKUP($A6,#REF!,29+CT$1,0),IFERROR(VLOOKUP($A6,#REF!,16+CT$1,0),IFERROR(VLOOKUP($A6,#REF!,42+CT$1,0),IFERROR(VLOOKUP($A6,#REF!,33+CT$1,0),IFERROR(VLOOKUP($A6,#REF!,29+CT$1,0),IFERROR(VLOOKUP($A6,#REF!,42+CT$1,0),IFERROR(VLOOKUP($A6,#REF!,42+CT$1,0),IFERROR(VLOOKUP($A6,#REF!,42+CT$1,0),IFERROR(VLOOKUP($A6,#REF!,26+CT$1,0),IFERROR(VLOOKUP($A6,#REF!,5+CT$1,0),0))))))))))))</f>
        <v>0</v>
      </c>
      <c r="CV6" s="37">
        <f>IFERROR(VLOOKUP($A6,#REF!,42+CU$1,0),IFERROR(VLOOKUP($A6,#REF!,42+CU$1,0),IFERROR(VLOOKUP($A6,#REF!,29+CU$1,0),IFERROR(VLOOKUP($A6,#REF!,16+CU$1,0),IFERROR(VLOOKUP($A6,#REF!,42+CU$1,0),IFERROR(VLOOKUP($A6,#REF!,33+CU$1,0),IFERROR(VLOOKUP($A6,#REF!,29+CU$1,0),IFERROR(VLOOKUP($A6,#REF!,42+CU$1,0),IFERROR(VLOOKUP($A6,#REF!,42+CU$1,0),IFERROR(VLOOKUP($A6,#REF!,42+CU$1,0),IFERROR(VLOOKUP($A6,#REF!,26+CU$1,0),IFERROR(VLOOKUP($A6,#REF!,5+CU$1,0),0))))))))))))</f>
        <v>0</v>
      </c>
      <c r="CW6" s="37">
        <f>IFERROR(VLOOKUP($A6,#REF!,42+CV$1,0),IFERROR(VLOOKUP($A6,#REF!,42+CV$1,0),IFERROR(VLOOKUP($A6,#REF!,29+CV$1,0),IFERROR(VLOOKUP($A6,#REF!,16+CV$1,0),IFERROR(VLOOKUP($A6,#REF!,42+CV$1,0),IFERROR(VLOOKUP($A6,#REF!,33+CV$1,0),IFERROR(VLOOKUP($A6,#REF!,29+CV$1,0),IFERROR(VLOOKUP($A6,#REF!,42+CV$1,0),IFERROR(VLOOKUP($A6,#REF!,42+CV$1,0),IFERROR(VLOOKUP($A6,#REF!,42+CV$1,0),IFERROR(VLOOKUP($A6,#REF!,26+CV$1,0),IFERROR(VLOOKUP($A6,#REF!,5+CV$1,0),0))))))))))))</f>
        <v>0</v>
      </c>
      <c r="CX6" s="37">
        <f>IFERROR(VLOOKUP($A6,#REF!,36,0),IFERROR(VLOOKUP($A6,#REF!,23,0),IFERROR(VLOOKUP($A6,#REF!,65,0),IFERROR(VLOOKUP($A6,#REF!,34,0),IFERROR(VLOOKUP($A6,#REF!,25,0),IFERROR(VLOOKUP($A6,#REF!,25,0),IFERROR(VLOOKUP($A6,#REF!,21,0),IFERROR(VLOOKUP($A6,#REF!,23,0),IFERROR(VLOOKUP($A6,#REF!,23,0),IFERROR(VLOOKUP($A6,#REF!,23,0),IFERROR(VLOOKUP($A6,#REF!,23,0),IFERROR(VLOOKUP($A6,#REF!,23,0),IFERROR(VLOOKUP($A6,#REF!,21,0),IFERROR(VLOOKUP($A6,#REF!,23,0),0))))))))))))))</f>
        <v>0</v>
      </c>
      <c r="CY6" s="37">
        <f>IFERROR(VLOOKUP($A6,[20]DESIRE!$A:$AP,42,0),IFERROR(VLOOKUP($A6,'[20]TEMA PD'!$A:$AA,27,0),IFERROR(VLOOKUP($A6,'[20]TEMA HAJI'!$A:$AA,27,0),IFERROR(VLOOKUP($A6,'[20]TEMA C3'!$A:$AA,27,0),IFERROR(VLOOKUP($A6,'[20]TEMA C2'!$A:$AA,27,0),IFERROR(VLOOKUP($A6,'[20]TEMA C1'!$A:$Y,25,0),IFERROR(VLOOKUP($A6,[20]DELTA!$A:$AC,29,0),IFERROR(VLOOKUP($A6,'[20]AAV AUTO 2000'!$A:$AA,27,0),IFERROR(VLOOKUP($A6,'[20]CC SK'!$A:$AC,29,0),IFERROR(VLOOKUP($A6,[20]SBPV!$A:$AN,40,0),IFERROR(VLOOKUP($A6,[20]RVO!$A:$CA,79,0),IFERROR(VLOOKUP($A6,[20]GC!$A:$AC,29,0),IFERROR(VLOOKUP($A6,[20]AAV!$A:$AR,44,0),0)))))))))))))</f>
        <v>0</v>
      </c>
      <c r="CZ6" s="37">
        <f>IFERROR(VLOOKUP($A6,#REF!,5+CY$1,0),IFERROR(VLOOKUP($A6,#REF!,26+CY$1,0),IFERROR(VLOOKUP($A6,#REF!,42+CY$1,0),IFERROR(VLOOKUP($A6,#REF!,42+CY$1,0),IFERROR(VLOOKUP($A6,#REF!,42+CY$1,0),IFERROR(VLOOKUP($A6,#REF!,29+CY$1,0),IFERROR(VLOOKUP($A6,#REF!,33+CY$1,0),IFERROR(VLOOKUP($A6,#REF!,42+CY$1,0),IFERROR(VLOOKUP($A6,#REF!,16+CY$1,0),IFERROR(VLOOKUP($A6,#REF!,29+CY$1,0),IFERROR(VLOOKUP($A6,#REF!,42+CY$1,0),IFERROR(VLOOKUP($A6,#REF!,42+CY$1,0),0))))))))))))</f>
        <v>0</v>
      </c>
      <c r="DA6" s="37">
        <f>IFERROR(VLOOKUP($A6,#REF!,5+CZ$1,0),IFERROR(VLOOKUP($A6,#REF!,26+CZ$1,0),IFERROR(VLOOKUP($A6,#REF!,42+CZ$1,0),IFERROR(VLOOKUP($A6,#REF!,42+CZ$1,0),IFERROR(VLOOKUP($A6,#REF!,42+CZ$1,0),IFERROR(VLOOKUP($A6,#REF!,29+CZ$1,0),IFERROR(VLOOKUP($A6,#REF!,33+CZ$1,0),IFERROR(VLOOKUP($A6,#REF!,42+CZ$1,0),IFERROR(VLOOKUP($A6,#REF!,16+CZ$1,0),IFERROR(VLOOKUP($A6,#REF!,29+CZ$1,0),IFERROR(VLOOKUP($A6,#REF!,42+CZ$1,0),IFERROR(VLOOKUP($A6,#REF!,42+CZ$1,0),0))))))))))))</f>
        <v>0</v>
      </c>
      <c r="DB6" s="37">
        <f>IFERROR(VLOOKUP($A6,#REF!,5+DA$1,0),IFERROR(VLOOKUP($A6,#REF!,26+DA$1,0),IFERROR(VLOOKUP($A6,#REF!,42+DA$1,0),IFERROR(VLOOKUP($A6,#REF!,42+DA$1,0),IFERROR(VLOOKUP($A6,#REF!,42+DA$1,0),IFERROR(VLOOKUP($A6,#REF!,29+DA$1,0),IFERROR(VLOOKUP($A6,#REF!,33+DA$1,0),IFERROR(VLOOKUP($A6,#REF!,42+DA$1,0),IFERROR(VLOOKUP($A6,#REF!,16+DA$1,0),IFERROR(VLOOKUP($A6,#REF!,29+DA$1,0),IFERROR(VLOOKUP($A6,#REF!,42+DA$1,0),IFERROR(VLOOKUP($A6,#REF!,42+DA$1,0),0))))))))))))</f>
        <v>0</v>
      </c>
      <c r="DC6" s="37">
        <f>IFERROR(VLOOKUP($A6,#REF!,5+DB$1,0),IFERROR(VLOOKUP($A6,#REF!,26+DB$1,0),IFERROR(VLOOKUP($A6,#REF!,42+DB$1,0),IFERROR(VLOOKUP($A6,#REF!,42+DB$1,0),IFERROR(VLOOKUP($A6,#REF!,42+DB$1,0),IFERROR(VLOOKUP($A6,#REF!,29+DB$1,0),IFERROR(VLOOKUP($A6,#REF!,33+DB$1,0),IFERROR(VLOOKUP($A6,#REF!,42+DB$1,0),IFERROR(VLOOKUP($A6,#REF!,16+DB$1,0),IFERROR(VLOOKUP($A6,#REF!,29+DB$1,0),IFERROR(VLOOKUP($A6,#REF!,42+DB$1,0),IFERROR(VLOOKUP($A6,#REF!,42+DB$1,0),0))))))))))))</f>
        <v>0</v>
      </c>
      <c r="DD6" s="37">
        <f>IFERROR(VLOOKUP($A6,#REF!,5+DC$1,0),IFERROR(VLOOKUP($A6,#REF!,26+DC$1,0),IFERROR(VLOOKUP($A6,#REF!,42+DC$1,0),IFERROR(VLOOKUP($A6,#REF!,42+DC$1,0),IFERROR(VLOOKUP($A6,#REF!,42+DC$1,0),IFERROR(VLOOKUP($A6,#REF!,29+DC$1,0),IFERROR(VLOOKUP($A6,#REF!,33+DC$1,0),IFERROR(VLOOKUP($A6,#REF!,42+DC$1,0),IFERROR(VLOOKUP($A6,#REF!,16+DC$1,0),IFERROR(VLOOKUP($A6,#REF!,29+DC$1,0),IFERROR(VLOOKUP($A6,#REF!,42+DC$1,0),IFERROR(VLOOKUP($A6,#REF!,42+DC$1,0),0))))))))))))</f>
        <v>0</v>
      </c>
      <c r="DE6" s="37">
        <f>IFERROR(VLOOKUP($A6,#REF!,23,0),IFERROR(VLOOKUP($A6,#REF!,21,0),IFERROR(VLOOKUP($A6,#REF!,23,0),IFERROR(VLOOKUP($A6,#REF!,23,0),IFERROR(VLOOKUP($A6,#REF!,23,0),IFERROR(VLOOKUP($A6,#REF!,23,0),IFERROR(VLOOKUP($A6,#REF!,23,0),IFERROR(VLOOKUP($A6,#REF!,21,0),IFERROR(VLOOKUP($A6,#REF!,25,0),IFERROR(VLOOKUP($A6,#REF!,25,0),IFERROR(VLOOKUP($A6,#REF!,34,0),IFERROR(VLOOKUP($A6,#REF!,65,0),IFERROR(VLOOKUP($A6,#REF!,23,0),IFERROR(VLOOKUP($A6,#REF!,36,0),0))))))))))))))</f>
        <v>0</v>
      </c>
      <c r="DF6" s="37" t="b">
        <f t="shared" si="11"/>
        <v>1</v>
      </c>
      <c r="DG6" s="37" t="b">
        <f t="shared" si="11"/>
        <v>1</v>
      </c>
      <c r="DH6" s="37" t="b">
        <f t="shared" si="11"/>
        <v>1</v>
      </c>
      <c r="DI6" s="37" t="b">
        <f t="shared" si="11"/>
        <v>1</v>
      </c>
      <c r="DJ6" s="37" t="b">
        <f t="shared" si="11"/>
        <v>1</v>
      </c>
      <c r="DK6" s="37" t="b">
        <f t="shared" si="11"/>
        <v>1</v>
      </c>
      <c r="DL6" s="37" t="b">
        <f t="shared" si="11"/>
        <v>1</v>
      </c>
      <c r="DM6" s="37">
        <f t="shared" si="12"/>
        <v>0</v>
      </c>
      <c r="DN6" s="37">
        <f t="shared" si="12"/>
        <v>0</v>
      </c>
      <c r="DO6" s="37">
        <f t="shared" si="12"/>
        <v>0</v>
      </c>
      <c r="DP6" s="37">
        <f t="shared" si="12"/>
        <v>0</v>
      </c>
      <c r="DQ6" s="37">
        <f t="shared" si="12"/>
        <v>0</v>
      </c>
      <c r="DR6" s="37">
        <f t="shared" si="12"/>
        <v>0</v>
      </c>
      <c r="DS6" s="37">
        <f t="shared" si="12"/>
        <v>0</v>
      </c>
      <c r="DT6" s="29">
        <f t="shared" si="13"/>
        <v>0</v>
      </c>
      <c r="DU6" s="37">
        <f t="shared" si="14"/>
        <v>0</v>
      </c>
      <c r="DV6" s="37">
        <f t="shared" si="14"/>
        <v>0</v>
      </c>
      <c r="DW6" s="37">
        <f t="shared" si="14"/>
        <v>0</v>
      </c>
      <c r="DX6" s="37">
        <f t="shared" si="14"/>
        <v>0</v>
      </c>
      <c r="DY6" s="37">
        <f t="shared" si="14"/>
        <v>0</v>
      </c>
      <c r="DZ6" s="37">
        <f t="shared" si="14"/>
        <v>0</v>
      </c>
      <c r="EA6" s="37">
        <f t="shared" si="14"/>
        <v>0</v>
      </c>
      <c r="EB6" s="29">
        <f t="shared" si="15"/>
        <v>0</v>
      </c>
      <c r="EC6" s="36">
        <f t="shared" si="16"/>
        <v>7</v>
      </c>
      <c r="ED6" s="36" t="str">
        <f t="shared" si="17"/>
        <v>DOWNGRADE</v>
      </c>
      <c r="EE6" s="36" t="str">
        <f t="shared" si="18"/>
        <v>RESET</v>
      </c>
      <c r="EF6" s="37">
        <v>100</v>
      </c>
      <c r="EG6" s="2" t="str">
        <f>IFERROR(VLOOKUP(A6,[21]AAV!$A:$AD,30,0),"")</f>
        <v/>
      </c>
      <c r="EH6" s="37" t="str">
        <f t="shared" si="19"/>
        <v>SAPHIRE</v>
      </c>
      <c r="EI6" s="2"/>
      <c r="EJ6" s="2"/>
      <c r="EK6" s="2"/>
      <c r="EL6" s="2"/>
      <c r="EM6" s="2"/>
      <c r="EN6" s="2"/>
      <c r="EO6" s="2"/>
      <c r="EP6" s="2"/>
      <c r="EQ6" s="37">
        <f t="shared" si="20"/>
        <v>0</v>
      </c>
      <c r="ER6" s="37">
        <f t="shared" si="20"/>
        <v>0</v>
      </c>
      <c r="ES6" s="37">
        <f t="shared" si="20"/>
        <v>0</v>
      </c>
      <c r="ET6" s="37">
        <f t="shared" si="20"/>
        <v>0</v>
      </c>
      <c r="EU6" s="37">
        <f t="shared" si="20"/>
        <v>0</v>
      </c>
      <c r="EV6" s="37">
        <f t="shared" si="20"/>
        <v>0</v>
      </c>
      <c r="EW6" s="37">
        <f t="shared" si="20"/>
        <v>0</v>
      </c>
    </row>
    <row r="7" spans="1:153" ht="15.6">
      <c r="A7" s="36"/>
      <c r="B7" s="1"/>
      <c r="C7" s="37"/>
      <c r="D7" s="15"/>
      <c r="E7" s="15"/>
      <c r="F7" s="37"/>
      <c r="G7" s="37"/>
      <c r="H7" s="37"/>
      <c r="I7" s="37"/>
      <c r="J7" s="37"/>
      <c r="K7" s="37"/>
      <c r="L7" s="37"/>
      <c r="M7" s="36"/>
      <c r="N7" s="37"/>
      <c r="O7" s="37"/>
      <c r="P7" s="37"/>
      <c r="Q7" s="37"/>
      <c r="R7" s="37"/>
      <c r="S7" s="37"/>
      <c r="T7" s="36"/>
      <c r="U7" s="37"/>
      <c r="V7" s="37"/>
      <c r="W7" s="37"/>
      <c r="X7" s="37"/>
      <c r="Y7" s="37"/>
      <c r="Z7" s="37"/>
      <c r="AA7" s="37"/>
      <c r="AB7" s="36"/>
      <c r="AC7" s="36"/>
      <c r="AD7" s="36"/>
      <c r="AE7" s="36"/>
      <c r="AF7" s="37"/>
      <c r="AG7" s="13"/>
      <c r="AH7" s="37"/>
      <c r="AI7" s="37"/>
      <c r="AJ7" s="37"/>
      <c r="AK7" s="37"/>
      <c r="AL7" s="15"/>
      <c r="AM7" s="15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6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6"/>
      <c r="BX7" s="36"/>
      <c r="BY7" s="36"/>
      <c r="BZ7" s="37"/>
      <c r="CA7" s="12"/>
      <c r="CB7" s="37"/>
      <c r="CC7" s="37"/>
      <c r="CD7" s="37"/>
      <c r="CE7" s="37"/>
      <c r="CF7" s="37"/>
      <c r="CG7" s="15"/>
      <c r="CH7" s="15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29"/>
      <c r="DU7" s="37"/>
      <c r="DV7" s="37"/>
      <c r="DW7" s="37"/>
      <c r="DX7" s="37"/>
      <c r="DY7" s="37"/>
      <c r="DZ7" s="37"/>
      <c r="EA7" s="37"/>
      <c r="EB7" s="29"/>
      <c r="EC7" s="36"/>
      <c r="ED7" s="36"/>
      <c r="EE7" s="36"/>
      <c r="EF7" s="37"/>
      <c r="EG7" s="2"/>
      <c r="EH7" s="37"/>
      <c r="EI7" s="2"/>
      <c r="EJ7" s="2"/>
      <c r="EK7" s="2"/>
      <c r="EL7" s="2"/>
      <c r="EM7" s="2"/>
      <c r="EN7" s="2"/>
      <c r="EO7" s="2"/>
      <c r="EP7" s="2"/>
      <c r="EQ7" s="37"/>
      <c r="ER7" s="37"/>
      <c r="ES7" s="37"/>
      <c r="ET7" s="37"/>
      <c r="EU7" s="37"/>
      <c r="EV7" s="37"/>
      <c r="EW7" s="37"/>
    </row>
    <row r="8" spans="1:153" ht="15.6">
      <c r="A8" s="36"/>
      <c r="B8" s="1"/>
      <c r="C8" s="37"/>
      <c r="D8" s="15"/>
      <c r="E8" s="15"/>
      <c r="F8" s="37"/>
      <c r="G8" s="37"/>
      <c r="H8" s="37"/>
      <c r="I8" s="37"/>
      <c r="J8" s="37"/>
      <c r="K8" s="37"/>
      <c r="L8" s="37"/>
      <c r="M8" s="36"/>
      <c r="N8" s="37"/>
      <c r="O8" s="37"/>
      <c r="P8" s="37"/>
      <c r="Q8" s="37"/>
      <c r="R8" s="37"/>
      <c r="S8" s="37"/>
      <c r="T8" s="36"/>
      <c r="U8" s="37"/>
      <c r="V8" s="37"/>
      <c r="W8" s="37"/>
      <c r="X8" s="37"/>
      <c r="Y8" s="37"/>
      <c r="Z8" s="37"/>
      <c r="AA8" s="37"/>
      <c r="AB8" s="36"/>
      <c r="AC8" s="36"/>
      <c r="AD8" s="36"/>
      <c r="AE8" s="36"/>
      <c r="AF8" s="37"/>
      <c r="AG8" s="13"/>
      <c r="AH8" s="37"/>
      <c r="AI8" s="37"/>
      <c r="AJ8" s="37"/>
      <c r="AK8" s="37"/>
      <c r="AL8" s="15"/>
      <c r="AM8" s="15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6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6"/>
      <c r="BX8" s="36"/>
      <c r="BY8" s="36"/>
      <c r="BZ8" s="37"/>
      <c r="CA8" s="12"/>
      <c r="CB8" s="37"/>
      <c r="CC8" s="37"/>
      <c r="CD8" s="37"/>
      <c r="CE8" s="37"/>
      <c r="CF8" s="37"/>
      <c r="CG8" s="15"/>
      <c r="CH8" s="15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29"/>
      <c r="DU8" s="37"/>
      <c r="DV8" s="37"/>
      <c r="DW8" s="37"/>
      <c r="DX8" s="37"/>
      <c r="DY8" s="37"/>
      <c r="DZ8" s="37"/>
      <c r="EA8" s="37"/>
      <c r="EB8" s="29"/>
      <c r="EC8" s="36"/>
      <c r="ED8" s="36"/>
      <c r="EE8" s="36"/>
      <c r="EF8" s="37"/>
      <c r="EG8" s="2"/>
      <c r="EH8" s="37"/>
      <c r="EI8" s="2"/>
      <c r="EJ8" s="2"/>
      <c r="EK8" s="2"/>
      <c r="EL8" s="2"/>
      <c r="EM8" s="2"/>
      <c r="EN8" s="2"/>
      <c r="EO8" s="2"/>
      <c r="EP8" s="2"/>
      <c r="EQ8" s="37"/>
      <c r="ER8" s="37"/>
      <c r="ES8" s="37"/>
      <c r="ET8" s="37"/>
      <c r="EU8" s="37"/>
      <c r="EV8" s="37"/>
      <c r="EW8" s="37"/>
    </row>
    <row r="9" spans="1:153" ht="15.6">
      <c r="A9" s="36"/>
      <c r="B9" s="1"/>
      <c r="C9" s="37"/>
      <c r="D9" s="15"/>
      <c r="E9" s="15"/>
      <c r="F9" s="37"/>
      <c r="G9" s="37"/>
      <c r="H9" s="37"/>
      <c r="I9" s="37"/>
      <c r="J9" s="37"/>
      <c r="K9" s="37"/>
      <c r="L9" s="37"/>
      <c r="M9" s="36"/>
      <c r="N9" s="37"/>
      <c r="O9" s="37"/>
      <c r="P9" s="37"/>
      <c r="Q9" s="37"/>
      <c r="R9" s="37"/>
      <c r="S9" s="37"/>
      <c r="T9" s="36"/>
      <c r="U9" s="37"/>
      <c r="V9" s="37"/>
      <c r="W9" s="37"/>
      <c r="X9" s="37"/>
      <c r="Y9" s="37"/>
      <c r="Z9" s="37"/>
      <c r="AA9" s="37"/>
      <c r="AB9" s="36"/>
      <c r="AC9" s="36"/>
      <c r="AD9" s="36"/>
      <c r="AE9" s="36"/>
      <c r="AF9" s="37"/>
      <c r="AG9" s="13"/>
      <c r="AH9" s="37"/>
      <c r="AI9" s="37"/>
      <c r="AJ9" s="37"/>
      <c r="AK9" s="37"/>
      <c r="AL9" s="15"/>
      <c r="AM9" s="15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6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6"/>
      <c r="BX9" s="36"/>
      <c r="BY9" s="36"/>
      <c r="BZ9" s="37"/>
      <c r="CA9" s="12"/>
      <c r="CB9" s="37"/>
      <c r="CC9" s="37"/>
      <c r="CD9" s="37"/>
      <c r="CE9" s="37"/>
      <c r="CF9" s="37"/>
      <c r="CG9" s="15"/>
      <c r="CH9" s="15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29"/>
      <c r="DU9" s="37"/>
      <c r="DV9" s="37"/>
      <c r="DW9" s="37"/>
      <c r="DX9" s="37"/>
      <c r="DY9" s="37"/>
      <c r="DZ9" s="37"/>
      <c r="EA9" s="37"/>
      <c r="EB9" s="29"/>
      <c r="EC9" s="36"/>
      <c r="ED9" s="36"/>
      <c r="EE9" s="36"/>
      <c r="EF9" s="37"/>
      <c r="EG9" s="2"/>
      <c r="EH9" s="37"/>
      <c r="EI9" s="2"/>
      <c r="EJ9" s="2"/>
      <c r="EK9" s="2"/>
      <c r="EL9" s="2"/>
      <c r="EM9" s="2"/>
      <c r="EN9" s="2"/>
      <c r="EO9" s="2"/>
      <c r="EP9" s="2"/>
      <c r="EQ9" s="37"/>
      <c r="ER9" s="37"/>
      <c r="ES9" s="37"/>
      <c r="ET9" s="37"/>
      <c r="EU9" s="37"/>
      <c r="EV9" s="37"/>
      <c r="EW9" s="37"/>
    </row>
    <row r="10" spans="1:153" ht="15.6">
      <c r="A10" s="36"/>
      <c r="B10" s="1"/>
      <c r="C10" s="37"/>
      <c r="D10" s="15"/>
      <c r="E10" s="15"/>
      <c r="F10" s="37"/>
      <c r="G10" s="37"/>
      <c r="H10" s="37"/>
      <c r="I10" s="37"/>
      <c r="J10" s="37"/>
      <c r="K10" s="37"/>
      <c r="L10" s="37"/>
      <c r="M10" s="36"/>
      <c r="N10" s="37"/>
      <c r="O10" s="37"/>
      <c r="P10" s="37"/>
      <c r="Q10" s="37"/>
      <c r="R10" s="37"/>
      <c r="S10" s="37"/>
      <c r="T10" s="36"/>
      <c r="U10" s="37"/>
      <c r="V10" s="37"/>
      <c r="W10" s="37"/>
      <c r="X10" s="14"/>
      <c r="Y10" s="14"/>
      <c r="Z10" s="14"/>
      <c r="AA10" s="14"/>
      <c r="AB10" s="36"/>
      <c r="AC10" s="36"/>
      <c r="AD10" s="36"/>
      <c r="AE10" s="36"/>
      <c r="AF10" s="37"/>
      <c r="AG10" s="13"/>
      <c r="AH10" s="37"/>
      <c r="AI10" s="37"/>
      <c r="AJ10" s="37"/>
      <c r="AK10" s="37"/>
      <c r="AL10" s="15"/>
      <c r="AM10" s="15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6"/>
      <c r="BH10" s="37"/>
      <c r="BI10" s="37"/>
      <c r="BJ10" s="37"/>
      <c r="BK10" s="37"/>
      <c r="BL10" s="37"/>
      <c r="BM10" s="37"/>
      <c r="BN10" s="37"/>
      <c r="BO10" s="14"/>
      <c r="BP10" s="14"/>
      <c r="BQ10" s="14"/>
      <c r="BR10" s="14"/>
      <c r="BS10" s="14"/>
      <c r="BT10" s="21"/>
      <c r="BU10" s="21"/>
      <c r="BV10" s="37"/>
      <c r="BW10" s="36"/>
      <c r="BX10" s="36"/>
      <c r="BY10" s="36"/>
      <c r="BZ10" s="37"/>
      <c r="CA10" s="12"/>
      <c r="CB10" s="37"/>
      <c r="CC10" s="37"/>
      <c r="CD10" s="37"/>
      <c r="CE10" s="37"/>
      <c r="CF10" s="37"/>
      <c r="CG10" s="15"/>
      <c r="CH10" s="15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29"/>
      <c r="DU10" s="14"/>
      <c r="DV10" s="14"/>
      <c r="DW10" s="37"/>
      <c r="DX10" s="37"/>
      <c r="DY10" s="37"/>
      <c r="DZ10" s="37"/>
      <c r="EA10" s="37"/>
      <c r="EB10" s="29"/>
      <c r="EC10" s="36"/>
      <c r="ED10" s="36"/>
      <c r="EE10" s="36"/>
      <c r="EF10" s="37"/>
      <c r="EG10" s="2"/>
      <c r="EH10" s="37"/>
      <c r="EI10" s="2"/>
      <c r="EJ10" s="2"/>
      <c r="EK10" s="2"/>
      <c r="EL10" s="2"/>
      <c r="EM10" s="2"/>
      <c r="EN10" s="2"/>
      <c r="EO10" s="2"/>
      <c r="EP10" s="2"/>
      <c r="EQ10" s="37"/>
      <c r="ER10" s="37"/>
      <c r="ES10" s="37"/>
      <c r="ET10" s="37"/>
      <c r="EU10" s="37"/>
      <c r="EV10" s="37"/>
      <c r="EW10" s="37"/>
    </row>
    <row r="11" spans="1:153" ht="15.6">
      <c r="A11" s="36"/>
      <c r="B11" s="1"/>
      <c r="C11" s="37"/>
      <c r="D11" s="15"/>
      <c r="E11" s="15"/>
      <c r="F11" s="37"/>
      <c r="G11" s="37"/>
      <c r="H11" s="37"/>
      <c r="I11" s="37"/>
      <c r="J11" s="37"/>
      <c r="K11" s="37"/>
      <c r="L11" s="37"/>
      <c r="M11" s="36"/>
      <c r="N11" s="37"/>
      <c r="O11" s="37"/>
      <c r="P11" s="37"/>
      <c r="Q11" s="37"/>
      <c r="R11" s="37"/>
      <c r="S11" s="37"/>
      <c r="T11" s="36"/>
      <c r="U11" s="14"/>
      <c r="V11" s="14"/>
      <c r="W11" s="37"/>
      <c r="X11" s="37"/>
      <c r="Y11" s="37"/>
      <c r="Z11" s="37"/>
      <c r="AA11" s="37"/>
      <c r="AB11" s="36"/>
      <c r="AC11" s="36"/>
      <c r="AD11" s="36"/>
      <c r="AE11" s="36"/>
      <c r="AF11" s="37"/>
      <c r="AG11" s="13"/>
      <c r="AH11" s="37"/>
      <c r="AI11" s="37"/>
      <c r="AJ11" s="37"/>
      <c r="AK11" s="37"/>
      <c r="AL11" s="15"/>
      <c r="AM11" s="15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6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6"/>
      <c r="BX11" s="36"/>
      <c r="BY11" s="36"/>
      <c r="BZ11" s="37"/>
      <c r="CA11" s="12"/>
      <c r="CB11" s="37"/>
      <c r="CC11" s="37"/>
      <c r="CD11" s="37"/>
      <c r="CE11" s="37"/>
      <c r="CF11" s="37"/>
      <c r="CG11" s="15"/>
      <c r="CH11" s="15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29"/>
      <c r="DU11" s="37"/>
      <c r="DV11" s="37"/>
      <c r="DW11" s="37"/>
      <c r="DX11" s="37"/>
      <c r="DY11" s="37"/>
      <c r="DZ11" s="37"/>
      <c r="EA11" s="37"/>
      <c r="EB11" s="29"/>
      <c r="EC11" s="36"/>
      <c r="ED11" s="36"/>
      <c r="EE11" s="36"/>
      <c r="EF11" s="37"/>
      <c r="EG11" s="2"/>
      <c r="EH11" s="37"/>
      <c r="EI11" s="2"/>
      <c r="EJ11" s="2"/>
      <c r="EK11" s="2"/>
      <c r="EL11" s="2"/>
      <c r="EM11" s="2"/>
      <c r="EN11" s="2"/>
      <c r="EO11" s="2"/>
      <c r="EP11" s="2"/>
      <c r="EQ11" s="37"/>
      <c r="ER11" s="37"/>
      <c r="ES11" s="37"/>
      <c r="ET11" s="37"/>
      <c r="EU11" s="37"/>
      <c r="EV11" s="37"/>
      <c r="EW11" s="37"/>
    </row>
    <row r="12" spans="1:153" ht="15.6">
      <c r="A12" s="36"/>
      <c r="B12" s="1"/>
      <c r="C12" s="37"/>
      <c r="D12" s="15"/>
      <c r="E12" s="15"/>
      <c r="F12" s="37"/>
      <c r="G12" s="37"/>
      <c r="H12" s="37"/>
      <c r="I12" s="37"/>
      <c r="J12" s="37"/>
      <c r="K12" s="37"/>
      <c r="L12" s="37"/>
      <c r="M12" s="36"/>
      <c r="N12" s="37"/>
      <c r="O12" s="37"/>
      <c r="P12" s="37"/>
      <c r="Q12" s="37"/>
      <c r="R12" s="37"/>
      <c r="S12" s="37"/>
      <c r="T12" s="36"/>
      <c r="U12" s="14"/>
      <c r="V12" s="14"/>
      <c r="W12" s="14"/>
      <c r="X12" s="37"/>
      <c r="Y12" s="37"/>
      <c r="Z12" s="37"/>
      <c r="AA12" s="37"/>
      <c r="AB12" s="36"/>
      <c r="AC12" s="36"/>
      <c r="AD12" s="36"/>
      <c r="AE12" s="36"/>
      <c r="AF12" s="37"/>
      <c r="AG12" s="13"/>
      <c r="AH12" s="37"/>
      <c r="AI12" s="37"/>
      <c r="AJ12" s="37"/>
      <c r="AK12" s="37"/>
      <c r="AL12" s="15"/>
      <c r="AM12" s="15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6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6"/>
      <c r="BX12" s="36"/>
      <c r="BY12" s="36"/>
      <c r="BZ12" s="37"/>
      <c r="CA12" s="12"/>
      <c r="CB12" s="37"/>
      <c r="CC12" s="37"/>
      <c r="CD12" s="37"/>
      <c r="CE12" s="37"/>
      <c r="CF12" s="37"/>
      <c r="CG12" s="15"/>
      <c r="CH12" s="15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29"/>
      <c r="DU12" s="37"/>
      <c r="DV12" s="37"/>
      <c r="DW12" s="37"/>
      <c r="DX12" s="37"/>
      <c r="DY12" s="37"/>
      <c r="DZ12" s="37"/>
      <c r="EA12" s="37"/>
      <c r="EB12" s="29"/>
      <c r="EC12" s="36"/>
      <c r="ED12" s="36"/>
      <c r="EE12" s="36"/>
      <c r="EF12" s="37"/>
      <c r="EG12" s="2"/>
      <c r="EH12" s="37"/>
      <c r="EI12" s="2"/>
      <c r="EJ12" s="2"/>
      <c r="EK12" s="2"/>
      <c r="EL12" s="2"/>
      <c r="EM12" s="2"/>
      <c r="EN12" s="2"/>
      <c r="EO12" s="2"/>
      <c r="EP12" s="2"/>
      <c r="EQ12" s="37"/>
      <c r="ER12" s="37"/>
      <c r="ES12" s="37"/>
      <c r="ET12" s="37"/>
      <c r="EU12" s="37"/>
      <c r="EV12" s="37"/>
      <c r="EW12" s="37"/>
    </row>
    <row r="13" spans="1:153" ht="15.6">
      <c r="A13" s="36"/>
      <c r="B13" s="1"/>
      <c r="C13" s="37"/>
      <c r="D13" s="15"/>
      <c r="E13" s="15"/>
      <c r="F13" s="37"/>
      <c r="G13" s="37"/>
      <c r="H13" s="37"/>
      <c r="I13" s="37"/>
      <c r="J13" s="37"/>
      <c r="K13" s="37"/>
      <c r="L13" s="37"/>
      <c r="M13" s="36"/>
      <c r="N13" s="37"/>
      <c r="O13" s="37"/>
      <c r="P13" s="37"/>
      <c r="Q13" s="37"/>
      <c r="R13" s="37"/>
      <c r="S13" s="37"/>
      <c r="T13" s="36"/>
      <c r="U13" s="37"/>
      <c r="V13" s="37"/>
      <c r="W13" s="37"/>
      <c r="X13" s="37"/>
      <c r="Y13" s="37"/>
      <c r="Z13" s="37"/>
      <c r="AA13" s="37"/>
      <c r="AB13" s="36"/>
      <c r="AC13" s="36"/>
      <c r="AD13" s="36"/>
      <c r="AE13" s="36"/>
      <c r="AF13" s="37"/>
      <c r="AG13" s="13"/>
      <c r="AH13" s="37"/>
      <c r="AI13" s="37"/>
      <c r="AJ13" s="37"/>
      <c r="AK13" s="37"/>
      <c r="AL13" s="15"/>
      <c r="AM13" s="15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6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6"/>
      <c r="BX13" s="36"/>
      <c r="BY13" s="36"/>
      <c r="BZ13" s="37"/>
      <c r="CA13" s="12"/>
      <c r="CB13" s="37"/>
      <c r="CC13" s="37"/>
      <c r="CD13" s="37"/>
      <c r="CE13" s="37"/>
      <c r="CF13" s="37"/>
      <c r="CG13" s="15"/>
      <c r="CH13" s="15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29"/>
      <c r="DU13" s="37"/>
      <c r="DV13" s="37"/>
      <c r="DW13" s="37"/>
      <c r="DX13" s="37"/>
      <c r="DY13" s="37"/>
      <c r="DZ13" s="37"/>
      <c r="EA13" s="37"/>
      <c r="EB13" s="29"/>
      <c r="EC13" s="36"/>
      <c r="ED13" s="36"/>
      <c r="EE13" s="36"/>
      <c r="EF13" s="37"/>
      <c r="EG13" s="2"/>
      <c r="EH13" s="37"/>
      <c r="EI13" s="2"/>
      <c r="EJ13" s="2"/>
      <c r="EK13" s="2"/>
      <c r="EL13" s="2"/>
      <c r="EM13" s="2"/>
      <c r="EN13" s="2"/>
      <c r="EO13" s="2"/>
      <c r="EP13" s="2"/>
      <c r="EQ13" s="37"/>
      <c r="ER13" s="37"/>
      <c r="ES13" s="37"/>
      <c r="ET13" s="37"/>
      <c r="EU13" s="37"/>
      <c r="EV13" s="37"/>
      <c r="EW13" s="37"/>
    </row>
    <row r="14" spans="1:153" ht="15.6">
      <c r="A14" s="36"/>
      <c r="B14" s="1"/>
      <c r="C14" s="37"/>
      <c r="D14" s="15"/>
      <c r="E14" s="15"/>
      <c r="F14" s="37"/>
      <c r="G14" s="37"/>
      <c r="H14" s="37"/>
      <c r="I14" s="37"/>
      <c r="J14" s="37"/>
      <c r="K14" s="37"/>
      <c r="L14" s="37"/>
      <c r="M14" s="36"/>
      <c r="N14" s="37"/>
      <c r="O14" s="37"/>
      <c r="P14" s="37"/>
      <c r="Q14" s="37"/>
      <c r="R14" s="37"/>
      <c r="S14" s="37"/>
      <c r="T14" s="36"/>
      <c r="U14" s="37"/>
      <c r="V14" s="37"/>
      <c r="W14" s="37"/>
      <c r="X14" s="37"/>
      <c r="Y14" s="37"/>
      <c r="Z14" s="37"/>
      <c r="AA14" s="37"/>
      <c r="AB14" s="36"/>
      <c r="AC14" s="36"/>
      <c r="AD14" s="36"/>
      <c r="AE14" s="36"/>
      <c r="AF14" s="37"/>
      <c r="AG14" s="13"/>
      <c r="AH14" s="37"/>
      <c r="AI14" s="37"/>
      <c r="AJ14" s="37"/>
      <c r="AK14" s="37"/>
      <c r="AL14" s="15"/>
      <c r="AM14" s="15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6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6"/>
      <c r="BX14" s="36"/>
      <c r="BY14" s="36"/>
      <c r="BZ14" s="37"/>
      <c r="CA14" s="12"/>
      <c r="CB14" s="37"/>
      <c r="CC14" s="37"/>
      <c r="CD14" s="37"/>
      <c r="CE14" s="37"/>
      <c r="CF14" s="37"/>
      <c r="CG14" s="15"/>
      <c r="CH14" s="15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29"/>
      <c r="DU14" s="37"/>
      <c r="DV14" s="37"/>
      <c r="DW14" s="37"/>
      <c r="DX14" s="37"/>
      <c r="DY14" s="37"/>
      <c r="DZ14" s="37"/>
      <c r="EA14" s="37"/>
      <c r="EB14" s="29"/>
      <c r="EC14" s="36"/>
      <c r="ED14" s="36"/>
      <c r="EE14" s="36"/>
      <c r="EF14" s="37"/>
      <c r="EG14" s="2"/>
      <c r="EH14" s="37"/>
      <c r="EI14" s="2"/>
      <c r="EJ14" s="2"/>
      <c r="EK14" s="2"/>
      <c r="EL14" s="2"/>
      <c r="EM14" s="2"/>
      <c r="EN14" s="2"/>
      <c r="EO14" s="2"/>
      <c r="EP14" s="2"/>
      <c r="EQ14" s="37"/>
      <c r="ER14" s="37"/>
      <c r="ES14" s="37"/>
      <c r="ET14" s="37"/>
      <c r="EU14" s="37"/>
      <c r="EV14" s="37"/>
      <c r="EW14" s="37"/>
    </row>
    <row r="15" spans="1:153" ht="15.6">
      <c r="A15" s="36"/>
      <c r="B15" s="1"/>
      <c r="C15" s="37"/>
      <c r="D15" s="15"/>
      <c r="E15" s="15"/>
      <c r="F15" s="37"/>
      <c r="G15" s="37"/>
      <c r="H15" s="37"/>
      <c r="I15" s="37"/>
      <c r="J15" s="37"/>
      <c r="K15" s="37"/>
      <c r="L15" s="37"/>
      <c r="M15" s="36"/>
      <c r="N15" s="37"/>
      <c r="O15" s="37"/>
      <c r="P15" s="37"/>
      <c r="Q15" s="37"/>
      <c r="R15" s="37"/>
      <c r="S15" s="37"/>
      <c r="T15" s="36"/>
      <c r="U15" s="37"/>
      <c r="V15" s="37"/>
      <c r="W15" s="37"/>
      <c r="X15" s="37"/>
      <c r="Y15" s="37"/>
      <c r="Z15" s="37"/>
      <c r="AA15" s="37"/>
      <c r="AB15" s="36"/>
      <c r="AC15" s="36"/>
      <c r="AD15" s="36"/>
      <c r="AE15" s="36"/>
      <c r="AF15" s="37"/>
      <c r="AG15" s="13"/>
      <c r="AH15" s="37"/>
      <c r="AI15" s="37"/>
      <c r="AJ15" s="37"/>
      <c r="AK15" s="37"/>
      <c r="AL15" s="15"/>
      <c r="AM15" s="15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6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6"/>
      <c r="BX15" s="36"/>
      <c r="BY15" s="36"/>
      <c r="BZ15" s="37"/>
      <c r="CA15" s="12"/>
      <c r="CB15" s="37"/>
      <c r="CC15" s="37"/>
      <c r="CD15" s="37"/>
      <c r="CE15" s="37"/>
      <c r="CF15" s="37"/>
      <c r="CG15" s="15"/>
      <c r="CH15" s="15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29"/>
      <c r="DU15" s="37"/>
      <c r="DV15" s="37"/>
      <c r="DW15" s="37"/>
      <c r="DX15" s="37"/>
      <c r="DY15" s="37"/>
      <c r="DZ15" s="37"/>
      <c r="EA15" s="37"/>
      <c r="EB15" s="29"/>
      <c r="EC15" s="36"/>
      <c r="ED15" s="36"/>
      <c r="EE15" s="36"/>
      <c r="EF15" s="37"/>
      <c r="EG15" s="2"/>
      <c r="EH15" s="37"/>
      <c r="EI15" s="2"/>
      <c r="EJ15" s="2"/>
      <c r="EK15" s="2"/>
      <c r="EL15" s="2"/>
      <c r="EM15" s="2"/>
      <c r="EN15" s="2"/>
      <c r="EO15" s="2"/>
      <c r="EP15" s="2"/>
      <c r="EQ15" s="37"/>
      <c r="ER15" s="37"/>
      <c r="ES15" s="37"/>
      <c r="ET15" s="37"/>
      <c r="EU15" s="37"/>
      <c r="EV15" s="37"/>
      <c r="EW15" s="37"/>
    </row>
    <row r="16" spans="1:153" ht="15.6">
      <c r="A16" s="36"/>
      <c r="B16" s="1"/>
      <c r="C16" s="37"/>
      <c r="D16" s="15"/>
      <c r="E16" s="15"/>
      <c r="F16" s="37"/>
      <c r="G16" s="37"/>
      <c r="H16" s="37"/>
      <c r="I16" s="37"/>
      <c r="J16" s="37"/>
      <c r="K16" s="37"/>
      <c r="L16" s="37"/>
      <c r="M16" s="36"/>
      <c r="N16" s="37"/>
      <c r="O16" s="37"/>
      <c r="P16" s="37"/>
      <c r="Q16" s="37"/>
      <c r="R16" s="37"/>
      <c r="S16" s="37"/>
      <c r="T16" s="36"/>
      <c r="U16" s="37"/>
      <c r="V16" s="37"/>
      <c r="W16" s="37"/>
      <c r="X16" s="37"/>
      <c r="Y16" s="37"/>
      <c r="Z16" s="37"/>
      <c r="AA16" s="37"/>
      <c r="AB16" s="36"/>
      <c r="AC16" s="36"/>
      <c r="AD16" s="36"/>
      <c r="AE16" s="36"/>
      <c r="AF16" s="37"/>
      <c r="AG16" s="13"/>
      <c r="AH16" s="37"/>
      <c r="AI16" s="37"/>
      <c r="AJ16" s="37"/>
      <c r="AK16" s="37"/>
      <c r="AL16" s="15"/>
      <c r="AM16" s="15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6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6"/>
      <c r="BX16" s="36"/>
      <c r="BY16" s="36"/>
      <c r="BZ16" s="37"/>
      <c r="CA16" s="12"/>
      <c r="CB16" s="37"/>
      <c r="CC16" s="37"/>
      <c r="CD16" s="37"/>
      <c r="CE16" s="37"/>
      <c r="CF16" s="37"/>
      <c r="CG16" s="15"/>
      <c r="CH16" s="15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29"/>
      <c r="DU16" s="37"/>
      <c r="DV16" s="37"/>
      <c r="DW16" s="37"/>
      <c r="DX16" s="37"/>
      <c r="DY16" s="37"/>
      <c r="DZ16" s="37"/>
      <c r="EA16" s="37"/>
      <c r="EB16" s="29"/>
      <c r="EC16" s="36"/>
      <c r="ED16" s="36"/>
      <c r="EE16" s="36"/>
      <c r="EF16" s="37"/>
      <c r="EG16" s="2"/>
      <c r="EH16" s="37"/>
      <c r="EI16" s="2"/>
      <c r="EJ16" s="2"/>
      <c r="EK16" s="2"/>
      <c r="EL16" s="2"/>
      <c r="EM16" s="2"/>
      <c r="EN16" s="2"/>
      <c r="EO16" s="2"/>
      <c r="EP16" s="2"/>
      <c r="EQ16" s="37"/>
      <c r="ER16" s="37"/>
      <c r="ES16" s="37"/>
      <c r="ET16" s="37"/>
      <c r="EU16" s="37"/>
      <c r="EV16" s="37"/>
      <c r="EW16" s="37"/>
    </row>
    <row r="17" spans="1:153" ht="15.6">
      <c r="A17" s="36"/>
      <c r="B17" s="1"/>
      <c r="C17" s="37"/>
      <c r="D17" s="15"/>
      <c r="E17" s="15"/>
      <c r="F17" s="37"/>
      <c r="G17" s="37"/>
      <c r="H17" s="37"/>
      <c r="I17" s="37"/>
      <c r="J17" s="37"/>
      <c r="K17" s="37"/>
      <c r="L17" s="37"/>
      <c r="M17" s="36"/>
      <c r="N17" s="37"/>
      <c r="O17" s="37"/>
      <c r="P17" s="37"/>
      <c r="Q17" s="37"/>
      <c r="R17" s="37"/>
      <c r="S17" s="37"/>
      <c r="T17" s="36"/>
      <c r="U17" s="37"/>
      <c r="V17" s="37"/>
      <c r="W17" s="37"/>
      <c r="X17" s="37"/>
      <c r="Y17" s="37"/>
      <c r="Z17" s="37"/>
      <c r="AA17" s="37"/>
      <c r="AB17" s="36"/>
      <c r="AC17" s="36"/>
      <c r="AD17" s="36"/>
      <c r="AE17" s="36"/>
      <c r="AF17" s="37"/>
      <c r="AG17" s="13"/>
      <c r="AH17" s="37"/>
      <c r="AI17" s="37"/>
      <c r="AJ17" s="37"/>
      <c r="AK17" s="37"/>
      <c r="AL17" s="15"/>
      <c r="AM17" s="15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6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6"/>
      <c r="BX17" s="36"/>
      <c r="BY17" s="36"/>
      <c r="BZ17" s="37"/>
      <c r="CA17" s="12"/>
      <c r="CB17" s="37"/>
      <c r="CC17" s="37"/>
      <c r="CD17" s="37"/>
      <c r="CE17" s="37"/>
      <c r="CF17" s="37"/>
      <c r="CG17" s="15"/>
      <c r="CH17" s="15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29"/>
      <c r="DU17" s="37"/>
      <c r="DV17" s="37"/>
      <c r="DW17" s="37"/>
      <c r="DX17" s="37"/>
      <c r="DY17" s="37"/>
      <c r="DZ17" s="37"/>
      <c r="EA17" s="37"/>
      <c r="EB17" s="29"/>
      <c r="EC17" s="36"/>
      <c r="ED17" s="36"/>
      <c r="EE17" s="36"/>
      <c r="EF17" s="37"/>
      <c r="EG17" s="2"/>
      <c r="EH17" s="37"/>
      <c r="EI17" s="2"/>
      <c r="EJ17" s="2"/>
      <c r="EK17" s="2"/>
      <c r="EL17" s="2"/>
      <c r="EM17" s="2"/>
      <c r="EN17" s="2"/>
      <c r="EO17" s="2"/>
      <c r="EP17" s="2"/>
      <c r="EQ17" s="37"/>
      <c r="ER17" s="37"/>
      <c r="ES17" s="37"/>
      <c r="ET17" s="37"/>
      <c r="EU17" s="37"/>
      <c r="EV17" s="37"/>
      <c r="EW17" s="37"/>
    </row>
    <row r="18" spans="1:153" ht="15.6">
      <c r="A18" s="36"/>
      <c r="B18" s="1"/>
      <c r="C18" s="37"/>
      <c r="D18" s="15"/>
      <c r="E18" s="15"/>
      <c r="F18" s="37"/>
      <c r="G18" s="37"/>
      <c r="H18" s="37"/>
      <c r="I18" s="37"/>
      <c r="J18" s="37"/>
      <c r="K18" s="37"/>
      <c r="L18" s="37"/>
      <c r="M18" s="36"/>
      <c r="N18" s="37"/>
      <c r="O18" s="37"/>
      <c r="P18" s="37"/>
      <c r="Q18" s="37"/>
      <c r="R18" s="37"/>
      <c r="S18" s="37"/>
      <c r="T18" s="36"/>
      <c r="U18" s="37"/>
      <c r="V18" s="37"/>
      <c r="W18" s="37"/>
      <c r="X18" s="37"/>
      <c r="Y18" s="37"/>
      <c r="Z18" s="37"/>
      <c r="AA18" s="37"/>
      <c r="AB18" s="36"/>
      <c r="AC18" s="36"/>
      <c r="AD18" s="36"/>
      <c r="AE18" s="36"/>
      <c r="AF18" s="37"/>
      <c r="AG18" s="13"/>
      <c r="AH18" s="37"/>
      <c r="AI18" s="37"/>
      <c r="AJ18" s="37"/>
      <c r="AK18" s="37"/>
      <c r="AL18" s="15"/>
      <c r="AM18" s="15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6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6"/>
      <c r="BX18" s="36"/>
      <c r="BY18" s="36"/>
      <c r="BZ18" s="37"/>
      <c r="CA18" s="12"/>
      <c r="CB18" s="37"/>
      <c r="CC18" s="37"/>
      <c r="CD18" s="37"/>
      <c r="CE18" s="37"/>
      <c r="CF18" s="37"/>
      <c r="CG18" s="15"/>
      <c r="CH18" s="15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29"/>
      <c r="DU18" s="37"/>
      <c r="DV18" s="37"/>
      <c r="DW18" s="37"/>
      <c r="DX18" s="37"/>
      <c r="DY18" s="37"/>
      <c r="DZ18" s="37"/>
      <c r="EA18" s="37"/>
      <c r="EB18" s="29"/>
      <c r="EC18" s="36"/>
      <c r="ED18" s="36"/>
      <c r="EE18" s="36"/>
      <c r="EF18" s="37"/>
      <c r="EG18" s="2"/>
      <c r="EH18" s="37"/>
      <c r="EI18" s="2"/>
      <c r="EJ18" s="2"/>
      <c r="EK18" s="2"/>
      <c r="EL18" s="2"/>
      <c r="EM18" s="2"/>
      <c r="EN18" s="2"/>
      <c r="EO18" s="2"/>
      <c r="EP18" s="2"/>
      <c r="EQ18" s="37"/>
      <c r="ER18" s="37"/>
      <c r="ES18" s="37"/>
      <c r="ET18" s="37"/>
      <c r="EU18" s="37"/>
      <c r="EV18" s="37"/>
      <c r="EW18" s="37"/>
    </row>
    <row r="19" spans="1:153" ht="15.6">
      <c r="A19" s="36"/>
      <c r="B19" s="1"/>
      <c r="C19" s="37"/>
      <c r="D19" s="15"/>
      <c r="E19" s="15"/>
      <c r="F19" s="37"/>
      <c r="G19" s="37"/>
      <c r="H19" s="37"/>
      <c r="I19" s="37"/>
      <c r="J19" s="37"/>
      <c r="K19" s="37"/>
      <c r="L19" s="37"/>
      <c r="M19" s="36"/>
      <c r="N19" s="37"/>
      <c r="O19" s="37"/>
      <c r="P19" s="37"/>
      <c r="Q19" s="37"/>
      <c r="R19" s="37"/>
      <c r="S19" s="37"/>
      <c r="T19" s="36"/>
      <c r="U19" s="37"/>
      <c r="V19" s="37"/>
      <c r="W19" s="37"/>
      <c r="X19" s="37"/>
      <c r="Y19" s="37"/>
      <c r="Z19" s="37"/>
      <c r="AA19" s="37"/>
      <c r="AB19" s="36"/>
      <c r="AC19" s="36"/>
      <c r="AD19" s="36"/>
      <c r="AE19" s="36"/>
      <c r="AF19" s="37"/>
      <c r="AG19" s="13"/>
      <c r="AH19" s="37"/>
      <c r="AI19" s="37"/>
      <c r="AJ19" s="37"/>
      <c r="AK19" s="37"/>
      <c r="AL19" s="15"/>
      <c r="AM19" s="15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6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6"/>
      <c r="BX19" s="36"/>
      <c r="BY19" s="36"/>
      <c r="BZ19" s="37"/>
      <c r="CA19" s="12"/>
      <c r="CB19" s="37"/>
      <c r="CC19" s="37"/>
      <c r="CD19" s="37"/>
      <c r="CE19" s="37"/>
      <c r="CF19" s="37"/>
      <c r="CG19" s="15"/>
      <c r="CH19" s="15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29"/>
      <c r="DU19" s="37"/>
      <c r="DV19" s="37"/>
      <c r="DW19" s="37"/>
      <c r="DX19" s="37"/>
      <c r="DY19" s="37"/>
      <c r="DZ19" s="37"/>
      <c r="EA19" s="37"/>
      <c r="EB19" s="29"/>
      <c r="EC19" s="36"/>
      <c r="ED19" s="36"/>
      <c r="EE19" s="36"/>
      <c r="EF19" s="37"/>
      <c r="EG19" s="2"/>
      <c r="EH19" s="37"/>
      <c r="EI19" s="2"/>
      <c r="EJ19" s="2"/>
      <c r="EK19" s="2"/>
      <c r="EL19" s="2"/>
      <c r="EM19" s="2"/>
      <c r="EN19" s="2"/>
      <c r="EO19" s="2"/>
      <c r="EP19" s="2"/>
      <c r="EQ19" s="37"/>
      <c r="ER19" s="37"/>
      <c r="ES19" s="37"/>
      <c r="ET19" s="37"/>
      <c r="EU19" s="37"/>
      <c r="EV19" s="37"/>
      <c r="EW19" s="37"/>
    </row>
    <row r="20" spans="1:153" ht="15.6">
      <c r="A20" s="36"/>
      <c r="B20" s="1"/>
      <c r="C20" s="37"/>
      <c r="D20" s="15"/>
      <c r="E20" s="15"/>
      <c r="F20" s="37"/>
      <c r="G20" s="37"/>
      <c r="H20" s="37"/>
      <c r="I20" s="37"/>
      <c r="J20" s="37"/>
      <c r="K20" s="37"/>
      <c r="L20" s="37"/>
      <c r="M20" s="36"/>
      <c r="N20" s="37"/>
      <c r="O20" s="37"/>
      <c r="P20" s="37"/>
      <c r="Q20" s="37"/>
      <c r="R20" s="37"/>
      <c r="S20" s="37"/>
      <c r="T20" s="36"/>
      <c r="U20" s="37"/>
      <c r="V20" s="37"/>
      <c r="W20" s="37"/>
      <c r="X20" s="37"/>
      <c r="Y20" s="37"/>
      <c r="Z20" s="37"/>
      <c r="AA20" s="37"/>
      <c r="AB20" s="36"/>
      <c r="AC20" s="36"/>
      <c r="AD20" s="36"/>
      <c r="AE20" s="36"/>
      <c r="AF20" s="37"/>
      <c r="AG20" s="13"/>
      <c r="AH20" s="37"/>
      <c r="AI20" s="37"/>
      <c r="AJ20" s="37"/>
      <c r="AK20" s="37"/>
      <c r="AL20" s="15"/>
      <c r="AM20" s="15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6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6"/>
      <c r="BX20" s="36"/>
      <c r="BY20" s="36"/>
      <c r="BZ20" s="37"/>
      <c r="CA20" s="12"/>
      <c r="CB20" s="37"/>
      <c r="CC20" s="37"/>
      <c r="CD20" s="37"/>
      <c r="CE20" s="37"/>
      <c r="CF20" s="37"/>
      <c r="CG20" s="15"/>
      <c r="CH20" s="15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29"/>
      <c r="DU20" s="37"/>
      <c r="DV20" s="37"/>
      <c r="DW20" s="37"/>
      <c r="DX20" s="37"/>
      <c r="DY20" s="37"/>
      <c r="DZ20" s="37"/>
      <c r="EA20" s="37"/>
      <c r="EB20" s="29"/>
      <c r="EC20" s="36"/>
      <c r="ED20" s="36"/>
      <c r="EE20" s="36"/>
      <c r="EF20" s="37"/>
      <c r="EG20" s="2"/>
      <c r="EH20" s="37"/>
      <c r="EI20" s="2"/>
      <c r="EJ20" s="2"/>
      <c r="EK20" s="2"/>
      <c r="EL20" s="2"/>
      <c r="EM20" s="2"/>
      <c r="EN20" s="2"/>
      <c r="EO20" s="2"/>
      <c r="EP20" s="2"/>
      <c r="EQ20" s="37"/>
      <c r="ER20" s="37"/>
      <c r="ES20" s="37"/>
      <c r="ET20" s="37"/>
      <c r="EU20" s="37"/>
      <c r="EV20" s="37"/>
      <c r="EW20" s="37"/>
    </row>
    <row r="21" spans="1:153" ht="15.6">
      <c r="A21" s="36"/>
      <c r="B21" s="1"/>
      <c r="C21" s="37"/>
      <c r="D21" s="15"/>
      <c r="E21" s="15"/>
      <c r="F21" s="37"/>
      <c r="G21" s="37"/>
      <c r="H21" s="37"/>
      <c r="I21" s="37"/>
      <c r="J21" s="37"/>
      <c r="K21" s="37"/>
      <c r="L21" s="37"/>
      <c r="M21" s="36"/>
      <c r="N21" s="37"/>
      <c r="O21" s="37"/>
      <c r="P21" s="37"/>
      <c r="Q21" s="37"/>
      <c r="R21" s="37"/>
      <c r="S21" s="37"/>
      <c r="T21" s="36"/>
      <c r="U21" s="37"/>
      <c r="V21" s="37"/>
      <c r="W21" s="37"/>
      <c r="X21" s="37"/>
      <c r="Y21" s="37"/>
      <c r="Z21" s="37"/>
      <c r="AA21" s="37"/>
      <c r="AB21" s="36"/>
      <c r="AC21" s="36"/>
      <c r="AD21" s="36"/>
      <c r="AE21" s="36"/>
      <c r="AF21" s="37"/>
      <c r="AG21" s="13"/>
      <c r="AH21" s="37"/>
      <c r="AI21" s="37"/>
      <c r="AJ21" s="37"/>
      <c r="AK21" s="37"/>
      <c r="AL21" s="15"/>
      <c r="AM21" s="15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6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6"/>
      <c r="BX21" s="36"/>
      <c r="BY21" s="36"/>
      <c r="BZ21" s="37"/>
      <c r="CA21" s="12"/>
      <c r="CB21" s="37"/>
      <c r="CC21" s="37"/>
      <c r="CD21" s="28"/>
      <c r="CE21" s="37"/>
      <c r="CF21" s="37"/>
      <c r="CG21" s="15"/>
      <c r="CH21" s="15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29"/>
      <c r="DU21" s="37"/>
      <c r="DV21" s="37"/>
      <c r="DW21" s="37"/>
      <c r="DX21" s="37"/>
      <c r="DY21" s="37"/>
      <c r="DZ21" s="37"/>
      <c r="EA21" s="37"/>
      <c r="EB21" s="29"/>
      <c r="EC21" s="36"/>
      <c r="ED21" s="36"/>
      <c r="EE21" s="36"/>
      <c r="EF21" s="37"/>
      <c r="EG21" s="2"/>
      <c r="EH21" s="37"/>
      <c r="EI21" s="2"/>
      <c r="EJ21" s="2"/>
      <c r="EK21" s="2"/>
      <c r="EL21" s="2"/>
      <c r="EM21" s="2"/>
      <c r="EN21" s="2"/>
      <c r="EO21" s="2"/>
      <c r="EP21" s="2"/>
      <c r="EQ21" s="37"/>
      <c r="ER21" s="37"/>
      <c r="ES21" s="37"/>
      <c r="ET21" s="37"/>
      <c r="EU21" s="37"/>
      <c r="EV21" s="37"/>
      <c r="EW21" s="37"/>
    </row>
    <row r="22" spans="1:153" ht="15.6">
      <c r="A22" s="36"/>
      <c r="B22" s="1"/>
      <c r="C22" s="37"/>
      <c r="D22" s="15"/>
      <c r="E22" s="15"/>
      <c r="F22" s="37"/>
      <c r="G22" s="37"/>
      <c r="H22" s="37"/>
      <c r="I22" s="37"/>
      <c r="J22" s="37"/>
      <c r="K22" s="37"/>
      <c r="L22" s="37"/>
      <c r="M22" s="36"/>
      <c r="N22" s="37"/>
      <c r="O22" s="37"/>
      <c r="P22" s="37"/>
      <c r="Q22" s="37"/>
      <c r="R22" s="37"/>
      <c r="S22" s="37"/>
      <c r="T22" s="36"/>
      <c r="U22" s="37"/>
      <c r="V22" s="37"/>
      <c r="W22" s="37"/>
      <c r="X22" s="37"/>
      <c r="Y22" s="37"/>
      <c r="Z22" s="37"/>
      <c r="AA22" s="37"/>
      <c r="AB22" s="36"/>
      <c r="AC22" s="36"/>
      <c r="AD22" s="36"/>
      <c r="AE22" s="36"/>
      <c r="AF22" s="37"/>
      <c r="AG22" s="13"/>
      <c r="AH22" s="37"/>
      <c r="AI22" s="37"/>
      <c r="AJ22" s="37"/>
      <c r="AK22" s="37"/>
      <c r="AL22" s="15"/>
      <c r="AM22" s="15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6"/>
      <c r="BH22" s="37"/>
      <c r="BI22" s="37"/>
      <c r="BJ22" s="37"/>
      <c r="BK22" s="37"/>
      <c r="BL22" s="37"/>
      <c r="BM22" s="37"/>
      <c r="BN22" s="37"/>
      <c r="BO22" s="37"/>
      <c r="BP22" s="37"/>
      <c r="BQ22" s="14"/>
      <c r="BR22" s="14"/>
      <c r="BS22" s="14"/>
      <c r="BT22" s="21"/>
      <c r="BU22" s="21"/>
      <c r="BV22" s="37"/>
      <c r="BW22" s="36"/>
      <c r="BX22" s="36"/>
      <c r="BY22" s="36"/>
      <c r="BZ22" s="37"/>
      <c r="CA22" s="12"/>
      <c r="CB22" s="37"/>
      <c r="CC22" s="37"/>
      <c r="CD22" s="37"/>
      <c r="CE22" s="37"/>
      <c r="CF22" s="37"/>
      <c r="CG22" s="15"/>
      <c r="CH22" s="15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29"/>
      <c r="DU22" s="14"/>
      <c r="DV22" s="14"/>
      <c r="DW22" s="37"/>
      <c r="DX22" s="37"/>
      <c r="DY22" s="37"/>
      <c r="DZ22" s="37"/>
      <c r="EA22" s="37"/>
      <c r="EB22" s="29"/>
      <c r="EC22" s="36"/>
      <c r="ED22" s="36"/>
      <c r="EE22" s="36"/>
      <c r="EF22" s="37"/>
      <c r="EG22" s="2"/>
      <c r="EH22" s="37"/>
      <c r="EI22" s="2"/>
      <c r="EJ22" s="2"/>
      <c r="EK22" s="2"/>
      <c r="EL22" s="2"/>
      <c r="EM22" s="2"/>
      <c r="EN22" s="2"/>
      <c r="EO22" s="2"/>
      <c r="EP22" s="2"/>
      <c r="EQ22" s="37"/>
      <c r="ER22" s="37"/>
      <c r="ES22" s="37"/>
      <c r="ET22" s="37"/>
      <c r="EU22" s="37"/>
      <c r="EV22" s="37"/>
      <c r="EW22" s="37"/>
    </row>
    <row r="23" spans="1:153" ht="15.6">
      <c r="A23" s="36"/>
      <c r="B23" s="1"/>
      <c r="C23" s="37"/>
      <c r="D23" s="15"/>
      <c r="E23" s="15"/>
      <c r="F23" s="37"/>
      <c r="G23" s="37"/>
      <c r="H23" s="37"/>
      <c r="I23" s="37"/>
      <c r="J23" s="37"/>
      <c r="K23" s="37"/>
      <c r="L23" s="37"/>
      <c r="M23" s="36"/>
      <c r="N23" s="37"/>
      <c r="O23" s="37"/>
      <c r="P23" s="37"/>
      <c r="Q23" s="37"/>
      <c r="R23" s="37"/>
      <c r="S23" s="37"/>
      <c r="T23" s="36"/>
      <c r="U23" s="37"/>
      <c r="V23" s="37"/>
      <c r="W23" s="37"/>
      <c r="X23" s="37"/>
      <c r="Y23" s="37"/>
      <c r="Z23" s="37"/>
      <c r="AA23" s="37"/>
      <c r="AB23" s="36"/>
      <c r="AC23" s="36"/>
      <c r="AD23" s="36"/>
      <c r="AE23" s="36"/>
      <c r="AF23" s="37"/>
      <c r="AG23" s="13"/>
      <c r="AH23" s="37"/>
      <c r="AI23" s="37"/>
      <c r="AJ23" s="37"/>
      <c r="AK23" s="37"/>
      <c r="AL23" s="15"/>
      <c r="AM23" s="15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6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6"/>
      <c r="BX23" s="36"/>
      <c r="BY23" s="36"/>
      <c r="BZ23" s="37"/>
      <c r="CA23" s="12"/>
      <c r="CB23" s="37"/>
      <c r="CC23" s="37"/>
      <c r="CD23" s="37"/>
      <c r="CE23" s="37"/>
      <c r="CF23" s="37"/>
      <c r="CG23" s="15"/>
      <c r="CH23" s="15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29"/>
      <c r="DU23" s="37"/>
      <c r="DV23" s="37"/>
      <c r="DW23" s="37"/>
      <c r="DX23" s="37"/>
      <c r="DY23" s="37"/>
      <c r="DZ23" s="37"/>
      <c r="EA23" s="37"/>
      <c r="EB23" s="29"/>
      <c r="EC23" s="36"/>
      <c r="ED23" s="36"/>
      <c r="EE23" s="36"/>
      <c r="EF23" s="37"/>
      <c r="EG23" s="2"/>
      <c r="EH23" s="37"/>
      <c r="EI23" s="2"/>
      <c r="EJ23" s="2"/>
      <c r="EK23" s="2"/>
      <c r="EL23" s="2"/>
      <c r="EM23" s="2"/>
      <c r="EN23" s="2"/>
      <c r="EO23" s="2"/>
      <c r="EP23" s="2"/>
      <c r="EQ23" s="37"/>
      <c r="ER23" s="37"/>
      <c r="ES23" s="37"/>
      <c r="ET23" s="37"/>
      <c r="EU23" s="37"/>
      <c r="EV23" s="37"/>
      <c r="EW23" s="37"/>
    </row>
    <row r="24" spans="1:153" ht="15.6">
      <c r="A24" s="36"/>
      <c r="B24" s="1"/>
      <c r="C24" s="37"/>
      <c r="D24" s="15"/>
      <c r="E24" s="15"/>
      <c r="F24" s="37"/>
      <c r="G24" s="37"/>
      <c r="H24" s="37"/>
      <c r="I24" s="37"/>
      <c r="J24" s="37"/>
      <c r="K24" s="37"/>
      <c r="L24" s="37"/>
      <c r="M24" s="36"/>
      <c r="N24" s="37"/>
      <c r="O24" s="37"/>
      <c r="P24" s="37"/>
      <c r="Q24" s="37"/>
      <c r="R24" s="37"/>
      <c r="S24" s="37"/>
      <c r="T24" s="36"/>
      <c r="U24" s="37"/>
      <c r="V24" s="37"/>
      <c r="W24" s="37"/>
      <c r="X24" s="37"/>
      <c r="Y24" s="37"/>
      <c r="Z24" s="37"/>
      <c r="AA24" s="37"/>
      <c r="AB24" s="36"/>
      <c r="AC24" s="36"/>
      <c r="AD24" s="36"/>
      <c r="AE24" s="36"/>
      <c r="AF24" s="37"/>
      <c r="AG24" s="13"/>
      <c r="AH24" s="37"/>
      <c r="AI24" s="37"/>
      <c r="AJ24" s="37"/>
      <c r="AK24" s="37"/>
      <c r="AL24" s="15"/>
      <c r="AM24" s="15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6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6"/>
      <c r="BX24" s="36"/>
      <c r="BY24" s="36"/>
      <c r="BZ24" s="37"/>
      <c r="CA24" s="12"/>
      <c r="CB24" s="37"/>
      <c r="CC24" s="37"/>
      <c r="CD24" s="37"/>
      <c r="CE24" s="37"/>
      <c r="CF24" s="37"/>
      <c r="CG24" s="15"/>
      <c r="CH24" s="15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29"/>
      <c r="DU24" s="37"/>
      <c r="DV24" s="37"/>
      <c r="DW24" s="37"/>
      <c r="DX24" s="37"/>
      <c r="DY24" s="37"/>
      <c r="DZ24" s="37"/>
      <c r="EA24" s="37"/>
      <c r="EB24" s="29"/>
      <c r="EC24" s="36"/>
      <c r="ED24" s="36"/>
      <c r="EE24" s="36"/>
      <c r="EF24" s="37"/>
      <c r="EG24" s="2"/>
      <c r="EH24" s="37"/>
      <c r="EI24" s="2"/>
      <c r="EJ24" s="2"/>
      <c r="EK24" s="2"/>
      <c r="EL24" s="2"/>
      <c r="EM24" s="2"/>
      <c r="EN24" s="2"/>
      <c r="EO24" s="2"/>
      <c r="EP24" s="2"/>
      <c r="EQ24" s="37"/>
      <c r="ER24" s="37"/>
      <c r="ES24" s="37"/>
      <c r="ET24" s="37"/>
      <c r="EU24" s="37"/>
      <c r="EV24" s="37"/>
      <c r="EW24" s="37"/>
    </row>
    <row r="25" spans="1:153" ht="15.6">
      <c r="A25" s="36"/>
      <c r="B25" s="1"/>
      <c r="C25" s="37"/>
      <c r="D25" s="15"/>
      <c r="E25" s="15"/>
      <c r="F25" s="37"/>
      <c r="G25" s="37"/>
      <c r="H25" s="37"/>
      <c r="I25" s="37"/>
      <c r="J25" s="37"/>
      <c r="K25" s="37"/>
      <c r="L25" s="37"/>
      <c r="M25" s="36"/>
      <c r="N25" s="37"/>
      <c r="O25" s="37"/>
      <c r="P25" s="37"/>
      <c r="Q25" s="37"/>
      <c r="R25" s="37"/>
      <c r="S25" s="37"/>
      <c r="T25" s="36"/>
      <c r="U25" s="14"/>
      <c r="V25" s="14"/>
      <c r="W25" s="14"/>
      <c r="X25" s="14"/>
      <c r="Y25" s="14"/>
      <c r="Z25" s="14"/>
      <c r="AA25" s="14"/>
      <c r="AB25" s="36"/>
      <c r="AC25" s="36"/>
      <c r="AD25" s="36"/>
      <c r="AE25" s="36"/>
      <c r="AF25" s="37"/>
      <c r="AG25" s="13"/>
      <c r="AH25" s="37"/>
      <c r="AI25" s="37"/>
      <c r="AJ25" s="37"/>
      <c r="AK25" s="37"/>
      <c r="AL25" s="15"/>
      <c r="AM25" s="15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6"/>
      <c r="BH25" s="37"/>
      <c r="BI25" s="37"/>
      <c r="BJ25" s="37"/>
      <c r="BK25" s="37"/>
      <c r="BL25" s="37"/>
      <c r="BM25" s="37"/>
      <c r="BN25" s="37"/>
      <c r="BO25" s="14"/>
      <c r="BP25" s="14"/>
      <c r="BQ25" s="37"/>
      <c r="BR25" s="37"/>
      <c r="BS25" s="37"/>
      <c r="BT25" s="37"/>
      <c r="BU25" s="37"/>
      <c r="BV25" s="37"/>
      <c r="BW25" s="36"/>
      <c r="BX25" s="36"/>
      <c r="BY25" s="36"/>
      <c r="BZ25" s="37"/>
      <c r="CA25" s="12"/>
      <c r="CB25" s="37"/>
      <c r="CC25" s="37"/>
      <c r="CD25" s="37"/>
      <c r="CE25" s="37"/>
      <c r="CF25" s="37"/>
      <c r="CG25" s="15"/>
      <c r="CH25" s="15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29"/>
      <c r="DU25" s="37"/>
      <c r="DV25" s="37"/>
      <c r="DW25" s="37"/>
      <c r="DX25" s="37"/>
      <c r="DY25" s="37"/>
      <c r="DZ25" s="37"/>
      <c r="EA25" s="37"/>
      <c r="EB25" s="29"/>
      <c r="EC25" s="36"/>
      <c r="ED25" s="36"/>
      <c r="EE25" s="36"/>
      <c r="EF25" s="37"/>
      <c r="EG25" s="2"/>
      <c r="EH25" s="37"/>
      <c r="EI25" s="2"/>
      <c r="EJ25" s="2"/>
      <c r="EK25" s="2"/>
      <c r="EL25" s="2"/>
      <c r="EM25" s="2"/>
      <c r="EN25" s="2"/>
      <c r="EO25" s="2"/>
      <c r="EP25" s="2"/>
      <c r="EQ25" s="37"/>
      <c r="ER25" s="37"/>
      <c r="ES25" s="37"/>
      <c r="ET25" s="37"/>
      <c r="EU25" s="37"/>
      <c r="EV25" s="37"/>
      <c r="EW25" s="37"/>
    </row>
    <row r="26" spans="1:153" ht="15.6">
      <c r="A26" s="36"/>
      <c r="B26" s="1"/>
      <c r="C26" s="37"/>
      <c r="D26" s="15"/>
      <c r="E26" s="15"/>
      <c r="F26" s="37"/>
      <c r="G26" s="37"/>
      <c r="H26" s="37"/>
      <c r="I26" s="37"/>
      <c r="J26" s="37"/>
      <c r="K26" s="37"/>
      <c r="L26" s="37"/>
      <c r="M26" s="36"/>
      <c r="N26" s="37"/>
      <c r="O26" s="37"/>
      <c r="P26" s="37"/>
      <c r="Q26" s="37"/>
      <c r="R26" s="37"/>
      <c r="S26" s="37"/>
      <c r="T26" s="36"/>
      <c r="U26" s="37"/>
      <c r="V26" s="37"/>
      <c r="W26" s="37"/>
      <c r="X26" s="37"/>
      <c r="Y26" s="37"/>
      <c r="Z26" s="37"/>
      <c r="AA26" s="37"/>
      <c r="AB26" s="36"/>
      <c r="AC26" s="36"/>
      <c r="AD26" s="36"/>
      <c r="AE26" s="36"/>
      <c r="AF26" s="37"/>
      <c r="AG26" s="13"/>
      <c r="AH26" s="37"/>
      <c r="AI26" s="37"/>
      <c r="AJ26" s="37"/>
      <c r="AK26" s="37"/>
      <c r="AL26" s="15"/>
      <c r="AM26" s="15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6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6"/>
      <c r="BX26" s="36"/>
      <c r="BY26" s="36"/>
      <c r="BZ26" s="37"/>
      <c r="CA26" s="12"/>
      <c r="CB26" s="37"/>
      <c r="CC26" s="37"/>
      <c r="CD26" s="37"/>
      <c r="CE26" s="37"/>
      <c r="CF26" s="37"/>
      <c r="CG26" s="15"/>
      <c r="CH26" s="15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29"/>
      <c r="DU26" s="37"/>
      <c r="DV26" s="37"/>
      <c r="DW26" s="37"/>
      <c r="DX26" s="37"/>
      <c r="DY26" s="37"/>
      <c r="DZ26" s="37"/>
      <c r="EA26" s="37"/>
      <c r="EB26" s="29"/>
      <c r="EC26" s="36"/>
      <c r="ED26" s="36"/>
      <c r="EE26" s="36"/>
      <c r="EF26" s="37"/>
      <c r="EG26" s="2"/>
      <c r="EH26" s="37"/>
      <c r="EI26" s="2"/>
      <c r="EJ26" s="2"/>
      <c r="EK26" s="2"/>
      <c r="EL26" s="2"/>
      <c r="EM26" s="2"/>
      <c r="EN26" s="2"/>
      <c r="EO26" s="2"/>
      <c r="EP26" s="2"/>
      <c r="EQ26" s="37"/>
      <c r="ER26" s="37"/>
      <c r="ES26" s="37"/>
      <c r="ET26" s="37"/>
      <c r="EU26" s="37"/>
      <c r="EV26" s="37"/>
      <c r="EW26" s="37"/>
    </row>
    <row r="27" spans="1:153" ht="15.6">
      <c r="A27" s="36"/>
      <c r="B27" s="1"/>
      <c r="C27" s="37"/>
      <c r="D27" s="15"/>
      <c r="E27" s="15"/>
      <c r="F27" s="37"/>
      <c r="G27" s="37"/>
      <c r="H27" s="37"/>
      <c r="I27" s="37"/>
      <c r="J27" s="37"/>
      <c r="K27" s="37"/>
      <c r="L27" s="37"/>
      <c r="M27" s="36"/>
      <c r="N27" s="37"/>
      <c r="O27" s="37"/>
      <c r="P27" s="37"/>
      <c r="Q27" s="37"/>
      <c r="R27" s="37"/>
      <c r="S27" s="37"/>
      <c r="T27" s="36"/>
      <c r="U27" s="37"/>
      <c r="V27" s="37"/>
      <c r="W27" s="37"/>
      <c r="X27" s="37"/>
      <c r="Y27" s="37"/>
      <c r="Z27" s="37"/>
      <c r="AA27" s="37"/>
      <c r="AB27" s="36"/>
      <c r="AC27" s="36"/>
      <c r="AD27" s="36"/>
      <c r="AE27" s="36"/>
      <c r="AF27" s="37"/>
      <c r="AG27" s="13"/>
      <c r="AH27" s="37"/>
      <c r="AI27" s="37"/>
      <c r="AJ27" s="37"/>
      <c r="AK27" s="37"/>
      <c r="AL27" s="15"/>
      <c r="AM27" s="15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6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6"/>
      <c r="BX27" s="36"/>
      <c r="BY27" s="36"/>
      <c r="BZ27" s="37"/>
      <c r="CA27" s="12"/>
      <c r="CB27" s="37"/>
      <c r="CC27" s="37"/>
      <c r="CD27" s="37"/>
      <c r="CE27" s="37"/>
      <c r="CF27" s="37"/>
      <c r="CG27" s="15"/>
      <c r="CH27" s="15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29"/>
      <c r="DU27" s="37"/>
      <c r="DV27" s="37"/>
      <c r="DW27" s="37"/>
      <c r="DX27" s="37"/>
      <c r="DY27" s="37"/>
      <c r="DZ27" s="37"/>
      <c r="EA27" s="37"/>
      <c r="EB27" s="29"/>
      <c r="EC27" s="36"/>
      <c r="ED27" s="36"/>
      <c r="EE27" s="36"/>
      <c r="EF27" s="37"/>
      <c r="EG27" s="2"/>
      <c r="EH27" s="37"/>
      <c r="EI27" s="2"/>
      <c r="EJ27" s="2"/>
      <c r="EK27" s="2"/>
      <c r="EL27" s="2"/>
      <c r="EM27" s="2"/>
      <c r="EN27" s="2"/>
      <c r="EO27" s="2"/>
      <c r="EP27" s="2"/>
      <c r="EQ27" s="37"/>
      <c r="ER27" s="37"/>
      <c r="ES27" s="37"/>
      <c r="ET27" s="37"/>
      <c r="EU27" s="37"/>
      <c r="EV27" s="37"/>
      <c r="EW27" s="37"/>
    </row>
    <row r="28" spans="1:153" ht="15.6">
      <c r="A28" s="36"/>
      <c r="B28" s="1"/>
      <c r="C28" s="37"/>
      <c r="D28" s="15"/>
      <c r="E28" s="15"/>
      <c r="F28" s="37"/>
      <c r="G28" s="37"/>
      <c r="H28" s="37"/>
      <c r="I28" s="37"/>
      <c r="J28" s="37"/>
      <c r="K28" s="37"/>
      <c r="L28" s="37"/>
      <c r="M28" s="36"/>
      <c r="N28" s="37"/>
      <c r="O28" s="37"/>
      <c r="P28" s="37"/>
      <c r="Q28" s="37"/>
      <c r="R28" s="37"/>
      <c r="S28" s="37"/>
      <c r="T28" s="36"/>
      <c r="U28" s="14"/>
      <c r="V28" s="14"/>
      <c r="W28" s="14"/>
      <c r="X28" s="14"/>
      <c r="Y28" s="14"/>
      <c r="Z28" s="14"/>
      <c r="AA28" s="14"/>
      <c r="AB28" s="36"/>
      <c r="AC28" s="36"/>
      <c r="AD28" s="36"/>
      <c r="AE28" s="36"/>
      <c r="AF28" s="37"/>
      <c r="AG28" s="13"/>
      <c r="AH28" s="37"/>
      <c r="AI28" s="37"/>
      <c r="AJ28" s="37"/>
      <c r="AK28" s="37"/>
      <c r="AL28" s="15"/>
      <c r="AM28" s="15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6"/>
      <c r="BH28" s="37"/>
      <c r="BI28" s="37"/>
      <c r="BJ28" s="37"/>
      <c r="BK28" s="37"/>
      <c r="BL28" s="37"/>
      <c r="BM28" s="37"/>
      <c r="BN28" s="37"/>
      <c r="BO28" s="14"/>
      <c r="BP28" s="14"/>
      <c r="BQ28" s="14"/>
      <c r="BR28" s="14"/>
      <c r="BS28" s="14"/>
      <c r="BT28" s="21"/>
      <c r="BU28" s="21"/>
      <c r="BV28" s="37"/>
      <c r="BW28" s="36"/>
      <c r="BX28" s="36"/>
      <c r="BY28" s="36"/>
      <c r="BZ28" s="37"/>
      <c r="CA28" s="12"/>
      <c r="CB28" s="37"/>
      <c r="CC28" s="37"/>
      <c r="CD28" s="37"/>
      <c r="CE28" s="37"/>
      <c r="CF28" s="37"/>
      <c r="CG28" s="15"/>
      <c r="CH28" s="15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29"/>
      <c r="DU28" s="14"/>
      <c r="DV28" s="14"/>
      <c r="DW28" s="37"/>
      <c r="DX28" s="37"/>
      <c r="DY28" s="37"/>
      <c r="DZ28" s="37"/>
      <c r="EA28" s="37"/>
      <c r="EB28" s="29"/>
      <c r="EC28" s="36"/>
      <c r="ED28" s="36"/>
      <c r="EE28" s="36"/>
      <c r="EF28" s="37"/>
      <c r="EG28" s="2"/>
      <c r="EH28" s="37"/>
      <c r="EI28" s="2"/>
      <c r="EJ28" s="2"/>
      <c r="EK28" s="2"/>
      <c r="EL28" s="2"/>
      <c r="EM28" s="2"/>
      <c r="EN28" s="2"/>
      <c r="EO28" s="2"/>
      <c r="EP28" s="2"/>
      <c r="EQ28" s="37"/>
      <c r="ER28" s="37"/>
      <c r="ES28" s="37"/>
      <c r="ET28" s="37"/>
      <c r="EU28" s="37"/>
      <c r="EV28" s="37"/>
      <c r="EW28" s="37"/>
    </row>
    <row r="29" spans="1:153" ht="15.6">
      <c r="A29" s="37"/>
      <c r="B29" s="2"/>
      <c r="C29" s="37"/>
      <c r="D29" s="15"/>
      <c r="E29" s="15"/>
      <c r="F29" s="37"/>
      <c r="G29" s="37"/>
      <c r="H29" s="37"/>
      <c r="I29" s="37"/>
      <c r="J29" s="37"/>
      <c r="K29" s="37"/>
      <c r="L29" s="37"/>
      <c r="M29" s="36"/>
      <c r="N29" s="37"/>
      <c r="O29" s="37"/>
      <c r="P29" s="37"/>
      <c r="Q29" s="37"/>
      <c r="R29" s="37"/>
      <c r="S29" s="37"/>
      <c r="T29" s="2"/>
      <c r="U29" s="36"/>
      <c r="V29" s="37"/>
      <c r="W29" s="37"/>
      <c r="X29" s="37"/>
      <c r="Y29" s="37"/>
      <c r="Z29" s="37"/>
      <c r="AA29" s="37"/>
      <c r="AB29" s="2"/>
      <c r="AC29" s="2"/>
      <c r="AD29" s="2"/>
      <c r="AE29" s="2"/>
      <c r="AF29" s="2"/>
      <c r="AG29" s="36"/>
      <c r="AH29" s="2"/>
      <c r="AI29" s="2"/>
      <c r="AJ29" s="2"/>
      <c r="AK29" s="2"/>
      <c r="AL29" s="19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6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6"/>
      <c r="BX29" s="36"/>
      <c r="BY29" s="36"/>
      <c r="BZ29" s="37"/>
      <c r="CA29" s="12"/>
      <c r="CB29" s="37"/>
      <c r="CC29" s="37"/>
      <c r="CD29" s="37"/>
      <c r="CE29" s="37"/>
      <c r="CF29" s="37"/>
      <c r="CG29" s="15"/>
      <c r="CH29" s="15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29"/>
      <c r="DU29" s="37"/>
      <c r="DV29" s="37"/>
      <c r="DW29" s="37"/>
      <c r="DX29" s="37"/>
      <c r="DY29" s="37"/>
      <c r="DZ29" s="37"/>
      <c r="EA29" s="37"/>
      <c r="EB29" s="29"/>
      <c r="EC29" s="36"/>
      <c r="ED29" s="36"/>
      <c r="EE29" s="36"/>
      <c r="EF29" s="37"/>
      <c r="EG29" s="2"/>
      <c r="EH29" s="37"/>
      <c r="EI29" s="2"/>
      <c r="EJ29" s="2"/>
      <c r="EK29" s="2"/>
      <c r="EL29" s="2"/>
      <c r="EM29" s="2"/>
      <c r="EN29" s="2"/>
      <c r="EO29" s="2"/>
      <c r="EP29" s="2"/>
      <c r="EQ29" s="37"/>
      <c r="ER29" s="37"/>
      <c r="ES29" s="37"/>
      <c r="ET29" s="37"/>
      <c r="EU29" s="37"/>
      <c r="EV29" s="37"/>
      <c r="EW29" s="37"/>
    </row>
    <row r="30" spans="1:153" ht="15.6">
      <c r="A30" s="37"/>
      <c r="B30" s="2"/>
      <c r="C30" s="37"/>
      <c r="D30" s="15"/>
      <c r="E30" s="15"/>
      <c r="F30" s="37"/>
      <c r="G30" s="37"/>
      <c r="H30" s="37"/>
      <c r="I30" s="37"/>
      <c r="J30" s="37"/>
      <c r="K30" s="37"/>
      <c r="L30" s="37"/>
      <c r="M30" s="36"/>
      <c r="N30" s="37"/>
      <c r="O30" s="37"/>
      <c r="P30" s="37"/>
      <c r="Q30" s="37"/>
      <c r="R30" s="37"/>
      <c r="S30" s="37"/>
      <c r="T30" s="2"/>
      <c r="U30" s="36"/>
      <c r="V30" s="37"/>
      <c r="W30" s="37"/>
      <c r="X30" s="37"/>
      <c r="Y30" s="37"/>
      <c r="Z30" s="37"/>
      <c r="AA30" s="37"/>
      <c r="AB30" s="2"/>
      <c r="AC30" s="2"/>
      <c r="AD30" s="2"/>
      <c r="AE30" s="2"/>
      <c r="AF30" s="2"/>
      <c r="AG30" s="36"/>
      <c r="AH30" s="2"/>
      <c r="AI30" s="2"/>
      <c r="AJ30" s="2"/>
      <c r="AK30" s="2"/>
      <c r="AL30" s="19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6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6"/>
      <c r="BX30" s="36"/>
      <c r="BY30" s="36"/>
      <c r="BZ30" s="37"/>
      <c r="CA30" s="12"/>
      <c r="CB30" s="37"/>
      <c r="CC30" s="37"/>
      <c r="CD30" s="37"/>
      <c r="CE30" s="37"/>
      <c r="CF30" s="37"/>
      <c r="CG30" s="15"/>
      <c r="CH30" s="15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29"/>
      <c r="DU30" s="37"/>
      <c r="DV30" s="37"/>
      <c r="DW30" s="37"/>
      <c r="DX30" s="37"/>
      <c r="DY30" s="37"/>
      <c r="DZ30" s="37"/>
      <c r="EA30" s="37"/>
      <c r="EB30" s="29"/>
      <c r="EC30" s="36"/>
      <c r="ED30" s="36"/>
      <c r="EE30" s="36"/>
      <c r="EF30" s="37"/>
      <c r="EG30" s="2"/>
      <c r="EH30" s="37"/>
      <c r="EI30" s="2"/>
      <c r="EJ30" s="2"/>
      <c r="EK30" s="2"/>
      <c r="EL30" s="2"/>
      <c r="EM30" s="2"/>
      <c r="EN30" s="2"/>
      <c r="EO30" s="2"/>
      <c r="EP30" s="2"/>
      <c r="EQ30" s="37"/>
      <c r="ER30" s="37"/>
      <c r="ES30" s="37"/>
      <c r="ET30" s="37"/>
      <c r="EU30" s="37"/>
      <c r="EV30" s="37"/>
      <c r="EW30" s="37"/>
    </row>
    <row r="31" spans="1:153" ht="15.6">
      <c r="A31" s="37"/>
      <c r="B31" s="2"/>
      <c r="C31" s="37"/>
      <c r="D31" s="15"/>
      <c r="E31" s="15"/>
      <c r="F31" s="37"/>
      <c r="G31" s="37"/>
      <c r="H31" s="37"/>
      <c r="I31" s="37"/>
      <c r="J31" s="37"/>
      <c r="K31" s="37"/>
      <c r="L31" s="37"/>
      <c r="M31" s="36"/>
      <c r="N31" s="37"/>
      <c r="O31" s="37"/>
      <c r="P31" s="37"/>
      <c r="Q31" s="37"/>
      <c r="R31" s="37"/>
      <c r="S31" s="37"/>
      <c r="T31" s="2"/>
      <c r="U31" s="36"/>
      <c r="V31" s="37"/>
      <c r="W31" s="37"/>
      <c r="X31" s="37"/>
      <c r="Y31" s="37"/>
      <c r="Z31" s="37"/>
      <c r="AA31" s="37"/>
      <c r="AB31" s="2"/>
      <c r="AC31" s="2"/>
      <c r="AD31" s="2"/>
      <c r="AE31" s="2"/>
      <c r="AF31" s="2"/>
      <c r="AG31" s="36"/>
      <c r="AH31" s="2"/>
      <c r="AI31" s="2"/>
      <c r="AJ31" s="2"/>
      <c r="AK31" s="2"/>
      <c r="AL31" s="19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6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6"/>
      <c r="BX31" s="36"/>
      <c r="BY31" s="36"/>
      <c r="BZ31" s="37"/>
      <c r="CA31" s="12"/>
      <c r="CB31" s="37"/>
      <c r="CC31" s="37"/>
      <c r="CD31" s="37"/>
      <c r="CE31" s="37"/>
      <c r="CF31" s="37"/>
      <c r="CG31" s="15"/>
      <c r="CH31" s="15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29"/>
      <c r="DU31" s="37"/>
      <c r="DV31" s="37"/>
      <c r="DW31" s="37"/>
      <c r="DX31" s="37"/>
      <c r="DY31" s="37"/>
      <c r="DZ31" s="37"/>
      <c r="EA31" s="37"/>
      <c r="EB31" s="29"/>
      <c r="EC31" s="36"/>
      <c r="ED31" s="36"/>
      <c r="EE31" s="36"/>
      <c r="EF31" s="37"/>
      <c r="EG31" s="2"/>
      <c r="EH31" s="37"/>
      <c r="EI31" s="2"/>
      <c r="EJ31" s="2"/>
      <c r="EK31" s="2"/>
      <c r="EL31" s="2"/>
      <c r="EM31" s="2"/>
      <c r="EN31" s="2"/>
      <c r="EO31" s="2"/>
      <c r="EP31" s="2"/>
      <c r="EQ31" s="37"/>
      <c r="ER31" s="37"/>
      <c r="ES31" s="37"/>
      <c r="ET31" s="37"/>
      <c r="EU31" s="37"/>
      <c r="EV31" s="37"/>
      <c r="EW31" s="37"/>
    </row>
    <row r="32" spans="1:153" ht="15.6">
      <c r="A32" s="37"/>
      <c r="B32" s="2"/>
      <c r="C32" s="37"/>
      <c r="D32" s="15"/>
      <c r="E32" s="15"/>
      <c r="F32" s="37"/>
      <c r="G32" s="37"/>
      <c r="H32" s="37"/>
      <c r="I32" s="37"/>
      <c r="J32" s="37"/>
      <c r="K32" s="37"/>
      <c r="L32" s="37"/>
      <c r="M32" s="36"/>
      <c r="N32" s="37"/>
      <c r="O32" s="37"/>
      <c r="P32" s="37"/>
      <c r="Q32" s="37"/>
      <c r="R32" s="37"/>
      <c r="S32" s="37"/>
      <c r="T32" s="2"/>
      <c r="U32" s="36"/>
      <c r="V32" s="37"/>
      <c r="W32" s="37"/>
      <c r="X32" s="37"/>
      <c r="Y32" s="37"/>
      <c r="Z32" s="37"/>
      <c r="AA32" s="37"/>
      <c r="AB32" s="2"/>
      <c r="AC32" s="2"/>
      <c r="AD32" s="2"/>
      <c r="AE32" s="2"/>
      <c r="AF32" s="2"/>
      <c r="AG32" s="36"/>
      <c r="AH32" s="2"/>
      <c r="AI32" s="2"/>
      <c r="AJ32" s="2"/>
      <c r="AK32" s="2"/>
      <c r="AL32" s="19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6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6"/>
      <c r="BX32" s="36"/>
      <c r="BY32" s="36"/>
      <c r="BZ32" s="37"/>
      <c r="CA32" s="12"/>
      <c r="CB32" s="37"/>
      <c r="CC32" s="37"/>
      <c r="CD32" s="37"/>
      <c r="CE32" s="37"/>
      <c r="CF32" s="37"/>
      <c r="CG32" s="15"/>
      <c r="CH32" s="15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29"/>
      <c r="DU32" s="37"/>
      <c r="DV32" s="37"/>
      <c r="DW32" s="37"/>
      <c r="DX32" s="37"/>
      <c r="DY32" s="37"/>
      <c r="DZ32" s="37"/>
      <c r="EA32" s="37"/>
      <c r="EB32" s="29"/>
      <c r="EC32" s="36"/>
      <c r="ED32" s="36"/>
      <c r="EE32" s="36"/>
      <c r="EF32" s="37"/>
      <c r="EG32" s="2"/>
      <c r="EH32" s="37"/>
      <c r="EI32" s="2"/>
      <c r="EJ32" s="2"/>
      <c r="EK32" s="2"/>
      <c r="EL32" s="2"/>
      <c r="EM32" s="2"/>
      <c r="EN32" s="2"/>
      <c r="EO32" s="2"/>
      <c r="EP32" s="2"/>
      <c r="EQ32" s="37"/>
      <c r="ER32" s="37"/>
      <c r="ES32" s="37"/>
      <c r="ET32" s="37"/>
      <c r="EU32" s="37"/>
      <c r="EV32" s="37"/>
      <c r="EW32" s="37"/>
    </row>
    <row r="33" spans="1:153" ht="15.6">
      <c r="A33" s="37"/>
      <c r="B33" s="2"/>
      <c r="C33" s="37"/>
      <c r="D33" s="15"/>
      <c r="E33" s="15"/>
      <c r="F33" s="37"/>
      <c r="G33" s="37"/>
      <c r="H33" s="37"/>
      <c r="I33" s="37"/>
      <c r="J33" s="37"/>
      <c r="K33" s="37"/>
      <c r="L33" s="37"/>
      <c r="M33" s="36"/>
      <c r="N33" s="37"/>
      <c r="O33" s="37"/>
      <c r="P33" s="37"/>
      <c r="Q33" s="37"/>
      <c r="R33" s="37"/>
      <c r="S33" s="37"/>
      <c r="T33" s="2"/>
      <c r="U33" s="36"/>
      <c r="V33" s="37"/>
      <c r="W33" s="37"/>
      <c r="X33" s="37"/>
      <c r="Y33" s="37"/>
      <c r="Z33" s="37"/>
      <c r="AA33" s="37"/>
      <c r="AB33" s="2"/>
      <c r="AC33" s="2"/>
      <c r="AD33" s="2"/>
      <c r="AE33" s="2"/>
      <c r="AF33" s="2"/>
      <c r="AG33" s="36"/>
      <c r="AH33" s="2"/>
      <c r="AI33" s="2"/>
      <c r="AJ33" s="2"/>
      <c r="AK33" s="2"/>
      <c r="AL33" s="19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6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6"/>
      <c r="BX33" s="36"/>
      <c r="BY33" s="36"/>
      <c r="BZ33" s="37"/>
      <c r="CA33" s="12"/>
      <c r="CB33" s="37"/>
      <c r="CC33" s="37"/>
      <c r="CD33" s="37"/>
      <c r="CE33" s="37"/>
      <c r="CF33" s="37"/>
      <c r="CG33" s="15"/>
      <c r="CH33" s="15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29"/>
      <c r="DU33" s="37"/>
      <c r="DV33" s="37"/>
      <c r="DW33" s="37"/>
      <c r="DX33" s="37"/>
      <c r="DY33" s="37"/>
      <c r="DZ33" s="37"/>
      <c r="EA33" s="37"/>
      <c r="EB33" s="29"/>
      <c r="EC33" s="36"/>
      <c r="ED33" s="36"/>
      <c r="EE33" s="36"/>
      <c r="EF33" s="37"/>
      <c r="EG33" s="2"/>
      <c r="EH33" s="37"/>
      <c r="EI33" s="2"/>
      <c r="EJ33" s="2"/>
      <c r="EK33" s="2"/>
      <c r="EL33" s="2"/>
      <c r="EM33" s="2"/>
      <c r="EN33" s="2"/>
      <c r="EO33" s="2"/>
      <c r="EP33" s="2"/>
      <c r="EQ33" s="37"/>
      <c r="ER33" s="37"/>
      <c r="ES33" s="37"/>
      <c r="ET33" s="37"/>
      <c r="EU33" s="37"/>
      <c r="EV33" s="37"/>
      <c r="EW33" s="37"/>
    </row>
    <row r="34" spans="1:153" ht="15.6">
      <c r="A34" s="37"/>
      <c r="B34" s="2"/>
      <c r="C34" s="37"/>
      <c r="D34" s="15"/>
      <c r="E34" s="15"/>
      <c r="F34" s="37"/>
      <c r="G34" s="37"/>
      <c r="H34" s="37"/>
      <c r="I34" s="37"/>
      <c r="J34" s="37"/>
      <c r="K34" s="37"/>
      <c r="L34" s="37"/>
      <c r="M34" s="36"/>
      <c r="N34" s="37"/>
      <c r="O34" s="37"/>
      <c r="P34" s="37"/>
      <c r="Q34" s="37"/>
      <c r="R34" s="37"/>
      <c r="S34" s="37"/>
      <c r="T34" s="2"/>
      <c r="U34" s="36"/>
      <c r="V34" s="37"/>
      <c r="W34" s="37"/>
      <c r="X34" s="37"/>
      <c r="Y34" s="37"/>
      <c r="Z34" s="37"/>
      <c r="AA34" s="37"/>
      <c r="AB34" s="2"/>
      <c r="AC34" s="2"/>
      <c r="AD34" s="2"/>
      <c r="AE34" s="2"/>
      <c r="AF34" s="2"/>
      <c r="AG34" s="36"/>
      <c r="AH34" s="2"/>
      <c r="AI34" s="2"/>
      <c r="AJ34" s="2"/>
      <c r="AK34" s="2"/>
      <c r="AL34" s="19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6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6"/>
      <c r="BX34" s="36"/>
      <c r="BY34" s="36"/>
      <c r="BZ34" s="37"/>
      <c r="CA34" s="12"/>
      <c r="CB34" s="37"/>
      <c r="CC34" s="37"/>
      <c r="CD34" s="37"/>
      <c r="CE34" s="37"/>
      <c r="CF34" s="37"/>
      <c r="CG34" s="15"/>
      <c r="CH34" s="15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29"/>
      <c r="DU34" s="37"/>
      <c r="DV34" s="37"/>
      <c r="DW34" s="37"/>
      <c r="DX34" s="37"/>
      <c r="DY34" s="37"/>
      <c r="DZ34" s="37"/>
      <c r="EA34" s="37"/>
      <c r="EB34" s="29"/>
      <c r="EC34" s="36"/>
      <c r="ED34" s="36"/>
      <c r="EE34" s="36"/>
      <c r="EF34" s="37"/>
      <c r="EG34" s="2"/>
      <c r="EH34" s="37"/>
      <c r="EI34" s="2"/>
      <c r="EJ34" s="2"/>
      <c r="EK34" s="2"/>
      <c r="EL34" s="2"/>
      <c r="EM34" s="2"/>
      <c r="EN34" s="2"/>
      <c r="EO34" s="2"/>
      <c r="EP34" s="2"/>
      <c r="EQ34" s="37"/>
      <c r="ER34" s="37"/>
      <c r="ES34" s="37"/>
      <c r="ET34" s="37"/>
      <c r="EU34" s="37"/>
      <c r="EV34" s="37"/>
      <c r="EW34" s="37"/>
    </row>
    <row r="35" spans="1:153" ht="15.6">
      <c r="A35" s="37"/>
      <c r="B35" s="2"/>
      <c r="C35" s="37"/>
      <c r="D35" s="15"/>
      <c r="E35" s="15"/>
      <c r="F35" s="37"/>
      <c r="G35" s="37"/>
      <c r="H35" s="37"/>
      <c r="I35" s="37"/>
      <c r="J35" s="37"/>
      <c r="K35" s="37"/>
      <c r="L35" s="37"/>
      <c r="M35" s="36"/>
      <c r="N35" s="37"/>
      <c r="O35" s="37"/>
      <c r="P35" s="37"/>
      <c r="Q35" s="37"/>
      <c r="R35" s="37"/>
      <c r="S35" s="37"/>
      <c r="T35" s="2"/>
      <c r="U35" s="36"/>
      <c r="V35" s="37"/>
      <c r="W35" s="37"/>
      <c r="X35" s="37"/>
      <c r="Y35" s="37"/>
      <c r="Z35" s="37"/>
      <c r="AA35" s="37"/>
      <c r="AB35" s="2"/>
      <c r="AC35" s="2"/>
      <c r="AD35" s="2"/>
      <c r="AE35" s="2"/>
      <c r="AF35" s="2"/>
      <c r="AG35" s="36"/>
      <c r="AH35" s="2"/>
      <c r="AI35" s="2"/>
      <c r="AJ35" s="2"/>
      <c r="AK35" s="2"/>
      <c r="AL35" s="19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6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6"/>
      <c r="BX35" s="36"/>
      <c r="BY35" s="36"/>
      <c r="BZ35" s="37"/>
      <c r="CA35" s="12"/>
      <c r="CB35" s="37"/>
      <c r="CC35" s="37"/>
      <c r="CD35" s="37"/>
      <c r="CE35" s="37"/>
      <c r="CF35" s="37"/>
      <c r="CG35" s="15"/>
      <c r="CH35" s="15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29"/>
      <c r="DU35" s="37"/>
      <c r="DV35" s="37"/>
      <c r="DW35" s="37"/>
      <c r="DX35" s="37"/>
      <c r="DY35" s="37"/>
      <c r="DZ35" s="37"/>
      <c r="EA35" s="37"/>
      <c r="EB35" s="29"/>
      <c r="EC35" s="36"/>
      <c r="ED35" s="36"/>
      <c r="EE35" s="36"/>
      <c r="EF35" s="37"/>
      <c r="EG35" s="2"/>
      <c r="EH35" s="37"/>
      <c r="EI35" s="2"/>
      <c r="EJ35" s="2"/>
      <c r="EK35" s="2"/>
      <c r="EL35" s="2"/>
      <c r="EM35" s="2"/>
      <c r="EN35" s="2"/>
      <c r="EO35" s="2"/>
      <c r="EP35" s="2"/>
      <c r="EQ35" s="37"/>
      <c r="ER35" s="37"/>
      <c r="ES35" s="37"/>
      <c r="ET35" s="37"/>
      <c r="EU35" s="37"/>
      <c r="EV35" s="37"/>
      <c r="EW35" s="37"/>
    </row>
    <row r="36" spans="1:153" ht="15.6">
      <c r="A36" s="37"/>
      <c r="B36" s="2"/>
      <c r="C36" s="37"/>
      <c r="D36" s="15"/>
      <c r="E36" s="15"/>
      <c r="F36" s="37"/>
      <c r="G36" s="37"/>
      <c r="H36" s="37"/>
      <c r="I36" s="37"/>
      <c r="J36" s="37"/>
      <c r="K36" s="37"/>
      <c r="L36" s="37"/>
      <c r="M36" s="36"/>
      <c r="N36" s="37"/>
      <c r="O36" s="37"/>
      <c r="P36" s="37"/>
      <c r="Q36" s="37"/>
      <c r="R36" s="37"/>
      <c r="S36" s="37"/>
      <c r="T36" s="2"/>
      <c r="U36" s="36"/>
      <c r="V36" s="37"/>
      <c r="W36" s="37"/>
      <c r="X36" s="37"/>
      <c r="Y36" s="37"/>
      <c r="Z36" s="37"/>
      <c r="AA36" s="37"/>
      <c r="AB36" s="2"/>
      <c r="AC36" s="2"/>
      <c r="AD36" s="2"/>
      <c r="AE36" s="2"/>
      <c r="AF36" s="2"/>
      <c r="AG36" s="36"/>
      <c r="AH36" s="2"/>
      <c r="AI36" s="2"/>
      <c r="AJ36" s="2"/>
      <c r="AK36" s="2"/>
      <c r="AL36" s="19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6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6"/>
      <c r="BX36" s="36"/>
      <c r="BY36" s="36"/>
      <c r="BZ36" s="37"/>
      <c r="CA36" s="12"/>
      <c r="CB36" s="37"/>
      <c r="CC36" s="37"/>
      <c r="CD36" s="37"/>
      <c r="CE36" s="37"/>
      <c r="CF36" s="37"/>
      <c r="CG36" s="15"/>
      <c r="CH36" s="15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29"/>
      <c r="DU36" s="37"/>
      <c r="DV36" s="37"/>
      <c r="DW36" s="37"/>
      <c r="DX36" s="37"/>
      <c r="DY36" s="37"/>
      <c r="DZ36" s="37"/>
      <c r="EA36" s="37"/>
      <c r="EB36" s="29"/>
      <c r="EC36" s="36"/>
      <c r="ED36" s="36"/>
      <c r="EE36" s="36"/>
      <c r="EF36" s="37"/>
      <c r="EG36" s="2"/>
      <c r="EH36" s="37"/>
      <c r="EI36" s="2"/>
      <c r="EJ36" s="2"/>
      <c r="EK36" s="2"/>
      <c r="EL36" s="2"/>
      <c r="EM36" s="2"/>
      <c r="EN36" s="2"/>
      <c r="EO36" s="2"/>
      <c r="EP36" s="2"/>
      <c r="EQ36" s="37"/>
      <c r="ER36" s="37"/>
      <c r="ES36" s="37"/>
      <c r="ET36" s="37"/>
      <c r="EU36" s="37"/>
      <c r="EV36" s="37"/>
      <c r="EW36" s="37"/>
    </row>
    <row r="37" spans="1:153" ht="15.6">
      <c r="A37" s="37"/>
      <c r="B37" s="2"/>
      <c r="C37" s="37"/>
      <c r="D37" s="15"/>
      <c r="E37" s="15"/>
      <c r="F37" s="37"/>
      <c r="G37" s="37"/>
      <c r="H37" s="37"/>
      <c r="I37" s="37"/>
      <c r="J37" s="37"/>
      <c r="K37" s="37"/>
      <c r="L37" s="37"/>
      <c r="M37" s="36"/>
      <c r="N37" s="37"/>
      <c r="O37" s="37"/>
      <c r="P37" s="37"/>
      <c r="Q37" s="37"/>
      <c r="R37" s="37"/>
      <c r="S37" s="37"/>
      <c r="T37" s="2"/>
      <c r="U37" s="36"/>
      <c r="V37" s="37"/>
      <c r="W37" s="37"/>
      <c r="X37" s="37"/>
      <c r="Y37" s="37"/>
      <c r="Z37" s="37"/>
      <c r="AA37" s="37"/>
      <c r="AB37" s="2"/>
      <c r="AC37" s="2"/>
      <c r="AD37" s="2"/>
      <c r="AE37" s="2"/>
      <c r="AF37" s="2"/>
      <c r="AG37" s="36"/>
      <c r="AH37" s="2"/>
      <c r="AI37" s="2"/>
      <c r="AJ37" s="2"/>
      <c r="AK37" s="2"/>
      <c r="AL37" s="19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6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6"/>
      <c r="BX37" s="36"/>
      <c r="BY37" s="36"/>
      <c r="BZ37" s="37"/>
      <c r="CA37" s="12"/>
      <c r="CB37" s="37"/>
      <c r="CC37" s="37"/>
      <c r="CD37" s="37"/>
      <c r="CE37" s="37"/>
      <c r="CF37" s="37"/>
      <c r="CG37" s="15"/>
      <c r="CH37" s="15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29"/>
      <c r="DU37" s="37"/>
      <c r="DV37" s="37"/>
      <c r="DW37" s="37"/>
      <c r="DX37" s="37"/>
      <c r="DY37" s="37"/>
      <c r="DZ37" s="37"/>
      <c r="EA37" s="37"/>
      <c r="EB37" s="29"/>
      <c r="EC37" s="36"/>
      <c r="ED37" s="36"/>
      <c r="EE37" s="36"/>
      <c r="EF37" s="37"/>
      <c r="EG37" s="2"/>
      <c r="EH37" s="37"/>
      <c r="EI37" s="2"/>
      <c r="EJ37" s="2"/>
      <c r="EK37" s="2"/>
      <c r="EL37" s="2"/>
      <c r="EM37" s="2"/>
      <c r="EN37" s="2"/>
      <c r="EO37" s="2"/>
      <c r="EP37" s="2"/>
      <c r="EQ37" s="37"/>
      <c r="ER37" s="37"/>
      <c r="ES37" s="37"/>
      <c r="ET37" s="37"/>
      <c r="EU37" s="37"/>
      <c r="EV37" s="37"/>
      <c r="EW37" s="37"/>
    </row>
    <row r="38" spans="1:153" ht="15.6">
      <c r="A38" s="37"/>
      <c r="B38" s="2"/>
      <c r="C38" s="37"/>
      <c r="D38" s="15"/>
      <c r="E38" s="15"/>
      <c r="F38" s="37"/>
      <c r="G38" s="37"/>
      <c r="H38" s="37"/>
      <c r="I38" s="37"/>
      <c r="J38" s="37"/>
      <c r="K38" s="37"/>
      <c r="L38" s="37"/>
      <c r="M38" s="36"/>
      <c r="N38" s="37"/>
      <c r="O38" s="37"/>
      <c r="P38" s="37"/>
      <c r="Q38" s="37"/>
      <c r="R38" s="37"/>
      <c r="S38" s="37"/>
      <c r="T38" s="2"/>
      <c r="U38" s="36"/>
      <c r="V38" s="37"/>
      <c r="W38" s="37"/>
      <c r="X38" s="37"/>
      <c r="Y38" s="37"/>
      <c r="Z38" s="37"/>
      <c r="AA38" s="37"/>
      <c r="AB38" s="2"/>
      <c r="AC38" s="2"/>
      <c r="AD38" s="2"/>
      <c r="AE38" s="2"/>
      <c r="AF38" s="2"/>
      <c r="AG38" s="36"/>
      <c r="AH38" s="2"/>
      <c r="AI38" s="2"/>
      <c r="AJ38" s="2"/>
      <c r="AK38" s="2"/>
      <c r="AL38" s="19"/>
      <c r="AM38" s="37"/>
      <c r="AN38" s="37"/>
      <c r="AO38" s="37"/>
      <c r="AP38" s="37"/>
      <c r="AQ38" s="37"/>
      <c r="AR38" s="37"/>
      <c r="AS38" s="37"/>
      <c r="AT38" s="37"/>
      <c r="AU38" s="37"/>
      <c r="AV38" s="2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2"/>
      <c r="BN38" s="37"/>
      <c r="BO38" s="2"/>
      <c r="BP38" s="2"/>
      <c r="BQ38" s="2"/>
      <c r="BR38" s="2"/>
      <c r="BS38" s="2"/>
      <c r="BT38" s="2"/>
      <c r="BU38" s="2"/>
      <c r="BV38" s="37"/>
      <c r="BW38" s="2"/>
      <c r="BX38" s="2"/>
      <c r="BY38" s="36"/>
      <c r="BZ38" s="2"/>
      <c r="CA38" s="12"/>
      <c r="CB38" s="2"/>
      <c r="CC38" s="2"/>
      <c r="CD38" s="2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29"/>
      <c r="DU38" s="37"/>
      <c r="DV38" s="37"/>
      <c r="DW38" s="37"/>
      <c r="DX38" s="37"/>
      <c r="DY38" s="37"/>
      <c r="DZ38" s="37"/>
      <c r="EA38" s="37"/>
      <c r="EB38" s="29"/>
      <c r="EC38" s="36"/>
      <c r="ED38" s="36"/>
      <c r="EE38" s="36"/>
      <c r="EF38" s="37"/>
      <c r="EG38" s="2"/>
      <c r="EH38" s="37"/>
      <c r="EI38" s="2"/>
      <c r="EJ38" s="2"/>
      <c r="EK38" s="2"/>
      <c r="EL38" s="2"/>
      <c r="EM38" s="2"/>
      <c r="EN38" s="2"/>
      <c r="EO38" s="2"/>
      <c r="EP38" s="2"/>
      <c r="EQ38" s="37"/>
      <c r="ER38" s="37"/>
      <c r="ES38" s="37"/>
      <c r="ET38" s="37"/>
      <c r="EU38" s="37"/>
      <c r="EV38" s="37"/>
      <c r="EW38" s="37"/>
    </row>
    <row r="39" spans="1:153" ht="15.6">
      <c r="A39" s="37"/>
      <c r="B39" s="2"/>
      <c r="C39" s="37"/>
      <c r="D39" s="15"/>
      <c r="E39" s="15"/>
      <c r="F39" s="37"/>
      <c r="G39" s="37"/>
      <c r="H39" s="37"/>
      <c r="I39" s="37"/>
      <c r="J39" s="37"/>
      <c r="K39" s="37"/>
      <c r="L39" s="37"/>
      <c r="M39" s="36"/>
      <c r="N39" s="37"/>
      <c r="O39" s="37"/>
      <c r="P39" s="37"/>
      <c r="Q39" s="37"/>
      <c r="R39" s="37"/>
      <c r="S39" s="37"/>
      <c r="T39" s="2"/>
      <c r="U39" s="36"/>
      <c r="V39" s="37"/>
      <c r="W39" s="37"/>
      <c r="X39" s="37"/>
      <c r="Y39" s="37"/>
      <c r="Z39" s="37"/>
      <c r="AA39" s="37"/>
      <c r="AB39" s="2"/>
      <c r="AC39" s="2"/>
      <c r="AD39" s="2"/>
      <c r="AE39" s="2"/>
      <c r="AF39" s="2"/>
      <c r="AG39" s="36"/>
      <c r="AH39" s="2"/>
      <c r="AI39" s="2"/>
      <c r="AJ39" s="2"/>
      <c r="AK39" s="2"/>
      <c r="AL39" s="19"/>
      <c r="AM39" s="37"/>
      <c r="AN39" s="37"/>
      <c r="AO39" s="37"/>
      <c r="AP39" s="37"/>
      <c r="AQ39" s="37"/>
      <c r="AR39" s="37"/>
      <c r="AS39" s="37"/>
      <c r="AT39" s="37"/>
      <c r="AU39" s="37"/>
      <c r="AV39" s="2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2"/>
      <c r="BN39" s="37"/>
      <c r="BO39" s="2"/>
      <c r="BP39" s="2"/>
      <c r="BQ39" s="2"/>
      <c r="BR39" s="2"/>
      <c r="BS39" s="2"/>
      <c r="BT39" s="2"/>
      <c r="BU39" s="2"/>
      <c r="BV39" s="37"/>
      <c r="BW39" s="2"/>
      <c r="BX39" s="2"/>
      <c r="BY39" s="36"/>
      <c r="BZ39" s="2"/>
      <c r="CA39" s="12"/>
      <c r="CB39" s="2"/>
      <c r="CC39" s="2"/>
      <c r="CD39" s="2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29"/>
      <c r="DU39" s="37"/>
      <c r="DV39" s="37"/>
      <c r="DW39" s="37"/>
      <c r="DX39" s="37"/>
      <c r="DY39" s="37"/>
      <c r="DZ39" s="37"/>
      <c r="EA39" s="37"/>
      <c r="EB39" s="29"/>
      <c r="EC39" s="36"/>
      <c r="ED39" s="36"/>
      <c r="EE39" s="36"/>
      <c r="EF39" s="37"/>
      <c r="EG39" s="2"/>
      <c r="EH39" s="37"/>
      <c r="EI39" s="2"/>
      <c r="EJ39" s="2"/>
      <c r="EK39" s="2"/>
      <c r="EL39" s="2"/>
      <c r="EM39" s="2"/>
      <c r="EN39" s="2"/>
      <c r="EO39" s="2"/>
      <c r="EP39" s="2"/>
      <c r="EQ39" s="37"/>
      <c r="ER39" s="37"/>
      <c r="ES39" s="37"/>
      <c r="ET39" s="37"/>
      <c r="EU39" s="37"/>
      <c r="EV39" s="37"/>
      <c r="EW39" s="37"/>
    </row>
    <row r="40" spans="1:153" ht="15.6">
      <c r="A40" s="37"/>
      <c r="B40" s="2"/>
      <c r="C40" s="37"/>
      <c r="D40" s="15"/>
      <c r="E40" s="15"/>
      <c r="F40" s="37"/>
      <c r="G40" s="37"/>
      <c r="H40" s="37"/>
      <c r="I40" s="37"/>
      <c r="J40" s="37"/>
      <c r="K40" s="37"/>
      <c r="L40" s="37"/>
      <c r="M40" s="36"/>
      <c r="N40" s="37"/>
      <c r="O40" s="37"/>
      <c r="P40" s="37"/>
      <c r="Q40" s="37"/>
      <c r="R40" s="37"/>
      <c r="S40" s="37"/>
      <c r="T40" s="2"/>
      <c r="U40" s="36"/>
      <c r="V40" s="37"/>
      <c r="W40" s="37"/>
      <c r="X40" s="37"/>
      <c r="Y40" s="37"/>
      <c r="Z40" s="37"/>
      <c r="AA40" s="37"/>
      <c r="AB40" s="2"/>
      <c r="AC40" s="2"/>
      <c r="AD40" s="2"/>
      <c r="AE40" s="2"/>
      <c r="AF40" s="2"/>
      <c r="AG40" s="36"/>
      <c r="AH40" s="2"/>
      <c r="AI40" s="2"/>
      <c r="AJ40" s="2"/>
      <c r="AK40" s="2"/>
      <c r="AL40" s="19"/>
      <c r="AM40" s="37"/>
      <c r="AN40" s="37"/>
      <c r="AO40" s="37"/>
      <c r="AP40" s="37"/>
      <c r="AQ40" s="37"/>
      <c r="AR40" s="37"/>
      <c r="AS40" s="37"/>
      <c r="AT40" s="37"/>
      <c r="AU40" s="37"/>
      <c r="AV40" s="2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2"/>
      <c r="BN40" s="37"/>
      <c r="BO40" s="2"/>
      <c r="BP40" s="2"/>
      <c r="BQ40" s="2"/>
      <c r="BR40" s="2"/>
      <c r="BS40" s="2"/>
      <c r="BT40" s="2"/>
      <c r="BU40" s="2"/>
      <c r="BV40" s="37"/>
      <c r="BW40" s="2"/>
      <c r="BX40" s="2"/>
      <c r="BY40" s="36"/>
      <c r="BZ40" s="2"/>
      <c r="CA40" s="12"/>
      <c r="CB40" s="2"/>
      <c r="CC40" s="2"/>
      <c r="CD40" s="2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29"/>
      <c r="DU40" s="37"/>
      <c r="DV40" s="37"/>
      <c r="DW40" s="37"/>
      <c r="DX40" s="37"/>
      <c r="DY40" s="37"/>
      <c r="DZ40" s="37"/>
      <c r="EA40" s="37"/>
      <c r="EB40" s="29"/>
      <c r="EC40" s="36"/>
      <c r="ED40" s="36"/>
      <c r="EE40" s="36"/>
      <c r="EF40" s="37"/>
      <c r="EG40" s="2"/>
      <c r="EH40" s="37"/>
      <c r="EI40" s="2"/>
      <c r="EJ40" s="2"/>
      <c r="EK40" s="2"/>
      <c r="EL40" s="2"/>
      <c r="EM40" s="2"/>
      <c r="EN40" s="2"/>
      <c r="EO40" s="2"/>
      <c r="EP40" s="2"/>
      <c r="EQ40" s="37"/>
      <c r="ER40" s="37"/>
      <c r="ES40" s="37"/>
      <c r="ET40" s="37"/>
      <c r="EU40" s="37"/>
      <c r="EV40" s="37"/>
      <c r="EW40" s="37"/>
    </row>
    <row r="41" spans="1:153" ht="15.6">
      <c r="A41" s="37"/>
      <c r="B41" s="2"/>
      <c r="C41" s="37"/>
      <c r="D41" s="15"/>
      <c r="E41" s="15"/>
      <c r="F41" s="37"/>
      <c r="G41" s="37"/>
      <c r="H41" s="37"/>
      <c r="I41" s="37"/>
      <c r="J41" s="37"/>
      <c r="K41" s="37"/>
      <c r="L41" s="37"/>
      <c r="M41" s="36"/>
      <c r="N41" s="37"/>
      <c r="O41" s="37"/>
      <c r="P41" s="37"/>
      <c r="Q41" s="37"/>
      <c r="R41" s="37"/>
      <c r="S41" s="37"/>
      <c r="T41" s="2"/>
      <c r="U41" s="36"/>
      <c r="V41" s="37"/>
      <c r="W41" s="37"/>
      <c r="X41" s="37"/>
      <c r="Y41" s="37"/>
      <c r="Z41" s="37"/>
      <c r="AA41" s="37"/>
      <c r="AB41" s="2"/>
      <c r="AC41" s="2"/>
      <c r="AD41" s="2"/>
      <c r="AE41" s="2"/>
      <c r="AF41" s="2"/>
      <c r="AG41" s="36"/>
      <c r="AH41" s="2"/>
      <c r="AI41" s="2"/>
      <c r="AJ41" s="2"/>
      <c r="AK41" s="2"/>
      <c r="AL41" s="19"/>
      <c r="AM41" s="37"/>
      <c r="AN41" s="37"/>
      <c r="AO41" s="37"/>
      <c r="AP41" s="37"/>
      <c r="AQ41" s="37"/>
      <c r="AR41" s="37"/>
      <c r="AS41" s="37"/>
      <c r="AT41" s="37"/>
      <c r="AU41" s="37"/>
      <c r="AV41" s="2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2"/>
      <c r="BN41" s="37"/>
      <c r="BO41" s="2"/>
      <c r="BP41" s="2"/>
      <c r="BQ41" s="2"/>
      <c r="BR41" s="2"/>
      <c r="BS41" s="2"/>
      <c r="BT41" s="2"/>
      <c r="BU41" s="2"/>
      <c r="BV41" s="37"/>
      <c r="BW41" s="2"/>
      <c r="BX41" s="2"/>
      <c r="BY41" s="36"/>
      <c r="BZ41" s="2"/>
      <c r="CA41" s="12"/>
      <c r="CB41" s="2"/>
      <c r="CC41" s="2"/>
      <c r="CD41" s="2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29"/>
      <c r="DU41" s="37"/>
      <c r="DV41" s="37"/>
      <c r="DW41" s="37"/>
      <c r="DX41" s="37"/>
      <c r="DY41" s="37"/>
      <c r="DZ41" s="37"/>
      <c r="EA41" s="37"/>
      <c r="EB41" s="29"/>
      <c r="EC41" s="36"/>
      <c r="ED41" s="36"/>
      <c r="EE41" s="36"/>
      <c r="EF41" s="37"/>
      <c r="EG41" s="2"/>
      <c r="EH41" s="37"/>
      <c r="EI41" s="2"/>
      <c r="EJ41" s="2"/>
      <c r="EK41" s="2"/>
      <c r="EL41" s="2"/>
      <c r="EM41" s="2"/>
      <c r="EN41" s="2"/>
      <c r="EO41" s="2"/>
      <c r="EP41" s="2"/>
      <c r="EQ41" s="37"/>
      <c r="ER41" s="37"/>
      <c r="ES41" s="37"/>
      <c r="ET41" s="37"/>
      <c r="EU41" s="37"/>
      <c r="EV41" s="37"/>
      <c r="EW41" s="37"/>
    </row>
    <row r="42" spans="1:153" ht="15.6">
      <c r="A42" s="37"/>
      <c r="B42" s="2"/>
      <c r="C42" s="37"/>
      <c r="D42" s="15"/>
      <c r="E42" s="15"/>
      <c r="F42" s="37"/>
      <c r="G42" s="37"/>
      <c r="H42" s="37"/>
      <c r="I42" s="37"/>
      <c r="J42" s="37"/>
      <c r="K42" s="37"/>
      <c r="L42" s="37"/>
      <c r="M42" s="36"/>
      <c r="N42" s="37"/>
      <c r="O42" s="37"/>
      <c r="P42" s="37"/>
      <c r="Q42" s="37"/>
      <c r="R42" s="37"/>
      <c r="S42" s="37"/>
      <c r="T42" s="2"/>
      <c r="U42" s="36"/>
      <c r="V42" s="37"/>
      <c r="W42" s="37"/>
      <c r="X42" s="37"/>
      <c r="Y42" s="37"/>
      <c r="Z42" s="37"/>
      <c r="AA42" s="37"/>
      <c r="AB42" s="2"/>
      <c r="AC42" s="2"/>
      <c r="AD42" s="2"/>
      <c r="AE42" s="2"/>
      <c r="AF42" s="2"/>
      <c r="AG42" s="36"/>
      <c r="AH42" s="2"/>
      <c r="AI42" s="2"/>
      <c r="AJ42" s="2"/>
      <c r="AK42" s="2"/>
      <c r="AL42" s="19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6"/>
      <c r="BX42" s="36"/>
      <c r="BY42" s="36"/>
      <c r="BZ42" s="37"/>
      <c r="CA42" s="12"/>
      <c r="CB42" s="37"/>
      <c r="CC42" s="37"/>
      <c r="CD42" s="37"/>
      <c r="CE42" s="37"/>
      <c r="CF42" s="37"/>
      <c r="CG42" s="15"/>
      <c r="CH42" s="15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29"/>
      <c r="DU42" s="37"/>
      <c r="DV42" s="37"/>
      <c r="DW42" s="37"/>
      <c r="DX42" s="37"/>
      <c r="DY42" s="37"/>
      <c r="DZ42" s="37"/>
      <c r="EA42" s="37"/>
      <c r="EB42" s="29"/>
      <c r="EC42" s="36"/>
      <c r="ED42" s="36"/>
      <c r="EE42" s="36"/>
      <c r="EF42" s="37"/>
      <c r="EG42" s="2"/>
      <c r="EH42" s="37"/>
      <c r="EI42" s="2"/>
      <c r="EJ42" s="2"/>
      <c r="EK42" s="2"/>
      <c r="EL42" s="2"/>
      <c r="EM42" s="2"/>
      <c r="EN42" s="2"/>
      <c r="EO42" s="2"/>
      <c r="EP42" s="2"/>
      <c r="EQ42" s="37"/>
      <c r="ER42" s="37"/>
      <c r="ES42" s="37"/>
      <c r="ET42" s="37"/>
      <c r="EU42" s="37"/>
      <c r="EV42" s="37"/>
      <c r="EW42" s="37"/>
    </row>
    <row r="43" spans="1:153" ht="15.6">
      <c r="A43" s="23"/>
      <c r="B43" s="24"/>
      <c r="C43" s="37"/>
      <c r="D43" s="15"/>
      <c r="E43" s="15"/>
      <c r="F43" s="37"/>
      <c r="G43" s="37"/>
      <c r="H43" s="37"/>
      <c r="I43" s="37"/>
      <c r="J43" s="37"/>
      <c r="K43" s="37"/>
      <c r="L43" s="37"/>
      <c r="M43" s="36"/>
      <c r="N43" s="37"/>
      <c r="O43" s="37"/>
      <c r="P43" s="37"/>
      <c r="Q43" s="37"/>
      <c r="R43" s="37"/>
      <c r="S43" s="37"/>
      <c r="T43" s="2"/>
      <c r="U43" s="36"/>
      <c r="V43" s="37"/>
      <c r="W43" s="37"/>
      <c r="X43" s="37"/>
      <c r="Y43" s="37"/>
      <c r="Z43" s="37"/>
      <c r="AA43" s="37"/>
      <c r="AB43" s="2"/>
      <c r="AC43" s="2"/>
      <c r="AD43" s="2"/>
      <c r="AE43" s="2"/>
      <c r="AF43" s="2"/>
      <c r="AG43" s="36"/>
      <c r="AH43" s="2"/>
      <c r="AI43" s="2"/>
      <c r="AJ43" s="2"/>
      <c r="AK43" s="2"/>
      <c r="AL43" s="19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6"/>
      <c r="BX43" s="36"/>
      <c r="BY43" s="36"/>
      <c r="BZ43" s="37"/>
      <c r="CA43" s="12"/>
      <c r="CB43" s="37"/>
      <c r="CC43" s="37"/>
      <c r="CD43" s="37"/>
      <c r="CE43" s="37"/>
      <c r="CF43" s="37"/>
      <c r="CG43" s="15"/>
      <c r="CH43" s="15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29"/>
      <c r="DU43" s="37"/>
      <c r="DV43" s="37"/>
      <c r="DW43" s="37"/>
      <c r="DX43" s="37"/>
      <c r="DY43" s="37"/>
      <c r="DZ43" s="37"/>
      <c r="EA43" s="37"/>
      <c r="EB43" s="29"/>
      <c r="EC43" s="36"/>
      <c r="ED43" s="36"/>
      <c r="EE43" s="36"/>
      <c r="EF43" s="37"/>
      <c r="EG43" s="2"/>
      <c r="EH43" s="37"/>
      <c r="EI43" s="2"/>
      <c r="EJ43" s="2"/>
      <c r="EK43" s="2"/>
      <c r="EL43" s="2"/>
      <c r="EM43" s="2"/>
      <c r="EN43" s="2"/>
      <c r="EO43" s="2"/>
      <c r="EP43" s="2"/>
      <c r="EQ43" s="37"/>
      <c r="ER43" s="37"/>
      <c r="ES43" s="37"/>
      <c r="ET43" s="37"/>
      <c r="EU43" s="37"/>
      <c r="EV43" s="37"/>
      <c r="EW43" s="37"/>
    </row>
    <row r="44" spans="1:153" ht="15.6">
      <c r="A44" s="23"/>
      <c r="B44" s="24"/>
      <c r="C44" s="37"/>
      <c r="D44" s="15"/>
      <c r="E44" s="15"/>
      <c r="F44" s="37"/>
      <c r="G44" s="37"/>
      <c r="H44" s="37"/>
      <c r="I44" s="37"/>
      <c r="J44" s="37"/>
      <c r="K44" s="37"/>
      <c r="L44" s="37"/>
      <c r="M44" s="36"/>
      <c r="N44" s="37"/>
      <c r="O44" s="37"/>
      <c r="P44" s="37"/>
      <c r="Q44" s="37"/>
      <c r="R44" s="37"/>
      <c r="S44" s="37"/>
      <c r="T44" s="2"/>
      <c r="U44" s="36"/>
      <c r="V44" s="37"/>
      <c r="W44" s="37"/>
      <c r="X44" s="37"/>
      <c r="Y44" s="37"/>
      <c r="Z44" s="37"/>
      <c r="AA44" s="37"/>
      <c r="AB44" s="2"/>
      <c r="AC44" s="2"/>
      <c r="AD44" s="2"/>
      <c r="AE44" s="2"/>
      <c r="AF44" s="2"/>
      <c r="AG44" s="36"/>
      <c r="AH44" s="2"/>
      <c r="AI44" s="2"/>
      <c r="AJ44" s="2"/>
      <c r="AK44" s="2"/>
      <c r="AL44" s="19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6"/>
      <c r="BX44" s="36"/>
      <c r="BY44" s="36"/>
      <c r="BZ44" s="37"/>
      <c r="CA44" s="12"/>
      <c r="CB44" s="37"/>
      <c r="CC44" s="37"/>
      <c r="CD44" s="37"/>
      <c r="CE44" s="37"/>
      <c r="CF44" s="37"/>
      <c r="CG44" s="15"/>
      <c r="CH44" s="15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29"/>
      <c r="DU44" s="37"/>
      <c r="DV44" s="37"/>
      <c r="DW44" s="37"/>
      <c r="DX44" s="37"/>
      <c r="DY44" s="37"/>
      <c r="DZ44" s="37"/>
      <c r="EA44" s="37"/>
      <c r="EB44" s="29"/>
      <c r="EC44" s="36"/>
      <c r="ED44" s="36"/>
      <c r="EE44" s="36"/>
      <c r="EF44" s="37"/>
      <c r="EG44" s="2"/>
      <c r="EH44" s="37"/>
      <c r="EI44" s="2"/>
      <c r="EJ44" s="2"/>
      <c r="EK44" s="2"/>
      <c r="EL44" s="2"/>
      <c r="EM44" s="2"/>
      <c r="EN44" s="2"/>
      <c r="EO44" s="2"/>
      <c r="EP44" s="2"/>
      <c r="EQ44" s="37"/>
      <c r="ER44" s="37"/>
      <c r="ES44" s="37"/>
      <c r="ET44" s="37"/>
      <c r="EU44" s="37"/>
      <c r="EV44" s="37"/>
      <c r="EW44" s="37"/>
    </row>
    <row r="45" spans="1:153" ht="15.6">
      <c r="A45" s="23"/>
      <c r="B45" s="24"/>
      <c r="C45" s="37"/>
      <c r="D45" s="15"/>
      <c r="E45" s="15"/>
      <c r="F45" s="37"/>
      <c r="G45" s="37"/>
      <c r="H45" s="37"/>
      <c r="I45" s="37"/>
      <c r="J45" s="37"/>
      <c r="K45" s="37"/>
      <c r="L45" s="37"/>
      <c r="M45" s="36"/>
      <c r="N45" s="37"/>
      <c r="O45" s="37"/>
      <c r="P45" s="37"/>
      <c r="Q45" s="37"/>
      <c r="R45" s="37"/>
      <c r="S45" s="37"/>
      <c r="T45" s="2"/>
      <c r="U45" s="36"/>
      <c r="V45" s="37"/>
      <c r="W45" s="37"/>
      <c r="X45" s="37"/>
      <c r="Y45" s="37"/>
      <c r="Z45" s="37"/>
      <c r="AA45" s="37"/>
      <c r="AB45" s="2"/>
      <c r="AC45" s="2"/>
      <c r="AD45" s="2"/>
      <c r="AE45" s="2"/>
      <c r="AF45" s="2"/>
      <c r="AG45" s="36"/>
      <c r="AH45" s="2"/>
      <c r="AI45" s="2"/>
      <c r="AJ45" s="2"/>
      <c r="AK45" s="2"/>
      <c r="AL45" s="19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6"/>
      <c r="BX45" s="36"/>
      <c r="BY45" s="36"/>
      <c r="BZ45" s="37"/>
      <c r="CA45" s="12"/>
      <c r="CB45" s="37"/>
      <c r="CC45" s="37"/>
      <c r="CD45" s="37"/>
      <c r="CE45" s="37"/>
      <c r="CF45" s="37"/>
      <c r="CG45" s="15"/>
      <c r="CH45" s="15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29"/>
      <c r="DU45" s="37"/>
      <c r="DV45" s="37"/>
      <c r="DW45" s="37"/>
      <c r="DX45" s="37"/>
      <c r="DY45" s="37"/>
      <c r="DZ45" s="37"/>
      <c r="EA45" s="37"/>
      <c r="EB45" s="29"/>
      <c r="EC45" s="36"/>
      <c r="ED45" s="36"/>
      <c r="EE45" s="36"/>
      <c r="EF45" s="37"/>
      <c r="EG45" s="2"/>
      <c r="EH45" s="37"/>
      <c r="EI45" s="2"/>
      <c r="EJ45" s="2"/>
      <c r="EK45" s="2"/>
      <c r="EL45" s="2"/>
      <c r="EM45" s="2"/>
      <c r="EN45" s="2"/>
      <c r="EO45" s="2"/>
      <c r="EP45" s="2"/>
      <c r="EQ45" s="37"/>
      <c r="ER45" s="37"/>
      <c r="ES45" s="37"/>
      <c r="ET45" s="37"/>
      <c r="EU45" s="37"/>
      <c r="EV45" s="37"/>
      <c r="EW45" s="37"/>
    </row>
    <row r="46" spans="1:153" ht="15.6">
      <c r="A46" s="23"/>
      <c r="B46" s="24"/>
      <c r="C46" s="37"/>
      <c r="D46" s="15"/>
      <c r="E46" s="15"/>
      <c r="F46" s="37"/>
      <c r="G46" s="37"/>
      <c r="H46" s="37"/>
      <c r="I46" s="37"/>
      <c r="J46" s="37"/>
      <c r="K46" s="37"/>
      <c r="L46" s="37"/>
      <c r="M46" s="36"/>
      <c r="N46" s="37"/>
      <c r="O46" s="37"/>
      <c r="P46" s="37"/>
      <c r="Q46" s="37"/>
      <c r="R46" s="37"/>
      <c r="S46" s="37"/>
      <c r="T46" s="2"/>
      <c r="U46" s="36"/>
      <c r="V46" s="37"/>
      <c r="W46" s="37"/>
      <c r="X46" s="37"/>
      <c r="Y46" s="37"/>
      <c r="Z46" s="37"/>
      <c r="AA46" s="37"/>
      <c r="AB46" s="2"/>
      <c r="AC46" s="2"/>
      <c r="AD46" s="2"/>
      <c r="AE46" s="2"/>
      <c r="AF46" s="2"/>
      <c r="AG46" s="36"/>
      <c r="AH46" s="2"/>
      <c r="AI46" s="2"/>
      <c r="AJ46" s="2"/>
      <c r="AK46" s="2"/>
      <c r="AL46" s="19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6"/>
      <c r="BX46" s="36"/>
      <c r="BY46" s="36"/>
      <c r="BZ46" s="37"/>
      <c r="CA46" s="12"/>
      <c r="CB46" s="37"/>
      <c r="CC46" s="37"/>
      <c r="CD46" s="37"/>
      <c r="CE46" s="37"/>
      <c r="CF46" s="37"/>
      <c r="CG46" s="15"/>
      <c r="CH46" s="15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29"/>
      <c r="DU46" s="37"/>
      <c r="DV46" s="37"/>
      <c r="DW46" s="37"/>
      <c r="DX46" s="37"/>
      <c r="DY46" s="37"/>
      <c r="DZ46" s="37"/>
      <c r="EA46" s="37"/>
      <c r="EB46" s="29"/>
      <c r="EC46" s="36"/>
      <c r="ED46" s="36"/>
      <c r="EE46" s="36"/>
      <c r="EF46" s="37"/>
      <c r="EG46" s="2"/>
      <c r="EH46" s="37"/>
      <c r="EI46" s="2"/>
      <c r="EJ46" s="2"/>
      <c r="EK46" s="2"/>
      <c r="EL46" s="2"/>
      <c r="EM46" s="2"/>
      <c r="EN46" s="2"/>
      <c r="EO46" s="2"/>
      <c r="EP46" s="2"/>
      <c r="EQ46" s="37"/>
      <c r="ER46" s="37"/>
      <c r="ES46" s="37"/>
      <c r="ET46" s="37"/>
      <c r="EU46" s="37"/>
      <c r="EV46" s="37"/>
      <c r="EW46" s="37"/>
    </row>
    <row r="47" spans="1:153" ht="15.6">
      <c r="A47" s="34"/>
      <c r="B47" s="35"/>
      <c r="C47" s="30"/>
      <c r="D47" s="15"/>
      <c r="E47" s="15"/>
      <c r="F47" s="37"/>
      <c r="G47" s="37"/>
      <c r="H47" s="37"/>
      <c r="I47" s="37"/>
      <c r="J47" s="37"/>
      <c r="K47" s="37"/>
      <c r="L47" s="37"/>
      <c r="M47" s="36"/>
      <c r="N47" s="37"/>
      <c r="O47" s="37"/>
      <c r="P47" s="37"/>
      <c r="Q47" s="37"/>
      <c r="R47" s="37"/>
      <c r="S47" s="37"/>
      <c r="T47" s="2"/>
      <c r="U47" s="36"/>
      <c r="V47" s="37"/>
      <c r="W47" s="37"/>
      <c r="X47" s="37"/>
      <c r="Y47" s="37"/>
      <c r="Z47" s="37"/>
      <c r="AA47" s="37"/>
      <c r="AB47" s="2"/>
      <c r="AC47" s="2"/>
      <c r="AD47" s="2"/>
      <c r="AE47" s="2"/>
      <c r="AF47" s="2"/>
      <c r="AG47" s="36"/>
      <c r="AH47" s="2"/>
      <c r="AI47" s="2"/>
      <c r="AJ47" s="2"/>
      <c r="AK47" s="2"/>
      <c r="AL47" s="19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6"/>
      <c r="BX47" s="36"/>
      <c r="BY47" s="36"/>
      <c r="BZ47" s="37"/>
      <c r="CA47" s="12"/>
      <c r="CB47" s="37"/>
      <c r="CC47" s="37"/>
      <c r="CD47" s="37"/>
      <c r="CE47" s="37"/>
      <c r="CF47" s="37"/>
      <c r="CG47" s="15"/>
      <c r="CH47" s="15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0"/>
      <c r="DQ47" s="37"/>
      <c r="DR47" s="37"/>
      <c r="DS47" s="37"/>
      <c r="DT47" s="29"/>
      <c r="DU47" s="37"/>
      <c r="DV47" s="37"/>
      <c r="DW47" s="37"/>
      <c r="DX47" s="37"/>
      <c r="DY47" s="37"/>
      <c r="DZ47" s="37"/>
      <c r="EA47" s="37"/>
      <c r="EB47" s="29"/>
      <c r="EC47" s="36"/>
      <c r="ED47" s="36"/>
      <c r="EE47" s="36"/>
      <c r="EF47" s="37"/>
      <c r="EG47" s="2"/>
      <c r="EH47" s="37"/>
      <c r="EI47" s="2"/>
      <c r="EJ47" s="2"/>
      <c r="EK47" s="2"/>
      <c r="EL47" s="2"/>
      <c r="EM47" s="2"/>
      <c r="EN47" s="2"/>
      <c r="EO47" s="2"/>
      <c r="EP47" s="2"/>
      <c r="EQ47" s="37"/>
      <c r="ER47" s="37"/>
      <c r="ES47" s="37"/>
      <c r="ET47" s="37"/>
      <c r="EU47" s="37"/>
      <c r="EV47" s="37"/>
      <c r="EW47" s="37"/>
    </row>
    <row r="48" spans="1:153" ht="15.6">
      <c r="A48" s="23"/>
      <c r="B48" s="24"/>
      <c r="C48" s="37"/>
      <c r="D48" s="15"/>
      <c r="E48" s="15"/>
      <c r="F48" s="37"/>
      <c r="G48" s="37"/>
      <c r="H48" s="37"/>
      <c r="I48" s="37"/>
      <c r="J48" s="37"/>
      <c r="K48" s="37"/>
      <c r="L48" s="37"/>
      <c r="M48" s="36"/>
      <c r="N48" s="37"/>
      <c r="O48" s="37"/>
      <c r="P48" s="37"/>
      <c r="Q48" s="37"/>
      <c r="R48" s="37"/>
      <c r="S48" s="37"/>
      <c r="T48" s="2"/>
      <c r="U48" s="36"/>
      <c r="V48" s="37"/>
      <c r="W48" s="37"/>
      <c r="X48" s="37"/>
      <c r="Y48" s="37"/>
      <c r="Z48" s="37"/>
      <c r="AA48" s="37"/>
      <c r="AB48" s="2"/>
      <c r="AC48" s="2"/>
      <c r="AD48" s="2"/>
      <c r="AE48" s="2"/>
      <c r="AF48" s="2"/>
      <c r="AG48" s="36"/>
      <c r="AH48" s="2"/>
      <c r="AI48" s="2"/>
      <c r="AJ48" s="2"/>
      <c r="AK48" s="2"/>
      <c r="AL48" s="19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6"/>
      <c r="BX48" s="36"/>
      <c r="BY48" s="36"/>
      <c r="BZ48" s="37"/>
      <c r="CA48" s="12"/>
      <c r="CB48" s="37"/>
      <c r="CC48" s="37"/>
      <c r="CD48" s="37"/>
      <c r="CE48" s="37"/>
      <c r="CF48" s="37"/>
      <c r="CG48" s="15"/>
      <c r="CH48" s="15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29"/>
      <c r="DU48" s="37"/>
      <c r="DV48" s="37"/>
      <c r="DW48" s="37"/>
      <c r="DX48" s="37"/>
      <c r="DY48" s="37"/>
      <c r="DZ48" s="37"/>
      <c r="EA48" s="37"/>
      <c r="EB48" s="29"/>
      <c r="EC48" s="36"/>
      <c r="ED48" s="36"/>
      <c r="EE48" s="36"/>
      <c r="EF48" s="37"/>
      <c r="EG48" s="2"/>
      <c r="EH48" s="37"/>
      <c r="EI48" s="2"/>
      <c r="EJ48" s="2"/>
      <c r="EK48" s="2"/>
      <c r="EL48" s="2"/>
      <c r="EM48" s="2"/>
      <c r="EN48" s="2"/>
      <c r="EO48" s="2"/>
      <c r="EP48" s="2"/>
      <c r="EQ48" s="37"/>
      <c r="ER48" s="37"/>
      <c r="ES48" s="37"/>
      <c r="ET48" s="37"/>
      <c r="EU48" s="37"/>
      <c r="EV48" s="37"/>
      <c r="EW48" s="37"/>
    </row>
    <row r="49" spans="1:153" ht="15.6">
      <c r="A49" s="23"/>
      <c r="B49" s="24"/>
      <c r="C49" s="37"/>
      <c r="D49" s="15"/>
      <c r="E49" s="15"/>
      <c r="F49" s="37"/>
      <c r="G49" s="37"/>
      <c r="H49" s="37"/>
      <c r="I49" s="37"/>
      <c r="J49" s="37"/>
      <c r="K49" s="37"/>
      <c r="L49" s="37"/>
      <c r="M49" s="36"/>
      <c r="N49" s="37"/>
      <c r="O49" s="37"/>
      <c r="P49" s="37"/>
      <c r="Q49" s="37"/>
      <c r="R49" s="37"/>
      <c r="S49" s="37"/>
      <c r="T49" s="2"/>
      <c r="U49" s="36"/>
      <c r="V49" s="37"/>
      <c r="W49" s="37"/>
      <c r="X49" s="37"/>
      <c r="Y49" s="37"/>
      <c r="Z49" s="37"/>
      <c r="AA49" s="37"/>
      <c r="AB49" s="2"/>
      <c r="AC49" s="2"/>
      <c r="AD49" s="2"/>
      <c r="AE49" s="2"/>
      <c r="AF49" s="2"/>
      <c r="AG49" s="36"/>
      <c r="AH49" s="2"/>
      <c r="AI49" s="2"/>
      <c r="AJ49" s="2"/>
      <c r="AK49" s="2"/>
      <c r="AL49" s="19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6"/>
      <c r="BX49" s="36"/>
      <c r="BY49" s="36"/>
      <c r="BZ49" s="37"/>
      <c r="CA49" s="12"/>
      <c r="CB49" s="37"/>
      <c r="CC49" s="37"/>
      <c r="CD49" s="37"/>
      <c r="CE49" s="37"/>
      <c r="CF49" s="37"/>
      <c r="CG49" s="15"/>
      <c r="CH49" s="15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29"/>
      <c r="DU49" s="37"/>
      <c r="DV49" s="37"/>
      <c r="DW49" s="37"/>
      <c r="DX49" s="37"/>
      <c r="DY49" s="37"/>
      <c r="DZ49" s="37"/>
      <c r="EA49" s="37"/>
      <c r="EB49" s="29"/>
      <c r="EC49" s="36"/>
      <c r="ED49" s="36"/>
      <c r="EE49" s="36"/>
      <c r="EF49" s="37"/>
      <c r="EG49" s="2"/>
      <c r="EH49" s="37"/>
      <c r="EI49" s="2"/>
      <c r="EJ49" s="2"/>
      <c r="EK49" s="2"/>
      <c r="EL49" s="2"/>
      <c r="EM49" s="2"/>
      <c r="EN49" s="2"/>
      <c r="EO49" s="2"/>
      <c r="EP49" s="2"/>
      <c r="EQ49" s="37"/>
      <c r="ER49" s="37"/>
      <c r="ES49" s="37"/>
      <c r="ET49" s="37"/>
      <c r="EU49" s="37"/>
      <c r="EV49" s="37"/>
      <c r="EW49" s="37"/>
    </row>
    <row r="50" spans="1:153" ht="15.6">
      <c r="A50" s="23"/>
      <c r="B50" s="24"/>
      <c r="C50" s="37"/>
      <c r="D50" s="15"/>
      <c r="E50" s="15"/>
      <c r="F50" s="37"/>
      <c r="G50" s="37"/>
      <c r="H50" s="37"/>
      <c r="I50" s="37"/>
      <c r="J50" s="37"/>
      <c r="K50" s="37"/>
      <c r="L50" s="37"/>
      <c r="M50" s="36"/>
      <c r="N50" s="37"/>
      <c r="O50" s="37"/>
      <c r="P50" s="37"/>
      <c r="Q50" s="37"/>
      <c r="R50" s="37"/>
      <c r="S50" s="37"/>
      <c r="T50" s="2"/>
      <c r="U50" s="36"/>
      <c r="V50" s="37"/>
      <c r="W50" s="37"/>
      <c r="X50" s="37"/>
      <c r="Y50" s="37"/>
      <c r="Z50" s="37"/>
      <c r="AA50" s="37"/>
      <c r="AB50" s="2"/>
      <c r="AC50" s="2"/>
      <c r="AD50" s="2"/>
      <c r="AE50" s="2"/>
      <c r="AF50" s="2"/>
      <c r="AG50" s="36"/>
      <c r="AH50" s="2"/>
      <c r="AI50" s="2"/>
      <c r="AJ50" s="2"/>
      <c r="AK50" s="2"/>
      <c r="AL50" s="19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6"/>
      <c r="BX50" s="36"/>
      <c r="BY50" s="36"/>
      <c r="BZ50" s="37"/>
      <c r="CA50" s="12"/>
      <c r="CB50" s="37"/>
      <c r="CC50" s="37"/>
      <c r="CD50" s="37"/>
      <c r="CE50" s="37"/>
      <c r="CF50" s="37"/>
      <c r="CG50" s="15"/>
      <c r="CH50" s="15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29"/>
      <c r="DU50" s="37"/>
      <c r="DV50" s="37"/>
      <c r="DW50" s="37"/>
      <c r="DX50" s="37"/>
      <c r="DY50" s="37"/>
      <c r="DZ50" s="37"/>
      <c r="EA50" s="37"/>
      <c r="EB50" s="29"/>
      <c r="EC50" s="36"/>
      <c r="ED50" s="36"/>
      <c r="EE50" s="36"/>
      <c r="EF50" s="37"/>
      <c r="EG50" s="2"/>
      <c r="EH50" s="37"/>
      <c r="EI50" s="2"/>
      <c r="EJ50" s="2"/>
      <c r="EK50" s="2"/>
      <c r="EL50" s="2"/>
      <c r="EM50" s="2"/>
      <c r="EN50" s="2"/>
      <c r="EO50" s="2"/>
      <c r="EP50" s="2"/>
      <c r="EQ50" s="37"/>
      <c r="ER50" s="37"/>
      <c r="ES50" s="37"/>
      <c r="ET50" s="37"/>
      <c r="EU50" s="37"/>
      <c r="EV50" s="37"/>
      <c r="EW50" s="37"/>
    </row>
    <row r="51" spans="1:153" ht="15.6">
      <c r="A51" s="36"/>
      <c r="B51" s="1"/>
      <c r="C51" s="37"/>
      <c r="D51" s="15"/>
      <c r="E51" s="15"/>
      <c r="F51" s="37"/>
      <c r="G51" s="37"/>
      <c r="H51" s="37"/>
      <c r="I51" s="37"/>
      <c r="J51" s="37"/>
      <c r="K51" s="37"/>
      <c r="L51" s="2"/>
      <c r="M51" s="37"/>
      <c r="N51" s="37"/>
      <c r="O51" s="37"/>
      <c r="P51" s="37"/>
      <c r="Q51" s="37"/>
      <c r="R51" s="37"/>
      <c r="S51" s="37"/>
      <c r="T51" s="36"/>
      <c r="U51" s="37"/>
      <c r="V51" s="37"/>
      <c r="W51" s="37"/>
      <c r="X51" s="37"/>
      <c r="Y51" s="37"/>
      <c r="Z51" s="37"/>
      <c r="AA51" s="37"/>
      <c r="AB51" s="36"/>
      <c r="AC51" s="36"/>
      <c r="AD51" s="36"/>
      <c r="AE51" s="36"/>
      <c r="AF51" s="37"/>
      <c r="AG51" s="13"/>
      <c r="AH51" s="37"/>
      <c r="AI51" s="37"/>
      <c r="AJ51" s="37"/>
      <c r="AK51" s="37"/>
      <c r="AL51" s="15"/>
      <c r="AM51" s="15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6"/>
      <c r="BX51" s="36"/>
      <c r="BY51" s="36"/>
      <c r="BZ51" s="37"/>
      <c r="CA51" s="12"/>
      <c r="CB51" s="37"/>
      <c r="CC51" s="37"/>
      <c r="CD51" s="37"/>
      <c r="CE51" s="37"/>
      <c r="CF51" s="37"/>
      <c r="CG51" s="15"/>
      <c r="CH51" s="15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29"/>
      <c r="DU51" s="37"/>
      <c r="DV51" s="37"/>
      <c r="DW51" s="37"/>
      <c r="DX51" s="37"/>
      <c r="DY51" s="37"/>
      <c r="DZ51" s="37"/>
      <c r="EA51" s="37"/>
      <c r="EB51" s="29"/>
      <c r="EC51" s="36"/>
      <c r="ED51" s="36"/>
      <c r="EE51" s="36"/>
      <c r="EF51" s="37"/>
      <c r="EG51" s="2"/>
      <c r="EH51" s="37"/>
      <c r="EI51" s="2"/>
      <c r="EJ51" s="2"/>
      <c r="EK51" s="2"/>
      <c r="EL51" s="2"/>
      <c r="EM51" s="2"/>
      <c r="EN51" s="2"/>
      <c r="EO51" s="2"/>
      <c r="EP51" s="2"/>
      <c r="EQ51" s="37"/>
      <c r="ER51" s="37"/>
      <c r="ES51" s="37"/>
      <c r="ET51" s="37"/>
      <c r="EU51" s="37"/>
      <c r="EV51" s="37"/>
      <c r="EW51" s="37"/>
    </row>
    <row r="52" spans="1:153" ht="15.6">
      <c r="A52" s="36"/>
      <c r="B52" s="1"/>
      <c r="C52" s="37"/>
      <c r="D52" s="15"/>
      <c r="E52" s="15"/>
      <c r="F52" s="37"/>
      <c r="G52" s="37"/>
      <c r="H52" s="37"/>
      <c r="I52" s="37"/>
      <c r="J52" s="37"/>
      <c r="K52" s="37"/>
      <c r="L52" s="2"/>
      <c r="M52" s="37"/>
      <c r="N52" s="37"/>
      <c r="O52" s="37"/>
      <c r="P52" s="37"/>
      <c r="Q52" s="37"/>
      <c r="R52" s="37"/>
      <c r="S52" s="37"/>
      <c r="T52" s="36"/>
      <c r="U52" s="37"/>
      <c r="V52" s="37"/>
      <c r="W52" s="37"/>
      <c r="X52" s="37"/>
      <c r="Y52" s="37"/>
      <c r="Z52" s="37"/>
      <c r="AA52" s="37"/>
      <c r="AB52" s="36"/>
      <c r="AC52" s="36"/>
      <c r="AD52" s="36"/>
      <c r="AE52" s="36"/>
      <c r="AF52" s="37"/>
      <c r="AG52" s="13"/>
      <c r="AH52" s="37"/>
      <c r="AI52" s="37"/>
      <c r="AJ52" s="37"/>
      <c r="AK52" s="37"/>
      <c r="AL52" s="15"/>
      <c r="AM52" s="15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6"/>
      <c r="BX52" s="36"/>
      <c r="BY52" s="36"/>
      <c r="BZ52" s="37"/>
      <c r="CA52" s="12"/>
      <c r="CB52" s="37"/>
      <c r="CC52" s="37"/>
      <c r="CD52" s="37"/>
      <c r="CE52" s="37"/>
      <c r="CF52" s="37"/>
      <c r="CG52" s="15"/>
      <c r="CH52" s="15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29"/>
      <c r="DU52" s="37"/>
      <c r="DV52" s="37"/>
      <c r="DW52" s="37"/>
      <c r="DX52" s="37"/>
      <c r="DY52" s="37"/>
      <c r="DZ52" s="37"/>
      <c r="EA52" s="37"/>
      <c r="EB52" s="29"/>
      <c r="EC52" s="36"/>
      <c r="ED52" s="36"/>
      <c r="EE52" s="36"/>
      <c r="EF52" s="37"/>
      <c r="EG52" s="2"/>
      <c r="EH52" s="37"/>
      <c r="EI52" s="2"/>
      <c r="EJ52" s="2"/>
      <c r="EK52" s="2"/>
      <c r="EL52" s="2"/>
      <c r="EM52" s="2"/>
      <c r="EN52" s="2"/>
      <c r="EO52" s="2"/>
      <c r="EP52" s="2"/>
      <c r="EQ52" s="37"/>
      <c r="ER52" s="37"/>
      <c r="ES52" s="37"/>
      <c r="ET52" s="37"/>
      <c r="EU52" s="37"/>
      <c r="EV52" s="37"/>
      <c r="EW52" s="37"/>
    </row>
    <row r="53" spans="1:153" ht="15.6">
      <c r="A53" s="36"/>
      <c r="B53" s="1"/>
      <c r="C53" s="37"/>
      <c r="D53" s="15"/>
      <c r="E53" s="15"/>
      <c r="F53" s="37"/>
      <c r="G53" s="37"/>
      <c r="H53" s="37"/>
      <c r="I53" s="37"/>
      <c r="J53" s="37"/>
      <c r="K53" s="37"/>
      <c r="L53" s="2"/>
      <c r="M53" s="37"/>
      <c r="N53" s="37"/>
      <c r="O53" s="37"/>
      <c r="P53" s="37"/>
      <c r="Q53" s="37"/>
      <c r="R53" s="37"/>
      <c r="S53" s="37"/>
      <c r="T53" s="36"/>
      <c r="U53" s="37"/>
      <c r="V53" s="37"/>
      <c r="W53" s="37"/>
      <c r="X53" s="37"/>
      <c r="Y53" s="37"/>
      <c r="Z53" s="37"/>
      <c r="AA53" s="37"/>
      <c r="AB53" s="36"/>
      <c r="AC53" s="36"/>
      <c r="AD53" s="36"/>
      <c r="AE53" s="36"/>
      <c r="AF53" s="37"/>
      <c r="AG53" s="13"/>
      <c r="AH53" s="37"/>
      <c r="AI53" s="37"/>
      <c r="AJ53" s="37"/>
      <c r="AK53" s="37"/>
      <c r="AL53" s="15"/>
      <c r="AM53" s="15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6"/>
      <c r="BX53" s="36"/>
      <c r="BY53" s="36"/>
      <c r="BZ53" s="37"/>
      <c r="CA53" s="12"/>
      <c r="CB53" s="37"/>
      <c r="CC53" s="37"/>
      <c r="CD53" s="37"/>
      <c r="CE53" s="37"/>
      <c r="CF53" s="37"/>
      <c r="CG53" s="15"/>
      <c r="CH53" s="15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29"/>
      <c r="DU53" s="37"/>
      <c r="DV53" s="37"/>
      <c r="DW53" s="37"/>
      <c r="DX53" s="37"/>
      <c r="DY53" s="37"/>
      <c r="DZ53" s="37"/>
      <c r="EA53" s="37"/>
      <c r="EB53" s="29"/>
      <c r="EC53" s="36"/>
      <c r="ED53" s="36"/>
      <c r="EE53" s="36"/>
      <c r="EF53" s="37"/>
      <c r="EG53" s="2"/>
      <c r="EH53" s="37"/>
      <c r="EI53" s="2"/>
      <c r="EJ53" s="2"/>
      <c r="EK53" s="2"/>
      <c r="EL53" s="2"/>
      <c r="EM53" s="2"/>
      <c r="EN53" s="2"/>
      <c r="EO53" s="2"/>
      <c r="EP53" s="2"/>
      <c r="EQ53" s="37"/>
      <c r="ER53" s="37"/>
      <c r="ES53" s="37"/>
      <c r="ET53" s="37"/>
      <c r="EU53" s="37"/>
      <c r="EV53" s="37"/>
      <c r="EW53" s="37"/>
    </row>
    <row r="54" spans="1:153" ht="15.6">
      <c r="A54" s="36"/>
      <c r="B54" s="1"/>
      <c r="C54" s="37"/>
      <c r="D54" s="15"/>
      <c r="E54" s="15"/>
      <c r="F54" s="37"/>
      <c r="G54" s="37"/>
      <c r="H54" s="37"/>
      <c r="I54" s="37"/>
      <c r="J54" s="37"/>
      <c r="K54" s="37"/>
      <c r="L54" s="2"/>
      <c r="M54" s="37"/>
      <c r="N54" s="37"/>
      <c r="O54" s="37"/>
      <c r="P54" s="37"/>
      <c r="Q54" s="37"/>
      <c r="R54" s="37"/>
      <c r="S54" s="37"/>
      <c r="T54" s="36"/>
      <c r="U54" s="37"/>
      <c r="V54" s="37"/>
      <c r="W54" s="37"/>
      <c r="X54" s="37"/>
      <c r="Y54" s="37"/>
      <c r="Z54" s="37"/>
      <c r="AA54" s="37"/>
      <c r="AB54" s="36"/>
      <c r="AC54" s="36"/>
      <c r="AD54" s="36"/>
      <c r="AE54" s="36"/>
      <c r="AF54" s="37"/>
      <c r="AG54" s="13"/>
      <c r="AH54" s="37"/>
      <c r="AI54" s="37"/>
      <c r="AJ54" s="37"/>
      <c r="AK54" s="37"/>
      <c r="AL54" s="15"/>
      <c r="AM54" s="15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6"/>
      <c r="BX54" s="36"/>
      <c r="BY54" s="36"/>
      <c r="BZ54" s="37"/>
      <c r="CA54" s="12"/>
      <c r="CB54" s="37"/>
      <c r="CC54" s="37"/>
      <c r="CD54" s="37"/>
      <c r="CE54" s="37"/>
      <c r="CF54" s="37"/>
      <c r="CG54" s="15"/>
      <c r="CH54" s="15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29"/>
      <c r="DU54" s="37"/>
      <c r="DV54" s="37"/>
      <c r="DW54" s="37"/>
      <c r="DX54" s="37"/>
      <c r="DY54" s="37"/>
      <c r="DZ54" s="37"/>
      <c r="EA54" s="37"/>
      <c r="EB54" s="29"/>
      <c r="EC54" s="36"/>
      <c r="ED54" s="36"/>
      <c r="EE54" s="36"/>
      <c r="EF54" s="37"/>
      <c r="EG54" s="2"/>
      <c r="EH54" s="37"/>
      <c r="EI54" s="2"/>
      <c r="EJ54" s="2"/>
      <c r="EK54" s="2"/>
      <c r="EL54" s="2"/>
      <c r="EM54" s="2"/>
      <c r="EN54" s="2"/>
      <c r="EO54" s="2"/>
      <c r="EP54" s="2"/>
      <c r="EQ54" s="37"/>
      <c r="ER54" s="37"/>
      <c r="ES54" s="37"/>
      <c r="ET54" s="37"/>
      <c r="EU54" s="37"/>
      <c r="EV54" s="37"/>
      <c r="EW54" s="37"/>
    </row>
    <row r="55" spans="1:153" ht="15.6">
      <c r="A55" s="36"/>
      <c r="B55" s="1"/>
      <c r="C55" s="37"/>
      <c r="D55" s="15"/>
      <c r="E55" s="15"/>
      <c r="F55" s="37"/>
      <c r="G55" s="37"/>
      <c r="H55" s="37"/>
      <c r="I55" s="37"/>
      <c r="J55" s="37"/>
      <c r="K55" s="37"/>
      <c r="L55" s="2"/>
      <c r="M55" s="37"/>
      <c r="N55" s="37"/>
      <c r="O55" s="37"/>
      <c r="P55" s="37"/>
      <c r="Q55" s="37"/>
      <c r="R55" s="37"/>
      <c r="S55" s="37"/>
      <c r="T55" s="36"/>
      <c r="U55" s="37"/>
      <c r="V55" s="37"/>
      <c r="W55" s="37"/>
      <c r="X55" s="37"/>
      <c r="Y55" s="37"/>
      <c r="Z55" s="37"/>
      <c r="AA55" s="37"/>
      <c r="AB55" s="36"/>
      <c r="AC55" s="36"/>
      <c r="AD55" s="36"/>
      <c r="AE55" s="36"/>
      <c r="AF55" s="37"/>
      <c r="AG55" s="13"/>
      <c r="AH55" s="37"/>
      <c r="AI55" s="37"/>
      <c r="AJ55" s="37"/>
      <c r="AK55" s="37"/>
      <c r="AL55" s="15"/>
      <c r="AM55" s="15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6"/>
      <c r="BX55" s="36"/>
      <c r="BY55" s="36"/>
      <c r="BZ55" s="37"/>
      <c r="CA55" s="12"/>
      <c r="CB55" s="37"/>
      <c r="CC55" s="37"/>
      <c r="CD55" s="37"/>
      <c r="CE55" s="37"/>
      <c r="CF55" s="37"/>
      <c r="CG55" s="15"/>
      <c r="CH55" s="15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29"/>
      <c r="DU55" s="37"/>
      <c r="DV55" s="37"/>
      <c r="DW55" s="37"/>
      <c r="DX55" s="37"/>
      <c r="DY55" s="37"/>
      <c r="DZ55" s="37"/>
      <c r="EA55" s="37"/>
      <c r="EB55" s="29"/>
      <c r="EC55" s="36"/>
      <c r="ED55" s="36"/>
      <c r="EE55" s="36"/>
      <c r="EF55" s="37"/>
      <c r="EG55" s="2"/>
      <c r="EH55" s="37"/>
      <c r="EI55" s="2"/>
      <c r="EJ55" s="2"/>
      <c r="EK55" s="2"/>
      <c r="EL55" s="2"/>
      <c r="EM55" s="2"/>
      <c r="EN55" s="2"/>
      <c r="EO55" s="2"/>
      <c r="EP55" s="2"/>
      <c r="EQ55" s="37"/>
      <c r="ER55" s="37"/>
      <c r="ES55" s="37"/>
      <c r="ET55" s="37"/>
      <c r="EU55" s="37"/>
      <c r="EV55" s="37"/>
      <c r="EW55" s="37"/>
    </row>
    <row r="56" spans="1:153" ht="15.6">
      <c r="A56" s="36"/>
      <c r="B56" s="1"/>
      <c r="C56" s="37"/>
      <c r="D56" s="15"/>
      <c r="E56" s="15"/>
      <c r="F56" s="37"/>
      <c r="G56" s="37"/>
      <c r="H56" s="37"/>
      <c r="I56" s="37"/>
      <c r="J56" s="37"/>
      <c r="K56" s="37"/>
      <c r="L56" s="2"/>
      <c r="M56" s="37"/>
      <c r="N56" s="37"/>
      <c r="O56" s="37"/>
      <c r="P56" s="37"/>
      <c r="Q56" s="37"/>
      <c r="R56" s="37"/>
      <c r="S56" s="37"/>
      <c r="T56" s="36"/>
      <c r="U56" s="37"/>
      <c r="V56" s="37"/>
      <c r="W56" s="37"/>
      <c r="X56" s="37"/>
      <c r="Y56" s="37"/>
      <c r="Z56" s="37"/>
      <c r="AA56" s="37"/>
      <c r="AB56" s="36"/>
      <c r="AC56" s="36"/>
      <c r="AD56" s="36"/>
      <c r="AE56" s="36"/>
      <c r="AF56" s="37"/>
      <c r="AG56" s="13"/>
      <c r="AH56" s="37"/>
      <c r="AI56" s="37"/>
      <c r="AJ56" s="37"/>
      <c r="AK56" s="37"/>
      <c r="AL56" s="15"/>
      <c r="AM56" s="15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6"/>
      <c r="BX56" s="36"/>
      <c r="BY56" s="36"/>
      <c r="BZ56" s="37"/>
      <c r="CA56" s="12"/>
      <c r="CB56" s="37"/>
      <c r="CC56" s="37"/>
      <c r="CD56" s="37"/>
      <c r="CE56" s="37"/>
      <c r="CF56" s="37"/>
      <c r="CG56" s="15"/>
      <c r="CH56" s="15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29"/>
      <c r="DU56" s="37"/>
      <c r="DV56" s="37"/>
      <c r="DW56" s="37"/>
      <c r="DX56" s="37"/>
      <c r="DY56" s="37"/>
      <c r="DZ56" s="37"/>
      <c r="EA56" s="37"/>
      <c r="EB56" s="29"/>
      <c r="EC56" s="36"/>
      <c r="ED56" s="36"/>
      <c r="EE56" s="36"/>
      <c r="EF56" s="37"/>
      <c r="EG56" s="2"/>
      <c r="EH56" s="37"/>
      <c r="EI56" s="2"/>
      <c r="EJ56" s="2"/>
      <c r="EK56" s="2"/>
      <c r="EL56" s="2"/>
      <c r="EM56" s="2"/>
      <c r="EN56" s="2"/>
      <c r="EO56" s="2"/>
      <c r="EP56" s="2"/>
      <c r="EQ56" s="37"/>
      <c r="ER56" s="37"/>
      <c r="ES56" s="37"/>
      <c r="ET56" s="37"/>
      <c r="EU56" s="37"/>
      <c r="EV56" s="37"/>
      <c r="EW56" s="37"/>
    </row>
    <row r="57" spans="1:153" ht="15.6">
      <c r="A57" s="36"/>
      <c r="B57" s="1"/>
      <c r="C57" s="37"/>
      <c r="D57" s="15"/>
      <c r="E57" s="15"/>
      <c r="F57" s="37"/>
      <c r="G57" s="37"/>
      <c r="H57" s="37"/>
      <c r="I57" s="37"/>
      <c r="J57" s="37"/>
      <c r="K57" s="37"/>
      <c r="L57" s="2"/>
      <c r="M57" s="37"/>
      <c r="N57" s="37"/>
      <c r="O57" s="37"/>
      <c r="P57" s="37"/>
      <c r="Q57" s="37"/>
      <c r="R57" s="37"/>
      <c r="S57" s="37"/>
      <c r="T57" s="36"/>
      <c r="U57" s="37"/>
      <c r="V57" s="37"/>
      <c r="W57" s="37"/>
      <c r="X57" s="37"/>
      <c r="Y57" s="37"/>
      <c r="Z57" s="37"/>
      <c r="AA57" s="37"/>
      <c r="AB57" s="36"/>
      <c r="AC57" s="36"/>
      <c r="AD57" s="36"/>
      <c r="AE57" s="36"/>
      <c r="AF57" s="37"/>
      <c r="AG57" s="13"/>
      <c r="AH57" s="37"/>
      <c r="AI57" s="37"/>
      <c r="AJ57" s="37"/>
      <c r="AK57" s="37"/>
      <c r="AL57" s="15"/>
      <c r="AM57" s="15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6"/>
      <c r="BX57" s="36"/>
      <c r="BY57" s="36"/>
      <c r="BZ57" s="37"/>
      <c r="CA57" s="12"/>
      <c r="CB57" s="37"/>
      <c r="CC57" s="37"/>
      <c r="CD57" s="37"/>
      <c r="CE57" s="37"/>
      <c r="CF57" s="37"/>
      <c r="CG57" s="15"/>
      <c r="CH57" s="15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29"/>
      <c r="DU57" s="37"/>
      <c r="DV57" s="37"/>
      <c r="DW57" s="37"/>
      <c r="DX57" s="37"/>
      <c r="DY57" s="37"/>
      <c r="DZ57" s="37"/>
      <c r="EA57" s="37"/>
      <c r="EB57" s="29"/>
      <c r="EC57" s="36"/>
      <c r="ED57" s="36"/>
      <c r="EE57" s="36"/>
      <c r="EF57" s="37"/>
      <c r="EG57" s="2"/>
      <c r="EH57" s="37"/>
      <c r="EI57" s="2"/>
      <c r="EJ57" s="2"/>
      <c r="EK57" s="2"/>
      <c r="EL57" s="2"/>
      <c r="EM57" s="2"/>
      <c r="EN57" s="2"/>
      <c r="EO57" s="2"/>
      <c r="EP57" s="2"/>
      <c r="EQ57" s="37"/>
      <c r="ER57" s="37"/>
      <c r="ES57" s="37"/>
      <c r="ET57" s="37"/>
      <c r="EU57" s="37"/>
      <c r="EV57" s="37"/>
      <c r="EW57" s="37"/>
    </row>
    <row r="58" spans="1:153" ht="15.6">
      <c r="A58" s="36"/>
      <c r="B58" s="1"/>
      <c r="C58" s="37"/>
      <c r="D58" s="15"/>
      <c r="E58" s="15"/>
      <c r="F58" s="37"/>
      <c r="G58" s="37"/>
      <c r="H58" s="37"/>
      <c r="I58" s="37"/>
      <c r="J58" s="37"/>
      <c r="K58" s="37"/>
      <c r="L58" s="2"/>
      <c r="M58" s="37"/>
      <c r="N58" s="37"/>
      <c r="O58" s="37"/>
      <c r="P58" s="37"/>
      <c r="Q58" s="37"/>
      <c r="R58" s="37"/>
      <c r="S58" s="37"/>
      <c r="T58" s="36"/>
      <c r="U58" s="37"/>
      <c r="V58" s="37"/>
      <c r="W58" s="37"/>
      <c r="X58" s="37"/>
      <c r="Y58" s="37"/>
      <c r="Z58" s="37"/>
      <c r="AA58" s="37"/>
      <c r="AB58" s="36"/>
      <c r="AC58" s="36"/>
      <c r="AD58" s="36"/>
      <c r="AE58" s="36"/>
      <c r="AF58" s="37"/>
      <c r="AG58" s="13"/>
      <c r="AH58" s="37"/>
      <c r="AI58" s="37"/>
      <c r="AJ58" s="37"/>
      <c r="AK58" s="37"/>
      <c r="AL58" s="15"/>
      <c r="AM58" s="15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6"/>
      <c r="BX58" s="36"/>
      <c r="BY58" s="36"/>
      <c r="BZ58" s="37"/>
      <c r="CA58" s="12"/>
      <c r="CB58" s="37"/>
      <c r="CC58" s="37"/>
      <c r="CD58" s="37"/>
      <c r="CE58" s="37"/>
      <c r="CF58" s="37"/>
      <c r="CG58" s="15"/>
      <c r="CH58" s="15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29"/>
      <c r="DU58" s="37"/>
      <c r="DV58" s="37"/>
      <c r="DW58" s="37"/>
      <c r="DX58" s="37"/>
      <c r="DY58" s="37"/>
      <c r="DZ58" s="37"/>
      <c r="EA58" s="37"/>
      <c r="EB58" s="29"/>
      <c r="EC58" s="36"/>
      <c r="ED58" s="36"/>
      <c r="EE58" s="36"/>
      <c r="EF58" s="37"/>
      <c r="EG58" s="2"/>
      <c r="EH58" s="37"/>
      <c r="EI58" s="2"/>
      <c r="EJ58" s="2"/>
      <c r="EK58" s="2"/>
      <c r="EL58" s="2"/>
      <c r="EM58" s="2"/>
      <c r="EN58" s="2"/>
      <c r="EO58" s="2"/>
      <c r="EP58" s="2"/>
      <c r="EQ58" s="37"/>
      <c r="ER58" s="37"/>
      <c r="ES58" s="37"/>
      <c r="ET58" s="37"/>
      <c r="EU58" s="37"/>
      <c r="EV58" s="37"/>
      <c r="EW58" s="37"/>
    </row>
    <row r="59" spans="1:153" ht="15.6">
      <c r="A59" s="36"/>
      <c r="B59" s="1"/>
      <c r="C59" s="37"/>
      <c r="D59" s="15"/>
      <c r="E59" s="15"/>
      <c r="F59" s="37"/>
      <c r="G59" s="37"/>
      <c r="H59" s="37"/>
      <c r="I59" s="37"/>
      <c r="J59" s="37"/>
      <c r="K59" s="37"/>
      <c r="L59" s="2"/>
      <c r="M59" s="37"/>
      <c r="N59" s="37"/>
      <c r="O59" s="37"/>
      <c r="P59" s="37"/>
      <c r="Q59" s="37"/>
      <c r="R59" s="37"/>
      <c r="S59" s="37"/>
      <c r="T59" s="36"/>
      <c r="U59" s="37"/>
      <c r="V59" s="37"/>
      <c r="W59" s="37"/>
      <c r="X59" s="37"/>
      <c r="Y59" s="37"/>
      <c r="Z59" s="37"/>
      <c r="AA59" s="37"/>
      <c r="AB59" s="36"/>
      <c r="AC59" s="36"/>
      <c r="AD59" s="36"/>
      <c r="AE59" s="36"/>
      <c r="AF59" s="37"/>
      <c r="AG59" s="13"/>
      <c r="AH59" s="37"/>
      <c r="AI59" s="37"/>
      <c r="AJ59" s="37"/>
      <c r="AK59" s="37"/>
      <c r="AL59" s="15"/>
      <c r="AM59" s="15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6"/>
      <c r="BX59" s="36"/>
      <c r="BY59" s="36"/>
      <c r="BZ59" s="37"/>
      <c r="CA59" s="12"/>
      <c r="CB59" s="37"/>
      <c r="CC59" s="37"/>
      <c r="CD59" s="37"/>
      <c r="CE59" s="37"/>
      <c r="CF59" s="37"/>
      <c r="CG59" s="15"/>
      <c r="CH59" s="15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29"/>
      <c r="DU59" s="37"/>
      <c r="DV59" s="37"/>
      <c r="DW59" s="37"/>
      <c r="DX59" s="37"/>
      <c r="DY59" s="37"/>
      <c r="DZ59" s="37"/>
      <c r="EA59" s="37"/>
      <c r="EB59" s="29"/>
      <c r="EC59" s="36"/>
      <c r="ED59" s="36"/>
      <c r="EE59" s="36"/>
      <c r="EF59" s="37"/>
      <c r="EG59" s="2"/>
      <c r="EH59" s="37"/>
      <c r="EI59" s="2"/>
      <c r="EJ59" s="2"/>
      <c r="EK59" s="2"/>
      <c r="EL59" s="2"/>
      <c r="EM59" s="2"/>
      <c r="EN59" s="2"/>
      <c r="EO59" s="2"/>
      <c r="EP59" s="2"/>
      <c r="EQ59" s="37"/>
      <c r="ER59" s="37"/>
      <c r="ES59" s="37"/>
      <c r="ET59" s="37"/>
      <c r="EU59" s="37"/>
      <c r="EV59" s="37"/>
      <c r="EW59" s="37"/>
    </row>
    <row r="60" spans="1:153" ht="15.6">
      <c r="A60" s="36"/>
      <c r="B60" s="1"/>
      <c r="C60" s="37"/>
      <c r="D60" s="15"/>
      <c r="E60" s="15"/>
      <c r="F60" s="37"/>
      <c r="G60" s="37"/>
      <c r="H60" s="37"/>
      <c r="I60" s="37"/>
      <c r="J60" s="37"/>
      <c r="K60" s="37"/>
      <c r="L60" s="2"/>
      <c r="M60" s="37"/>
      <c r="N60" s="37"/>
      <c r="O60" s="37"/>
      <c r="P60" s="37"/>
      <c r="Q60" s="37"/>
      <c r="R60" s="37"/>
      <c r="S60" s="37"/>
      <c r="T60" s="36"/>
      <c r="U60" s="37"/>
      <c r="V60" s="37"/>
      <c r="W60" s="37"/>
      <c r="X60" s="37"/>
      <c r="Y60" s="37"/>
      <c r="Z60" s="37"/>
      <c r="AA60" s="37"/>
      <c r="AB60" s="36"/>
      <c r="AC60" s="36"/>
      <c r="AD60" s="36"/>
      <c r="AE60" s="36"/>
      <c r="AF60" s="37"/>
      <c r="AG60" s="13"/>
      <c r="AH60" s="37"/>
      <c r="AI60" s="37"/>
      <c r="AJ60" s="37"/>
      <c r="AK60" s="37"/>
      <c r="AL60" s="15"/>
      <c r="AM60" s="15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6"/>
      <c r="BX60" s="36"/>
      <c r="BY60" s="36"/>
      <c r="BZ60" s="37"/>
      <c r="CA60" s="12"/>
      <c r="CB60" s="37"/>
      <c r="CC60" s="37"/>
      <c r="CD60" s="37"/>
      <c r="CE60" s="37"/>
      <c r="CF60" s="37"/>
      <c r="CG60" s="15"/>
      <c r="CH60" s="15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29"/>
      <c r="DU60" s="37"/>
      <c r="DV60" s="37"/>
      <c r="DW60" s="37"/>
      <c r="DX60" s="37"/>
      <c r="DY60" s="37"/>
      <c r="DZ60" s="37"/>
      <c r="EA60" s="37"/>
      <c r="EB60" s="29"/>
      <c r="EC60" s="36"/>
      <c r="ED60" s="36"/>
      <c r="EE60" s="36"/>
      <c r="EF60" s="37"/>
      <c r="EG60" s="2"/>
      <c r="EH60" s="37"/>
      <c r="EI60" s="2"/>
      <c r="EJ60" s="2"/>
      <c r="EK60" s="2"/>
      <c r="EL60" s="2"/>
      <c r="EM60" s="2"/>
      <c r="EN60" s="2"/>
      <c r="EO60" s="2"/>
      <c r="EP60" s="2"/>
      <c r="EQ60" s="37"/>
      <c r="ER60" s="37"/>
      <c r="ES60" s="37"/>
      <c r="ET60" s="37"/>
      <c r="EU60" s="37"/>
      <c r="EV60" s="37"/>
      <c r="EW60" s="37"/>
    </row>
    <row r="61" spans="1:153" ht="15.6">
      <c r="A61" s="36"/>
      <c r="B61" s="1"/>
      <c r="C61" s="37"/>
      <c r="D61" s="15"/>
      <c r="E61" s="15"/>
      <c r="F61" s="37"/>
      <c r="G61" s="37"/>
      <c r="H61" s="37"/>
      <c r="I61" s="37"/>
      <c r="J61" s="37"/>
      <c r="K61" s="37"/>
      <c r="L61" s="2"/>
      <c r="M61" s="37"/>
      <c r="N61" s="37"/>
      <c r="O61" s="37"/>
      <c r="P61" s="37"/>
      <c r="Q61" s="37"/>
      <c r="R61" s="37"/>
      <c r="S61" s="37"/>
      <c r="T61" s="36"/>
      <c r="U61" s="37"/>
      <c r="V61" s="37"/>
      <c r="W61" s="37"/>
      <c r="X61" s="37"/>
      <c r="Y61" s="37"/>
      <c r="Z61" s="37"/>
      <c r="AA61" s="37"/>
      <c r="AB61" s="36"/>
      <c r="AC61" s="36"/>
      <c r="AD61" s="36"/>
      <c r="AE61" s="36"/>
      <c r="AF61" s="37"/>
      <c r="AG61" s="13"/>
      <c r="AH61" s="37"/>
      <c r="AI61" s="37"/>
      <c r="AJ61" s="37"/>
      <c r="AK61" s="37"/>
      <c r="AL61" s="15"/>
      <c r="AM61" s="15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6"/>
      <c r="BX61" s="36"/>
      <c r="BY61" s="36"/>
      <c r="BZ61" s="37"/>
      <c r="CA61" s="12"/>
      <c r="CB61" s="37"/>
      <c r="CC61" s="37"/>
      <c r="CD61" s="37"/>
      <c r="CE61" s="37"/>
      <c r="CF61" s="37"/>
      <c r="CG61" s="15"/>
      <c r="CH61" s="15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29"/>
      <c r="DU61" s="37"/>
      <c r="DV61" s="37"/>
      <c r="DW61" s="37"/>
      <c r="DX61" s="37"/>
      <c r="DY61" s="37"/>
      <c r="DZ61" s="37"/>
      <c r="EA61" s="37"/>
      <c r="EB61" s="29"/>
      <c r="EC61" s="36"/>
      <c r="ED61" s="36"/>
      <c r="EE61" s="36"/>
      <c r="EF61" s="37"/>
      <c r="EG61" s="2"/>
      <c r="EH61" s="37"/>
      <c r="EI61" s="2"/>
      <c r="EJ61" s="2"/>
      <c r="EK61" s="2"/>
      <c r="EL61" s="2"/>
      <c r="EM61" s="2"/>
      <c r="EN61" s="2"/>
      <c r="EO61" s="2"/>
      <c r="EP61" s="2"/>
      <c r="EQ61" s="37"/>
      <c r="ER61" s="37"/>
      <c r="ES61" s="37"/>
      <c r="ET61" s="37"/>
      <c r="EU61" s="37"/>
      <c r="EV61" s="37"/>
      <c r="EW61" s="37"/>
    </row>
    <row r="62" spans="1:153" ht="15.6">
      <c r="A62" s="36"/>
      <c r="B62" s="1"/>
      <c r="C62" s="37"/>
      <c r="D62" s="15"/>
      <c r="E62" s="15"/>
      <c r="F62" s="37"/>
      <c r="G62" s="37"/>
      <c r="H62" s="37"/>
      <c r="I62" s="37"/>
      <c r="J62" s="37"/>
      <c r="K62" s="37"/>
      <c r="L62" s="2"/>
      <c r="M62" s="37"/>
      <c r="N62" s="37"/>
      <c r="O62" s="37"/>
      <c r="P62" s="37"/>
      <c r="Q62" s="37"/>
      <c r="R62" s="37"/>
      <c r="S62" s="37"/>
      <c r="T62" s="36"/>
      <c r="U62" s="37"/>
      <c r="V62" s="37"/>
      <c r="W62" s="37"/>
      <c r="X62" s="37"/>
      <c r="Y62" s="37"/>
      <c r="Z62" s="37"/>
      <c r="AA62" s="37"/>
      <c r="AB62" s="36"/>
      <c r="AC62" s="36"/>
      <c r="AD62" s="36"/>
      <c r="AE62" s="36"/>
      <c r="AF62" s="37"/>
      <c r="AG62" s="13"/>
      <c r="AH62" s="37"/>
      <c r="AI62" s="37"/>
      <c r="AJ62" s="37"/>
      <c r="AK62" s="37"/>
      <c r="AL62" s="15"/>
      <c r="AM62" s="15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6"/>
      <c r="BX62" s="36"/>
      <c r="BY62" s="36"/>
      <c r="BZ62" s="37"/>
      <c r="CA62" s="12"/>
      <c r="CB62" s="37"/>
      <c r="CC62" s="37"/>
      <c r="CD62" s="37"/>
      <c r="CE62" s="37"/>
      <c r="CF62" s="37"/>
      <c r="CG62" s="15"/>
      <c r="CH62" s="15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29"/>
      <c r="DU62" s="37"/>
      <c r="DV62" s="37"/>
      <c r="DW62" s="37"/>
      <c r="DX62" s="37"/>
      <c r="DY62" s="37"/>
      <c r="DZ62" s="37"/>
      <c r="EA62" s="37"/>
      <c r="EB62" s="29"/>
      <c r="EC62" s="36"/>
      <c r="ED62" s="36"/>
      <c r="EE62" s="36"/>
      <c r="EF62" s="37"/>
      <c r="EG62" s="2"/>
      <c r="EH62" s="37"/>
      <c r="EI62" s="2"/>
      <c r="EJ62" s="2"/>
      <c r="EK62" s="2"/>
      <c r="EL62" s="2"/>
      <c r="EM62" s="2"/>
      <c r="EN62" s="2"/>
      <c r="EO62" s="2"/>
      <c r="EP62" s="2"/>
      <c r="EQ62" s="37"/>
      <c r="ER62" s="37"/>
      <c r="ES62" s="37"/>
      <c r="ET62" s="37"/>
      <c r="EU62" s="37"/>
      <c r="EV62" s="37"/>
      <c r="EW62" s="37"/>
    </row>
    <row r="63" spans="1:153" ht="15.6">
      <c r="A63" s="36"/>
      <c r="B63" s="1"/>
      <c r="C63" s="37"/>
      <c r="D63" s="15"/>
      <c r="E63" s="15"/>
      <c r="F63" s="37"/>
      <c r="G63" s="37"/>
      <c r="H63" s="37"/>
      <c r="I63" s="37"/>
      <c r="J63" s="37"/>
      <c r="K63" s="37"/>
      <c r="L63" s="2"/>
      <c r="M63" s="37"/>
      <c r="N63" s="37"/>
      <c r="O63" s="37"/>
      <c r="P63" s="37"/>
      <c r="Q63" s="37"/>
      <c r="R63" s="37"/>
      <c r="S63" s="37"/>
      <c r="T63" s="36"/>
      <c r="U63" s="37"/>
      <c r="V63" s="37"/>
      <c r="W63" s="37"/>
      <c r="X63" s="37"/>
      <c r="Y63" s="37"/>
      <c r="Z63" s="37"/>
      <c r="AA63" s="37"/>
      <c r="AB63" s="36"/>
      <c r="AC63" s="36"/>
      <c r="AD63" s="36"/>
      <c r="AE63" s="36"/>
      <c r="AF63" s="37"/>
      <c r="AG63" s="13"/>
      <c r="AH63" s="37"/>
      <c r="AI63" s="37"/>
      <c r="AJ63" s="37"/>
      <c r="AK63" s="37"/>
      <c r="AL63" s="15"/>
      <c r="AM63" s="15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6"/>
      <c r="BX63" s="36"/>
      <c r="BY63" s="36"/>
      <c r="BZ63" s="37"/>
      <c r="CA63" s="12"/>
      <c r="CB63" s="37"/>
      <c r="CC63" s="37"/>
      <c r="CD63" s="37"/>
      <c r="CE63" s="37"/>
      <c r="CF63" s="37"/>
      <c r="CG63" s="15"/>
      <c r="CH63" s="15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29"/>
      <c r="DU63" s="37"/>
      <c r="DV63" s="37"/>
      <c r="DW63" s="37"/>
      <c r="DX63" s="37"/>
      <c r="DY63" s="37"/>
      <c r="DZ63" s="37"/>
      <c r="EA63" s="37"/>
      <c r="EB63" s="29"/>
      <c r="EC63" s="36"/>
      <c r="ED63" s="36"/>
      <c r="EE63" s="36"/>
      <c r="EF63" s="37"/>
      <c r="EG63" s="2"/>
      <c r="EH63" s="37"/>
      <c r="EI63" s="2"/>
      <c r="EJ63" s="2"/>
      <c r="EK63" s="2"/>
      <c r="EL63" s="2"/>
      <c r="EM63" s="2"/>
      <c r="EN63" s="2"/>
      <c r="EO63" s="2"/>
      <c r="EP63" s="2"/>
      <c r="EQ63" s="37"/>
      <c r="ER63" s="37"/>
      <c r="ES63" s="37"/>
      <c r="ET63" s="37"/>
      <c r="EU63" s="37"/>
      <c r="EV63" s="37"/>
      <c r="EW63" s="37"/>
    </row>
    <row r="64" spans="1:153" ht="15.6">
      <c r="A64" s="36"/>
      <c r="B64" s="1"/>
      <c r="C64" s="37"/>
      <c r="D64" s="15"/>
      <c r="E64" s="15"/>
      <c r="F64" s="37"/>
      <c r="G64" s="37"/>
      <c r="H64" s="37"/>
      <c r="I64" s="37"/>
      <c r="J64" s="37"/>
      <c r="K64" s="37"/>
      <c r="L64" s="2"/>
      <c r="M64" s="37"/>
      <c r="N64" s="37"/>
      <c r="O64" s="37"/>
      <c r="P64" s="37"/>
      <c r="Q64" s="37"/>
      <c r="R64" s="37"/>
      <c r="S64" s="37"/>
      <c r="T64" s="36"/>
      <c r="U64" s="37"/>
      <c r="V64" s="37"/>
      <c r="W64" s="37"/>
      <c r="X64" s="37"/>
      <c r="Y64" s="37"/>
      <c r="Z64" s="37"/>
      <c r="AA64" s="37"/>
      <c r="AB64" s="36"/>
      <c r="AC64" s="36"/>
      <c r="AD64" s="36"/>
      <c r="AE64" s="36"/>
      <c r="AF64" s="37"/>
      <c r="AG64" s="13"/>
      <c r="AH64" s="37"/>
      <c r="AI64" s="37"/>
      <c r="AJ64" s="37"/>
      <c r="AK64" s="37"/>
      <c r="AL64" s="15"/>
      <c r="AM64" s="15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6"/>
      <c r="BX64" s="36"/>
      <c r="BY64" s="36"/>
      <c r="BZ64" s="37"/>
      <c r="CA64" s="12"/>
      <c r="CB64" s="37"/>
      <c r="CC64" s="37"/>
      <c r="CD64" s="37"/>
      <c r="CE64" s="37"/>
      <c r="CF64" s="37"/>
      <c r="CG64" s="15"/>
      <c r="CH64" s="15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29"/>
      <c r="DU64" s="37"/>
      <c r="DV64" s="37"/>
      <c r="DW64" s="37"/>
      <c r="DX64" s="37"/>
      <c r="DY64" s="37"/>
      <c r="DZ64" s="37"/>
      <c r="EA64" s="37"/>
      <c r="EB64" s="29"/>
      <c r="EC64" s="36"/>
      <c r="ED64" s="36"/>
      <c r="EE64" s="36"/>
      <c r="EF64" s="37"/>
      <c r="EG64" s="2"/>
      <c r="EH64" s="37"/>
      <c r="EI64" s="2"/>
      <c r="EJ64" s="2"/>
      <c r="EK64" s="2"/>
      <c r="EL64" s="2"/>
      <c r="EM64" s="2"/>
      <c r="EN64" s="2"/>
      <c r="EO64" s="2"/>
      <c r="EP64" s="2"/>
      <c r="EQ64" s="37"/>
      <c r="ER64" s="37"/>
      <c r="ES64" s="37"/>
      <c r="ET64" s="37"/>
      <c r="EU64" s="37"/>
      <c r="EV64" s="37"/>
      <c r="EW64" s="37"/>
    </row>
    <row r="65" spans="1:153" ht="15.6">
      <c r="A65" s="36"/>
      <c r="B65" s="1"/>
      <c r="C65" s="37"/>
      <c r="D65" s="15"/>
      <c r="E65" s="15"/>
      <c r="F65" s="37"/>
      <c r="G65" s="37"/>
      <c r="H65" s="37"/>
      <c r="I65" s="37"/>
      <c r="J65" s="37"/>
      <c r="K65" s="37"/>
      <c r="L65" s="2"/>
      <c r="M65" s="37"/>
      <c r="N65" s="37"/>
      <c r="O65" s="37"/>
      <c r="P65" s="37"/>
      <c r="Q65" s="37"/>
      <c r="R65" s="37"/>
      <c r="S65" s="37"/>
      <c r="T65" s="36"/>
      <c r="U65" s="37"/>
      <c r="V65" s="37"/>
      <c r="W65" s="37"/>
      <c r="X65" s="37"/>
      <c r="Y65" s="37"/>
      <c r="Z65" s="37"/>
      <c r="AA65" s="37"/>
      <c r="AB65" s="36"/>
      <c r="AC65" s="36"/>
      <c r="AD65" s="36"/>
      <c r="AE65" s="36"/>
      <c r="AF65" s="37"/>
      <c r="AG65" s="13"/>
      <c r="AH65" s="37"/>
      <c r="AI65" s="37"/>
      <c r="AJ65" s="37"/>
      <c r="AK65" s="37"/>
      <c r="AL65" s="15"/>
      <c r="AM65" s="15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6"/>
      <c r="BX65" s="36"/>
      <c r="BY65" s="36"/>
      <c r="BZ65" s="37"/>
      <c r="CA65" s="12"/>
      <c r="CB65" s="37"/>
      <c r="CC65" s="37"/>
      <c r="CD65" s="37"/>
      <c r="CE65" s="37"/>
      <c r="CF65" s="37"/>
      <c r="CG65" s="15"/>
      <c r="CH65" s="15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29"/>
      <c r="DU65" s="37"/>
      <c r="DV65" s="37"/>
      <c r="DW65" s="37"/>
      <c r="DX65" s="37"/>
      <c r="DY65" s="37"/>
      <c r="DZ65" s="37"/>
      <c r="EA65" s="37"/>
      <c r="EB65" s="29"/>
      <c r="EC65" s="36"/>
      <c r="ED65" s="36"/>
      <c r="EE65" s="36"/>
      <c r="EF65" s="37"/>
      <c r="EG65" s="2"/>
      <c r="EH65" s="37"/>
      <c r="EI65" s="2"/>
      <c r="EJ65" s="2"/>
      <c r="EK65" s="2"/>
      <c r="EL65" s="2"/>
      <c r="EM65" s="2"/>
      <c r="EN65" s="2"/>
      <c r="EO65" s="2"/>
      <c r="EP65" s="2"/>
      <c r="EQ65" s="37"/>
      <c r="ER65" s="37"/>
      <c r="ES65" s="37"/>
      <c r="ET65" s="37"/>
      <c r="EU65" s="37"/>
      <c r="EV65" s="37"/>
      <c r="EW65" s="37"/>
    </row>
    <row r="66" spans="1:153" ht="15.6">
      <c r="A66" s="37"/>
      <c r="B66" s="2"/>
      <c r="C66" s="37"/>
      <c r="D66" s="15"/>
      <c r="E66" s="15"/>
      <c r="F66" s="37"/>
      <c r="G66" s="37"/>
      <c r="H66" s="37"/>
      <c r="I66" s="37"/>
      <c r="J66" s="37"/>
      <c r="K66" s="37"/>
      <c r="L66" s="37"/>
      <c r="M66" s="36"/>
      <c r="N66" s="37"/>
      <c r="O66" s="37"/>
      <c r="P66" s="37"/>
      <c r="Q66" s="37"/>
      <c r="R66" s="37"/>
      <c r="S66" s="37"/>
      <c r="T66" s="2"/>
      <c r="U66" s="36"/>
      <c r="V66" s="37"/>
      <c r="W66" s="37"/>
      <c r="X66" s="37"/>
      <c r="Y66" s="37"/>
      <c r="Z66" s="37"/>
      <c r="AA66" s="37"/>
      <c r="AB66" s="2"/>
      <c r="AC66" s="2"/>
      <c r="AD66" s="2"/>
      <c r="AE66" s="2"/>
      <c r="AF66" s="2"/>
      <c r="AG66" s="36"/>
      <c r="AH66" s="2"/>
      <c r="AI66" s="2"/>
      <c r="AJ66" s="2"/>
      <c r="AK66" s="2"/>
      <c r="AL66" s="19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6"/>
      <c r="BX66" s="36"/>
      <c r="BY66" s="36"/>
      <c r="BZ66" s="37"/>
      <c r="CA66" s="12"/>
      <c r="CB66" s="37"/>
      <c r="CC66" s="37"/>
      <c r="CD66" s="37"/>
      <c r="CE66" s="37"/>
      <c r="CF66" s="37"/>
      <c r="CG66" s="15"/>
      <c r="CH66" s="15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29"/>
      <c r="DU66" s="37"/>
      <c r="DV66" s="37"/>
      <c r="DW66" s="37"/>
      <c r="DX66" s="37"/>
      <c r="DY66" s="37"/>
      <c r="DZ66" s="37"/>
      <c r="EA66" s="37"/>
      <c r="EB66" s="29"/>
      <c r="EC66" s="36"/>
      <c r="ED66" s="36"/>
      <c r="EE66" s="36"/>
      <c r="EF66" s="37"/>
      <c r="EG66" s="2"/>
      <c r="EH66" s="37"/>
      <c r="EI66" s="2"/>
      <c r="EJ66" s="2"/>
      <c r="EK66" s="2"/>
      <c r="EL66" s="2"/>
      <c r="EM66" s="2"/>
      <c r="EN66" s="2"/>
      <c r="EO66" s="2"/>
      <c r="EP66" s="2"/>
      <c r="EQ66" s="37"/>
      <c r="ER66" s="37"/>
      <c r="ES66" s="37"/>
      <c r="ET66" s="37"/>
      <c r="EU66" s="37"/>
      <c r="EV66" s="37"/>
      <c r="EW66" s="37"/>
    </row>
    <row r="67" spans="1:153" ht="15.6">
      <c r="A67" s="37"/>
      <c r="B67" s="2"/>
      <c r="C67" s="37"/>
      <c r="D67" s="15"/>
      <c r="E67" s="15"/>
      <c r="F67" s="37"/>
      <c r="G67" s="37"/>
      <c r="H67" s="37"/>
      <c r="I67" s="37"/>
      <c r="J67" s="37"/>
      <c r="K67" s="37"/>
      <c r="L67" s="37"/>
      <c r="M67" s="36"/>
      <c r="N67" s="37"/>
      <c r="O67" s="37"/>
      <c r="P67" s="37"/>
      <c r="Q67" s="37"/>
      <c r="R67" s="37"/>
      <c r="S67" s="37"/>
      <c r="T67" s="2"/>
      <c r="U67" s="36"/>
      <c r="V67" s="37"/>
      <c r="W67" s="37"/>
      <c r="X67" s="37"/>
      <c r="Y67" s="37"/>
      <c r="Z67" s="37"/>
      <c r="AA67" s="37"/>
      <c r="AB67" s="2"/>
      <c r="AC67" s="2"/>
      <c r="AD67" s="2"/>
      <c r="AE67" s="2"/>
      <c r="AF67" s="2"/>
      <c r="AG67" s="36"/>
      <c r="AH67" s="2"/>
      <c r="AI67" s="2"/>
      <c r="AJ67" s="2"/>
      <c r="AK67" s="2"/>
      <c r="AL67" s="19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6"/>
      <c r="BX67" s="36"/>
      <c r="BY67" s="36"/>
      <c r="BZ67" s="37"/>
      <c r="CA67" s="12"/>
      <c r="CB67" s="37"/>
      <c r="CC67" s="37"/>
      <c r="CD67" s="37"/>
      <c r="CE67" s="37"/>
      <c r="CF67" s="37"/>
      <c r="CG67" s="15"/>
      <c r="CH67" s="15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29"/>
      <c r="DU67" s="37"/>
      <c r="DV67" s="37"/>
      <c r="DW67" s="37"/>
      <c r="DX67" s="37"/>
      <c r="DY67" s="37"/>
      <c r="DZ67" s="37"/>
      <c r="EA67" s="37"/>
      <c r="EB67" s="29"/>
      <c r="EC67" s="36"/>
      <c r="ED67" s="36"/>
      <c r="EE67" s="36"/>
      <c r="EF67" s="37"/>
      <c r="EG67" s="2"/>
      <c r="EH67" s="37"/>
      <c r="EI67" s="2"/>
      <c r="EJ67" s="2"/>
      <c r="EK67" s="2"/>
      <c r="EL67" s="2"/>
      <c r="EM67" s="2"/>
      <c r="EN67" s="2"/>
      <c r="EO67" s="2"/>
      <c r="EP67" s="2"/>
      <c r="EQ67" s="37"/>
      <c r="ER67" s="37"/>
      <c r="ES67" s="37"/>
      <c r="ET67" s="37"/>
      <c r="EU67" s="37"/>
      <c r="EV67" s="37"/>
      <c r="EW67" s="37"/>
    </row>
    <row r="68" spans="1:153" ht="15.6">
      <c r="A68" s="37"/>
      <c r="B68" s="2"/>
      <c r="C68" s="37"/>
      <c r="D68" s="15"/>
      <c r="E68" s="15"/>
      <c r="F68" s="37"/>
      <c r="G68" s="37"/>
      <c r="H68" s="37"/>
      <c r="I68" s="37"/>
      <c r="J68" s="37"/>
      <c r="K68" s="37"/>
      <c r="L68" s="37"/>
      <c r="M68" s="36"/>
      <c r="N68" s="37"/>
      <c r="O68" s="37"/>
      <c r="P68" s="37"/>
      <c r="Q68" s="37"/>
      <c r="R68" s="37"/>
      <c r="S68" s="37"/>
      <c r="T68" s="2"/>
      <c r="U68" s="36"/>
      <c r="V68" s="37"/>
      <c r="W68" s="37"/>
      <c r="X68" s="37"/>
      <c r="Y68" s="37"/>
      <c r="Z68" s="37"/>
      <c r="AA68" s="37"/>
      <c r="AB68" s="2"/>
      <c r="AC68" s="2"/>
      <c r="AD68" s="2"/>
      <c r="AE68" s="2"/>
      <c r="AF68" s="2"/>
      <c r="AG68" s="36"/>
      <c r="AH68" s="2"/>
      <c r="AI68" s="2"/>
      <c r="AJ68" s="2"/>
      <c r="AK68" s="2"/>
      <c r="AL68" s="19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6"/>
      <c r="BX68" s="36"/>
      <c r="BY68" s="36"/>
      <c r="BZ68" s="37"/>
      <c r="CA68" s="12"/>
      <c r="CB68" s="37"/>
      <c r="CC68" s="37"/>
      <c r="CD68" s="37"/>
      <c r="CE68" s="37"/>
      <c r="CF68" s="37"/>
      <c r="CG68" s="15"/>
      <c r="CH68" s="15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29"/>
      <c r="DU68" s="37"/>
      <c r="DV68" s="37"/>
      <c r="DW68" s="37"/>
      <c r="DX68" s="37"/>
      <c r="DY68" s="37"/>
      <c r="DZ68" s="37"/>
      <c r="EA68" s="37"/>
      <c r="EB68" s="29"/>
      <c r="EC68" s="36"/>
      <c r="ED68" s="36"/>
      <c r="EE68" s="36"/>
      <c r="EF68" s="37"/>
      <c r="EG68" s="2"/>
      <c r="EH68" s="37"/>
      <c r="EI68" s="2"/>
      <c r="EJ68" s="2"/>
      <c r="EK68" s="2"/>
      <c r="EL68" s="2"/>
      <c r="EM68" s="2"/>
      <c r="EN68" s="2"/>
      <c r="EO68" s="2"/>
      <c r="EP68" s="2"/>
      <c r="EQ68" s="37"/>
      <c r="ER68" s="37"/>
      <c r="ES68" s="37"/>
      <c r="ET68" s="37"/>
      <c r="EU68" s="37"/>
      <c r="EV68" s="37"/>
      <c r="EW68" s="37"/>
    </row>
    <row r="69" spans="1:153" ht="15.6">
      <c r="A69" s="37"/>
      <c r="B69" s="2"/>
      <c r="C69" s="37"/>
      <c r="D69" s="15"/>
      <c r="E69" s="15"/>
      <c r="F69" s="37"/>
      <c r="G69" s="37"/>
      <c r="H69" s="37"/>
      <c r="I69" s="37"/>
      <c r="J69" s="37"/>
      <c r="K69" s="37"/>
      <c r="L69" s="37"/>
      <c r="M69" s="36"/>
      <c r="N69" s="37"/>
      <c r="O69" s="37"/>
      <c r="P69" s="37"/>
      <c r="Q69" s="37"/>
      <c r="R69" s="37"/>
      <c r="S69" s="37"/>
      <c r="T69" s="2"/>
      <c r="U69" s="36"/>
      <c r="V69" s="37"/>
      <c r="W69" s="37"/>
      <c r="X69" s="37"/>
      <c r="Y69" s="37"/>
      <c r="Z69" s="37"/>
      <c r="AA69" s="37"/>
      <c r="AB69" s="2"/>
      <c r="AC69" s="2"/>
      <c r="AD69" s="2"/>
      <c r="AE69" s="2"/>
      <c r="AF69" s="2"/>
      <c r="AG69" s="36"/>
      <c r="AH69" s="2"/>
      <c r="AI69" s="2"/>
      <c r="AJ69" s="2"/>
      <c r="AK69" s="2"/>
      <c r="AL69" s="19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6"/>
      <c r="BX69" s="36"/>
      <c r="BY69" s="36"/>
      <c r="BZ69" s="37"/>
      <c r="CA69" s="12"/>
      <c r="CB69" s="37"/>
      <c r="CC69" s="37"/>
      <c r="CD69" s="37"/>
      <c r="CE69" s="37"/>
      <c r="CF69" s="37"/>
      <c r="CG69" s="15"/>
      <c r="CH69" s="15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29"/>
      <c r="DU69" s="37"/>
      <c r="DV69" s="37"/>
      <c r="DW69" s="37"/>
      <c r="DX69" s="37"/>
      <c r="DY69" s="37"/>
      <c r="DZ69" s="37"/>
      <c r="EA69" s="37"/>
      <c r="EB69" s="29"/>
      <c r="EC69" s="36"/>
      <c r="ED69" s="36"/>
      <c r="EE69" s="36"/>
      <c r="EF69" s="37"/>
      <c r="EG69" s="2"/>
      <c r="EH69" s="37"/>
      <c r="EI69" s="2"/>
      <c r="EJ69" s="2"/>
      <c r="EK69" s="2"/>
      <c r="EL69" s="2"/>
      <c r="EM69" s="2"/>
      <c r="EN69" s="2"/>
      <c r="EO69" s="2"/>
      <c r="EP69" s="2"/>
      <c r="EQ69" s="37"/>
      <c r="ER69" s="37"/>
      <c r="ES69" s="37"/>
      <c r="ET69" s="37"/>
      <c r="EU69" s="37"/>
      <c r="EV69" s="37"/>
      <c r="EW69" s="37"/>
    </row>
    <row r="70" spans="1:153" ht="15.6">
      <c r="A70" s="37"/>
      <c r="B70" s="2"/>
      <c r="C70" s="37"/>
      <c r="D70" s="15"/>
      <c r="E70" s="15"/>
      <c r="F70" s="37"/>
      <c r="G70" s="37"/>
      <c r="H70" s="37"/>
      <c r="I70" s="37"/>
      <c r="J70" s="37"/>
      <c r="K70" s="37"/>
      <c r="L70" s="37"/>
      <c r="M70" s="36"/>
      <c r="N70" s="37"/>
      <c r="O70" s="37"/>
      <c r="P70" s="37"/>
      <c r="Q70" s="37"/>
      <c r="R70" s="37"/>
      <c r="S70" s="37"/>
      <c r="T70" s="2"/>
      <c r="U70" s="36"/>
      <c r="V70" s="37"/>
      <c r="W70" s="37"/>
      <c r="X70" s="37"/>
      <c r="Y70" s="37"/>
      <c r="Z70" s="37"/>
      <c r="AA70" s="37"/>
      <c r="AB70" s="2"/>
      <c r="AC70" s="2"/>
      <c r="AD70" s="2"/>
      <c r="AE70" s="2"/>
      <c r="AF70" s="2"/>
      <c r="AG70" s="36"/>
      <c r="AH70" s="2"/>
      <c r="AI70" s="2"/>
      <c r="AJ70" s="2"/>
      <c r="AK70" s="2"/>
      <c r="AL70" s="19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6"/>
      <c r="BX70" s="36"/>
      <c r="BY70" s="36"/>
      <c r="BZ70" s="37"/>
      <c r="CA70" s="12"/>
      <c r="CB70" s="37"/>
      <c r="CC70" s="37"/>
      <c r="CD70" s="37"/>
      <c r="CE70" s="37"/>
      <c r="CF70" s="37"/>
      <c r="CG70" s="15"/>
      <c r="CH70" s="15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29"/>
      <c r="DU70" s="37"/>
      <c r="DV70" s="37"/>
      <c r="DW70" s="37"/>
      <c r="DX70" s="37"/>
      <c r="DY70" s="37"/>
      <c r="DZ70" s="37"/>
      <c r="EA70" s="37"/>
      <c r="EB70" s="29"/>
      <c r="EC70" s="36"/>
      <c r="ED70" s="36"/>
      <c r="EE70" s="36"/>
      <c r="EF70" s="37"/>
      <c r="EG70" s="2"/>
      <c r="EH70" s="37"/>
      <c r="EI70" s="2"/>
      <c r="EJ70" s="2"/>
      <c r="EK70" s="2"/>
      <c r="EL70" s="2"/>
      <c r="EM70" s="2"/>
      <c r="EN70" s="2"/>
      <c r="EO70" s="2"/>
      <c r="EP70" s="2"/>
      <c r="EQ70" s="37"/>
      <c r="ER70" s="37"/>
      <c r="ES70" s="37"/>
      <c r="ET70" s="37"/>
      <c r="EU70" s="37"/>
      <c r="EV70" s="37"/>
      <c r="EW70" s="37"/>
    </row>
    <row r="71" spans="1:153" ht="15.6">
      <c r="A71" s="37"/>
      <c r="B71" s="2"/>
      <c r="C71" s="37"/>
      <c r="D71" s="15"/>
      <c r="E71" s="15"/>
      <c r="F71" s="37"/>
      <c r="G71" s="37"/>
      <c r="H71" s="37"/>
      <c r="I71" s="37"/>
      <c r="J71" s="37"/>
      <c r="K71" s="37"/>
      <c r="L71" s="37"/>
      <c r="M71" s="36"/>
      <c r="N71" s="37"/>
      <c r="O71" s="37"/>
      <c r="P71" s="37"/>
      <c r="Q71" s="37"/>
      <c r="R71" s="37"/>
      <c r="S71" s="37"/>
      <c r="T71" s="2"/>
      <c r="U71" s="36"/>
      <c r="V71" s="37"/>
      <c r="W71" s="37"/>
      <c r="X71" s="37"/>
      <c r="Y71" s="37"/>
      <c r="Z71" s="37"/>
      <c r="AA71" s="37"/>
      <c r="AB71" s="2"/>
      <c r="AC71" s="2"/>
      <c r="AD71" s="2"/>
      <c r="AE71" s="2"/>
      <c r="AF71" s="2"/>
      <c r="AG71" s="36"/>
      <c r="AH71" s="2"/>
      <c r="AI71" s="2"/>
      <c r="AJ71" s="2"/>
      <c r="AK71" s="2"/>
      <c r="AL71" s="19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6"/>
      <c r="BX71" s="36"/>
      <c r="BY71" s="36"/>
      <c r="BZ71" s="37"/>
      <c r="CA71" s="12"/>
      <c r="CB71" s="37"/>
      <c r="CC71" s="37"/>
      <c r="CD71" s="37"/>
      <c r="CE71" s="37"/>
      <c r="CF71" s="37"/>
      <c r="CG71" s="15"/>
      <c r="CH71" s="15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  <c r="DI71" s="37"/>
      <c r="DJ71" s="37"/>
      <c r="DK71" s="37"/>
      <c r="DL71" s="37"/>
      <c r="DM71" s="37"/>
      <c r="DN71" s="37"/>
      <c r="DO71" s="37"/>
      <c r="DP71" s="37"/>
      <c r="DQ71" s="37"/>
      <c r="DR71" s="37"/>
      <c r="DS71" s="37"/>
      <c r="DT71" s="29"/>
      <c r="DU71" s="37"/>
      <c r="DV71" s="37"/>
      <c r="DW71" s="37"/>
      <c r="DX71" s="37"/>
      <c r="DY71" s="37"/>
      <c r="DZ71" s="37"/>
      <c r="EA71" s="37"/>
      <c r="EB71" s="29"/>
      <c r="EC71" s="36"/>
      <c r="ED71" s="36"/>
      <c r="EE71" s="36"/>
      <c r="EF71" s="37"/>
      <c r="EG71" s="2"/>
      <c r="EH71" s="37"/>
      <c r="EI71" s="2"/>
      <c r="EJ71" s="2"/>
      <c r="EK71" s="2"/>
      <c r="EL71" s="2"/>
      <c r="EM71" s="2"/>
      <c r="EN71" s="2"/>
      <c r="EO71" s="2"/>
      <c r="EP71" s="2"/>
      <c r="EQ71" s="37"/>
      <c r="ER71" s="37"/>
      <c r="ES71" s="37"/>
      <c r="ET71" s="37"/>
      <c r="EU71" s="37"/>
      <c r="EV71" s="37"/>
      <c r="EW71" s="37"/>
    </row>
    <row r="72" spans="1:153" ht="15.6">
      <c r="A72" s="36"/>
      <c r="B72" s="1"/>
      <c r="C72" s="37"/>
      <c r="D72" s="15"/>
      <c r="E72" s="15"/>
      <c r="F72" s="37"/>
      <c r="G72" s="37"/>
      <c r="H72" s="37"/>
      <c r="I72" s="37"/>
      <c r="J72" s="37"/>
      <c r="K72" s="37"/>
      <c r="L72" s="37"/>
      <c r="M72" s="36"/>
      <c r="N72" s="37"/>
      <c r="O72" s="37"/>
      <c r="P72" s="37"/>
      <c r="Q72" s="37"/>
      <c r="R72" s="37"/>
      <c r="S72" s="37"/>
      <c r="T72" s="36"/>
      <c r="U72" s="37"/>
      <c r="V72" s="37"/>
      <c r="W72" s="37"/>
      <c r="X72" s="37"/>
      <c r="Y72" s="37"/>
      <c r="Z72" s="37"/>
      <c r="AA72" s="37"/>
      <c r="AB72" s="36"/>
      <c r="AC72" s="36"/>
      <c r="AD72" s="36"/>
      <c r="AE72" s="36"/>
      <c r="AF72" s="37"/>
      <c r="AG72" s="13"/>
      <c r="AH72" s="37"/>
      <c r="AI72" s="37"/>
      <c r="AJ72" s="37"/>
      <c r="AK72" s="37"/>
      <c r="AL72" s="15"/>
      <c r="AM72" s="15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6"/>
      <c r="BH72" s="37"/>
      <c r="BI72" s="37"/>
      <c r="BJ72" s="37"/>
      <c r="BK72" s="37"/>
      <c r="BL72" s="37"/>
      <c r="BM72" s="22"/>
      <c r="BN72" s="37"/>
      <c r="BO72" s="37"/>
      <c r="BP72" s="37"/>
      <c r="BQ72" s="37"/>
      <c r="BR72" s="37"/>
      <c r="BS72" s="37"/>
      <c r="BT72" s="37"/>
      <c r="BU72" s="37"/>
      <c r="BV72" s="37"/>
      <c r="BW72" s="36"/>
      <c r="BX72" s="36"/>
      <c r="BY72" s="36"/>
      <c r="BZ72" s="37"/>
      <c r="CA72" s="12"/>
      <c r="CB72" s="37"/>
      <c r="CC72" s="37"/>
      <c r="CD72" s="37"/>
      <c r="CE72" s="37"/>
      <c r="CF72" s="37"/>
      <c r="CG72" s="15"/>
      <c r="CH72" s="15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29"/>
      <c r="DU72" s="37"/>
      <c r="DV72" s="37"/>
      <c r="DW72" s="37"/>
      <c r="DX72" s="37"/>
      <c r="DY72" s="37"/>
      <c r="DZ72" s="37"/>
      <c r="EA72" s="37"/>
      <c r="EB72" s="29"/>
      <c r="EC72" s="36"/>
      <c r="ED72" s="36"/>
      <c r="EE72" s="36"/>
      <c r="EF72" s="37"/>
      <c r="EG72" s="2"/>
      <c r="EH72" s="37"/>
      <c r="EI72" s="2"/>
      <c r="EJ72" s="2"/>
      <c r="EK72" s="2"/>
      <c r="EL72" s="2"/>
      <c r="EM72" s="2"/>
      <c r="EN72" s="2"/>
      <c r="EO72" s="2"/>
      <c r="EP72" s="2"/>
      <c r="EQ72" s="37"/>
      <c r="ER72" s="37"/>
      <c r="ES72" s="37"/>
      <c r="ET72" s="37"/>
      <c r="EU72" s="37"/>
      <c r="EV72" s="37"/>
      <c r="EW72" s="37"/>
    </row>
    <row r="73" spans="1:153" ht="15.6">
      <c r="A73" s="36"/>
      <c r="B73" s="5"/>
      <c r="C73" s="37"/>
      <c r="D73" s="15"/>
      <c r="E73" s="15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6"/>
      <c r="U73" s="37"/>
      <c r="V73" s="37"/>
      <c r="W73" s="37"/>
      <c r="X73" s="37"/>
      <c r="Y73" s="37"/>
      <c r="Z73" s="37"/>
      <c r="AA73" s="37"/>
      <c r="AB73" s="36"/>
      <c r="AC73" s="36"/>
      <c r="AD73" s="36"/>
      <c r="AE73" s="36"/>
      <c r="AF73" s="37"/>
      <c r="AG73" s="13"/>
      <c r="AH73" s="37"/>
      <c r="AI73" s="37"/>
      <c r="AJ73" s="37"/>
      <c r="AK73" s="37"/>
      <c r="AL73" s="15"/>
      <c r="AM73" s="15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6"/>
      <c r="BX73" s="36"/>
      <c r="BY73" s="36"/>
      <c r="BZ73" s="37"/>
      <c r="CA73" s="12"/>
      <c r="CB73" s="37"/>
      <c r="CC73" s="37"/>
      <c r="CD73" s="37"/>
      <c r="CE73" s="37"/>
      <c r="CF73" s="37"/>
      <c r="CG73" s="15"/>
      <c r="CH73" s="15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29"/>
      <c r="DU73" s="37"/>
      <c r="DV73" s="37"/>
      <c r="DW73" s="37"/>
      <c r="DX73" s="37"/>
      <c r="DY73" s="37"/>
      <c r="DZ73" s="37"/>
      <c r="EA73" s="37"/>
      <c r="EB73" s="29"/>
      <c r="EC73" s="36"/>
      <c r="ED73" s="36"/>
      <c r="EE73" s="36"/>
      <c r="EF73" s="37"/>
      <c r="EG73" s="2"/>
      <c r="EH73" s="37"/>
      <c r="EI73" s="2"/>
      <c r="EJ73" s="2"/>
      <c r="EK73" s="2"/>
      <c r="EL73" s="2"/>
      <c r="EM73" s="2"/>
      <c r="EN73" s="2"/>
      <c r="EO73" s="2"/>
      <c r="EP73" s="2"/>
      <c r="EQ73" s="37"/>
      <c r="ER73" s="37"/>
      <c r="ES73" s="37"/>
      <c r="ET73" s="37"/>
      <c r="EU73" s="37"/>
      <c r="EV73" s="37"/>
      <c r="EW73" s="37"/>
    </row>
    <row r="74" spans="1:153" ht="15.6">
      <c r="A74" s="36"/>
      <c r="B74" s="5"/>
      <c r="C74" s="37"/>
      <c r="D74" s="15"/>
      <c r="E74" s="15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6"/>
      <c r="U74" s="37"/>
      <c r="V74" s="37"/>
      <c r="W74" s="37"/>
      <c r="X74" s="37"/>
      <c r="Y74" s="37"/>
      <c r="Z74" s="37"/>
      <c r="AA74" s="37"/>
      <c r="AB74" s="36"/>
      <c r="AC74" s="36"/>
      <c r="AD74" s="36"/>
      <c r="AE74" s="36"/>
      <c r="AF74" s="37"/>
      <c r="AG74" s="13"/>
      <c r="AH74" s="37"/>
      <c r="AI74" s="37"/>
      <c r="AJ74" s="37"/>
      <c r="AK74" s="37"/>
      <c r="AL74" s="15"/>
      <c r="AM74" s="15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6"/>
      <c r="BX74" s="36"/>
      <c r="BY74" s="36"/>
      <c r="BZ74" s="37"/>
      <c r="CA74" s="12"/>
      <c r="CB74" s="37"/>
      <c r="CC74" s="37"/>
      <c r="CD74" s="37"/>
      <c r="CE74" s="37"/>
      <c r="CF74" s="37"/>
      <c r="CG74" s="15"/>
      <c r="CH74" s="15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29"/>
      <c r="DU74" s="37"/>
      <c r="DV74" s="37"/>
      <c r="DW74" s="37"/>
      <c r="DX74" s="37"/>
      <c r="DY74" s="37"/>
      <c r="DZ74" s="37"/>
      <c r="EA74" s="37"/>
      <c r="EB74" s="29"/>
      <c r="EC74" s="36"/>
      <c r="ED74" s="36"/>
      <c r="EE74" s="36"/>
      <c r="EF74" s="37"/>
      <c r="EG74" s="2"/>
      <c r="EH74" s="37"/>
      <c r="EI74" s="2"/>
      <c r="EJ74" s="2"/>
      <c r="EK74" s="2"/>
      <c r="EL74" s="2"/>
      <c r="EM74" s="2"/>
      <c r="EN74" s="2"/>
      <c r="EO74" s="2"/>
      <c r="EP74" s="2"/>
      <c r="EQ74" s="37"/>
      <c r="ER74" s="37"/>
      <c r="ES74" s="37"/>
      <c r="ET74" s="37"/>
      <c r="EU74" s="37"/>
      <c r="EV74" s="37"/>
      <c r="EW74" s="37"/>
    </row>
    <row r="75" spans="1:153" ht="15.6">
      <c r="A75" s="36"/>
      <c r="B75" s="5"/>
      <c r="C75" s="37"/>
      <c r="D75" s="15"/>
      <c r="E75" s="15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6"/>
      <c r="U75" s="37"/>
      <c r="V75" s="37"/>
      <c r="W75" s="37"/>
      <c r="X75" s="37"/>
      <c r="Y75" s="37"/>
      <c r="Z75" s="37"/>
      <c r="AA75" s="37"/>
      <c r="AB75" s="36"/>
      <c r="AC75" s="36"/>
      <c r="AD75" s="36"/>
      <c r="AE75" s="36"/>
      <c r="AF75" s="37"/>
      <c r="AG75" s="13"/>
      <c r="AH75" s="37"/>
      <c r="AI75" s="37"/>
      <c r="AJ75" s="37"/>
      <c r="AK75" s="37"/>
      <c r="AL75" s="15"/>
      <c r="AM75" s="15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6"/>
      <c r="BX75" s="36"/>
      <c r="BY75" s="36"/>
      <c r="BZ75" s="37"/>
      <c r="CA75" s="12"/>
      <c r="CB75" s="37"/>
      <c r="CC75" s="37"/>
      <c r="CD75" s="37"/>
      <c r="CE75" s="37"/>
      <c r="CF75" s="37"/>
      <c r="CG75" s="15"/>
      <c r="CH75" s="15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29"/>
      <c r="DU75" s="37"/>
      <c r="DV75" s="37"/>
      <c r="DW75" s="37"/>
      <c r="DX75" s="37"/>
      <c r="DY75" s="37"/>
      <c r="DZ75" s="37"/>
      <c r="EA75" s="37"/>
      <c r="EB75" s="29"/>
      <c r="EC75" s="36"/>
      <c r="ED75" s="36"/>
      <c r="EE75" s="36"/>
      <c r="EF75" s="37"/>
      <c r="EG75" s="2"/>
      <c r="EH75" s="37"/>
      <c r="EI75" s="2"/>
      <c r="EJ75" s="2"/>
      <c r="EK75" s="2"/>
      <c r="EL75" s="2"/>
      <c r="EM75" s="2"/>
      <c r="EN75" s="2"/>
      <c r="EO75" s="2"/>
      <c r="EP75" s="2"/>
      <c r="EQ75" s="37"/>
      <c r="ER75" s="37"/>
      <c r="ES75" s="37"/>
      <c r="ET75" s="37"/>
      <c r="EU75" s="37"/>
      <c r="EV75" s="37"/>
      <c r="EW75" s="37"/>
    </row>
    <row r="76" spans="1:153" ht="15.6">
      <c r="A76" s="36"/>
      <c r="B76" s="5"/>
      <c r="C76" s="37"/>
      <c r="D76" s="15"/>
      <c r="E76" s="15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6"/>
      <c r="U76" s="14"/>
      <c r="V76" s="14"/>
      <c r="W76" s="14"/>
      <c r="X76" s="14"/>
      <c r="Y76" s="14"/>
      <c r="Z76" s="14"/>
      <c r="AA76" s="14"/>
      <c r="AB76" s="36"/>
      <c r="AC76" s="36"/>
      <c r="AD76" s="36"/>
      <c r="AE76" s="36"/>
      <c r="AF76" s="37"/>
      <c r="AG76" s="13"/>
      <c r="AH76" s="37"/>
      <c r="AI76" s="37"/>
      <c r="AJ76" s="37"/>
      <c r="AK76" s="37"/>
      <c r="AL76" s="15"/>
      <c r="AM76" s="15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14"/>
      <c r="BP76" s="14"/>
      <c r="BQ76" s="14"/>
      <c r="BR76" s="14"/>
      <c r="BS76" s="14"/>
      <c r="BT76" s="37"/>
      <c r="BU76" s="37"/>
      <c r="BV76" s="37"/>
      <c r="BW76" s="36"/>
      <c r="BX76" s="36"/>
      <c r="BY76" s="36"/>
      <c r="BZ76" s="37"/>
      <c r="CA76" s="12"/>
      <c r="CB76" s="37"/>
      <c r="CC76" s="37"/>
      <c r="CD76" s="37"/>
      <c r="CE76" s="37"/>
      <c r="CF76" s="37"/>
      <c r="CG76" s="15"/>
      <c r="CH76" s="15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29"/>
      <c r="DU76" s="37"/>
      <c r="DV76" s="37"/>
      <c r="DW76" s="37"/>
      <c r="DX76" s="37"/>
      <c r="DY76" s="37"/>
      <c r="DZ76" s="37"/>
      <c r="EA76" s="37"/>
      <c r="EB76" s="29"/>
      <c r="EC76" s="36"/>
      <c r="ED76" s="36"/>
      <c r="EE76" s="36"/>
      <c r="EF76" s="37"/>
      <c r="EG76" s="2"/>
      <c r="EH76" s="37"/>
      <c r="EI76" s="2"/>
      <c r="EJ76" s="2"/>
      <c r="EK76" s="2"/>
      <c r="EL76" s="2"/>
      <c r="EM76" s="2"/>
      <c r="EN76" s="2"/>
      <c r="EO76" s="2"/>
      <c r="EP76" s="2"/>
      <c r="EQ76" s="37"/>
      <c r="ER76" s="37"/>
      <c r="ES76" s="37"/>
      <c r="ET76" s="37"/>
      <c r="EU76" s="37"/>
      <c r="EV76" s="37"/>
      <c r="EW76" s="37"/>
    </row>
    <row r="77" spans="1:153" ht="15.6">
      <c r="A77" s="36"/>
      <c r="B77" s="5"/>
      <c r="C77" s="37"/>
      <c r="D77" s="15"/>
      <c r="E77" s="15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6"/>
      <c r="U77" s="37"/>
      <c r="V77" s="37"/>
      <c r="W77" s="37"/>
      <c r="X77" s="37"/>
      <c r="Y77" s="37"/>
      <c r="Z77" s="37"/>
      <c r="AA77" s="37"/>
      <c r="AB77" s="36"/>
      <c r="AC77" s="36"/>
      <c r="AD77" s="36"/>
      <c r="AE77" s="36"/>
      <c r="AF77" s="37"/>
      <c r="AG77" s="13"/>
      <c r="AH77" s="37"/>
      <c r="AI77" s="37"/>
      <c r="AJ77" s="37"/>
      <c r="AK77" s="37"/>
      <c r="AL77" s="15"/>
      <c r="AM77" s="15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6"/>
      <c r="BX77" s="36"/>
      <c r="BY77" s="36"/>
      <c r="BZ77" s="37"/>
      <c r="CA77" s="12"/>
      <c r="CB77" s="37"/>
      <c r="CC77" s="37"/>
      <c r="CD77" s="37"/>
      <c r="CE77" s="37"/>
      <c r="CF77" s="37"/>
      <c r="CG77" s="15"/>
      <c r="CH77" s="15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29"/>
      <c r="DU77" s="37"/>
      <c r="DV77" s="37"/>
      <c r="DW77" s="37"/>
      <c r="DX77" s="37"/>
      <c r="DY77" s="37"/>
      <c r="DZ77" s="37"/>
      <c r="EA77" s="37"/>
      <c r="EB77" s="29"/>
      <c r="EC77" s="36"/>
      <c r="ED77" s="36"/>
      <c r="EE77" s="36"/>
      <c r="EF77" s="37"/>
      <c r="EG77" s="2"/>
      <c r="EH77" s="37"/>
      <c r="EI77" s="2"/>
      <c r="EJ77" s="2"/>
      <c r="EK77" s="2"/>
      <c r="EL77" s="2"/>
      <c r="EM77" s="2"/>
      <c r="EN77" s="2"/>
      <c r="EO77" s="2"/>
      <c r="EP77" s="2"/>
      <c r="EQ77" s="37"/>
      <c r="ER77" s="37"/>
      <c r="ES77" s="37"/>
      <c r="ET77" s="37"/>
      <c r="EU77" s="37"/>
      <c r="EV77" s="37"/>
      <c r="EW77" s="37"/>
    </row>
    <row r="78" spans="1:153" ht="15.6">
      <c r="A78" s="36"/>
      <c r="B78" s="5"/>
      <c r="C78" s="37"/>
      <c r="D78" s="15"/>
      <c r="E78" s="15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6"/>
      <c r="U78" s="37"/>
      <c r="V78" s="37"/>
      <c r="W78" s="37"/>
      <c r="X78" s="37"/>
      <c r="Y78" s="37"/>
      <c r="Z78" s="37"/>
      <c r="AA78" s="37"/>
      <c r="AB78" s="36"/>
      <c r="AC78" s="36"/>
      <c r="AD78" s="36"/>
      <c r="AE78" s="36"/>
      <c r="AF78" s="37"/>
      <c r="AG78" s="13"/>
      <c r="AH78" s="37"/>
      <c r="AI78" s="37"/>
      <c r="AJ78" s="37"/>
      <c r="AK78" s="37"/>
      <c r="AL78" s="15"/>
      <c r="AM78" s="15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6"/>
      <c r="BX78" s="36"/>
      <c r="BY78" s="36"/>
      <c r="BZ78" s="37"/>
      <c r="CA78" s="12"/>
      <c r="CB78" s="37"/>
      <c r="CC78" s="37"/>
      <c r="CD78" s="37"/>
      <c r="CE78" s="37"/>
      <c r="CF78" s="37"/>
      <c r="CG78" s="15"/>
      <c r="CH78" s="15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29"/>
      <c r="DU78" s="37"/>
      <c r="DV78" s="37"/>
      <c r="DW78" s="37"/>
      <c r="DX78" s="37"/>
      <c r="DY78" s="37"/>
      <c r="DZ78" s="37"/>
      <c r="EA78" s="37"/>
      <c r="EB78" s="29"/>
      <c r="EC78" s="36"/>
      <c r="ED78" s="36"/>
      <c r="EE78" s="36"/>
      <c r="EF78" s="37"/>
      <c r="EG78" s="2"/>
      <c r="EH78" s="37"/>
      <c r="EI78" s="2"/>
      <c r="EJ78" s="2"/>
      <c r="EK78" s="2"/>
      <c r="EL78" s="2"/>
      <c r="EM78" s="2"/>
      <c r="EN78" s="2"/>
      <c r="EO78" s="2"/>
      <c r="EP78" s="2"/>
      <c r="EQ78" s="37"/>
      <c r="ER78" s="37"/>
      <c r="ES78" s="37"/>
      <c r="ET78" s="37"/>
      <c r="EU78" s="37"/>
      <c r="EV78" s="37"/>
      <c r="EW78" s="37"/>
    </row>
    <row r="79" spans="1:153" ht="15.6">
      <c r="A79" s="36"/>
      <c r="B79" s="5"/>
      <c r="C79" s="37"/>
      <c r="D79" s="15"/>
      <c r="E79" s="15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6"/>
      <c r="U79" s="37"/>
      <c r="V79" s="37"/>
      <c r="W79" s="37"/>
      <c r="X79" s="37"/>
      <c r="Y79" s="37"/>
      <c r="Z79" s="37"/>
      <c r="AA79" s="37"/>
      <c r="AB79" s="36"/>
      <c r="AC79" s="36"/>
      <c r="AD79" s="36"/>
      <c r="AE79" s="36"/>
      <c r="AF79" s="37"/>
      <c r="AG79" s="13"/>
      <c r="AH79" s="37"/>
      <c r="AI79" s="37"/>
      <c r="AJ79" s="37"/>
      <c r="AK79" s="37"/>
      <c r="AL79" s="15"/>
      <c r="AM79" s="15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6"/>
      <c r="BX79" s="36"/>
      <c r="BY79" s="36"/>
      <c r="BZ79" s="37"/>
      <c r="CA79" s="12"/>
      <c r="CB79" s="37"/>
      <c r="CC79" s="37"/>
      <c r="CD79" s="37"/>
      <c r="CE79" s="37"/>
      <c r="CF79" s="37"/>
      <c r="CG79" s="15"/>
      <c r="CH79" s="15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29"/>
      <c r="DU79" s="37"/>
      <c r="DV79" s="37"/>
      <c r="DW79" s="37"/>
      <c r="DX79" s="37"/>
      <c r="DY79" s="37"/>
      <c r="DZ79" s="37"/>
      <c r="EA79" s="37"/>
      <c r="EB79" s="29"/>
      <c r="EC79" s="36"/>
      <c r="ED79" s="36"/>
      <c r="EE79" s="36"/>
      <c r="EF79" s="37"/>
      <c r="EG79" s="2"/>
      <c r="EH79" s="37"/>
      <c r="EI79" s="2"/>
      <c r="EJ79" s="2"/>
      <c r="EK79" s="2"/>
      <c r="EL79" s="2"/>
      <c r="EM79" s="2"/>
      <c r="EN79" s="2"/>
      <c r="EO79" s="2"/>
      <c r="EP79" s="2"/>
      <c r="EQ79" s="37"/>
      <c r="ER79" s="37"/>
      <c r="ES79" s="37"/>
      <c r="ET79" s="37"/>
      <c r="EU79" s="37"/>
      <c r="EV79" s="37"/>
      <c r="EW79" s="37"/>
    </row>
    <row r="80" spans="1:153" ht="15.6">
      <c r="A80" s="36"/>
      <c r="B80" s="5"/>
      <c r="C80" s="37"/>
      <c r="D80" s="15"/>
      <c r="E80" s="15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6"/>
      <c r="U80" s="14"/>
      <c r="V80" s="14"/>
      <c r="W80" s="14"/>
      <c r="X80" s="37"/>
      <c r="Y80" s="37"/>
      <c r="Z80" s="14"/>
      <c r="AA80" s="14"/>
      <c r="AB80" s="36"/>
      <c r="AC80" s="36"/>
      <c r="AD80" s="36"/>
      <c r="AE80" s="36"/>
      <c r="AF80" s="37"/>
      <c r="AG80" s="13"/>
      <c r="AH80" s="37"/>
      <c r="AI80" s="37"/>
      <c r="AJ80" s="37"/>
      <c r="AK80" s="37"/>
      <c r="AL80" s="15"/>
      <c r="AM80" s="15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14"/>
      <c r="BP80" s="14"/>
      <c r="BQ80" s="37"/>
      <c r="BR80" s="14"/>
      <c r="BS80" s="14"/>
      <c r="BT80" s="21"/>
      <c r="BU80" s="21"/>
      <c r="BV80" s="37"/>
      <c r="BW80" s="36"/>
      <c r="BX80" s="36"/>
      <c r="BY80" s="36"/>
      <c r="BZ80" s="37"/>
      <c r="CA80" s="12"/>
      <c r="CB80" s="37"/>
      <c r="CC80" s="37"/>
      <c r="CD80" s="37"/>
      <c r="CE80" s="37"/>
      <c r="CF80" s="37"/>
      <c r="CG80" s="15"/>
      <c r="CH80" s="15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29"/>
      <c r="DU80" s="37"/>
      <c r="DV80" s="37"/>
      <c r="DW80" s="37"/>
      <c r="DX80" s="37"/>
      <c r="DY80" s="37"/>
      <c r="DZ80" s="37"/>
      <c r="EA80" s="37"/>
      <c r="EB80" s="29"/>
      <c r="EC80" s="36"/>
      <c r="ED80" s="36"/>
      <c r="EE80" s="36"/>
      <c r="EF80" s="37"/>
      <c r="EG80" s="2"/>
      <c r="EH80" s="37"/>
      <c r="EI80" s="2"/>
      <c r="EJ80" s="2"/>
      <c r="EK80" s="2"/>
      <c r="EL80" s="2"/>
      <c r="EM80" s="2"/>
      <c r="EN80" s="2"/>
      <c r="EO80" s="2"/>
      <c r="EP80" s="2"/>
      <c r="EQ80" s="37"/>
      <c r="ER80" s="37"/>
      <c r="ES80" s="37"/>
      <c r="ET80" s="37"/>
      <c r="EU80" s="37"/>
      <c r="EV80" s="37"/>
      <c r="EW80" s="37"/>
    </row>
    <row r="81" spans="1:153" ht="15.6">
      <c r="A81" s="36"/>
      <c r="B81" s="5"/>
      <c r="C81" s="37"/>
      <c r="D81" s="15"/>
      <c r="E81" s="15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6"/>
      <c r="U81" s="37"/>
      <c r="V81" s="37"/>
      <c r="W81" s="37"/>
      <c r="X81" s="37"/>
      <c r="Y81" s="37"/>
      <c r="Z81" s="37"/>
      <c r="AA81" s="37"/>
      <c r="AB81" s="36"/>
      <c r="AC81" s="36"/>
      <c r="AD81" s="36"/>
      <c r="AE81" s="36"/>
      <c r="AF81" s="37"/>
      <c r="AG81" s="13"/>
      <c r="AH81" s="37"/>
      <c r="AI81" s="37"/>
      <c r="AJ81" s="37"/>
      <c r="AK81" s="37"/>
      <c r="AL81" s="15"/>
      <c r="AM81" s="15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6"/>
      <c r="BX81" s="36"/>
      <c r="BY81" s="36"/>
      <c r="BZ81" s="37"/>
      <c r="CA81" s="12"/>
      <c r="CB81" s="37"/>
      <c r="CC81" s="37"/>
      <c r="CD81" s="37"/>
      <c r="CE81" s="37"/>
      <c r="CF81" s="37"/>
      <c r="CG81" s="15"/>
      <c r="CH81" s="15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29"/>
      <c r="DU81" s="37"/>
      <c r="DV81" s="37"/>
      <c r="DW81" s="37"/>
      <c r="DX81" s="37"/>
      <c r="DY81" s="37"/>
      <c r="DZ81" s="37"/>
      <c r="EA81" s="37"/>
      <c r="EB81" s="29"/>
      <c r="EC81" s="36"/>
      <c r="ED81" s="36"/>
      <c r="EE81" s="36"/>
      <c r="EF81" s="37"/>
      <c r="EG81" s="2"/>
      <c r="EH81" s="37"/>
      <c r="EI81" s="2"/>
      <c r="EJ81" s="2"/>
      <c r="EK81" s="2"/>
      <c r="EL81" s="2"/>
      <c r="EM81" s="2"/>
      <c r="EN81" s="2"/>
      <c r="EO81" s="2"/>
      <c r="EP81" s="2"/>
      <c r="EQ81" s="37"/>
      <c r="ER81" s="37"/>
      <c r="ES81" s="37"/>
      <c r="ET81" s="37"/>
      <c r="EU81" s="37"/>
      <c r="EV81" s="37"/>
      <c r="EW81" s="37"/>
    </row>
    <row r="82" spans="1:153" ht="15.6">
      <c r="A82" s="36"/>
      <c r="B82" s="5"/>
      <c r="C82" s="37"/>
      <c r="D82" s="15"/>
      <c r="E82" s="15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6"/>
      <c r="U82" s="14"/>
      <c r="V82" s="14"/>
      <c r="W82" s="14"/>
      <c r="X82" s="14"/>
      <c r="Y82" s="14"/>
      <c r="Z82" s="14"/>
      <c r="AA82" s="14"/>
      <c r="AB82" s="36"/>
      <c r="AC82" s="36"/>
      <c r="AD82" s="36"/>
      <c r="AE82" s="36"/>
      <c r="AF82" s="37"/>
      <c r="AG82" s="13"/>
      <c r="AH82" s="37"/>
      <c r="AI82" s="37"/>
      <c r="AJ82" s="37"/>
      <c r="AK82" s="37"/>
      <c r="AL82" s="15"/>
      <c r="AM82" s="15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14"/>
      <c r="BP82" s="14"/>
      <c r="BQ82" s="14"/>
      <c r="BR82" s="14"/>
      <c r="BS82" s="37"/>
      <c r="BT82" s="21"/>
      <c r="BU82" s="21"/>
      <c r="BV82" s="37"/>
      <c r="BW82" s="36"/>
      <c r="BX82" s="36"/>
      <c r="BY82" s="36"/>
      <c r="BZ82" s="37"/>
      <c r="CA82" s="12"/>
      <c r="CB82" s="37"/>
      <c r="CC82" s="37"/>
      <c r="CD82" s="37"/>
      <c r="CE82" s="37"/>
      <c r="CF82" s="37"/>
      <c r="CG82" s="15"/>
      <c r="CH82" s="15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29"/>
      <c r="DU82" s="37"/>
      <c r="DV82" s="37"/>
      <c r="DW82" s="37"/>
      <c r="DX82" s="37"/>
      <c r="DY82" s="37"/>
      <c r="DZ82" s="37"/>
      <c r="EA82" s="37"/>
      <c r="EB82" s="29"/>
      <c r="EC82" s="36"/>
      <c r="ED82" s="36"/>
      <c r="EE82" s="36"/>
      <c r="EF82" s="37"/>
      <c r="EG82" s="2"/>
      <c r="EH82" s="37"/>
      <c r="EI82" s="2"/>
      <c r="EJ82" s="2"/>
      <c r="EK82" s="2"/>
      <c r="EL82" s="2"/>
      <c r="EM82" s="2"/>
      <c r="EN82" s="2"/>
      <c r="EO82" s="2"/>
      <c r="EP82" s="2"/>
      <c r="EQ82" s="37"/>
      <c r="ER82" s="37"/>
      <c r="ES82" s="37"/>
      <c r="ET82" s="37"/>
      <c r="EU82" s="37"/>
      <c r="EV82" s="37"/>
      <c r="EW82" s="37"/>
    </row>
    <row r="83" spans="1:153" ht="15.6">
      <c r="A83" s="36"/>
      <c r="B83" s="5"/>
      <c r="C83" s="37"/>
      <c r="D83" s="15"/>
      <c r="E83" s="15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6"/>
      <c r="U83" s="37"/>
      <c r="V83" s="14"/>
      <c r="W83" s="14"/>
      <c r="X83" s="14"/>
      <c r="Y83" s="14"/>
      <c r="Z83" s="14"/>
      <c r="AA83" s="14"/>
      <c r="AB83" s="36"/>
      <c r="AC83" s="36"/>
      <c r="AD83" s="36"/>
      <c r="AE83" s="36"/>
      <c r="AF83" s="37"/>
      <c r="AG83" s="13"/>
      <c r="AH83" s="37"/>
      <c r="AI83" s="37"/>
      <c r="AJ83" s="37"/>
      <c r="AK83" s="37"/>
      <c r="AL83" s="15"/>
      <c r="AM83" s="15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14"/>
      <c r="BP83" s="37"/>
      <c r="BQ83" s="14"/>
      <c r="BR83" s="14"/>
      <c r="BS83" s="14"/>
      <c r="BT83" s="37"/>
      <c r="BU83" s="37"/>
      <c r="BV83" s="37"/>
      <c r="BW83" s="36"/>
      <c r="BX83" s="36"/>
      <c r="BY83" s="36"/>
      <c r="BZ83" s="37"/>
      <c r="CA83" s="12"/>
      <c r="CB83" s="37"/>
      <c r="CC83" s="37"/>
      <c r="CD83" s="37"/>
      <c r="CE83" s="37"/>
      <c r="CF83" s="37"/>
      <c r="CG83" s="15"/>
      <c r="CH83" s="15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29"/>
      <c r="DU83" s="37"/>
      <c r="DV83" s="37"/>
      <c r="DW83" s="37"/>
      <c r="DX83" s="37"/>
      <c r="DY83" s="37"/>
      <c r="DZ83" s="37"/>
      <c r="EA83" s="37"/>
      <c r="EB83" s="29"/>
      <c r="EC83" s="36"/>
      <c r="ED83" s="36"/>
      <c r="EE83" s="36"/>
      <c r="EF83" s="37"/>
      <c r="EG83" s="2"/>
      <c r="EH83" s="37"/>
      <c r="EI83" s="2"/>
      <c r="EJ83" s="2"/>
      <c r="EK83" s="2"/>
      <c r="EL83" s="2"/>
      <c r="EM83" s="2"/>
      <c r="EN83" s="2"/>
      <c r="EO83" s="2"/>
      <c r="EP83" s="2"/>
      <c r="EQ83" s="37"/>
      <c r="ER83" s="37"/>
      <c r="ES83" s="37"/>
      <c r="ET83" s="37"/>
      <c r="EU83" s="37"/>
      <c r="EV83" s="37"/>
      <c r="EW83" s="37"/>
    </row>
    <row r="84" spans="1:153" ht="15.6">
      <c r="A84" s="36"/>
      <c r="B84" s="5"/>
      <c r="C84" s="37"/>
      <c r="D84" s="15"/>
      <c r="E84" s="15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6"/>
      <c r="U84" s="37"/>
      <c r="V84" s="37"/>
      <c r="W84" s="37"/>
      <c r="X84" s="37"/>
      <c r="Y84" s="37"/>
      <c r="Z84" s="37"/>
      <c r="AA84" s="37"/>
      <c r="AB84" s="36"/>
      <c r="AC84" s="36"/>
      <c r="AD84" s="36"/>
      <c r="AE84" s="36"/>
      <c r="AF84" s="37"/>
      <c r="AG84" s="13"/>
      <c r="AH84" s="37"/>
      <c r="AI84" s="37"/>
      <c r="AJ84" s="37"/>
      <c r="AK84" s="37"/>
      <c r="AL84" s="15"/>
      <c r="AM84" s="15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14"/>
      <c r="BT84" s="21"/>
      <c r="BU84" s="21"/>
      <c r="BV84" s="37"/>
      <c r="BW84" s="36"/>
      <c r="BX84" s="36"/>
      <c r="BY84" s="36"/>
      <c r="BZ84" s="37"/>
      <c r="CA84" s="12"/>
      <c r="CB84" s="37"/>
      <c r="CC84" s="37"/>
      <c r="CD84" s="37"/>
      <c r="CE84" s="37"/>
      <c r="CF84" s="37"/>
      <c r="CG84" s="15"/>
      <c r="CH84" s="15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29"/>
      <c r="DU84" s="37"/>
      <c r="DV84" s="37"/>
      <c r="DW84" s="37"/>
      <c r="DX84" s="37"/>
      <c r="DY84" s="37"/>
      <c r="DZ84" s="37"/>
      <c r="EA84" s="37"/>
      <c r="EB84" s="29"/>
      <c r="EC84" s="36"/>
      <c r="ED84" s="36"/>
      <c r="EE84" s="36"/>
      <c r="EF84" s="37"/>
      <c r="EG84" s="2"/>
      <c r="EH84" s="37"/>
      <c r="EI84" s="2"/>
      <c r="EJ84" s="2"/>
      <c r="EK84" s="2"/>
      <c r="EL84" s="2"/>
      <c r="EM84" s="2"/>
      <c r="EN84" s="2"/>
      <c r="EO84" s="2"/>
      <c r="EP84" s="2"/>
      <c r="EQ84" s="37"/>
      <c r="ER84" s="37"/>
      <c r="ES84" s="37"/>
      <c r="ET84" s="37"/>
      <c r="EU84" s="37"/>
      <c r="EV84" s="37"/>
      <c r="EW84" s="37"/>
    </row>
    <row r="85" spans="1:153" ht="15.6">
      <c r="A85" s="36"/>
      <c r="B85" s="5"/>
      <c r="C85" s="37"/>
      <c r="D85" s="15"/>
      <c r="E85" s="15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6"/>
      <c r="U85" s="14"/>
      <c r="V85" s="37"/>
      <c r="W85" s="37"/>
      <c r="X85" s="37"/>
      <c r="Y85" s="37"/>
      <c r="Z85" s="37"/>
      <c r="AA85" s="37"/>
      <c r="AB85" s="36"/>
      <c r="AC85" s="36"/>
      <c r="AD85" s="36"/>
      <c r="AE85" s="36"/>
      <c r="AF85" s="37"/>
      <c r="AG85" s="13"/>
      <c r="AH85" s="37"/>
      <c r="AI85" s="37"/>
      <c r="AJ85" s="37"/>
      <c r="AK85" s="37"/>
      <c r="AL85" s="15"/>
      <c r="AM85" s="15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21"/>
      <c r="BP85" s="37"/>
      <c r="BQ85" s="37"/>
      <c r="BR85" s="37"/>
      <c r="BS85" s="37"/>
      <c r="BT85" s="37"/>
      <c r="BU85" s="37"/>
      <c r="BV85" s="37"/>
      <c r="BW85" s="36"/>
      <c r="BX85" s="36"/>
      <c r="BY85" s="36"/>
      <c r="BZ85" s="37"/>
      <c r="CA85" s="12"/>
      <c r="CB85" s="37"/>
      <c r="CC85" s="37"/>
      <c r="CD85" s="37"/>
      <c r="CE85" s="37"/>
      <c r="CF85" s="37"/>
      <c r="CG85" s="15"/>
      <c r="CH85" s="15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29"/>
      <c r="DU85" s="37"/>
      <c r="DV85" s="37"/>
      <c r="DW85" s="37"/>
      <c r="DX85" s="37"/>
      <c r="DY85" s="37"/>
      <c r="DZ85" s="37"/>
      <c r="EA85" s="37"/>
      <c r="EB85" s="29"/>
      <c r="EC85" s="36"/>
      <c r="ED85" s="36"/>
      <c r="EE85" s="36"/>
      <c r="EF85" s="37"/>
      <c r="EG85" s="2"/>
      <c r="EH85" s="37"/>
      <c r="EI85" s="2"/>
      <c r="EJ85" s="2"/>
      <c r="EK85" s="2"/>
      <c r="EL85" s="2"/>
      <c r="EM85" s="2"/>
      <c r="EN85" s="2"/>
      <c r="EO85" s="2"/>
      <c r="EP85" s="2"/>
      <c r="EQ85" s="37"/>
      <c r="ER85" s="37"/>
      <c r="ES85" s="37"/>
      <c r="ET85" s="37"/>
      <c r="EU85" s="37"/>
      <c r="EV85" s="37"/>
      <c r="EW85" s="37"/>
    </row>
    <row r="86" spans="1:153" ht="15.6">
      <c r="A86" s="36"/>
      <c r="B86" s="5"/>
      <c r="C86" s="37"/>
      <c r="D86" s="15"/>
      <c r="E86" s="15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6"/>
      <c r="U86" s="37"/>
      <c r="V86" s="37"/>
      <c r="W86" s="37"/>
      <c r="X86" s="37"/>
      <c r="Y86" s="37"/>
      <c r="Z86" s="37"/>
      <c r="AA86" s="37"/>
      <c r="AB86" s="36"/>
      <c r="AC86" s="36"/>
      <c r="AD86" s="36"/>
      <c r="AE86" s="36"/>
      <c r="AF86" s="37"/>
      <c r="AG86" s="13"/>
      <c r="AH86" s="37"/>
      <c r="AI86" s="37"/>
      <c r="AJ86" s="37"/>
      <c r="AK86" s="37"/>
      <c r="AL86" s="15"/>
      <c r="AM86" s="15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6"/>
      <c r="BX86" s="36"/>
      <c r="BY86" s="36"/>
      <c r="BZ86" s="37"/>
      <c r="CA86" s="12"/>
      <c r="CB86" s="37"/>
      <c r="CC86" s="37"/>
      <c r="CD86" s="37"/>
      <c r="CE86" s="37"/>
      <c r="CF86" s="37"/>
      <c r="CG86" s="15"/>
      <c r="CH86" s="15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29"/>
      <c r="DU86" s="37"/>
      <c r="DV86" s="37"/>
      <c r="DW86" s="37"/>
      <c r="DX86" s="37"/>
      <c r="DY86" s="37"/>
      <c r="DZ86" s="37"/>
      <c r="EA86" s="37"/>
      <c r="EB86" s="29"/>
      <c r="EC86" s="36"/>
      <c r="ED86" s="36"/>
      <c r="EE86" s="36"/>
      <c r="EF86" s="37"/>
      <c r="EG86" s="2"/>
      <c r="EH86" s="37"/>
      <c r="EI86" s="2"/>
      <c r="EJ86" s="2"/>
      <c r="EK86" s="2"/>
      <c r="EL86" s="2"/>
      <c r="EM86" s="2"/>
      <c r="EN86" s="2"/>
      <c r="EO86" s="2"/>
      <c r="EP86" s="2"/>
      <c r="EQ86" s="37"/>
      <c r="ER86" s="37"/>
      <c r="ES86" s="37"/>
      <c r="ET86" s="37"/>
      <c r="EU86" s="37"/>
      <c r="EV86" s="37"/>
      <c r="EW86" s="37"/>
    </row>
    <row r="87" spans="1:153" ht="15.6">
      <c r="A87" s="36"/>
      <c r="B87" s="5"/>
      <c r="C87" s="37"/>
      <c r="D87" s="15"/>
      <c r="E87" s="15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6"/>
      <c r="U87" s="37"/>
      <c r="V87" s="37"/>
      <c r="W87" s="14"/>
      <c r="X87" s="14"/>
      <c r="Y87" s="14"/>
      <c r="Z87" s="37"/>
      <c r="AA87" s="37"/>
      <c r="AB87" s="36"/>
      <c r="AC87" s="36"/>
      <c r="AD87" s="36"/>
      <c r="AE87" s="36"/>
      <c r="AF87" s="37"/>
      <c r="AG87" s="13"/>
      <c r="AH87" s="37"/>
      <c r="AI87" s="37"/>
      <c r="AJ87" s="37"/>
      <c r="AK87" s="37"/>
      <c r="AL87" s="15"/>
      <c r="AM87" s="15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6"/>
      <c r="BX87" s="36"/>
      <c r="BY87" s="36"/>
      <c r="BZ87" s="37"/>
      <c r="CA87" s="12"/>
      <c r="CB87" s="37"/>
      <c r="CC87" s="37"/>
      <c r="CD87" s="37"/>
      <c r="CE87" s="37"/>
      <c r="CF87" s="37"/>
      <c r="CG87" s="15"/>
      <c r="CH87" s="15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29"/>
      <c r="DU87" s="37"/>
      <c r="DV87" s="37"/>
      <c r="DW87" s="37"/>
      <c r="DX87" s="37"/>
      <c r="DY87" s="37"/>
      <c r="DZ87" s="37"/>
      <c r="EA87" s="37"/>
      <c r="EB87" s="29"/>
      <c r="EC87" s="36"/>
      <c r="ED87" s="36"/>
      <c r="EE87" s="36"/>
      <c r="EF87" s="37"/>
      <c r="EG87" s="2"/>
      <c r="EH87" s="37"/>
      <c r="EI87" s="2"/>
      <c r="EJ87" s="2"/>
      <c r="EK87" s="2"/>
      <c r="EL87" s="2"/>
      <c r="EM87" s="2"/>
      <c r="EN87" s="2"/>
      <c r="EO87" s="2"/>
      <c r="EP87" s="2"/>
      <c r="EQ87" s="37"/>
      <c r="ER87" s="37"/>
      <c r="ES87" s="37"/>
      <c r="ET87" s="37"/>
      <c r="EU87" s="37"/>
      <c r="EV87" s="37"/>
      <c r="EW87" s="37"/>
    </row>
    <row r="88" spans="1:153" ht="15.6">
      <c r="A88" s="36"/>
      <c r="B88" s="5"/>
      <c r="C88" s="37"/>
      <c r="D88" s="15"/>
      <c r="E88" s="15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6"/>
      <c r="U88" s="37"/>
      <c r="V88" s="37"/>
      <c r="W88" s="37"/>
      <c r="X88" s="37"/>
      <c r="Y88" s="37"/>
      <c r="Z88" s="37"/>
      <c r="AA88" s="37"/>
      <c r="AB88" s="36"/>
      <c r="AC88" s="36"/>
      <c r="AD88" s="36"/>
      <c r="AE88" s="36"/>
      <c r="AF88" s="37"/>
      <c r="AG88" s="13"/>
      <c r="AH88" s="37"/>
      <c r="AI88" s="37"/>
      <c r="AJ88" s="37"/>
      <c r="AK88" s="37"/>
      <c r="AL88" s="15"/>
      <c r="AM88" s="15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6"/>
      <c r="BX88" s="36"/>
      <c r="BY88" s="36"/>
      <c r="BZ88" s="37"/>
      <c r="CA88" s="12"/>
      <c r="CB88" s="37"/>
      <c r="CC88" s="37"/>
      <c r="CD88" s="37"/>
      <c r="CE88" s="37"/>
      <c r="CF88" s="37"/>
      <c r="CG88" s="15"/>
      <c r="CH88" s="15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29"/>
      <c r="DU88" s="37"/>
      <c r="DV88" s="37"/>
      <c r="DW88" s="37"/>
      <c r="DX88" s="37"/>
      <c r="DY88" s="37"/>
      <c r="DZ88" s="37"/>
      <c r="EA88" s="37"/>
      <c r="EB88" s="29"/>
      <c r="EC88" s="36"/>
      <c r="ED88" s="36"/>
      <c r="EE88" s="36"/>
      <c r="EF88" s="37"/>
      <c r="EG88" s="2"/>
      <c r="EH88" s="37"/>
      <c r="EI88" s="2"/>
      <c r="EJ88" s="2"/>
      <c r="EK88" s="2"/>
      <c r="EL88" s="2"/>
      <c r="EM88" s="2"/>
      <c r="EN88" s="2"/>
      <c r="EO88" s="2"/>
      <c r="EP88" s="2"/>
      <c r="EQ88" s="37"/>
      <c r="ER88" s="37"/>
      <c r="ES88" s="37"/>
      <c r="ET88" s="37"/>
      <c r="EU88" s="37"/>
      <c r="EV88" s="37"/>
      <c r="EW88" s="37"/>
    </row>
    <row r="89" spans="1:153" ht="15.6">
      <c r="A89" s="36"/>
      <c r="B89" s="5"/>
      <c r="C89" s="37"/>
      <c r="D89" s="15"/>
      <c r="E89" s="15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6"/>
      <c r="U89" s="14"/>
      <c r="V89" s="14"/>
      <c r="W89" s="14"/>
      <c r="X89" s="14"/>
      <c r="Y89" s="14"/>
      <c r="Z89" s="37"/>
      <c r="AA89" s="37"/>
      <c r="AB89" s="36"/>
      <c r="AC89" s="36"/>
      <c r="AD89" s="36"/>
      <c r="AE89" s="36"/>
      <c r="AF89" s="37"/>
      <c r="AG89" s="13"/>
      <c r="AH89" s="37"/>
      <c r="AI89" s="37"/>
      <c r="AJ89" s="37"/>
      <c r="AK89" s="37"/>
      <c r="AL89" s="15"/>
      <c r="AM89" s="15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21"/>
      <c r="BP89" s="14"/>
      <c r="BQ89" s="14"/>
      <c r="BR89" s="14"/>
      <c r="BS89" s="14"/>
      <c r="BT89" s="21"/>
      <c r="BU89" s="21"/>
      <c r="BV89" s="37"/>
      <c r="BW89" s="36"/>
      <c r="BX89" s="36"/>
      <c r="BY89" s="36"/>
      <c r="BZ89" s="37"/>
      <c r="CA89" s="12"/>
      <c r="CB89" s="37"/>
      <c r="CC89" s="37"/>
      <c r="CD89" s="37"/>
      <c r="CE89" s="37"/>
      <c r="CF89" s="37"/>
      <c r="CG89" s="15"/>
      <c r="CH89" s="15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29"/>
      <c r="DU89" s="37"/>
      <c r="DV89" s="37"/>
      <c r="DW89" s="37"/>
      <c r="DX89" s="37"/>
      <c r="DY89" s="37"/>
      <c r="DZ89" s="37"/>
      <c r="EA89" s="37"/>
      <c r="EB89" s="29"/>
      <c r="EC89" s="36"/>
      <c r="ED89" s="36"/>
      <c r="EE89" s="36"/>
      <c r="EF89" s="37"/>
      <c r="EG89" s="2"/>
      <c r="EH89" s="37"/>
      <c r="EI89" s="2"/>
      <c r="EJ89" s="2"/>
      <c r="EK89" s="2"/>
      <c r="EL89" s="2"/>
      <c r="EM89" s="2"/>
      <c r="EN89" s="2"/>
      <c r="EO89" s="2"/>
      <c r="EP89" s="2"/>
      <c r="EQ89" s="37"/>
      <c r="ER89" s="37"/>
      <c r="ES89" s="37"/>
      <c r="ET89" s="37"/>
      <c r="EU89" s="37"/>
      <c r="EV89" s="37"/>
      <c r="EW89" s="37"/>
    </row>
    <row r="90" spans="1:153" ht="15.6">
      <c r="A90" s="36"/>
      <c r="B90" s="5"/>
      <c r="C90" s="37"/>
      <c r="D90" s="15"/>
      <c r="E90" s="15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6"/>
      <c r="U90" s="37"/>
      <c r="V90" s="37"/>
      <c r="W90" s="14"/>
      <c r="X90" s="14"/>
      <c r="Y90" s="14"/>
      <c r="Z90" s="14"/>
      <c r="AA90" s="14"/>
      <c r="AB90" s="36"/>
      <c r="AC90" s="36"/>
      <c r="AD90" s="36"/>
      <c r="AE90" s="36"/>
      <c r="AF90" s="37"/>
      <c r="AG90" s="13"/>
      <c r="AH90" s="37"/>
      <c r="AI90" s="37"/>
      <c r="AJ90" s="37"/>
      <c r="AK90" s="37"/>
      <c r="AL90" s="15"/>
      <c r="AM90" s="15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14"/>
      <c r="BP90" s="14"/>
      <c r="BQ90" s="14"/>
      <c r="BR90" s="14"/>
      <c r="BS90" s="14"/>
      <c r="BT90" s="21"/>
      <c r="BU90" s="21"/>
      <c r="BV90" s="37"/>
      <c r="BW90" s="36"/>
      <c r="BX90" s="36"/>
      <c r="BY90" s="36"/>
      <c r="BZ90" s="37"/>
      <c r="CA90" s="12"/>
      <c r="CB90" s="37"/>
      <c r="CC90" s="37"/>
      <c r="CD90" s="37"/>
      <c r="CE90" s="37"/>
      <c r="CF90" s="37"/>
      <c r="CG90" s="15"/>
      <c r="CH90" s="15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29"/>
      <c r="DU90" s="37"/>
      <c r="DV90" s="37"/>
      <c r="DW90" s="37"/>
      <c r="DX90" s="37"/>
      <c r="DY90" s="37"/>
      <c r="DZ90" s="37"/>
      <c r="EA90" s="37"/>
      <c r="EB90" s="29"/>
      <c r="EC90" s="36"/>
      <c r="ED90" s="36"/>
      <c r="EE90" s="36"/>
      <c r="EF90" s="37"/>
      <c r="EG90" s="2"/>
      <c r="EH90" s="37"/>
      <c r="EI90" s="2"/>
      <c r="EJ90" s="2"/>
      <c r="EK90" s="2"/>
      <c r="EL90" s="2"/>
      <c r="EM90" s="2"/>
      <c r="EN90" s="2"/>
      <c r="EO90" s="2"/>
      <c r="EP90" s="2"/>
      <c r="EQ90" s="37"/>
      <c r="ER90" s="37"/>
      <c r="ES90" s="37"/>
      <c r="ET90" s="37"/>
      <c r="EU90" s="37"/>
      <c r="EV90" s="37"/>
      <c r="EW90" s="37"/>
    </row>
    <row r="91" spans="1:153" ht="15.6">
      <c r="A91" s="36"/>
      <c r="B91" s="5"/>
      <c r="C91" s="37"/>
      <c r="D91" s="15"/>
      <c r="E91" s="15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6"/>
      <c r="U91" s="14"/>
      <c r="V91" s="14"/>
      <c r="W91" s="14"/>
      <c r="X91" s="14"/>
      <c r="Y91" s="37"/>
      <c r="Z91" s="37"/>
      <c r="AA91" s="37"/>
      <c r="AB91" s="36"/>
      <c r="AC91" s="36"/>
      <c r="AD91" s="36"/>
      <c r="AE91" s="36"/>
      <c r="AF91" s="37"/>
      <c r="AG91" s="13"/>
      <c r="AH91" s="37"/>
      <c r="AI91" s="37"/>
      <c r="AJ91" s="37"/>
      <c r="AK91" s="37"/>
      <c r="AL91" s="15"/>
      <c r="AM91" s="15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21"/>
      <c r="BP91" s="37"/>
      <c r="BQ91" s="37"/>
      <c r="BR91" s="37"/>
      <c r="BS91" s="37"/>
      <c r="BT91" s="37"/>
      <c r="BU91" s="37"/>
      <c r="BV91" s="37"/>
      <c r="BW91" s="36"/>
      <c r="BX91" s="36"/>
      <c r="BY91" s="36"/>
      <c r="BZ91" s="37"/>
      <c r="CA91" s="12"/>
      <c r="CB91" s="37"/>
      <c r="CC91" s="37"/>
      <c r="CD91" s="37"/>
      <c r="CE91" s="37"/>
      <c r="CF91" s="37"/>
      <c r="CG91" s="15"/>
      <c r="CH91" s="15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29"/>
      <c r="DU91" s="37"/>
      <c r="DV91" s="37"/>
      <c r="DW91" s="37"/>
      <c r="DX91" s="37"/>
      <c r="DY91" s="37"/>
      <c r="DZ91" s="37"/>
      <c r="EA91" s="37"/>
      <c r="EB91" s="29"/>
      <c r="EC91" s="36"/>
      <c r="ED91" s="36"/>
      <c r="EE91" s="36"/>
      <c r="EF91" s="37"/>
      <c r="EG91" s="2"/>
      <c r="EH91" s="37"/>
      <c r="EI91" s="2"/>
      <c r="EJ91" s="2"/>
      <c r="EK91" s="2"/>
      <c r="EL91" s="2"/>
      <c r="EM91" s="2"/>
      <c r="EN91" s="2"/>
      <c r="EO91" s="2"/>
      <c r="EP91" s="2"/>
      <c r="EQ91" s="37"/>
      <c r="ER91" s="37"/>
      <c r="ES91" s="37"/>
      <c r="ET91" s="37"/>
      <c r="EU91" s="37"/>
      <c r="EV91" s="37"/>
      <c r="EW91" s="37"/>
    </row>
    <row r="92" spans="1:153" ht="15.6">
      <c r="A92" s="36"/>
      <c r="B92" s="5"/>
      <c r="C92" s="37"/>
      <c r="D92" s="15"/>
      <c r="E92" s="15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6"/>
      <c r="U92" s="14"/>
      <c r="V92" s="14"/>
      <c r="W92" s="37"/>
      <c r="X92" s="37"/>
      <c r="Y92" s="37"/>
      <c r="Z92" s="37"/>
      <c r="AA92" s="14"/>
      <c r="AB92" s="36"/>
      <c r="AC92" s="36"/>
      <c r="AD92" s="36"/>
      <c r="AE92" s="36"/>
      <c r="AF92" s="37"/>
      <c r="AG92" s="13"/>
      <c r="AH92" s="37"/>
      <c r="AI92" s="37"/>
      <c r="AJ92" s="37"/>
      <c r="AK92" s="37"/>
      <c r="AL92" s="15"/>
      <c r="AM92" s="15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14"/>
      <c r="BP92" s="14"/>
      <c r="BQ92" s="14"/>
      <c r="BR92" s="37"/>
      <c r="BS92" s="37"/>
      <c r="BT92" s="37"/>
      <c r="BU92" s="37"/>
      <c r="BV92" s="37"/>
      <c r="BW92" s="36"/>
      <c r="BX92" s="36"/>
      <c r="BY92" s="36"/>
      <c r="BZ92" s="37"/>
      <c r="CA92" s="12"/>
      <c r="CB92" s="37"/>
      <c r="CC92" s="37"/>
      <c r="CD92" s="37"/>
      <c r="CE92" s="37"/>
      <c r="CF92" s="37"/>
      <c r="CG92" s="15"/>
      <c r="CH92" s="15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29"/>
      <c r="DU92" s="37"/>
      <c r="DV92" s="37"/>
      <c r="DW92" s="37"/>
      <c r="DX92" s="37"/>
      <c r="DY92" s="37"/>
      <c r="DZ92" s="37"/>
      <c r="EA92" s="37"/>
      <c r="EB92" s="29"/>
      <c r="EC92" s="36"/>
      <c r="ED92" s="36"/>
      <c r="EE92" s="36"/>
      <c r="EF92" s="37"/>
      <c r="EG92" s="2"/>
      <c r="EH92" s="37"/>
      <c r="EI92" s="2"/>
      <c r="EJ92" s="2"/>
      <c r="EK92" s="2"/>
      <c r="EL92" s="2"/>
      <c r="EM92" s="2"/>
      <c r="EN92" s="2"/>
      <c r="EO92" s="2"/>
      <c r="EP92" s="2"/>
      <c r="EQ92" s="37"/>
      <c r="ER92" s="37"/>
      <c r="ES92" s="37"/>
      <c r="ET92" s="37"/>
      <c r="EU92" s="37"/>
      <c r="EV92" s="37"/>
      <c r="EW92" s="37"/>
    </row>
    <row r="93" spans="1:153" ht="15.6">
      <c r="A93" s="36"/>
      <c r="B93" s="5"/>
      <c r="C93" s="37"/>
      <c r="D93" s="15"/>
      <c r="E93" s="15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6"/>
      <c r="U93" s="37"/>
      <c r="V93" s="37"/>
      <c r="W93" s="37"/>
      <c r="X93" s="37"/>
      <c r="Y93" s="37"/>
      <c r="Z93" s="37"/>
      <c r="AA93" s="37"/>
      <c r="AB93" s="36"/>
      <c r="AC93" s="36"/>
      <c r="AD93" s="36"/>
      <c r="AE93" s="36"/>
      <c r="AF93" s="37"/>
      <c r="AG93" s="13"/>
      <c r="AH93" s="37"/>
      <c r="AI93" s="37"/>
      <c r="AJ93" s="37"/>
      <c r="AK93" s="37"/>
      <c r="AL93" s="15"/>
      <c r="AM93" s="15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6"/>
      <c r="BX93" s="36"/>
      <c r="BY93" s="36"/>
      <c r="BZ93" s="37"/>
      <c r="CA93" s="12"/>
      <c r="CB93" s="37"/>
      <c r="CC93" s="37"/>
      <c r="CD93" s="37"/>
      <c r="CE93" s="37"/>
      <c r="CF93" s="37"/>
      <c r="CG93" s="15"/>
      <c r="CH93" s="15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29"/>
      <c r="DU93" s="37"/>
      <c r="DV93" s="37"/>
      <c r="DW93" s="37"/>
      <c r="DX93" s="37"/>
      <c r="DY93" s="37"/>
      <c r="DZ93" s="37"/>
      <c r="EA93" s="37"/>
      <c r="EB93" s="29"/>
      <c r="EC93" s="36"/>
      <c r="ED93" s="36"/>
      <c r="EE93" s="36"/>
      <c r="EF93" s="37"/>
      <c r="EG93" s="2"/>
      <c r="EH93" s="37"/>
      <c r="EI93" s="2"/>
      <c r="EJ93" s="2"/>
      <c r="EK93" s="2"/>
      <c r="EL93" s="2"/>
      <c r="EM93" s="2"/>
      <c r="EN93" s="2"/>
      <c r="EO93" s="2"/>
      <c r="EP93" s="2"/>
      <c r="EQ93" s="37"/>
      <c r="ER93" s="37"/>
      <c r="ES93" s="37"/>
      <c r="ET93" s="37"/>
      <c r="EU93" s="37"/>
      <c r="EV93" s="37"/>
      <c r="EW93" s="37"/>
    </row>
    <row r="94" spans="1:153" ht="15.6">
      <c r="A94" s="37"/>
      <c r="B94" s="2"/>
      <c r="C94" s="37"/>
      <c r="D94" s="15"/>
      <c r="E94" s="15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6"/>
      <c r="U94" s="37"/>
      <c r="V94" s="37"/>
      <c r="W94" s="37"/>
      <c r="X94" s="37"/>
      <c r="Y94" s="37"/>
      <c r="Z94" s="37"/>
      <c r="AA94" s="37"/>
      <c r="AB94" s="36"/>
      <c r="AC94" s="36"/>
      <c r="AD94" s="36"/>
      <c r="AE94" s="36"/>
      <c r="AF94" s="37"/>
      <c r="AG94" s="13"/>
      <c r="AH94" s="37"/>
      <c r="AI94" s="37"/>
      <c r="AJ94" s="37"/>
      <c r="AK94" s="37"/>
      <c r="AL94" s="15"/>
      <c r="AM94" s="15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14"/>
      <c r="BR94" s="14"/>
      <c r="BS94" s="14"/>
      <c r="BT94" s="21"/>
      <c r="BU94" s="21"/>
      <c r="BV94" s="37"/>
      <c r="BW94" s="36"/>
      <c r="BX94" s="36"/>
      <c r="BY94" s="36"/>
      <c r="BZ94" s="37"/>
      <c r="CA94" s="12"/>
      <c r="CB94" s="37"/>
      <c r="CC94" s="37"/>
      <c r="CD94" s="37"/>
      <c r="CE94" s="37"/>
      <c r="CF94" s="37"/>
      <c r="CG94" s="15"/>
      <c r="CH94" s="15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29"/>
      <c r="DU94" s="37"/>
      <c r="DV94" s="37"/>
      <c r="DW94" s="37"/>
      <c r="DX94" s="37"/>
      <c r="DY94" s="37"/>
      <c r="DZ94" s="37"/>
      <c r="EA94" s="37"/>
      <c r="EB94" s="29"/>
      <c r="EC94" s="36"/>
      <c r="ED94" s="36"/>
      <c r="EE94" s="36"/>
      <c r="EF94" s="37"/>
      <c r="EG94" s="2"/>
      <c r="EH94" s="37"/>
      <c r="EI94" s="2"/>
      <c r="EJ94" s="2"/>
      <c r="EK94" s="2"/>
      <c r="EL94" s="2"/>
      <c r="EM94" s="2"/>
      <c r="EN94" s="2"/>
      <c r="EO94" s="2"/>
      <c r="EP94" s="2"/>
      <c r="EQ94" s="37"/>
      <c r="ER94" s="37"/>
      <c r="ES94" s="37"/>
      <c r="ET94" s="37"/>
      <c r="EU94" s="37"/>
      <c r="EV94" s="37"/>
      <c r="EW94" s="37"/>
    </row>
    <row r="95" spans="1:153" ht="15.6">
      <c r="A95" s="36"/>
      <c r="B95" s="5"/>
      <c r="C95" s="37"/>
      <c r="D95" s="15"/>
      <c r="E95" s="15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6"/>
      <c r="U95" s="37"/>
      <c r="V95" s="37"/>
      <c r="W95" s="37"/>
      <c r="X95" s="37"/>
      <c r="Y95" s="37"/>
      <c r="Z95" s="37"/>
      <c r="AA95" s="37"/>
      <c r="AB95" s="36"/>
      <c r="AC95" s="36"/>
      <c r="AD95" s="36"/>
      <c r="AE95" s="36"/>
      <c r="AF95" s="37"/>
      <c r="AG95" s="13"/>
      <c r="AH95" s="37"/>
      <c r="AI95" s="37"/>
      <c r="AJ95" s="37"/>
      <c r="AK95" s="37"/>
      <c r="AL95" s="15"/>
      <c r="AM95" s="15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6"/>
      <c r="BX95" s="36"/>
      <c r="BY95" s="36"/>
      <c r="BZ95" s="37"/>
      <c r="CA95" s="12"/>
      <c r="CB95" s="37"/>
      <c r="CC95" s="37"/>
      <c r="CD95" s="37"/>
      <c r="CE95" s="37"/>
      <c r="CF95" s="37"/>
      <c r="CG95" s="15"/>
      <c r="CH95" s="15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29"/>
      <c r="DU95" s="37"/>
      <c r="DV95" s="37"/>
      <c r="DW95" s="37"/>
      <c r="DX95" s="37"/>
      <c r="DY95" s="37"/>
      <c r="DZ95" s="37"/>
      <c r="EA95" s="37"/>
      <c r="EB95" s="29"/>
      <c r="EC95" s="36"/>
      <c r="ED95" s="36"/>
      <c r="EE95" s="36"/>
      <c r="EF95" s="37"/>
      <c r="EG95" s="2"/>
      <c r="EH95" s="37"/>
      <c r="EI95" s="2"/>
      <c r="EJ95" s="2"/>
      <c r="EK95" s="2"/>
      <c r="EL95" s="2"/>
      <c r="EM95" s="2"/>
      <c r="EN95" s="2"/>
      <c r="EO95" s="2"/>
      <c r="EP95" s="2"/>
      <c r="EQ95" s="37"/>
      <c r="ER95" s="37"/>
      <c r="ES95" s="37"/>
      <c r="ET95" s="37"/>
      <c r="EU95" s="37"/>
      <c r="EV95" s="37"/>
      <c r="EW95" s="37"/>
    </row>
    <row r="96" spans="1:153" ht="15.6">
      <c r="A96" s="36"/>
      <c r="B96" s="5"/>
      <c r="C96" s="37"/>
      <c r="D96" s="15"/>
      <c r="E96" s="15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6"/>
      <c r="U96" s="37"/>
      <c r="V96" s="37"/>
      <c r="W96" s="37"/>
      <c r="X96" s="37"/>
      <c r="Y96" s="37"/>
      <c r="Z96" s="14"/>
      <c r="AA96" s="14"/>
      <c r="AB96" s="36"/>
      <c r="AC96" s="36"/>
      <c r="AD96" s="36"/>
      <c r="AE96" s="36"/>
      <c r="AF96" s="37"/>
      <c r="AG96" s="13"/>
      <c r="AH96" s="37"/>
      <c r="AI96" s="37"/>
      <c r="AJ96" s="37"/>
      <c r="AK96" s="37"/>
      <c r="AL96" s="15"/>
      <c r="AM96" s="15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14"/>
      <c r="BP96" s="14"/>
      <c r="BQ96" s="14"/>
      <c r="BR96" s="14"/>
      <c r="BS96" s="14"/>
      <c r="BT96" s="21"/>
      <c r="BU96" s="21"/>
      <c r="BV96" s="37"/>
      <c r="BW96" s="36"/>
      <c r="BX96" s="36"/>
      <c r="BY96" s="36"/>
      <c r="BZ96" s="37"/>
      <c r="CA96" s="12"/>
      <c r="CB96" s="37"/>
      <c r="CC96" s="37"/>
      <c r="CD96" s="37"/>
      <c r="CE96" s="37"/>
      <c r="CF96" s="37"/>
      <c r="CG96" s="15"/>
      <c r="CH96" s="15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29"/>
      <c r="DU96" s="37"/>
      <c r="DV96" s="37"/>
      <c r="DW96" s="37"/>
      <c r="DX96" s="37"/>
      <c r="DY96" s="37"/>
      <c r="DZ96" s="37"/>
      <c r="EA96" s="37"/>
      <c r="EB96" s="29"/>
      <c r="EC96" s="36"/>
      <c r="ED96" s="36"/>
      <c r="EE96" s="36"/>
      <c r="EF96" s="37"/>
      <c r="EG96" s="2"/>
      <c r="EH96" s="37"/>
      <c r="EI96" s="2"/>
      <c r="EJ96" s="2"/>
      <c r="EK96" s="2"/>
      <c r="EL96" s="2"/>
      <c r="EM96" s="2"/>
      <c r="EN96" s="2"/>
      <c r="EO96" s="2"/>
      <c r="EP96" s="2"/>
      <c r="EQ96" s="37"/>
      <c r="ER96" s="37"/>
      <c r="ES96" s="37"/>
      <c r="ET96" s="37"/>
      <c r="EU96" s="37"/>
      <c r="EV96" s="37"/>
      <c r="EW96" s="37"/>
    </row>
    <row r="97" spans="1:153" ht="15.6">
      <c r="A97" s="36"/>
      <c r="B97" s="5"/>
      <c r="C97" s="37"/>
      <c r="D97" s="15"/>
      <c r="E97" s="15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6"/>
      <c r="U97" s="37"/>
      <c r="V97" s="37"/>
      <c r="W97" s="37"/>
      <c r="X97" s="37"/>
      <c r="Y97" s="37"/>
      <c r="Z97" s="37"/>
      <c r="AA97" s="37"/>
      <c r="AB97" s="36"/>
      <c r="AC97" s="36"/>
      <c r="AD97" s="36"/>
      <c r="AE97" s="36"/>
      <c r="AF97" s="37"/>
      <c r="AG97" s="13"/>
      <c r="AH97" s="37"/>
      <c r="AI97" s="37"/>
      <c r="AJ97" s="37"/>
      <c r="AK97" s="37"/>
      <c r="AL97" s="15"/>
      <c r="AM97" s="15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6"/>
      <c r="BX97" s="36"/>
      <c r="BY97" s="36"/>
      <c r="BZ97" s="37"/>
      <c r="CA97" s="12"/>
      <c r="CB97" s="37"/>
      <c r="CC97" s="37"/>
      <c r="CD97" s="37"/>
      <c r="CE97" s="37"/>
      <c r="CF97" s="37"/>
      <c r="CG97" s="15"/>
      <c r="CH97" s="15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29"/>
      <c r="DU97" s="37"/>
      <c r="DV97" s="37"/>
      <c r="DW97" s="37"/>
      <c r="DX97" s="37"/>
      <c r="DY97" s="37"/>
      <c r="DZ97" s="37"/>
      <c r="EA97" s="37"/>
      <c r="EB97" s="29"/>
      <c r="EC97" s="36"/>
      <c r="ED97" s="36"/>
      <c r="EE97" s="36"/>
      <c r="EF97" s="37"/>
      <c r="EG97" s="2"/>
      <c r="EH97" s="37"/>
      <c r="EI97" s="2"/>
      <c r="EJ97" s="2"/>
      <c r="EK97" s="2"/>
      <c r="EL97" s="2"/>
      <c r="EM97" s="2"/>
      <c r="EN97" s="2"/>
      <c r="EO97" s="2"/>
      <c r="EP97" s="2"/>
      <c r="EQ97" s="37"/>
      <c r="ER97" s="37"/>
      <c r="ES97" s="37"/>
      <c r="ET97" s="37"/>
      <c r="EU97" s="37"/>
      <c r="EV97" s="37"/>
      <c r="EW97" s="37"/>
    </row>
    <row r="98" spans="1:153" ht="15.6">
      <c r="A98" s="36"/>
      <c r="B98" s="5"/>
      <c r="C98" s="37"/>
      <c r="D98" s="15"/>
      <c r="E98" s="15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6"/>
      <c r="U98" s="37"/>
      <c r="V98" s="37"/>
      <c r="W98" s="37"/>
      <c r="X98" s="37"/>
      <c r="Y98" s="37"/>
      <c r="Z98" s="37"/>
      <c r="AA98" s="37"/>
      <c r="AB98" s="36"/>
      <c r="AC98" s="36"/>
      <c r="AD98" s="36"/>
      <c r="AE98" s="36"/>
      <c r="AF98" s="37"/>
      <c r="AG98" s="13"/>
      <c r="AH98" s="37"/>
      <c r="AI98" s="37"/>
      <c r="AJ98" s="37"/>
      <c r="AK98" s="37"/>
      <c r="AL98" s="15"/>
      <c r="AM98" s="15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6"/>
      <c r="BX98" s="36"/>
      <c r="BY98" s="36"/>
      <c r="BZ98" s="37"/>
      <c r="CA98" s="12"/>
      <c r="CB98" s="37"/>
      <c r="CC98" s="37"/>
      <c r="CD98" s="37"/>
      <c r="CE98" s="37"/>
      <c r="CF98" s="37"/>
      <c r="CG98" s="15"/>
      <c r="CH98" s="15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29"/>
      <c r="DU98" s="37"/>
      <c r="DV98" s="37"/>
      <c r="DW98" s="37"/>
      <c r="DX98" s="37"/>
      <c r="DY98" s="37"/>
      <c r="DZ98" s="37"/>
      <c r="EA98" s="37"/>
      <c r="EB98" s="29"/>
      <c r="EC98" s="36"/>
      <c r="ED98" s="36"/>
      <c r="EE98" s="36"/>
      <c r="EF98" s="37"/>
      <c r="EG98" s="2"/>
      <c r="EH98" s="37"/>
      <c r="EI98" s="2"/>
      <c r="EJ98" s="2"/>
      <c r="EK98" s="2"/>
      <c r="EL98" s="2"/>
      <c r="EM98" s="2"/>
      <c r="EN98" s="2"/>
      <c r="EO98" s="2"/>
      <c r="EP98" s="2"/>
      <c r="EQ98" s="37"/>
      <c r="ER98" s="37"/>
      <c r="ES98" s="37"/>
      <c r="ET98" s="37"/>
      <c r="EU98" s="37"/>
      <c r="EV98" s="37"/>
      <c r="EW98" s="37"/>
    </row>
    <row r="99" spans="1:153" ht="15.6">
      <c r="A99" s="36"/>
      <c r="B99" s="5"/>
      <c r="C99" s="37"/>
      <c r="D99" s="15"/>
      <c r="E99" s="15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6"/>
      <c r="U99" s="14"/>
      <c r="V99" s="14"/>
      <c r="W99" s="14"/>
      <c r="X99" s="37"/>
      <c r="Y99" s="37"/>
      <c r="Z99" s="37"/>
      <c r="AA99" s="37"/>
      <c r="AB99" s="36"/>
      <c r="AC99" s="36"/>
      <c r="AD99" s="36"/>
      <c r="AE99" s="36"/>
      <c r="AF99" s="37"/>
      <c r="AG99" s="13"/>
      <c r="AH99" s="37"/>
      <c r="AI99" s="37"/>
      <c r="AJ99" s="37"/>
      <c r="AK99" s="37"/>
      <c r="AL99" s="15"/>
      <c r="AM99" s="15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21"/>
      <c r="BP99" s="37"/>
      <c r="BQ99" s="37"/>
      <c r="BR99" s="37"/>
      <c r="BS99" s="37"/>
      <c r="BT99" s="37"/>
      <c r="BU99" s="37"/>
      <c r="BV99" s="37"/>
      <c r="BW99" s="36"/>
      <c r="BX99" s="36"/>
      <c r="BY99" s="36"/>
      <c r="BZ99" s="37"/>
      <c r="CA99" s="12"/>
      <c r="CB99" s="37"/>
      <c r="CC99" s="37"/>
      <c r="CD99" s="37"/>
      <c r="CE99" s="37"/>
      <c r="CF99" s="37"/>
      <c r="CG99" s="15"/>
      <c r="CH99" s="15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29"/>
      <c r="DU99" s="37"/>
      <c r="DV99" s="37"/>
      <c r="DW99" s="37"/>
      <c r="DX99" s="37"/>
      <c r="DY99" s="37"/>
      <c r="DZ99" s="37"/>
      <c r="EA99" s="37"/>
      <c r="EB99" s="29"/>
      <c r="EC99" s="36"/>
      <c r="ED99" s="36"/>
      <c r="EE99" s="36"/>
      <c r="EF99" s="37"/>
      <c r="EG99" s="2"/>
      <c r="EH99" s="37"/>
      <c r="EI99" s="2"/>
      <c r="EJ99" s="2"/>
      <c r="EK99" s="2"/>
      <c r="EL99" s="2"/>
      <c r="EM99" s="2"/>
      <c r="EN99" s="2"/>
      <c r="EO99" s="2"/>
      <c r="EP99" s="2"/>
      <c r="EQ99" s="37"/>
      <c r="ER99" s="37"/>
      <c r="ES99" s="37"/>
      <c r="ET99" s="37"/>
      <c r="EU99" s="37"/>
      <c r="EV99" s="37"/>
      <c r="EW99" s="37"/>
    </row>
    <row r="100" spans="1:153" ht="15.6">
      <c r="A100" s="36"/>
      <c r="B100" s="5"/>
      <c r="C100" s="37"/>
      <c r="D100" s="15"/>
      <c r="E100" s="15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6"/>
      <c r="U100" s="37"/>
      <c r="V100" s="37"/>
      <c r="W100" s="37"/>
      <c r="X100" s="37"/>
      <c r="Y100" s="37"/>
      <c r="Z100" s="37"/>
      <c r="AA100" s="37"/>
      <c r="AB100" s="36"/>
      <c r="AC100" s="36"/>
      <c r="AD100" s="36"/>
      <c r="AE100" s="36"/>
      <c r="AF100" s="37"/>
      <c r="AG100" s="13"/>
      <c r="AH100" s="37"/>
      <c r="AI100" s="37"/>
      <c r="AJ100" s="37"/>
      <c r="AK100" s="37"/>
      <c r="AL100" s="15"/>
      <c r="AM100" s="15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6"/>
      <c r="BX100" s="36"/>
      <c r="BY100" s="36"/>
      <c r="BZ100" s="37"/>
      <c r="CA100" s="12"/>
      <c r="CB100" s="37"/>
      <c r="CC100" s="37"/>
      <c r="CD100" s="37"/>
      <c r="CE100" s="37"/>
      <c r="CF100" s="37"/>
      <c r="CG100" s="15"/>
      <c r="CH100" s="15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29"/>
      <c r="DU100" s="37"/>
      <c r="DV100" s="37"/>
      <c r="DW100" s="37"/>
      <c r="DX100" s="37"/>
      <c r="DY100" s="37"/>
      <c r="DZ100" s="37"/>
      <c r="EA100" s="37"/>
      <c r="EB100" s="29"/>
      <c r="EC100" s="36"/>
      <c r="ED100" s="36"/>
      <c r="EE100" s="36"/>
      <c r="EF100" s="37"/>
      <c r="EG100" s="2"/>
      <c r="EH100" s="37"/>
      <c r="EI100" s="2"/>
      <c r="EJ100" s="2"/>
      <c r="EK100" s="2"/>
      <c r="EL100" s="2"/>
      <c r="EM100" s="2"/>
      <c r="EN100" s="2"/>
      <c r="EO100" s="2"/>
      <c r="EP100" s="2"/>
      <c r="EQ100" s="37"/>
      <c r="ER100" s="37"/>
      <c r="ES100" s="37"/>
      <c r="ET100" s="37"/>
      <c r="EU100" s="37"/>
      <c r="EV100" s="37"/>
      <c r="EW100" s="37"/>
    </row>
    <row r="101" spans="1:153" ht="15.6">
      <c r="A101" s="36"/>
      <c r="B101" s="5"/>
      <c r="C101" s="37"/>
      <c r="D101" s="15"/>
      <c r="E101" s="15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6"/>
      <c r="U101" s="14"/>
      <c r="V101" s="14"/>
      <c r="W101" s="14"/>
      <c r="X101" s="37"/>
      <c r="Y101" s="37"/>
      <c r="Z101" s="37"/>
      <c r="AA101" s="37"/>
      <c r="AB101" s="36"/>
      <c r="AC101" s="36"/>
      <c r="AD101" s="36"/>
      <c r="AE101" s="36"/>
      <c r="AF101" s="37"/>
      <c r="AG101" s="13"/>
      <c r="AH101" s="37"/>
      <c r="AI101" s="37"/>
      <c r="AJ101" s="37"/>
      <c r="AK101" s="37"/>
      <c r="AL101" s="15"/>
      <c r="AM101" s="15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21"/>
      <c r="BP101" s="37"/>
      <c r="BQ101" s="37"/>
      <c r="BR101" s="37"/>
      <c r="BS101" s="37"/>
      <c r="BT101" s="37"/>
      <c r="BU101" s="37"/>
      <c r="BV101" s="37"/>
      <c r="BW101" s="36"/>
      <c r="BX101" s="36"/>
      <c r="BY101" s="36"/>
      <c r="BZ101" s="37"/>
      <c r="CA101" s="12"/>
      <c r="CB101" s="37"/>
      <c r="CC101" s="37"/>
      <c r="CD101" s="37"/>
      <c r="CE101" s="37"/>
      <c r="CF101" s="37"/>
      <c r="CG101" s="15"/>
      <c r="CH101" s="15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29"/>
      <c r="DU101" s="37"/>
      <c r="DV101" s="37"/>
      <c r="DW101" s="37"/>
      <c r="DX101" s="37"/>
      <c r="DY101" s="37"/>
      <c r="DZ101" s="37"/>
      <c r="EA101" s="37"/>
      <c r="EB101" s="29"/>
      <c r="EC101" s="36"/>
      <c r="ED101" s="36"/>
      <c r="EE101" s="36"/>
      <c r="EF101" s="37"/>
      <c r="EG101" s="2"/>
      <c r="EH101" s="37"/>
      <c r="EI101" s="2"/>
      <c r="EJ101" s="2"/>
      <c r="EK101" s="2"/>
      <c r="EL101" s="2"/>
      <c r="EM101" s="2"/>
      <c r="EN101" s="2"/>
      <c r="EO101" s="2"/>
      <c r="EP101" s="2"/>
      <c r="EQ101" s="37"/>
      <c r="ER101" s="37"/>
      <c r="ES101" s="37"/>
      <c r="ET101" s="37"/>
      <c r="EU101" s="37"/>
      <c r="EV101" s="37"/>
      <c r="EW101" s="37"/>
    </row>
    <row r="102" spans="1:153" ht="15.6">
      <c r="A102" s="36"/>
      <c r="B102" s="5"/>
      <c r="C102" s="37"/>
      <c r="D102" s="15"/>
      <c r="E102" s="15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6"/>
      <c r="U102" s="37"/>
      <c r="V102" s="37"/>
      <c r="W102" s="37"/>
      <c r="X102" s="37"/>
      <c r="Y102" s="37"/>
      <c r="Z102" s="37"/>
      <c r="AA102" s="37"/>
      <c r="AB102" s="36"/>
      <c r="AC102" s="36"/>
      <c r="AD102" s="36"/>
      <c r="AE102" s="36"/>
      <c r="AF102" s="37"/>
      <c r="AG102" s="13"/>
      <c r="AH102" s="37"/>
      <c r="AI102" s="37"/>
      <c r="AJ102" s="37"/>
      <c r="AK102" s="37"/>
      <c r="AL102" s="15"/>
      <c r="AM102" s="15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6"/>
      <c r="BX102" s="36"/>
      <c r="BY102" s="36"/>
      <c r="BZ102" s="37"/>
      <c r="CA102" s="12"/>
      <c r="CB102" s="37"/>
      <c r="CC102" s="37"/>
      <c r="CD102" s="37"/>
      <c r="CE102" s="37"/>
      <c r="CF102" s="37"/>
      <c r="CG102" s="15"/>
      <c r="CH102" s="15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29"/>
      <c r="DU102" s="37"/>
      <c r="DV102" s="37"/>
      <c r="DW102" s="37"/>
      <c r="DX102" s="37"/>
      <c r="DY102" s="37"/>
      <c r="DZ102" s="37"/>
      <c r="EA102" s="37"/>
      <c r="EB102" s="29"/>
      <c r="EC102" s="36"/>
      <c r="ED102" s="36"/>
      <c r="EE102" s="36"/>
      <c r="EF102" s="37"/>
      <c r="EG102" s="2"/>
      <c r="EH102" s="37"/>
      <c r="EI102" s="2"/>
      <c r="EJ102" s="2"/>
      <c r="EK102" s="2"/>
      <c r="EL102" s="2"/>
      <c r="EM102" s="2"/>
      <c r="EN102" s="2"/>
      <c r="EO102" s="2"/>
      <c r="EP102" s="2"/>
      <c r="EQ102" s="37"/>
      <c r="ER102" s="37"/>
      <c r="ES102" s="37"/>
      <c r="ET102" s="37"/>
      <c r="EU102" s="37"/>
      <c r="EV102" s="37"/>
      <c r="EW102" s="37"/>
    </row>
    <row r="103" spans="1:153" ht="15.6">
      <c r="A103" s="36"/>
      <c r="B103" s="5"/>
      <c r="C103" s="37"/>
      <c r="D103" s="15"/>
      <c r="E103" s="15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6"/>
      <c r="U103" s="37"/>
      <c r="V103" s="37"/>
      <c r="W103" s="37"/>
      <c r="X103" s="37"/>
      <c r="Y103" s="37"/>
      <c r="Z103" s="37"/>
      <c r="AA103" s="37"/>
      <c r="AB103" s="36"/>
      <c r="AC103" s="36"/>
      <c r="AD103" s="36"/>
      <c r="AE103" s="36"/>
      <c r="AF103" s="37"/>
      <c r="AG103" s="13"/>
      <c r="AH103" s="37"/>
      <c r="AI103" s="37"/>
      <c r="AJ103" s="37"/>
      <c r="AK103" s="37"/>
      <c r="AL103" s="15"/>
      <c r="AM103" s="15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6"/>
      <c r="BX103" s="36"/>
      <c r="BY103" s="36"/>
      <c r="BZ103" s="37"/>
      <c r="CA103" s="12"/>
      <c r="CB103" s="37"/>
      <c r="CC103" s="37"/>
      <c r="CD103" s="37"/>
      <c r="CE103" s="37"/>
      <c r="CF103" s="37"/>
      <c r="CG103" s="15"/>
      <c r="CH103" s="15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29"/>
      <c r="DU103" s="37"/>
      <c r="DV103" s="37"/>
      <c r="DW103" s="37"/>
      <c r="DX103" s="37"/>
      <c r="DY103" s="37"/>
      <c r="DZ103" s="37"/>
      <c r="EA103" s="37"/>
      <c r="EB103" s="29"/>
      <c r="EC103" s="36"/>
      <c r="ED103" s="36"/>
      <c r="EE103" s="36"/>
      <c r="EF103" s="37"/>
      <c r="EG103" s="2"/>
      <c r="EH103" s="37"/>
      <c r="EI103" s="2"/>
      <c r="EJ103" s="2"/>
      <c r="EK103" s="2"/>
      <c r="EL103" s="2"/>
      <c r="EM103" s="2"/>
      <c r="EN103" s="2"/>
      <c r="EO103" s="2"/>
      <c r="EP103" s="2"/>
      <c r="EQ103" s="37"/>
      <c r="ER103" s="37"/>
      <c r="ES103" s="37"/>
      <c r="ET103" s="37"/>
      <c r="EU103" s="37"/>
      <c r="EV103" s="37"/>
      <c r="EW103" s="37"/>
    </row>
    <row r="104" spans="1:153" ht="15.6">
      <c r="A104" s="36"/>
      <c r="B104" s="5"/>
      <c r="C104" s="37"/>
      <c r="D104" s="15"/>
      <c r="E104" s="15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6"/>
      <c r="U104" s="14"/>
      <c r="V104" s="14"/>
      <c r="W104" s="14"/>
      <c r="X104" s="14"/>
      <c r="Y104" s="14"/>
      <c r="Z104" s="14"/>
      <c r="AA104" s="14"/>
      <c r="AB104" s="36"/>
      <c r="AC104" s="36"/>
      <c r="AD104" s="36"/>
      <c r="AE104" s="36"/>
      <c r="AF104" s="37"/>
      <c r="AG104" s="13"/>
      <c r="AH104" s="37"/>
      <c r="AI104" s="37"/>
      <c r="AJ104" s="37"/>
      <c r="AK104" s="37"/>
      <c r="AL104" s="15"/>
      <c r="AM104" s="15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14"/>
      <c r="BP104" s="14"/>
      <c r="BQ104" s="14"/>
      <c r="BR104" s="14"/>
      <c r="BS104" s="14"/>
      <c r="BT104" s="21"/>
      <c r="BU104" s="21"/>
      <c r="BV104" s="37"/>
      <c r="BW104" s="36"/>
      <c r="BX104" s="36"/>
      <c r="BY104" s="36"/>
      <c r="BZ104" s="37"/>
      <c r="CA104" s="12"/>
      <c r="CB104" s="37"/>
      <c r="CC104" s="37"/>
      <c r="CD104" s="37"/>
      <c r="CE104" s="37"/>
      <c r="CF104" s="37"/>
      <c r="CG104" s="15"/>
      <c r="CH104" s="15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29"/>
      <c r="DU104" s="37"/>
      <c r="DV104" s="37"/>
      <c r="DW104" s="37"/>
      <c r="DX104" s="37"/>
      <c r="DY104" s="37"/>
      <c r="DZ104" s="37"/>
      <c r="EA104" s="37"/>
      <c r="EB104" s="29"/>
      <c r="EC104" s="36"/>
      <c r="ED104" s="36"/>
      <c r="EE104" s="36"/>
      <c r="EF104" s="37"/>
      <c r="EG104" s="2"/>
      <c r="EH104" s="37"/>
      <c r="EI104" s="2"/>
      <c r="EJ104" s="2"/>
      <c r="EK104" s="2"/>
      <c r="EL104" s="2"/>
      <c r="EM104" s="2"/>
      <c r="EN104" s="2"/>
      <c r="EO104" s="2"/>
      <c r="EP104" s="2"/>
      <c r="EQ104" s="37"/>
      <c r="ER104" s="37"/>
      <c r="ES104" s="37"/>
      <c r="ET104" s="37"/>
      <c r="EU104" s="37"/>
      <c r="EV104" s="37"/>
      <c r="EW104" s="37"/>
    </row>
    <row r="105" spans="1:153" ht="15.6">
      <c r="A105" s="36"/>
      <c r="B105" s="5"/>
      <c r="C105" s="37"/>
      <c r="D105" s="15"/>
      <c r="E105" s="15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6"/>
      <c r="U105" s="37"/>
      <c r="V105" s="37"/>
      <c r="W105" s="37"/>
      <c r="X105" s="37"/>
      <c r="Y105" s="37"/>
      <c r="Z105" s="37"/>
      <c r="AA105" s="37"/>
      <c r="AB105" s="36"/>
      <c r="AC105" s="36"/>
      <c r="AD105" s="36"/>
      <c r="AE105" s="36"/>
      <c r="AF105" s="37"/>
      <c r="AG105" s="13"/>
      <c r="AH105" s="37"/>
      <c r="AI105" s="37"/>
      <c r="AJ105" s="37"/>
      <c r="AK105" s="37"/>
      <c r="AL105" s="15"/>
      <c r="AM105" s="15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6"/>
      <c r="BX105" s="36"/>
      <c r="BY105" s="36"/>
      <c r="BZ105" s="37"/>
      <c r="CA105" s="12"/>
      <c r="CB105" s="37"/>
      <c r="CC105" s="37"/>
      <c r="CD105" s="37"/>
      <c r="CE105" s="37"/>
      <c r="CF105" s="37"/>
      <c r="CG105" s="15"/>
      <c r="CH105" s="15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29"/>
      <c r="DU105" s="37"/>
      <c r="DV105" s="37"/>
      <c r="DW105" s="37"/>
      <c r="DX105" s="37"/>
      <c r="DY105" s="37"/>
      <c r="DZ105" s="37"/>
      <c r="EA105" s="37"/>
      <c r="EB105" s="29"/>
      <c r="EC105" s="36"/>
      <c r="ED105" s="36"/>
      <c r="EE105" s="36"/>
      <c r="EF105" s="37"/>
      <c r="EG105" s="2"/>
      <c r="EH105" s="37"/>
      <c r="EI105" s="2"/>
      <c r="EJ105" s="2"/>
      <c r="EK105" s="2"/>
      <c r="EL105" s="2"/>
      <c r="EM105" s="2"/>
      <c r="EN105" s="2"/>
      <c r="EO105" s="2"/>
      <c r="EP105" s="2"/>
      <c r="EQ105" s="37"/>
      <c r="ER105" s="37"/>
      <c r="ES105" s="37"/>
      <c r="ET105" s="37"/>
      <c r="EU105" s="37"/>
      <c r="EV105" s="37"/>
      <c r="EW105" s="37"/>
    </row>
    <row r="106" spans="1:153" ht="15.6">
      <c r="A106" s="36"/>
      <c r="B106" s="5"/>
      <c r="C106" s="37"/>
      <c r="D106" s="15"/>
      <c r="E106" s="15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6"/>
      <c r="U106" s="14"/>
      <c r="V106" s="14"/>
      <c r="W106" s="14"/>
      <c r="X106" s="14"/>
      <c r="Y106" s="14"/>
      <c r="Z106" s="14"/>
      <c r="AA106" s="14"/>
      <c r="AB106" s="36"/>
      <c r="AC106" s="36"/>
      <c r="AD106" s="36"/>
      <c r="AE106" s="36"/>
      <c r="AF106" s="37"/>
      <c r="AG106" s="13"/>
      <c r="AH106" s="37"/>
      <c r="AI106" s="37"/>
      <c r="AJ106" s="37"/>
      <c r="AK106" s="37"/>
      <c r="AL106" s="15"/>
      <c r="AM106" s="15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14"/>
      <c r="BP106" s="14"/>
      <c r="BQ106" s="14"/>
      <c r="BR106" s="14"/>
      <c r="BS106" s="14"/>
      <c r="BT106" s="21"/>
      <c r="BU106" s="21"/>
      <c r="BV106" s="37"/>
      <c r="BW106" s="36"/>
      <c r="BX106" s="36"/>
      <c r="BY106" s="36"/>
      <c r="BZ106" s="37"/>
      <c r="CA106" s="12"/>
      <c r="CB106" s="37"/>
      <c r="CC106" s="37"/>
      <c r="CD106" s="37"/>
      <c r="CE106" s="37"/>
      <c r="CF106" s="37"/>
      <c r="CG106" s="15"/>
      <c r="CH106" s="15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29"/>
      <c r="DU106" s="37"/>
      <c r="DV106" s="37"/>
      <c r="DW106" s="37"/>
      <c r="DX106" s="37"/>
      <c r="DY106" s="37"/>
      <c r="DZ106" s="37"/>
      <c r="EA106" s="37"/>
      <c r="EB106" s="29"/>
      <c r="EC106" s="36"/>
      <c r="ED106" s="36"/>
      <c r="EE106" s="36"/>
      <c r="EF106" s="37"/>
      <c r="EG106" s="2"/>
      <c r="EH106" s="37"/>
      <c r="EI106" s="2"/>
      <c r="EJ106" s="2"/>
      <c r="EK106" s="2"/>
      <c r="EL106" s="2"/>
      <c r="EM106" s="2"/>
      <c r="EN106" s="2"/>
      <c r="EO106" s="2"/>
      <c r="EP106" s="2"/>
      <c r="EQ106" s="37"/>
      <c r="ER106" s="37"/>
      <c r="ES106" s="37"/>
      <c r="ET106" s="37"/>
      <c r="EU106" s="37"/>
      <c r="EV106" s="37"/>
      <c r="EW106" s="37"/>
    </row>
    <row r="107" spans="1:153" ht="15.6">
      <c r="A107" s="36"/>
      <c r="B107" s="5"/>
      <c r="C107" s="37"/>
      <c r="D107" s="15"/>
      <c r="E107" s="15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6"/>
      <c r="U107" s="14"/>
      <c r="V107" s="14"/>
      <c r="W107" s="14"/>
      <c r="X107" s="14"/>
      <c r="Y107" s="14"/>
      <c r="Z107" s="37"/>
      <c r="AA107" s="37"/>
      <c r="AB107" s="36"/>
      <c r="AC107" s="36"/>
      <c r="AD107" s="36"/>
      <c r="AE107" s="36"/>
      <c r="AF107" s="37"/>
      <c r="AG107" s="13"/>
      <c r="AH107" s="37"/>
      <c r="AI107" s="37"/>
      <c r="AJ107" s="37"/>
      <c r="AK107" s="37"/>
      <c r="AL107" s="15"/>
      <c r="AM107" s="15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21"/>
      <c r="BP107" s="37"/>
      <c r="BQ107" s="37"/>
      <c r="BR107" s="37"/>
      <c r="BS107" s="37"/>
      <c r="BT107" s="37"/>
      <c r="BU107" s="37"/>
      <c r="BV107" s="37"/>
      <c r="BW107" s="36"/>
      <c r="BX107" s="36"/>
      <c r="BY107" s="36"/>
      <c r="BZ107" s="37"/>
      <c r="CA107" s="12"/>
      <c r="CB107" s="37"/>
      <c r="CC107" s="37"/>
      <c r="CD107" s="37"/>
      <c r="CE107" s="37"/>
      <c r="CF107" s="37"/>
      <c r="CG107" s="15"/>
      <c r="CH107" s="15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29"/>
      <c r="DU107" s="37"/>
      <c r="DV107" s="37"/>
      <c r="DW107" s="37"/>
      <c r="DX107" s="37"/>
      <c r="DY107" s="37"/>
      <c r="DZ107" s="37"/>
      <c r="EA107" s="37"/>
      <c r="EB107" s="29"/>
      <c r="EC107" s="36"/>
      <c r="ED107" s="36"/>
      <c r="EE107" s="36"/>
      <c r="EF107" s="37"/>
      <c r="EG107" s="2"/>
      <c r="EH107" s="37"/>
      <c r="EI107" s="2"/>
      <c r="EJ107" s="2"/>
      <c r="EK107" s="2"/>
      <c r="EL107" s="2"/>
      <c r="EM107" s="2"/>
      <c r="EN107" s="2"/>
      <c r="EO107" s="2"/>
      <c r="EP107" s="2"/>
      <c r="EQ107" s="37"/>
      <c r="ER107" s="37"/>
      <c r="ES107" s="37"/>
      <c r="ET107" s="37"/>
      <c r="EU107" s="37"/>
      <c r="EV107" s="37"/>
      <c r="EW107" s="37"/>
    </row>
    <row r="108" spans="1:153" ht="15.6">
      <c r="A108" s="36"/>
      <c r="B108" s="5"/>
      <c r="C108" s="37"/>
      <c r="D108" s="15"/>
      <c r="E108" s="15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6"/>
      <c r="U108" s="37"/>
      <c r="V108" s="37"/>
      <c r="W108" s="37"/>
      <c r="X108" s="37"/>
      <c r="Y108" s="37"/>
      <c r="Z108" s="37"/>
      <c r="AA108" s="37"/>
      <c r="AB108" s="36"/>
      <c r="AC108" s="36"/>
      <c r="AD108" s="36"/>
      <c r="AE108" s="36"/>
      <c r="AF108" s="37"/>
      <c r="AG108" s="13"/>
      <c r="AH108" s="37"/>
      <c r="AI108" s="37"/>
      <c r="AJ108" s="37"/>
      <c r="AK108" s="37"/>
      <c r="AL108" s="15"/>
      <c r="AM108" s="15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6"/>
      <c r="BX108" s="36"/>
      <c r="BY108" s="36"/>
      <c r="BZ108" s="37"/>
      <c r="CA108" s="12"/>
      <c r="CB108" s="37"/>
      <c r="CC108" s="37"/>
      <c r="CD108" s="37"/>
      <c r="CE108" s="37"/>
      <c r="CF108" s="37"/>
      <c r="CG108" s="15"/>
      <c r="CH108" s="15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29"/>
      <c r="DU108" s="37"/>
      <c r="DV108" s="37"/>
      <c r="DW108" s="37"/>
      <c r="DX108" s="37"/>
      <c r="DY108" s="37"/>
      <c r="DZ108" s="37"/>
      <c r="EA108" s="37"/>
      <c r="EB108" s="29"/>
      <c r="EC108" s="36"/>
      <c r="ED108" s="36"/>
      <c r="EE108" s="36"/>
      <c r="EF108" s="37"/>
      <c r="EG108" s="2"/>
      <c r="EH108" s="37"/>
      <c r="EI108" s="2"/>
      <c r="EJ108" s="2"/>
      <c r="EK108" s="2"/>
      <c r="EL108" s="2"/>
      <c r="EM108" s="2"/>
      <c r="EN108" s="2"/>
      <c r="EO108" s="2"/>
      <c r="EP108" s="2"/>
      <c r="EQ108" s="37"/>
      <c r="ER108" s="37"/>
      <c r="ES108" s="37"/>
      <c r="ET108" s="37"/>
      <c r="EU108" s="37"/>
      <c r="EV108" s="37"/>
      <c r="EW108" s="37"/>
    </row>
    <row r="109" spans="1:153" ht="15.6">
      <c r="A109" s="36"/>
      <c r="B109" s="5"/>
      <c r="C109" s="37"/>
      <c r="D109" s="15"/>
      <c r="E109" s="15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6"/>
      <c r="U109" s="14"/>
      <c r="V109" s="14"/>
      <c r="W109" s="14"/>
      <c r="X109" s="14"/>
      <c r="Y109" s="37"/>
      <c r="Z109" s="37"/>
      <c r="AA109" s="37"/>
      <c r="AB109" s="36"/>
      <c r="AC109" s="36"/>
      <c r="AD109" s="36"/>
      <c r="AE109" s="36"/>
      <c r="AF109" s="37"/>
      <c r="AG109" s="13"/>
      <c r="AH109" s="37"/>
      <c r="AI109" s="37"/>
      <c r="AJ109" s="37"/>
      <c r="AK109" s="37"/>
      <c r="AL109" s="15"/>
      <c r="AM109" s="15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21"/>
      <c r="BP109" s="37"/>
      <c r="BQ109" s="37"/>
      <c r="BR109" s="37"/>
      <c r="BS109" s="37"/>
      <c r="BT109" s="37"/>
      <c r="BU109" s="37"/>
      <c r="BV109" s="37"/>
      <c r="BW109" s="36"/>
      <c r="BX109" s="36"/>
      <c r="BY109" s="36"/>
      <c r="BZ109" s="37"/>
      <c r="CA109" s="12"/>
      <c r="CB109" s="37"/>
      <c r="CC109" s="37"/>
      <c r="CD109" s="37"/>
      <c r="CE109" s="37"/>
      <c r="CF109" s="37"/>
      <c r="CG109" s="15"/>
      <c r="CH109" s="15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29"/>
      <c r="DU109" s="37"/>
      <c r="DV109" s="37"/>
      <c r="DW109" s="37"/>
      <c r="DX109" s="37"/>
      <c r="DY109" s="37"/>
      <c r="DZ109" s="37"/>
      <c r="EA109" s="37"/>
      <c r="EB109" s="29"/>
      <c r="EC109" s="36"/>
      <c r="ED109" s="36"/>
      <c r="EE109" s="36"/>
      <c r="EF109" s="37"/>
      <c r="EG109" s="2"/>
      <c r="EH109" s="37"/>
      <c r="EI109" s="2"/>
      <c r="EJ109" s="2"/>
      <c r="EK109" s="2"/>
      <c r="EL109" s="2"/>
      <c r="EM109" s="2"/>
      <c r="EN109" s="2"/>
      <c r="EO109" s="2"/>
      <c r="EP109" s="2"/>
      <c r="EQ109" s="37"/>
      <c r="ER109" s="37"/>
      <c r="ES109" s="37"/>
      <c r="ET109" s="37"/>
      <c r="EU109" s="37"/>
      <c r="EV109" s="37"/>
      <c r="EW109" s="37"/>
    </row>
    <row r="110" spans="1:153" ht="15.6">
      <c r="A110" s="36"/>
      <c r="B110" s="5"/>
      <c r="C110" s="37"/>
      <c r="D110" s="15"/>
      <c r="E110" s="15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6"/>
      <c r="U110" s="37"/>
      <c r="V110" s="37"/>
      <c r="W110" s="14"/>
      <c r="X110" s="14"/>
      <c r="Y110" s="14"/>
      <c r="Z110" s="14"/>
      <c r="AA110" s="14"/>
      <c r="AB110" s="36"/>
      <c r="AC110" s="36"/>
      <c r="AD110" s="36"/>
      <c r="AE110" s="36"/>
      <c r="AF110" s="37"/>
      <c r="AG110" s="13"/>
      <c r="AH110" s="37"/>
      <c r="AI110" s="37"/>
      <c r="AJ110" s="37"/>
      <c r="AK110" s="37"/>
      <c r="AL110" s="15"/>
      <c r="AM110" s="15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14"/>
      <c r="BP110" s="14"/>
      <c r="BQ110" s="14"/>
      <c r="BR110" s="14"/>
      <c r="BS110" s="14"/>
      <c r="BT110" s="37"/>
      <c r="BU110" s="37"/>
      <c r="BV110" s="37"/>
      <c r="BW110" s="36"/>
      <c r="BX110" s="36"/>
      <c r="BY110" s="36"/>
      <c r="BZ110" s="37"/>
      <c r="CA110" s="12"/>
      <c r="CB110" s="37"/>
      <c r="CC110" s="37"/>
      <c r="CD110" s="37"/>
      <c r="CE110" s="37"/>
      <c r="CF110" s="37"/>
      <c r="CG110" s="15"/>
      <c r="CH110" s="15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29"/>
      <c r="DU110" s="37"/>
      <c r="DV110" s="37"/>
      <c r="DW110" s="37"/>
      <c r="DX110" s="37"/>
      <c r="DY110" s="37"/>
      <c r="DZ110" s="37"/>
      <c r="EA110" s="37"/>
      <c r="EB110" s="29"/>
      <c r="EC110" s="36"/>
      <c r="ED110" s="36"/>
      <c r="EE110" s="36"/>
      <c r="EF110" s="37"/>
      <c r="EG110" s="2"/>
      <c r="EH110" s="37"/>
      <c r="EI110" s="2"/>
      <c r="EJ110" s="2"/>
      <c r="EK110" s="2"/>
      <c r="EL110" s="2"/>
      <c r="EM110" s="2"/>
      <c r="EN110" s="2"/>
      <c r="EO110" s="2"/>
      <c r="EP110" s="2"/>
      <c r="EQ110" s="37"/>
      <c r="ER110" s="37"/>
      <c r="ES110" s="37"/>
      <c r="ET110" s="37"/>
      <c r="EU110" s="37"/>
      <c r="EV110" s="37"/>
      <c r="EW110" s="37"/>
    </row>
    <row r="111" spans="1:153" ht="15.6">
      <c r="A111" s="36"/>
      <c r="B111" s="5"/>
      <c r="C111" s="37"/>
      <c r="D111" s="15"/>
      <c r="E111" s="15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6"/>
      <c r="U111" s="14"/>
      <c r="V111" s="14"/>
      <c r="W111" s="14"/>
      <c r="X111" s="14"/>
      <c r="Y111" s="14"/>
      <c r="Z111" s="14"/>
      <c r="AA111" s="14"/>
      <c r="AB111" s="36"/>
      <c r="AC111" s="36"/>
      <c r="AD111" s="36"/>
      <c r="AE111" s="36"/>
      <c r="AF111" s="37"/>
      <c r="AG111" s="13"/>
      <c r="AH111" s="37"/>
      <c r="AI111" s="37"/>
      <c r="AJ111" s="37"/>
      <c r="AK111" s="37"/>
      <c r="AL111" s="15"/>
      <c r="AM111" s="15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14"/>
      <c r="BP111" s="14"/>
      <c r="BQ111" s="14"/>
      <c r="BR111" s="14"/>
      <c r="BS111" s="14"/>
      <c r="BT111" s="21"/>
      <c r="BU111" s="21"/>
      <c r="BV111" s="37"/>
      <c r="BW111" s="36"/>
      <c r="BX111" s="36"/>
      <c r="BY111" s="36"/>
      <c r="BZ111" s="37"/>
      <c r="CA111" s="12"/>
      <c r="CB111" s="37"/>
      <c r="CC111" s="37"/>
      <c r="CD111" s="37"/>
      <c r="CE111" s="37"/>
      <c r="CF111" s="37"/>
      <c r="CG111" s="15"/>
      <c r="CH111" s="15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29"/>
      <c r="DU111" s="37"/>
      <c r="DV111" s="37"/>
      <c r="DW111" s="37"/>
      <c r="DX111" s="37"/>
      <c r="DY111" s="37"/>
      <c r="DZ111" s="37"/>
      <c r="EA111" s="37"/>
      <c r="EB111" s="29"/>
      <c r="EC111" s="36"/>
      <c r="ED111" s="36"/>
      <c r="EE111" s="36"/>
      <c r="EF111" s="37"/>
      <c r="EG111" s="2"/>
      <c r="EH111" s="37"/>
      <c r="EI111" s="2"/>
      <c r="EJ111" s="2"/>
      <c r="EK111" s="2"/>
      <c r="EL111" s="2"/>
      <c r="EM111" s="2"/>
      <c r="EN111" s="2"/>
      <c r="EO111" s="2"/>
      <c r="EP111" s="2"/>
      <c r="EQ111" s="37"/>
      <c r="ER111" s="37"/>
      <c r="ES111" s="37"/>
      <c r="ET111" s="37"/>
      <c r="EU111" s="37"/>
      <c r="EV111" s="37"/>
      <c r="EW111" s="37"/>
    </row>
    <row r="112" spans="1:153" ht="15.6">
      <c r="A112" s="36"/>
      <c r="B112" s="5"/>
      <c r="C112" s="37"/>
      <c r="D112" s="15"/>
      <c r="E112" s="15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6"/>
      <c r="U112" s="14"/>
      <c r="V112" s="14"/>
      <c r="W112" s="14"/>
      <c r="X112" s="14"/>
      <c r="Y112" s="37"/>
      <c r="Z112" s="37"/>
      <c r="AA112" s="14"/>
      <c r="AB112" s="36"/>
      <c r="AC112" s="36"/>
      <c r="AD112" s="36"/>
      <c r="AE112" s="36"/>
      <c r="AF112" s="37"/>
      <c r="AG112" s="13"/>
      <c r="AH112" s="37"/>
      <c r="AI112" s="37"/>
      <c r="AJ112" s="37"/>
      <c r="AK112" s="37"/>
      <c r="AL112" s="15"/>
      <c r="AM112" s="15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14"/>
      <c r="BP112" s="37"/>
      <c r="BQ112" s="37"/>
      <c r="BR112" s="37"/>
      <c r="BS112" s="37"/>
      <c r="BT112" s="37"/>
      <c r="BU112" s="37"/>
      <c r="BV112" s="37"/>
      <c r="BW112" s="36"/>
      <c r="BX112" s="36"/>
      <c r="BY112" s="36"/>
      <c r="BZ112" s="37"/>
      <c r="CA112" s="12"/>
      <c r="CB112" s="37"/>
      <c r="CC112" s="37"/>
      <c r="CD112" s="37"/>
      <c r="CE112" s="37"/>
      <c r="CF112" s="37"/>
      <c r="CG112" s="15"/>
      <c r="CH112" s="15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29"/>
      <c r="DU112" s="37"/>
      <c r="DV112" s="37"/>
      <c r="DW112" s="37"/>
      <c r="DX112" s="37"/>
      <c r="DY112" s="37"/>
      <c r="DZ112" s="37"/>
      <c r="EA112" s="37"/>
      <c r="EB112" s="29"/>
      <c r="EC112" s="36"/>
      <c r="ED112" s="36"/>
      <c r="EE112" s="36"/>
      <c r="EF112" s="37"/>
      <c r="EG112" s="2"/>
      <c r="EH112" s="37"/>
      <c r="EI112" s="2"/>
      <c r="EJ112" s="2"/>
      <c r="EK112" s="2"/>
      <c r="EL112" s="2"/>
      <c r="EM112" s="2"/>
      <c r="EN112" s="2"/>
      <c r="EO112" s="2"/>
      <c r="EP112" s="2"/>
      <c r="EQ112" s="37"/>
      <c r="ER112" s="37"/>
      <c r="ES112" s="37"/>
      <c r="ET112" s="37"/>
      <c r="EU112" s="37"/>
      <c r="EV112" s="37"/>
      <c r="EW112" s="37"/>
    </row>
    <row r="113" spans="1:153" ht="15.6">
      <c r="A113" s="36"/>
      <c r="B113" s="5"/>
      <c r="C113" s="37"/>
      <c r="D113" s="15"/>
      <c r="E113" s="15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6"/>
      <c r="U113" s="14"/>
      <c r="V113" s="14"/>
      <c r="W113" s="14"/>
      <c r="X113" s="14"/>
      <c r="Y113" s="14"/>
      <c r="Z113" s="14"/>
      <c r="AA113" s="14"/>
      <c r="AB113" s="36"/>
      <c r="AC113" s="36"/>
      <c r="AD113" s="36"/>
      <c r="AE113" s="36"/>
      <c r="AF113" s="37"/>
      <c r="AG113" s="13"/>
      <c r="AH113" s="37"/>
      <c r="AI113" s="37"/>
      <c r="AJ113" s="37"/>
      <c r="AK113" s="37"/>
      <c r="AL113" s="15"/>
      <c r="AM113" s="15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14"/>
      <c r="BP113" s="14"/>
      <c r="BQ113" s="14"/>
      <c r="BR113" s="14"/>
      <c r="BS113" s="14"/>
      <c r="BT113" s="21"/>
      <c r="BU113" s="21"/>
      <c r="BV113" s="37"/>
      <c r="BW113" s="36"/>
      <c r="BX113" s="36"/>
      <c r="BY113" s="36"/>
      <c r="BZ113" s="37"/>
      <c r="CA113" s="12"/>
      <c r="CB113" s="37"/>
      <c r="CC113" s="37"/>
      <c r="CD113" s="37"/>
      <c r="CE113" s="37"/>
      <c r="CF113" s="37"/>
      <c r="CG113" s="15"/>
      <c r="CH113" s="15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29"/>
      <c r="DU113" s="37"/>
      <c r="DV113" s="37"/>
      <c r="DW113" s="37"/>
      <c r="DX113" s="37"/>
      <c r="DY113" s="37"/>
      <c r="DZ113" s="37"/>
      <c r="EA113" s="37"/>
      <c r="EB113" s="29"/>
      <c r="EC113" s="36"/>
      <c r="ED113" s="36"/>
      <c r="EE113" s="36"/>
      <c r="EF113" s="37"/>
      <c r="EG113" s="2"/>
      <c r="EH113" s="37"/>
      <c r="EI113" s="2"/>
      <c r="EJ113" s="2"/>
      <c r="EK113" s="2"/>
      <c r="EL113" s="2"/>
      <c r="EM113" s="2"/>
      <c r="EN113" s="2"/>
      <c r="EO113" s="2"/>
      <c r="EP113" s="2"/>
      <c r="EQ113" s="37"/>
      <c r="ER113" s="37"/>
      <c r="ES113" s="37"/>
      <c r="ET113" s="37"/>
      <c r="EU113" s="37"/>
      <c r="EV113" s="37"/>
      <c r="EW113" s="37"/>
    </row>
    <row r="114" spans="1:153" ht="15.6">
      <c r="A114" s="36"/>
      <c r="B114" s="5"/>
      <c r="C114" s="37"/>
      <c r="D114" s="15"/>
      <c r="E114" s="15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6"/>
      <c r="U114" s="14"/>
      <c r="V114" s="14"/>
      <c r="W114" s="37"/>
      <c r="X114" s="37"/>
      <c r="Y114" s="37"/>
      <c r="Z114" s="37"/>
      <c r="AA114" s="14"/>
      <c r="AB114" s="36"/>
      <c r="AC114" s="36"/>
      <c r="AD114" s="36"/>
      <c r="AE114" s="36"/>
      <c r="AF114" s="37"/>
      <c r="AG114" s="13"/>
      <c r="AH114" s="37"/>
      <c r="AI114" s="37"/>
      <c r="AJ114" s="37"/>
      <c r="AK114" s="37"/>
      <c r="AL114" s="15"/>
      <c r="AM114" s="15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14"/>
      <c r="BP114" s="14"/>
      <c r="BQ114" s="14"/>
      <c r="BR114" s="14"/>
      <c r="BS114" s="14"/>
      <c r="BT114" s="21"/>
      <c r="BU114" s="21"/>
      <c r="BV114" s="37"/>
      <c r="BW114" s="36"/>
      <c r="BX114" s="36"/>
      <c r="BY114" s="36"/>
      <c r="BZ114" s="37"/>
      <c r="CA114" s="12"/>
      <c r="CB114" s="37"/>
      <c r="CC114" s="37"/>
      <c r="CD114" s="37"/>
      <c r="CE114" s="37"/>
      <c r="CF114" s="37"/>
      <c r="CG114" s="15"/>
      <c r="CH114" s="15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29"/>
      <c r="DU114" s="37"/>
      <c r="DV114" s="37"/>
      <c r="DW114" s="37"/>
      <c r="DX114" s="37"/>
      <c r="DY114" s="37"/>
      <c r="DZ114" s="37"/>
      <c r="EA114" s="37"/>
      <c r="EB114" s="29"/>
      <c r="EC114" s="36"/>
      <c r="ED114" s="36"/>
      <c r="EE114" s="36"/>
      <c r="EF114" s="37"/>
      <c r="EG114" s="2"/>
      <c r="EH114" s="37"/>
      <c r="EI114" s="2"/>
      <c r="EJ114" s="2"/>
      <c r="EK114" s="2"/>
      <c r="EL114" s="2"/>
      <c r="EM114" s="2"/>
      <c r="EN114" s="2"/>
      <c r="EO114" s="2"/>
      <c r="EP114" s="2"/>
      <c r="EQ114" s="37"/>
      <c r="ER114" s="37"/>
      <c r="ES114" s="37"/>
      <c r="ET114" s="37"/>
      <c r="EU114" s="37"/>
      <c r="EV114" s="37"/>
      <c r="EW114" s="37"/>
    </row>
    <row r="115" spans="1:153" ht="15.6">
      <c r="A115" s="36"/>
      <c r="B115" s="5"/>
      <c r="C115" s="37"/>
      <c r="D115" s="15"/>
      <c r="E115" s="15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6"/>
      <c r="U115" s="37"/>
      <c r="V115" s="37"/>
      <c r="W115" s="37"/>
      <c r="X115" s="37"/>
      <c r="Y115" s="37"/>
      <c r="Z115" s="37"/>
      <c r="AA115" s="37"/>
      <c r="AB115" s="36"/>
      <c r="AC115" s="36"/>
      <c r="AD115" s="36"/>
      <c r="AE115" s="36"/>
      <c r="AF115" s="37"/>
      <c r="AG115" s="13"/>
      <c r="AH115" s="37"/>
      <c r="AI115" s="37"/>
      <c r="AJ115" s="37"/>
      <c r="AK115" s="37"/>
      <c r="AL115" s="15"/>
      <c r="AM115" s="15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6"/>
      <c r="BX115" s="36"/>
      <c r="BY115" s="36"/>
      <c r="BZ115" s="37"/>
      <c r="CA115" s="12"/>
      <c r="CB115" s="37"/>
      <c r="CC115" s="37"/>
      <c r="CD115" s="37"/>
      <c r="CE115" s="37"/>
      <c r="CF115" s="37"/>
      <c r="CG115" s="15"/>
      <c r="CH115" s="15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29"/>
      <c r="DU115" s="37"/>
      <c r="DV115" s="37"/>
      <c r="DW115" s="37"/>
      <c r="DX115" s="37"/>
      <c r="DY115" s="37"/>
      <c r="DZ115" s="37"/>
      <c r="EA115" s="37"/>
      <c r="EB115" s="29"/>
      <c r="EC115" s="36"/>
      <c r="ED115" s="36"/>
      <c r="EE115" s="36"/>
      <c r="EF115" s="37"/>
      <c r="EG115" s="2"/>
      <c r="EH115" s="37"/>
      <c r="EI115" s="2"/>
      <c r="EJ115" s="2"/>
      <c r="EK115" s="2"/>
      <c r="EL115" s="2"/>
      <c r="EM115" s="2"/>
      <c r="EN115" s="2"/>
      <c r="EO115" s="2"/>
      <c r="EP115" s="2"/>
      <c r="EQ115" s="37"/>
      <c r="ER115" s="37"/>
      <c r="ES115" s="37"/>
      <c r="ET115" s="37"/>
      <c r="EU115" s="37"/>
      <c r="EV115" s="37"/>
      <c r="EW115" s="37"/>
    </row>
    <row r="116" spans="1:153" ht="15.6">
      <c r="A116" s="36"/>
      <c r="B116" s="4"/>
      <c r="C116" s="37"/>
      <c r="D116" s="15"/>
      <c r="E116" s="15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6"/>
      <c r="U116" s="14"/>
      <c r="V116" s="14"/>
      <c r="W116" s="37"/>
      <c r="X116" s="14"/>
      <c r="Y116" s="14"/>
      <c r="Z116" s="14"/>
      <c r="AA116" s="14"/>
      <c r="AB116" s="36"/>
      <c r="AC116" s="36"/>
      <c r="AD116" s="36"/>
      <c r="AE116" s="36"/>
      <c r="AF116" s="37"/>
      <c r="AG116" s="13"/>
      <c r="AH116" s="37"/>
      <c r="AI116" s="37"/>
      <c r="AJ116" s="37"/>
      <c r="AK116" s="37"/>
      <c r="AL116" s="15"/>
      <c r="AM116" s="15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14"/>
      <c r="BP116" s="14"/>
      <c r="BQ116" s="14"/>
      <c r="BR116" s="37"/>
      <c r="BS116" s="37"/>
      <c r="BT116" s="21"/>
      <c r="BU116" s="21"/>
      <c r="BV116" s="37"/>
      <c r="BW116" s="36"/>
      <c r="BX116" s="36"/>
      <c r="BY116" s="36"/>
      <c r="BZ116" s="37"/>
      <c r="CA116" s="12"/>
      <c r="CB116" s="37"/>
      <c r="CC116" s="37"/>
      <c r="CD116" s="37"/>
      <c r="CE116" s="37"/>
      <c r="CF116" s="37"/>
      <c r="CG116" s="15"/>
      <c r="CH116" s="15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29"/>
      <c r="DU116" s="37"/>
      <c r="DV116" s="37"/>
      <c r="DW116" s="37"/>
      <c r="DX116" s="37"/>
      <c r="DY116" s="37"/>
      <c r="DZ116" s="37"/>
      <c r="EA116" s="37"/>
      <c r="EB116" s="29"/>
      <c r="EC116" s="36"/>
      <c r="ED116" s="36"/>
      <c r="EE116" s="36"/>
      <c r="EF116" s="37"/>
      <c r="EG116" s="2"/>
      <c r="EH116" s="37"/>
      <c r="EI116" s="2"/>
      <c r="EJ116" s="2"/>
      <c r="EK116" s="2"/>
      <c r="EL116" s="2"/>
      <c r="EM116" s="2"/>
      <c r="EN116" s="2"/>
      <c r="EO116" s="2"/>
      <c r="EP116" s="2"/>
      <c r="EQ116" s="37"/>
      <c r="ER116" s="37"/>
      <c r="ES116" s="37"/>
      <c r="ET116" s="37"/>
      <c r="EU116" s="37"/>
      <c r="EV116" s="37"/>
      <c r="EW116" s="37"/>
    </row>
    <row r="117" spans="1:153" ht="15.6">
      <c r="A117" s="36"/>
      <c r="B117" s="5"/>
      <c r="C117" s="37"/>
      <c r="D117" s="15"/>
      <c r="E117" s="15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6"/>
      <c r="U117" s="37"/>
      <c r="V117" s="37"/>
      <c r="W117" s="37"/>
      <c r="X117" s="37"/>
      <c r="Y117" s="37"/>
      <c r="Z117" s="37"/>
      <c r="AA117" s="37"/>
      <c r="AB117" s="36"/>
      <c r="AC117" s="36"/>
      <c r="AD117" s="36"/>
      <c r="AE117" s="36"/>
      <c r="AF117" s="37"/>
      <c r="AG117" s="13"/>
      <c r="AH117" s="37"/>
      <c r="AI117" s="37"/>
      <c r="AJ117" s="37"/>
      <c r="AK117" s="37"/>
      <c r="AL117" s="15"/>
      <c r="AM117" s="15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6"/>
      <c r="BX117" s="36"/>
      <c r="BY117" s="36"/>
      <c r="BZ117" s="37"/>
      <c r="CA117" s="12"/>
      <c r="CB117" s="37"/>
      <c r="CC117" s="37"/>
      <c r="CD117" s="37"/>
      <c r="CE117" s="37"/>
      <c r="CF117" s="37"/>
      <c r="CG117" s="15"/>
      <c r="CH117" s="15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29"/>
      <c r="DU117" s="37"/>
      <c r="DV117" s="37"/>
      <c r="DW117" s="37"/>
      <c r="DX117" s="37"/>
      <c r="DY117" s="37"/>
      <c r="DZ117" s="37"/>
      <c r="EA117" s="37"/>
      <c r="EB117" s="29"/>
      <c r="EC117" s="36"/>
      <c r="ED117" s="36"/>
      <c r="EE117" s="36"/>
      <c r="EF117" s="37"/>
      <c r="EG117" s="2"/>
      <c r="EH117" s="37"/>
      <c r="EI117" s="2"/>
      <c r="EJ117" s="2"/>
      <c r="EK117" s="2"/>
      <c r="EL117" s="2"/>
      <c r="EM117" s="2"/>
      <c r="EN117" s="2"/>
      <c r="EO117" s="2"/>
      <c r="EP117" s="2"/>
      <c r="EQ117" s="37"/>
      <c r="ER117" s="37"/>
      <c r="ES117" s="37"/>
      <c r="ET117" s="37"/>
      <c r="EU117" s="37"/>
      <c r="EV117" s="37"/>
      <c r="EW117" s="37"/>
    </row>
    <row r="118" spans="1:153" ht="15.6">
      <c r="A118" s="36"/>
      <c r="B118" s="5"/>
      <c r="C118" s="37"/>
      <c r="D118" s="15"/>
      <c r="E118" s="15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6"/>
      <c r="U118" s="14"/>
      <c r="V118" s="14"/>
      <c r="W118" s="14"/>
      <c r="X118" s="14"/>
      <c r="Y118" s="14"/>
      <c r="Z118" s="14"/>
      <c r="AA118" s="14"/>
      <c r="AB118" s="36"/>
      <c r="AC118" s="36"/>
      <c r="AD118" s="36"/>
      <c r="AE118" s="36"/>
      <c r="AF118" s="37"/>
      <c r="AG118" s="13"/>
      <c r="AH118" s="37"/>
      <c r="AI118" s="37"/>
      <c r="AJ118" s="37"/>
      <c r="AK118" s="37"/>
      <c r="AL118" s="15"/>
      <c r="AM118" s="15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14"/>
      <c r="BP118" s="37"/>
      <c r="BQ118" s="37"/>
      <c r="BR118" s="37"/>
      <c r="BS118" s="37"/>
      <c r="BT118" s="37"/>
      <c r="BU118" s="37"/>
      <c r="BV118" s="37"/>
      <c r="BW118" s="36"/>
      <c r="BX118" s="36"/>
      <c r="BY118" s="36"/>
      <c r="BZ118" s="37"/>
      <c r="CA118" s="12"/>
      <c r="CB118" s="37"/>
      <c r="CC118" s="37"/>
      <c r="CD118" s="37"/>
      <c r="CE118" s="37"/>
      <c r="CF118" s="37"/>
      <c r="CG118" s="15"/>
      <c r="CH118" s="15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29"/>
      <c r="DU118" s="37"/>
      <c r="DV118" s="37"/>
      <c r="DW118" s="37"/>
      <c r="DX118" s="37"/>
      <c r="DY118" s="37"/>
      <c r="DZ118" s="37"/>
      <c r="EA118" s="37"/>
      <c r="EB118" s="29"/>
      <c r="EC118" s="36"/>
      <c r="ED118" s="36"/>
      <c r="EE118" s="36"/>
      <c r="EF118" s="37"/>
      <c r="EG118" s="2"/>
      <c r="EH118" s="37"/>
      <c r="EI118" s="2"/>
      <c r="EJ118" s="2"/>
      <c r="EK118" s="2"/>
      <c r="EL118" s="2"/>
      <c r="EM118" s="2"/>
      <c r="EN118" s="2"/>
      <c r="EO118" s="2"/>
      <c r="EP118" s="2"/>
      <c r="EQ118" s="37"/>
      <c r="ER118" s="37"/>
      <c r="ES118" s="37"/>
      <c r="ET118" s="37"/>
      <c r="EU118" s="37"/>
      <c r="EV118" s="37"/>
      <c r="EW118" s="37"/>
    </row>
    <row r="119" spans="1:153" ht="15.6">
      <c r="A119" s="36"/>
      <c r="B119" s="5"/>
      <c r="C119" s="37"/>
      <c r="D119" s="15"/>
      <c r="E119" s="15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6"/>
      <c r="U119" s="37"/>
      <c r="V119" s="37"/>
      <c r="W119" s="37"/>
      <c r="X119" s="37"/>
      <c r="Y119" s="37"/>
      <c r="Z119" s="37"/>
      <c r="AA119" s="37"/>
      <c r="AB119" s="36"/>
      <c r="AC119" s="36"/>
      <c r="AD119" s="36"/>
      <c r="AE119" s="36"/>
      <c r="AF119" s="37"/>
      <c r="AG119" s="13"/>
      <c r="AH119" s="37"/>
      <c r="AI119" s="37"/>
      <c r="AJ119" s="37"/>
      <c r="AK119" s="37"/>
      <c r="AL119" s="15"/>
      <c r="AM119" s="15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6"/>
      <c r="BX119" s="36"/>
      <c r="BY119" s="36"/>
      <c r="BZ119" s="37"/>
      <c r="CA119" s="12"/>
      <c r="CB119" s="37"/>
      <c r="CC119" s="37"/>
      <c r="CD119" s="37"/>
      <c r="CE119" s="37"/>
      <c r="CF119" s="37"/>
      <c r="CG119" s="15"/>
      <c r="CH119" s="15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29"/>
      <c r="DU119" s="37"/>
      <c r="DV119" s="37"/>
      <c r="DW119" s="37"/>
      <c r="DX119" s="37"/>
      <c r="DY119" s="37"/>
      <c r="DZ119" s="37"/>
      <c r="EA119" s="37"/>
      <c r="EB119" s="29"/>
      <c r="EC119" s="36"/>
      <c r="ED119" s="36"/>
      <c r="EE119" s="36"/>
      <c r="EF119" s="37"/>
      <c r="EG119" s="2"/>
      <c r="EH119" s="37"/>
      <c r="EI119" s="2"/>
      <c r="EJ119" s="2"/>
      <c r="EK119" s="2"/>
      <c r="EL119" s="2"/>
      <c r="EM119" s="2"/>
      <c r="EN119" s="2"/>
      <c r="EO119" s="2"/>
      <c r="EP119" s="2"/>
      <c r="EQ119" s="37"/>
      <c r="ER119" s="37"/>
      <c r="ES119" s="37"/>
      <c r="ET119" s="37"/>
      <c r="EU119" s="37"/>
      <c r="EV119" s="37"/>
      <c r="EW119" s="37"/>
    </row>
    <row r="120" spans="1:153" ht="15.6">
      <c r="A120" s="36"/>
      <c r="B120" s="5"/>
      <c r="C120" s="37"/>
      <c r="D120" s="15"/>
      <c r="E120" s="15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6"/>
      <c r="U120" s="14"/>
      <c r="V120" s="14"/>
      <c r="W120" s="14"/>
      <c r="X120" s="14"/>
      <c r="Y120" s="37"/>
      <c r="Z120" s="14"/>
      <c r="AA120" s="14"/>
      <c r="AB120" s="36"/>
      <c r="AC120" s="36"/>
      <c r="AD120" s="36"/>
      <c r="AE120" s="36"/>
      <c r="AF120" s="37"/>
      <c r="AG120" s="13"/>
      <c r="AH120" s="37"/>
      <c r="AI120" s="37"/>
      <c r="AJ120" s="37"/>
      <c r="AK120" s="37"/>
      <c r="AL120" s="15"/>
      <c r="AM120" s="15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14"/>
      <c r="BP120" s="14"/>
      <c r="BQ120" s="14"/>
      <c r="BR120" s="14"/>
      <c r="BS120" s="14"/>
      <c r="BT120" s="21"/>
      <c r="BU120" s="21"/>
      <c r="BV120" s="37"/>
      <c r="BW120" s="36"/>
      <c r="BX120" s="36"/>
      <c r="BY120" s="36"/>
      <c r="BZ120" s="37"/>
      <c r="CA120" s="12"/>
      <c r="CB120" s="37"/>
      <c r="CC120" s="37"/>
      <c r="CD120" s="37"/>
      <c r="CE120" s="37"/>
      <c r="CF120" s="37"/>
      <c r="CG120" s="15"/>
      <c r="CH120" s="15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29"/>
      <c r="DU120" s="37"/>
      <c r="DV120" s="37"/>
      <c r="DW120" s="37"/>
      <c r="DX120" s="37"/>
      <c r="DY120" s="37"/>
      <c r="DZ120" s="37"/>
      <c r="EA120" s="37"/>
      <c r="EB120" s="29"/>
      <c r="EC120" s="36"/>
      <c r="ED120" s="36"/>
      <c r="EE120" s="36"/>
      <c r="EF120" s="37"/>
      <c r="EG120" s="2"/>
      <c r="EH120" s="37"/>
      <c r="EI120" s="2"/>
      <c r="EJ120" s="2"/>
      <c r="EK120" s="2"/>
      <c r="EL120" s="2"/>
      <c r="EM120" s="2"/>
      <c r="EN120" s="2"/>
      <c r="EO120" s="2"/>
      <c r="EP120" s="2"/>
      <c r="EQ120" s="37"/>
      <c r="ER120" s="37"/>
      <c r="ES120" s="37"/>
      <c r="ET120" s="37"/>
      <c r="EU120" s="37"/>
      <c r="EV120" s="37"/>
      <c r="EW120" s="37"/>
    </row>
    <row r="121" spans="1:153" ht="15.6">
      <c r="A121" s="36"/>
      <c r="B121" s="5"/>
      <c r="C121" s="37"/>
      <c r="D121" s="15"/>
      <c r="E121" s="15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6"/>
      <c r="U121" s="37"/>
      <c r="V121" s="37"/>
      <c r="W121" s="37"/>
      <c r="X121" s="37"/>
      <c r="Y121" s="37"/>
      <c r="Z121" s="37"/>
      <c r="AA121" s="37"/>
      <c r="AB121" s="36"/>
      <c r="AC121" s="36"/>
      <c r="AD121" s="36"/>
      <c r="AE121" s="36"/>
      <c r="AF121" s="37"/>
      <c r="AG121" s="13"/>
      <c r="AH121" s="37"/>
      <c r="AI121" s="37"/>
      <c r="AJ121" s="37"/>
      <c r="AK121" s="37"/>
      <c r="AL121" s="15"/>
      <c r="AM121" s="15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6"/>
      <c r="BX121" s="36"/>
      <c r="BY121" s="36"/>
      <c r="BZ121" s="37"/>
      <c r="CA121" s="12"/>
      <c r="CB121" s="37"/>
      <c r="CC121" s="37"/>
      <c r="CD121" s="37"/>
      <c r="CE121" s="37"/>
      <c r="CF121" s="37"/>
      <c r="CG121" s="15"/>
      <c r="CH121" s="15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29"/>
      <c r="DU121" s="37"/>
      <c r="DV121" s="37"/>
      <c r="DW121" s="37"/>
      <c r="DX121" s="37"/>
      <c r="DY121" s="37"/>
      <c r="DZ121" s="37"/>
      <c r="EA121" s="37"/>
      <c r="EB121" s="29"/>
      <c r="EC121" s="36"/>
      <c r="ED121" s="36"/>
      <c r="EE121" s="36"/>
      <c r="EF121" s="37"/>
      <c r="EG121" s="2"/>
      <c r="EH121" s="37"/>
      <c r="EI121" s="2"/>
      <c r="EJ121" s="2"/>
      <c r="EK121" s="2"/>
      <c r="EL121" s="2"/>
      <c r="EM121" s="2"/>
      <c r="EN121" s="2"/>
      <c r="EO121" s="2"/>
      <c r="EP121" s="2"/>
      <c r="EQ121" s="37"/>
      <c r="ER121" s="37"/>
      <c r="ES121" s="37"/>
      <c r="ET121" s="37"/>
      <c r="EU121" s="37"/>
      <c r="EV121" s="37"/>
      <c r="EW121" s="37"/>
    </row>
    <row r="122" spans="1:153" ht="15.6">
      <c r="A122" s="36"/>
      <c r="B122" s="5"/>
      <c r="C122" s="37"/>
      <c r="D122" s="15"/>
      <c r="E122" s="15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6"/>
      <c r="U122" s="14"/>
      <c r="V122" s="14"/>
      <c r="W122" s="14"/>
      <c r="X122" s="37"/>
      <c r="Y122" s="37"/>
      <c r="Z122" s="14"/>
      <c r="AA122" s="14"/>
      <c r="AB122" s="36"/>
      <c r="AC122" s="36"/>
      <c r="AD122" s="36"/>
      <c r="AE122" s="36"/>
      <c r="AF122" s="37"/>
      <c r="AG122" s="13"/>
      <c r="AH122" s="37"/>
      <c r="AI122" s="37"/>
      <c r="AJ122" s="37"/>
      <c r="AK122" s="37"/>
      <c r="AL122" s="15"/>
      <c r="AM122" s="15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14"/>
      <c r="BP122" s="14"/>
      <c r="BQ122" s="37"/>
      <c r="BR122" s="37"/>
      <c r="BS122" s="37"/>
      <c r="BT122" s="21"/>
      <c r="BU122" s="21"/>
      <c r="BV122" s="37"/>
      <c r="BW122" s="36"/>
      <c r="BX122" s="36"/>
      <c r="BY122" s="36"/>
      <c r="BZ122" s="37"/>
      <c r="CA122" s="12"/>
      <c r="CB122" s="37"/>
      <c r="CC122" s="37"/>
      <c r="CD122" s="37"/>
      <c r="CE122" s="37"/>
      <c r="CF122" s="37"/>
      <c r="CG122" s="15"/>
      <c r="CH122" s="15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29"/>
      <c r="DU122" s="37"/>
      <c r="DV122" s="37"/>
      <c r="DW122" s="37"/>
      <c r="DX122" s="37"/>
      <c r="DY122" s="37"/>
      <c r="DZ122" s="37"/>
      <c r="EA122" s="37"/>
      <c r="EB122" s="29"/>
      <c r="EC122" s="36"/>
      <c r="ED122" s="36"/>
      <c r="EE122" s="36"/>
      <c r="EF122" s="37"/>
      <c r="EG122" s="2"/>
      <c r="EH122" s="37"/>
      <c r="EI122" s="2"/>
      <c r="EJ122" s="2"/>
      <c r="EK122" s="2"/>
      <c r="EL122" s="2"/>
      <c r="EM122" s="2"/>
      <c r="EN122" s="2"/>
      <c r="EO122" s="2"/>
      <c r="EP122" s="2"/>
      <c r="EQ122" s="37"/>
      <c r="ER122" s="37"/>
      <c r="ES122" s="37"/>
      <c r="ET122" s="37"/>
      <c r="EU122" s="37"/>
      <c r="EV122" s="37"/>
      <c r="EW122" s="37"/>
    </row>
    <row r="123" spans="1:153" ht="15.6">
      <c r="A123" s="36"/>
      <c r="B123" s="5"/>
      <c r="C123" s="37"/>
      <c r="D123" s="15"/>
      <c r="E123" s="15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6"/>
      <c r="U123" s="14"/>
      <c r="V123" s="37"/>
      <c r="W123" s="37"/>
      <c r="X123" s="14"/>
      <c r="Y123" s="14"/>
      <c r="Z123" s="14"/>
      <c r="AA123" s="14"/>
      <c r="AB123" s="36"/>
      <c r="AC123" s="36"/>
      <c r="AD123" s="36"/>
      <c r="AE123" s="36"/>
      <c r="AF123" s="37"/>
      <c r="AG123" s="13"/>
      <c r="AH123" s="37"/>
      <c r="AI123" s="37"/>
      <c r="AJ123" s="37"/>
      <c r="AK123" s="37"/>
      <c r="AL123" s="15"/>
      <c r="AM123" s="15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14"/>
      <c r="BP123" s="14"/>
      <c r="BQ123" s="14"/>
      <c r="BR123" s="14"/>
      <c r="BS123" s="14"/>
      <c r="BT123" s="21"/>
      <c r="BU123" s="21"/>
      <c r="BV123" s="37"/>
      <c r="BW123" s="36"/>
      <c r="BX123" s="36"/>
      <c r="BY123" s="36"/>
      <c r="BZ123" s="37"/>
      <c r="CA123" s="12"/>
      <c r="CB123" s="37"/>
      <c r="CC123" s="37"/>
      <c r="CD123" s="37"/>
      <c r="CE123" s="37"/>
      <c r="CF123" s="37"/>
      <c r="CG123" s="15"/>
      <c r="CH123" s="15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29"/>
      <c r="DU123" s="37"/>
      <c r="DV123" s="37"/>
      <c r="DW123" s="37"/>
      <c r="DX123" s="37"/>
      <c r="DY123" s="37"/>
      <c r="DZ123" s="37"/>
      <c r="EA123" s="37"/>
      <c r="EB123" s="29"/>
      <c r="EC123" s="36"/>
      <c r="ED123" s="36"/>
      <c r="EE123" s="36"/>
      <c r="EF123" s="37"/>
      <c r="EG123" s="2"/>
      <c r="EH123" s="37"/>
      <c r="EI123" s="2"/>
      <c r="EJ123" s="2"/>
      <c r="EK123" s="2"/>
      <c r="EL123" s="2"/>
      <c r="EM123" s="2"/>
      <c r="EN123" s="2"/>
      <c r="EO123" s="2"/>
      <c r="EP123" s="2"/>
      <c r="EQ123" s="37"/>
      <c r="ER123" s="37"/>
      <c r="ES123" s="37"/>
      <c r="ET123" s="37"/>
      <c r="EU123" s="37"/>
      <c r="EV123" s="37"/>
      <c r="EW123" s="37"/>
    </row>
    <row r="124" spans="1:153" ht="15.6">
      <c r="A124" s="36"/>
      <c r="B124" s="5"/>
      <c r="C124" s="37"/>
      <c r="D124" s="15"/>
      <c r="E124" s="15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6"/>
      <c r="U124" s="37"/>
      <c r="V124" s="37"/>
      <c r="W124" s="37"/>
      <c r="X124" s="14"/>
      <c r="Y124" s="14"/>
      <c r="Z124" s="37"/>
      <c r="AA124" s="37"/>
      <c r="AB124" s="36"/>
      <c r="AC124" s="36"/>
      <c r="AD124" s="36"/>
      <c r="AE124" s="36"/>
      <c r="AF124" s="37"/>
      <c r="AG124" s="13"/>
      <c r="AH124" s="37"/>
      <c r="AI124" s="37"/>
      <c r="AJ124" s="37"/>
      <c r="AK124" s="37"/>
      <c r="AL124" s="15"/>
      <c r="AM124" s="15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6"/>
      <c r="BX124" s="36"/>
      <c r="BY124" s="36"/>
      <c r="BZ124" s="37"/>
      <c r="CA124" s="12"/>
      <c r="CB124" s="37"/>
      <c r="CC124" s="37"/>
      <c r="CD124" s="37"/>
      <c r="CE124" s="37"/>
      <c r="CF124" s="37"/>
      <c r="CG124" s="15"/>
      <c r="CH124" s="15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29"/>
      <c r="DU124" s="37"/>
      <c r="DV124" s="37"/>
      <c r="DW124" s="37"/>
      <c r="DX124" s="37"/>
      <c r="DY124" s="37"/>
      <c r="DZ124" s="37"/>
      <c r="EA124" s="37"/>
      <c r="EB124" s="29"/>
      <c r="EC124" s="36"/>
      <c r="ED124" s="36"/>
      <c r="EE124" s="36"/>
      <c r="EF124" s="37"/>
      <c r="EG124" s="2"/>
      <c r="EH124" s="37"/>
      <c r="EI124" s="2"/>
      <c r="EJ124" s="2"/>
      <c r="EK124" s="2"/>
      <c r="EL124" s="2"/>
      <c r="EM124" s="2"/>
      <c r="EN124" s="2"/>
      <c r="EO124" s="2"/>
      <c r="EP124" s="2"/>
      <c r="EQ124" s="37"/>
      <c r="ER124" s="37"/>
      <c r="ES124" s="37"/>
      <c r="ET124" s="37"/>
      <c r="EU124" s="37"/>
      <c r="EV124" s="37"/>
      <c r="EW124" s="37"/>
    </row>
    <row r="125" spans="1:153" ht="15.6">
      <c r="A125" s="36"/>
      <c r="B125" s="5"/>
      <c r="C125" s="37"/>
      <c r="D125" s="15"/>
      <c r="E125" s="15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6"/>
      <c r="U125" s="37"/>
      <c r="V125" s="37"/>
      <c r="W125" s="37"/>
      <c r="X125" s="37"/>
      <c r="Y125" s="37"/>
      <c r="Z125" s="14"/>
      <c r="AA125" s="14"/>
      <c r="AB125" s="36"/>
      <c r="AC125" s="36"/>
      <c r="AD125" s="36"/>
      <c r="AE125" s="36"/>
      <c r="AF125" s="37"/>
      <c r="AG125" s="13"/>
      <c r="AH125" s="37"/>
      <c r="AI125" s="37"/>
      <c r="AJ125" s="37"/>
      <c r="AK125" s="37"/>
      <c r="AL125" s="15"/>
      <c r="AM125" s="15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14"/>
      <c r="BP125" s="14"/>
      <c r="BQ125" s="14"/>
      <c r="BR125" s="14"/>
      <c r="BS125" s="14"/>
      <c r="BT125" s="37"/>
      <c r="BU125" s="37"/>
      <c r="BV125" s="37"/>
      <c r="BW125" s="36"/>
      <c r="BX125" s="36"/>
      <c r="BY125" s="36"/>
      <c r="BZ125" s="37"/>
      <c r="CA125" s="12"/>
      <c r="CB125" s="37"/>
      <c r="CC125" s="37"/>
      <c r="CD125" s="37"/>
      <c r="CE125" s="37"/>
      <c r="CF125" s="37"/>
      <c r="CG125" s="15"/>
      <c r="CH125" s="15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29"/>
      <c r="DU125" s="37"/>
      <c r="DV125" s="37"/>
      <c r="DW125" s="37"/>
      <c r="DX125" s="37"/>
      <c r="DY125" s="37"/>
      <c r="DZ125" s="37"/>
      <c r="EA125" s="37"/>
      <c r="EB125" s="29"/>
      <c r="EC125" s="36"/>
      <c r="ED125" s="36"/>
      <c r="EE125" s="36"/>
      <c r="EF125" s="37"/>
      <c r="EG125" s="2"/>
      <c r="EH125" s="37"/>
      <c r="EI125" s="2"/>
      <c r="EJ125" s="2"/>
      <c r="EK125" s="2"/>
      <c r="EL125" s="2"/>
      <c r="EM125" s="2"/>
      <c r="EN125" s="2"/>
      <c r="EO125" s="2"/>
      <c r="EP125" s="2"/>
      <c r="EQ125" s="37"/>
      <c r="ER125" s="37"/>
      <c r="ES125" s="37"/>
      <c r="ET125" s="37"/>
      <c r="EU125" s="37"/>
      <c r="EV125" s="37"/>
      <c r="EW125" s="37"/>
    </row>
    <row r="126" spans="1:153" ht="15.6">
      <c r="A126" s="36"/>
      <c r="B126" s="5"/>
      <c r="C126" s="37"/>
      <c r="D126" s="15"/>
      <c r="E126" s="15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6"/>
      <c r="U126" s="37"/>
      <c r="V126" s="37"/>
      <c r="W126" s="37"/>
      <c r="X126" s="37"/>
      <c r="Y126" s="37"/>
      <c r="Z126" s="37"/>
      <c r="AA126" s="37"/>
      <c r="AB126" s="36"/>
      <c r="AC126" s="36"/>
      <c r="AD126" s="36"/>
      <c r="AE126" s="36"/>
      <c r="AF126" s="37"/>
      <c r="AG126" s="13"/>
      <c r="AH126" s="37"/>
      <c r="AI126" s="37"/>
      <c r="AJ126" s="37"/>
      <c r="AK126" s="37"/>
      <c r="AL126" s="15"/>
      <c r="AM126" s="15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6"/>
      <c r="BX126" s="36"/>
      <c r="BY126" s="36"/>
      <c r="BZ126" s="37"/>
      <c r="CA126" s="12"/>
      <c r="CB126" s="37"/>
      <c r="CC126" s="37"/>
      <c r="CD126" s="28"/>
      <c r="CE126" s="37"/>
      <c r="CF126" s="37"/>
      <c r="CG126" s="15"/>
      <c r="CH126" s="15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29"/>
      <c r="DU126" s="37"/>
      <c r="DV126" s="37"/>
      <c r="DW126" s="37"/>
      <c r="DX126" s="37"/>
      <c r="DY126" s="37"/>
      <c r="DZ126" s="37"/>
      <c r="EA126" s="37"/>
      <c r="EB126" s="29"/>
      <c r="EC126" s="36"/>
      <c r="ED126" s="36"/>
      <c r="EE126" s="36"/>
      <c r="EF126" s="37"/>
      <c r="EG126" s="2"/>
      <c r="EH126" s="37"/>
      <c r="EI126" s="2"/>
      <c r="EJ126" s="2"/>
      <c r="EK126" s="2"/>
      <c r="EL126" s="2"/>
      <c r="EM126" s="2"/>
      <c r="EN126" s="2"/>
      <c r="EO126" s="2"/>
      <c r="EP126" s="2"/>
      <c r="EQ126" s="37"/>
      <c r="ER126" s="37"/>
      <c r="ES126" s="37"/>
      <c r="ET126" s="37"/>
      <c r="EU126" s="37"/>
      <c r="EV126" s="37"/>
      <c r="EW126" s="37"/>
    </row>
    <row r="127" spans="1:153" ht="15.6">
      <c r="A127" s="36"/>
      <c r="B127" s="5"/>
      <c r="C127" s="37"/>
      <c r="D127" s="15"/>
      <c r="E127" s="15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6"/>
      <c r="U127" s="37"/>
      <c r="V127" s="37"/>
      <c r="W127" s="37"/>
      <c r="X127" s="37"/>
      <c r="Y127" s="37"/>
      <c r="Z127" s="37"/>
      <c r="AA127" s="37"/>
      <c r="AB127" s="36"/>
      <c r="AC127" s="36"/>
      <c r="AD127" s="36"/>
      <c r="AE127" s="36"/>
      <c r="AF127" s="37"/>
      <c r="AG127" s="13"/>
      <c r="AH127" s="37"/>
      <c r="AI127" s="37"/>
      <c r="AJ127" s="37"/>
      <c r="AK127" s="37"/>
      <c r="AL127" s="15"/>
      <c r="AM127" s="15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6"/>
      <c r="BX127" s="36"/>
      <c r="BY127" s="36"/>
      <c r="BZ127" s="37"/>
      <c r="CA127" s="12"/>
      <c r="CB127" s="37"/>
      <c r="CC127" s="37"/>
      <c r="CD127" s="37"/>
      <c r="CE127" s="37"/>
      <c r="CF127" s="37"/>
      <c r="CG127" s="15"/>
      <c r="CH127" s="15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29"/>
      <c r="DU127" s="37"/>
      <c r="DV127" s="37"/>
      <c r="DW127" s="37"/>
      <c r="DX127" s="37"/>
      <c r="DY127" s="37"/>
      <c r="DZ127" s="37"/>
      <c r="EA127" s="37"/>
      <c r="EB127" s="29"/>
      <c r="EC127" s="36"/>
      <c r="ED127" s="36"/>
      <c r="EE127" s="36"/>
      <c r="EF127" s="37"/>
      <c r="EG127" s="2"/>
      <c r="EH127" s="37"/>
      <c r="EI127" s="2"/>
      <c r="EJ127" s="2"/>
      <c r="EK127" s="2"/>
      <c r="EL127" s="2"/>
      <c r="EM127" s="2"/>
      <c r="EN127" s="2"/>
      <c r="EO127" s="2"/>
      <c r="EP127" s="2"/>
      <c r="EQ127" s="37"/>
      <c r="ER127" s="37"/>
      <c r="ES127" s="37"/>
      <c r="ET127" s="37"/>
      <c r="EU127" s="37"/>
      <c r="EV127" s="37"/>
      <c r="EW127" s="37"/>
    </row>
    <row r="128" spans="1:153" ht="15.6">
      <c r="A128" s="36"/>
      <c r="B128" s="5"/>
      <c r="C128" s="37"/>
      <c r="D128" s="15"/>
      <c r="E128" s="15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6"/>
      <c r="U128" s="37"/>
      <c r="V128" s="37"/>
      <c r="W128" s="37"/>
      <c r="X128" s="37"/>
      <c r="Y128" s="37"/>
      <c r="Z128" s="37"/>
      <c r="AA128" s="37"/>
      <c r="AB128" s="36"/>
      <c r="AC128" s="36"/>
      <c r="AD128" s="36"/>
      <c r="AE128" s="36"/>
      <c r="AF128" s="37"/>
      <c r="AG128" s="13"/>
      <c r="AH128" s="37"/>
      <c r="AI128" s="37"/>
      <c r="AJ128" s="37"/>
      <c r="AK128" s="37"/>
      <c r="AL128" s="15"/>
      <c r="AM128" s="15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14"/>
      <c r="BQ128" s="14"/>
      <c r="BR128" s="14"/>
      <c r="BS128" s="14"/>
      <c r="BT128" s="37"/>
      <c r="BU128" s="37"/>
      <c r="BV128" s="37"/>
      <c r="BW128" s="36"/>
      <c r="BX128" s="36"/>
      <c r="BY128" s="36"/>
      <c r="BZ128" s="37"/>
      <c r="CA128" s="12"/>
      <c r="CB128" s="37"/>
      <c r="CC128" s="37"/>
      <c r="CD128" s="37"/>
      <c r="CE128" s="37"/>
      <c r="CF128" s="37"/>
      <c r="CG128" s="15"/>
      <c r="CH128" s="15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29"/>
      <c r="DU128" s="37"/>
      <c r="DV128" s="37"/>
      <c r="DW128" s="37"/>
      <c r="DX128" s="37"/>
      <c r="DY128" s="37"/>
      <c r="DZ128" s="37"/>
      <c r="EA128" s="37"/>
      <c r="EB128" s="29"/>
      <c r="EC128" s="36"/>
      <c r="ED128" s="36"/>
      <c r="EE128" s="36"/>
      <c r="EF128" s="37"/>
      <c r="EG128" s="2"/>
      <c r="EH128" s="37"/>
      <c r="EI128" s="2"/>
      <c r="EJ128" s="2"/>
      <c r="EK128" s="2"/>
      <c r="EL128" s="2"/>
      <c r="EM128" s="2"/>
      <c r="EN128" s="2"/>
      <c r="EO128" s="2"/>
      <c r="EP128" s="2"/>
      <c r="EQ128" s="37"/>
      <c r="ER128" s="37"/>
      <c r="ES128" s="37"/>
      <c r="ET128" s="37"/>
      <c r="EU128" s="37"/>
      <c r="EV128" s="37"/>
      <c r="EW128" s="37"/>
    </row>
    <row r="129" spans="1:153" ht="15.6">
      <c r="A129" s="3"/>
      <c r="B129" s="4"/>
      <c r="C129" s="37"/>
      <c r="D129" s="15"/>
      <c r="E129" s="15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6"/>
      <c r="U129" s="14"/>
      <c r="V129" s="37"/>
      <c r="W129" s="14"/>
      <c r="X129" s="14"/>
      <c r="Y129" s="14"/>
      <c r="Z129" s="14"/>
      <c r="AA129" s="14"/>
      <c r="AB129" s="36"/>
      <c r="AC129" s="36"/>
      <c r="AD129" s="36"/>
      <c r="AE129" s="36"/>
      <c r="AF129" s="37"/>
      <c r="AG129" s="13"/>
      <c r="AH129" s="37"/>
      <c r="AI129" s="37"/>
      <c r="AJ129" s="37"/>
      <c r="AK129" s="37"/>
      <c r="AL129" s="15"/>
      <c r="AM129" s="15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14"/>
      <c r="BP129" s="14"/>
      <c r="BQ129" s="14"/>
      <c r="BR129" s="14"/>
      <c r="BS129" s="14"/>
      <c r="BT129" s="21"/>
      <c r="BU129" s="21"/>
      <c r="BV129" s="37"/>
      <c r="BW129" s="36"/>
      <c r="BX129" s="36"/>
      <c r="BY129" s="36"/>
      <c r="BZ129" s="37"/>
      <c r="CA129" s="12"/>
      <c r="CB129" s="37"/>
      <c r="CC129" s="37"/>
      <c r="CD129" s="37"/>
      <c r="CE129" s="37"/>
      <c r="CF129" s="37"/>
      <c r="CG129" s="15"/>
      <c r="CH129" s="15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29"/>
      <c r="DU129" s="37"/>
      <c r="DV129" s="37"/>
      <c r="DW129" s="37"/>
      <c r="DX129" s="37"/>
      <c r="DY129" s="37"/>
      <c r="DZ129" s="37"/>
      <c r="EA129" s="37"/>
      <c r="EB129" s="29"/>
      <c r="EC129" s="36"/>
      <c r="ED129" s="36"/>
      <c r="EE129" s="36"/>
      <c r="EF129" s="37"/>
      <c r="EG129" s="2"/>
      <c r="EH129" s="37"/>
      <c r="EI129" s="2"/>
      <c r="EJ129" s="2"/>
      <c r="EK129" s="2"/>
      <c r="EL129" s="2"/>
      <c r="EM129" s="2"/>
      <c r="EN129" s="2"/>
      <c r="EO129" s="2"/>
      <c r="EP129" s="2"/>
      <c r="EQ129" s="37"/>
      <c r="ER129" s="37"/>
      <c r="ES129" s="37"/>
      <c r="ET129" s="37"/>
      <c r="EU129" s="37"/>
      <c r="EV129" s="37"/>
      <c r="EW129" s="37"/>
    </row>
    <row r="130" spans="1:153" ht="15.6">
      <c r="A130" s="36"/>
      <c r="B130" s="5"/>
      <c r="C130" s="37"/>
      <c r="D130" s="15"/>
      <c r="E130" s="15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6"/>
      <c r="U130" s="37"/>
      <c r="V130" s="37"/>
      <c r="W130" s="37"/>
      <c r="X130" s="37"/>
      <c r="Y130" s="14"/>
      <c r="Z130" s="14"/>
      <c r="AA130" s="14"/>
      <c r="AB130" s="36"/>
      <c r="AC130" s="36"/>
      <c r="AD130" s="36"/>
      <c r="AE130" s="36"/>
      <c r="AF130" s="37"/>
      <c r="AG130" s="13"/>
      <c r="AH130" s="37"/>
      <c r="AI130" s="37"/>
      <c r="AJ130" s="37"/>
      <c r="AK130" s="37"/>
      <c r="AL130" s="15"/>
      <c r="AM130" s="15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14"/>
      <c r="BP130" s="14"/>
      <c r="BQ130" s="14"/>
      <c r="BR130" s="14"/>
      <c r="BS130" s="14"/>
      <c r="BT130" s="21"/>
      <c r="BU130" s="21"/>
      <c r="BV130" s="37"/>
      <c r="BW130" s="36"/>
      <c r="BX130" s="36"/>
      <c r="BY130" s="36"/>
      <c r="BZ130" s="37"/>
      <c r="CA130" s="12"/>
      <c r="CB130" s="37"/>
      <c r="CC130" s="37"/>
      <c r="CD130" s="37"/>
      <c r="CE130" s="37"/>
      <c r="CF130" s="37"/>
      <c r="CG130" s="15"/>
      <c r="CH130" s="15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29"/>
      <c r="DU130" s="37"/>
      <c r="DV130" s="37"/>
      <c r="DW130" s="37"/>
      <c r="DX130" s="37"/>
      <c r="DY130" s="37"/>
      <c r="DZ130" s="37"/>
      <c r="EA130" s="37"/>
      <c r="EB130" s="29"/>
      <c r="EC130" s="36"/>
      <c r="ED130" s="36"/>
      <c r="EE130" s="36"/>
      <c r="EF130" s="37"/>
      <c r="EG130" s="2"/>
      <c r="EH130" s="37"/>
      <c r="EI130" s="2"/>
      <c r="EJ130" s="2"/>
      <c r="EK130" s="2"/>
      <c r="EL130" s="2"/>
      <c r="EM130" s="2"/>
      <c r="EN130" s="2"/>
      <c r="EO130" s="2"/>
      <c r="EP130" s="2"/>
      <c r="EQ130" s="37"/>
      <c r="ER130" s="37"/>
      <c r="ES130" s="37"/>
      <c r="ET130" s="37"/>
      <c r="EU130" s="37"/>
      <c r="EV130" s="37"/>
      <c r="EW130" s="37"/>
    </row>
    <row r="131" spans="1:153" ht="15.6">
      <c r="A131" s="36"/>
      <c r="B131" s="5"/>
      <c r="C131" s="37"/>
      <c r="D131" s="15"/>
      <c r="E131" s="15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6"/>
      <c r="U131" s="14"/>
      <c r="V131" s="14"/>
      <c r="W131" s="14"/>
      <c r="X131" s="14"/>
      <c r="Y131" s="14"/>
      <c r="Z131" s="14"/>
      <c r="AA131" s="14"/>
      <c r="AB131" s="36"/>
      <c r="AC131" s="36"/>
      <c r="AD131" s="36"/>
      <c r="AE131" s="36"/>
      <c r="AF131" s="37"/>
      <c r="AG131" s="13"/>
      <c r="AH131" s="37"/>
      <c r="AI131" s="37"/>
      <c r="AJ131" s="37"/>
      <c r="AK131" s="37"/>
      <c r="AL131" s="15"/>
      <c r="AM131" s="15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14"/>
      <c r="BP131" s="14"/>
      <c r="BQ131" s="14"/>
      <c r="BR131" s="37"/>
      <c r="BS131" s="37"/>
      <c r="BT131" s="37"/>
      <c r="BU131" s="37"/>
      <c r="BV131" s="37"/>
      <c r="BW131" s="36"/>
      <c r="BX131" s="36"/>
      <c r="BY131" s="36"/>
      <c r="BZ131" s="37"/>
      <c r="CA131" s="12"/>
      <c r="CB131" s="37"/>
      <c r="CC131" s="37"/>
      <c r="CD131" s="37"/>
      <c r="CE131" s="37"/>
      <c r="CF131" s="37"/>
      <c r="CG131" s="15"/>
      <c r="CH131" s="15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29"/>
      <c r="DU131" s="37"/>
      <c r="DV131" s="37"/>
      <c r="DW131" s="37"/>
      <c r="DX131" s="37"/>
      <c r="DY131" s="37"/>
      <c r="DZ131" s="37"/>
      <c r="EA131" s="37"/>
      <c r="EB131" s="29"/>
      <c r="EC131" s="36"/>
      <c r="ED131" s="36"/>
      <c r="EE131" s="36"/>
      <c r="EF131" s="37"/>
      <c r="EG131" s="2"/>
      <c r="EH131" s="37"/>
      <c r="EI131" s="2"/>
      <c r="EJ131" s="2"/>
      <c r="EK131" s="2"/>
      <c r="EL131" s="2"/>
      <c r="EM131" s="2"/>
      <c r="EN131" s="2"/>
      <c r="EO131" s="2"/>
      <c r="EP131" s="2"/>
      <c r="EQ131" s="37"/>
      <c r="ER131" s="37"/>
      <c r="ES131" s="37"/>
      <c r="ET131" s="37"/>
      <c r="EU131" s="37"/>
      <c r="EV131" s="37"/>
      <c r="EW131" s="37"/>
    </row>
    <row r="132" spans="1:153" ht="15.6">
      <c r="A132" s="36"/>
      <c r="B132" s="5"/>
      <c r="C132" s="37"/>
      <c r="D132" s="15"/>
      <c r="E132" s="15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6"/>
      <c r="U132" s="14"/>
      <c r="V132" s="14"/>
      <c r="W132" s="14"/>
      <c r="X132" s="37"/>
      <c r="Y132" s="14"/>
      <c r="Z132" s="14"/>
      <c r="AA132" s="14"/>
      <c r="AB132" s="36"/>
      <c r="AC132" s="36"/>
      <c r="AD132" s="36"/>
      <c r="AE132" s="36"/>
      <c r="AF132" s="37"/>
      <c r="AG132" s="13"/>
      <c r="AH132" s="37"/>
      <c r="AI132" s="37"/>
      <c r="AJ132" s="37"/>
      <c r="AK132" s="37"/>
      <c r="AL132" s="15"/>
      <c r="AM132" s="15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14"/>
      <c r="BP132" s="14"/>
      <c r="BQ132" s="14"/>
      <c r="BR132" s="14"/>
      <c r="BS132" s="14"/>
      <c r="BT132" s="21"/>
      <c r="BU132" s="21"/>
      <c r="BV132" s="37"/>
      <c r="BW132" s="36"/>
      <c r="BX132" s="36"/>
      <c r="BY132" s="36"/>
      <c r="BZ132" s="37"/>
      <c r="CA132" s="12"/>
      <c r="CB132" s="37"/>
      <c r="CC132" s="37"/>
      <c r="CD132" s="37"/>
      <c r="CE132" s="37"/>
      <c r="CF132" s="37"/>
      <c r="CG132" s="15"/>
      <c r="CH132" s="15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29"/>
      <c r="DU132" s="37"/>
      <c r="DV132" s="37"/>
      <c r="DW132" s="37"/>
      <c r="DX132" s="37"/>
      <c r="DY132" s="37"/>
      <c r="DZ132" s="37"/>
      <c r="EA132" s="37"/>
      <c r="EB132" s="29"/>
      <c r="EC132" s="36"/>
      <c r="ED132" s="36"/>
      <c r="EE132" s="36"/>
      <c r="EF132" s="37"/>
      <c r="EG132" s="2"/>
      <c r="EH132" s="37"/>
      <c r="EI132" s="2"/>
      <c r="EJ132" s="2"/>
      <c r="EK132" s="2"/>
      <c r="EL132" s="2"/>
      <c r="EM132" s="2"/>
      <c r="EN132" s="2"/>
      <c r="EO132" s="2"/>
      <c r="EP132" s="2"/>
      <c r="EQ132" s="37"/>
      <c r="ER132" s="37"/>
      <c r="ES132" s="37"/>
      <c r="ET132" s="37"/>
      <c r="EU132" s="37"/>
      <c r="EV132" s="37"/>
      <c r="EW132" s="37"/>
    </row>
    <row r="133" spans="1:153" ht="15.6">
      <c r="A133" s="36"/>
      <c r="B133" s="5"/>
      <c r="C133" s="37"/>
      <c r="D133" s="15"/>
      <c r="E133" s="15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6"/>
      <c r="U133" s="37"/>
      <c r="V133" s="37"/>
      <c r="W133" s="37"/>
      <c r="X133" s="37"/>
      <c r="Y133" s="37"/>
      <c r="Z133" s="37"/>
      <c r="AA133" s="37"/>
      <c r="AB133" s="36"/>
      <c r="AC133" s="36"/>
      <c r="AD133" s="36"/>
      <c r="AE133" s="36"/>
      <c r="AF133" s="37"/>
      <c r="AG133" s="13"/>
      <c r="AH133" s="37"/>
      <c r="AI133" s="37"/>
      <c r="AJ133" s="37"/>
      <c r="AK133" s="37"/>
      <c r="AL133" s="15"/>
      <c r="AM133" s="15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6"/>
      <c r="BX133" s="36"/>
      <c r="BY133" s="36"/>
      <c r="BZ133" s="37"/>
      <c r="CA133" s="12"/>
      <c r="CB133" s="37"/>
      <c r="CC133" s="37"/>
      <c r="CD133" s="37"/>
      <c r="CE133" s="37"/>
      <c r="CF133" s="37"/>
      <c r="CG133" s="15"/>
      <c r="CH133" s="15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29"/>
      <c r="DU133" s="37"/>
      <c r="DV133" s="37"/>
      <c r="DW133" s="37"/>
      <c r="DX133" s="37"/>
      <c r="DY133" s="37"/>
      <c r="DZ133" s="37"/>
      <c r="EA133" s="37"/>
      <c r="EB133" s="29"/>
      <c r="EC133" s="36"/>
      <c r="ED133" s="36"/>
      <c r="EE133" s="36"/>
      <c r="EF133" s="37"/>
      <c r="EG133" s="2"/>
      <c r="EH133" s="37"/>
      <c r="EI133" s="2"/>
      <c r="EJ133" s="2"/>
      <c r="EK133" s="2"/>
      <c r="EL133" s="2"/>
      <c r="EM133" s="2"/>
      <c r="EN133" s="2"/>
      <c r="EO133" s="2"/>
      <c r="EP133" s="2"/>
      <c r="EQ133" s="37"/>
      <c r="ER133" s="37"/>
      <c r="ES133" s="37"/>
      <c r="ET133" s="37"/>
      <c r="EU133" s="37"/>
      <c r="EV133" s="37"/>
      <c r="EW133" s="37"/>
    </row>
    <row r="134" spans="1:153" ht="15.6">
      <c r="A134" s="36"/>
      <c r="B134" s="5"/>
      <c r="C134" s="37"/>
      <c r="D134" s="15"/>
      <c r="E134" s="15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6"/>
      <c r="U134" s="37"/>
      <c r="V134" s="37"/>
      <c r="W134" s="37"/>
      <c r="X134" s="37"/>
      <c r="Y134" s="37"/>
      <c r="Z134" s="37"/>
      <c r="AA134" s="37"/>
      <c r="AB134" s="36"/>
      <c r="AC134" s="36"/>
      <c r="AD134" s="36"/>
      <c r="AE134" s="36"/>
      <c r="AF134" s="37"/>
      <c r="AG134" s="13"/>
      <c r="AH134" s="37"/>
      <c r="AI134" s="37"/>
      <c r="AJ134" s="37"/>
      <c r="AK134" s="37"/>
      <c r="AL134" s="15"/>
      <c r="AM134" s="15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6"/>
      <c r="BX134" s="36"/>
      <c r="BY134" s="36"/>
      <c r="BZ134" s="37"/>
      <c r="CA134" s="12"/>
      <c r="CB134" s="37"/>
      <c r="CC134" s="37"/>
      <c r="CD134" s="37"/>
      <c r="CE134" s="37"/>
      <c r="CF134" s="37"/>
      <c r="CG134" s="15"/>
      <c r="CH134" s="15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29"/>
      <c r="DU134" s="37"/>
      <c r="DV134" s="37"/>
      <c r="DW134" s="37"/>
      <c r="DX134" s="37"/>
      <c r="DY134" s="37"/>
      <c r="DZ134" s="37"/>
      <c r="EA134" s="37"/>
      <c r="EB134" s="29"/>
      <c r="EC134" s="36"/>
      <c r="ED134" s="36"/>
      <c r="EE134" s="36"/>
      <c r="EF134" s="37"/>
      <c r="EG134" s="2"/>
      <c r="EH134" s="37"/>
      <c r="EI134" s="2"/>
      <c r="EJ134" s="2"/>
      <c r="EK134" s="2"/>
      <c r="EL134" s="2"/>
      <c r="EM134" s="2"/>
      <c r="EN134" s="2"/>
      <c r="EO134" s="2"/>
      <c r="EP134" s="2"/>
      <c r="EQ134" s="37"/>
      <c r="ER134" s="37"/>
      <c r="ES134" s="37"/>
      <c r="ET134" s="37"/>
      <c r="EU134" s="37"/>
      <c r="EV134" s="37"/>
      <c r="EW134" s="37"/>
    </row>
    <row r="135" spans="1:153" ht="15.6">
      <c r="A135" s="36"/>
      <c r="B135" s="5"/>
      <c r="C135" s="37"/>
      <c r="D135" s="15"/>
      <c r="E135" s="15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6"/>
      <c r="U135" s="37"/>
      <c r="V135" s="37"/>
      <c r="W135" s="37"/>
      <c r="X135" s="37"/>
      <c r="Y135" s="37"/>
      <c r="Z135" s="37"/>
      <c r="AA135" s="37"/>
      <c r="AB135" s="36"/>
      <c r="AC135" s="36"/>
      <c r="AD135" s="36"/>
      <c r="AE135" s="36"/>
      <c r="AF135" s="37"/>
      <c r="AG135" s="13"/>
      <c r="AH135" s="37"/>
      <c r="AI135" s="37"/>
      <c r="AJ135" s="37"/>
      <c r="AK135" s="37"/>
      <c r="AL135" s="15"/>
      <c r="AM135" s="15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6"/>
      <c r="BX135" s="36"/>
      <c r="BY135" s="36"/>
      <c r="BZ135" s="37"/>
      <c r="CA135" s="12"/>
      <c r="CB135" s="37"/>
      <c r="CC135" s="37"/>
      <c r="CD135" s="37"/>
      <c r="CE135" s="37"/>
      <c r="CF135" s="37"/>
      <c r="CG135" s="15"/>
      <c r="CH135" s="15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29"/>
      <c r="DU135" s="37"/>
      <c r="DV135" s="37"/>
      <c r="DW135" s="37"/>
      <c r="DX135" s="37"/>
      <c r="DY135" s="37"/>
      <c r="DZ135" s="37"/>
      <c r="EA135" s="37"/>
      <c r="EB135" s="29"/>
      <c r="EC135" s="36"/>
      <c r="ED135" s="36"/>
      <c r="EE135" s="36"/>
      <c r="EF135" s="37"/>
      <c r="EG135" s="2"/>
      <c r="EH135" s="37"/>
      <c r="EI135" s="2"/>
      <c r="EJ135" s="2"/>
      <c r="EK135" s="2"/>
      <c r="EL135" s="2"/>
      <c r="EM135" s="2"/>
      <c r="EN135" s="2"/>
      <c r="EO135" s="2"/>
      <c r="EP135" s="2"/>
      <c r="EQ135" s="37"/>
      <c r="ER135" s="37"/>
      <c r="ES135" s="37"/>
      <c r="ET135" s="37"/>
      <c r="EU135" s="37"/>
      <c r="EV135" s="37"/>
      <c r="EW135" s="37"/>
    </row>
    <row r="136" spans="1:153" ht="15.6">
      <c r="A136" s="36"/>
      <c r="B136" s="5"/>
      <c r="C136" s="37"/>
      <c r="D136" s="15"/>
      <c r="E136" s="15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6"/>
      <c r="U136" s="37"/>
      <c r="V136" s="37"/>
      <c r="W136" s="37"/>
      <c r="X136" s="37"/>
      <c r="Y136" s="37"/>
      <c r="Z136" s="37"/>
      <c r="AA136" s="37"/>
      <c r="AB136" s="36"/>
      <c r="AC136" s="36"/>
      <c r="AD136" s="36"/>
      <c r="AE136" s="36"/>
      <c r="AF136" s="37"/>
      <c r="AG136" s="13"/>
      <c r="AH136" s="37"/>
      <c r="AI136" s="37"/>
      <c r="AJ136" s="37"/>
      <c r="AK136" s="37"/>
      <c r="AL136" s="15"/>
      <c r="AM136" s="15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6"/>
      <c r="BX136" s="36"/>
      <c r="BY136" s="36"/>
      <c r="BZ136" s="37"/>
      <c r="CA136" s="12"/>
      <c r="CB136" s="37"/>
      <c r="CC136" s="37"/>
      <c r="CD136" s="37"/>
      <c r="CE136" s="37"/>
      <c r="CF136" s="37"/>
      <c r="CG136" s="15"/>
      <c r="CH136" s="15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29"/>
      <c r="DU136" s="37"/>
      <c r="DV136" s="37"/>
      <c r="DW136" s="37"/>
      <c r="DX136" s="37"/>
      <c r="DY136" s="37"/>
      <c r="DZ136" s="37"/>
      <c r="EA136" s="37"/>
      <c r="EB136" s="29"/>
      <c r="EC136" s="36"/>
      <c r="ED136" s="36"/>
      <c r="EE136" s="36"/>
      <c r="EF136" s="37"/>
      <c r="EG136" s="2"/>
      <c r="EH136" s="37"/>
      <c r="EI136" s="2"/>
      <c r="EJ136" s="2"/>
      <c r="EK136" s="2"/>
      <c r="EL136" s="2"/>
      <c r="EM136" s="2"/>
      <c r="EN136" s="2"/>
      <c r="EO136" s="2"/>
      <c r="EP136" s="2"/>
      <c r="EQ136" s="37"/>
      <c r="ER136" s="37"/>
      <c r="ES136" s="37"/>
      <c r="ET136" s="37"/>
      <c r="EU136" s="37"/>
      <c r="EV136" s="37"/>
      <c r="EW136" s="37"/>
    </row>
    <row r="137" spans="1:153" ht="15.6">
      <c r="A137" s="36"/>
      <c r="B137" s="5"/>
      <c r="C137" s="37"/>
      <c r="D137" s="15"/>
      <c r="E137" s="15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6"/>
      <c r="U137" s="14"/>
      <c r="V137" s="14"/>
      <c r="W137" s="14"/>
      <c r="X137" s="14"/>
      <c r="Y137" s="14"/>
      <c r="Z137" s="14"/>
      <c r="AA137" s="37"/>
      <c r="AB137" s="36"/>
      <c r="AC137" s="36"/>
      <c r="AD137" s="36"/>
      <c r="AE137" s="36"/>
      <c r="AF137" s="37"/>
      <c r="AG137" s="13"/>
      <c r="AH137" s="37"/>
      <c r="AI137" s="37"/>
      <c r="AJ137" s="37"/>
      <c r="AK137" s="37"/>
      <c r="AL137" s="15"/>
      <c r="AM137" s="15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21"/>
      <c r="BP137" s="37"/>
      <c r="BQ137" s="37"/>
      <c r="BR137" s="37"/>
      <c r="BS137" s="37"/>
      <c r="BT137" s="37"/>
      <c r="BU137" s="37"/>
      <c r="BV137" s="37"/>
      <c r="BW137" s="36"/>
      <c r="BX137" s="36"/>
      <c r="BY137" s="36"/>
      <c r="BZ137" s="37"/>
      <c r="CA137" s="12"/>
      <c r="CB137" s="37"/>
      <c r="CC137" s="37"/>
      <c r="CD137" s="37"/>
      <c r="CE137" s="37"/>
      <c r="CF137" s="37"/>
      <c r="CG137" s="15"/>
      <c r="CH137" s="15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29"/>
      <c r="DU137" s="37"/>
      <c r="DV137" s="37"/>
      <c r="DW137" s="37"/>
      <c r="DX137" s="37"/>
      <c r="DY137" s="37"/>
      <c r="DZ137" s="37"/>
      <c r="EA137" s="37"/>
      <c r="EB137" s="29"/>
      <c r="EC137" s="36"/>
      <c r="ED137" s="36"/>
      <c r="EE137" s="36"/>
      <c r="EF137" s="37"/>
      <c r="EG137" s="2"/>
      <c r="EH137" s="37"/>
      <c r="EI137" s="2"/>
      <c r="EJ137" s="2"/>
      <c r="EK137" s="2"/>
      <c r="EL137" s="2"/>
      <c r="EM137" s="2"/>
      <c r="EN137" s="2"/>
      <c r="EO137" s="2"/>
      <c r="EP137" s="2"/>
      <c r="EQ137" s="37"/>
      <c r="ER137" s="37"/>
      <c r="ES137" s="37"/>
      <c r="ET137" s="37"/>
      <c r="EU137" s="37"/>
      <c r="EV137" s="37"/>
      <c r="EW137" s="37"/>
    </row>
    <row r="138" spans="1:153" ht="15.6">
      <c r="A138" s="36"/>
      <c r="B138" s="5"/>
      <c r="C138" s="37"/>
      <c r="D138" s="15"/>
      <c r="E138" s="15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6"/>
      <c r="U138" s="37"/>
      <c r="V138" s="37"/>
      <c r="W138" s="14"/>
      <c r="X138" s="14"/>
      <c r="Y138" s="14"/>
      <c r="Z138" s="37"/>
      <c r="AA138" s="37"/>
      <c r="AB138" s="36"/>
      <c r="AC138" s="36"/>
      <c r="AD138" s="36"/>
      <c r="AE138" s="36"/>
      <c r="AF138" s="37"/>
      <c r="AG138" s="13"/>
      <c r="AH138" s="37"/>
      <c r="AI138" s="37"/>
      <c r="AJ138" s="37"/>
      <c r="AK138" s="37"/>
      <c r="AL138" s="15"/>
      <c r="AM138" s="15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14"/>
      <c r="BQ138" s="14"/>
      <c r="BR138" s="14"/>
      <c r="BS138" s="37"/>
      <c r="BT138" s="37"/>
      <c r="BU138" s="37"/>
      <c r="BV138" s="37"/>
      <c r="BW138" s="36"/>
      <c r="BX138" s="36"/>
      <c r="BY138" s="36"/>
      <c r="BZ138" s="37"/>
      <c r="CA138" s="12"/>
      <c r="CB138" s="37"/>
      <c r="CC138" s="37"/>
      <c r="CD138" s="37"/>
      <c r="CE138" s="37"/>
      <c r="CF138" s="37"/>
      <c r="CG138" s="15"/>
      <c r="CH138" s="15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29"/>
      <c r="DU138" s="37"/>
      <c r="DV138" s="37"/>
      <c r="DW138" s="37"/>
      <c r="DX138" s="37"/>
      <c r="DY138" s="37"/>
      <c r="DZ138" s="37"/>
      <c r="EA138" s="37"/>
      <c r="EB138" s="29"/>
      <c r="EC138" s="36"/>
      <c r="ED138" s="36"/>
      <c r="EE138" s="36"/>
      <c r="EF138" s="37"/>
      <c r="EG138" s="2"/>
      <c r="EH138" s="37"/>
      <c r="EI138" s="2"/>
      <c r="EJ138" s="2"/>
      <c r="EK138" s="2"/>
      <c r="EL138" s="2"/>
      <c r="EM138" s="2"/>
      <c r="EN138" s="2"/>
      <c r="EO138" s="2"/>
      <c r="EP138" s="2"/>
      <c r="EQ138" s="37"/>
      <c r="ER138" s="37"/>
      <c r="ES138" s="37"/>
      <c r="ET138" s="37"/>
      <c r="EU138" s="37"/>
      <c r="EV138" s="37"/>
      <c r="EW138" s="37"/>
    </row>
    <row r="139" spans="1:153" ht="15.6">
      <c r="A139" s="36"/>
      <c r="B139" s="5"/>
      <c r="C139" s="37"/>
      <c r="D139" s="15"/>
      <c r="E139" s="15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6"/>
      <c r="U139" s="14"/>
      <c r="V139" s="14"/>
      <c r="W139" s="14"/>
      <c r="X139" s="14"/>
      <c r="Y139" s="14"/>
      <c r="Z139" s="14"/>
      <c r="AA139" s="14"/>
      <c r="AB139" s="36"/>
      <c r="AC139" s="36"/>
      <c r="AD139" s="36"/>
      <c r="AE139" s="36"/>
      <c r="AF139" s="37"/>
      <c r="AG139" s="13"/>
      <c r="AH139" s="37"/>
      <c r="AI139" s="37"/>
      <c r="AJ139" s="37"/>
      <c r="AK139" s="37"/>
      <c r="AL139" s="15"/>
      <c r="AM139" s="15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14"/>
      <c r="BP139" s="14"/>
      <c r="BQ139" s="14"/>
      <c r="BR139" s="14"/>
      <c r="BS139" s="14"/>
      <c r="BT139" s="21"/>
      <c r="BU139" s="21"/>
      <c r="BV139" s="37"/>
      <c r="BW139" s="36"/>
      <c r="BX139" s="36"/>
      <c r="BY139" s="36"/>
      <c r="BZ139" s="37"/>
      <c r="CA139" s="12"/>
      <c r="CB139" s="37"/>
      <c r="CC139" s="37"/>
      <c r="CD139" s="37"/>
      <c r="CE139" s="37"/>
      <c r="CF139" s="37"/>
      <c r="CG139" s="15"/>
      <c r="CH139" s="15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29"/>
      <c r="DU139" s="37"/>
      <c r="DV139" s="37"/>
      <c r="DW139" s="37"/>
      <c r="DX139" s="37"/>
      <c r="DY139" s="37"/>
      <c r="DZ139" s="37"/>
      <c r="EA139" s="37"/>
      <c r="EB139" s="29"/>
      <c r="EC139" s="36"/>
      <c r="ED139" s="36"/>
      <c r="EE139" s="36"/>
      <c r="EF139" s="37"/>
      <c r="EG139" s="2"/>
      <c r="EH139" s="37"/>
      <c r="EI139" s="2"/>
      <c r="EJ139" s="2"/>
      <c r="EK139" s="2"/>
      <c r="EL139" s="2"/>
      <c r="EM139" s="2"/>
      <c r="EN139" s="2"/>
      <c r="EO139" s="2"/>
      <c r="EP139" s="2"/>
      <c r="EQ139" s="37"/>
      <c r="ER139" s="37"/>
      <c r="ES139" s="37"/>
      <c r="ET139" s="37"/>
      <c r="EU139" s="37"/>
      <c r="EV139" s="37"/>
      <c r="EW139" s="37"/>
    </row>
    <row r="140" spans="1:153" ht="15.6">
      <c r="A140" s="36"/>
      <c r="B140" s="5"/>
      <c r="C140" s="37"/>
      <c r="D140" s="15"/>
      <c r="E140" s="15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6"/>
      <c r="U140" s="37"/>
      <c r="V140" s="37"/>
      <c r="W140" s="37"/>
      <c r="X140" s="37"/>
      <c r="Y140" s="37"/>
      <c r="Z140" s="37"/>
      <c r="AA140" s="37"/>
      <c r="AB140" s="36"/>
      <c r="AC140" s="36"/>
      <c r="AD140" s="36"/>
      <c r="AE140" s="36"/>
      <c r="AF140" s="37"/>
      <c r="AG140" s="13"/>
      <c r="AH140" s="37"/>
      <c r="AI140" s="37"/>
      <c r="AJ140" s="37"/>
      <c r="AK140" s="37"/>
      <c r="AL140" s="15"/>
      <c r="AM140" s="15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6"/>
      <c r="BX140" s="36"/>
      <c r="BY140" s="36"/>
      <c r="BZ140" s="37"/>
      <c r="CA140" s="12"/>
      <c r="CB140" s="37"/>
      <c r="CC140" s="37"/>
      <c r="CD140" s="37"/>
      <c r="CE140" s="37"/>
      <c r="CF140" s="37"/>
      <c r="CG140" s="15"/>
      <c r="CH140" s="15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29"/>
      <c r="DU140" s="37"/>
      <c r="DV140" s="37"/>
      <c r="DW140" s="37"/>
      <c r="DX140" s="37"/>
      <c r="DY140" s="37"/>
      <c r="DZ140" s="37"/>
      <c r="EA140" s="37"/>
      <c r="EB140" s="29"/>
      <c r="EC140" s="36"/>
      <c r="ED140" s="36"/>
      <c r="EE140" s="36"/>
      <c r="EF140" s="37"/>
      <c r="EG140" s="2"/>
      <c r="EH140" s="37"/>
      <c r="EI140" s="2"/>
      <c r="EJ140" s="2"/>
      <c r="EK140" s="2"/>
      <c r="EL140" s="2"/>
      <c r="EM140" s="2"/>
      <c r="EN140" s="2"/>
      <c r="EO140" s="2"/>
      <c r="EP140" s="2"/>
      <c r="EQ140" s="37"/>
      <c r="ER140" s="37"/>
      <c r="ES140" s="37"/>
      <c r="ET140" s="37"/>
      <c r="EU140" s="37"/>
      <c r="EV140" s="37"/>
      <c r="EW140" s="37"/>
    </row>
    <row r="141" spans="1:153" ht="15.6">
      <c r="A141" s="36"/>
      <c r="B141" s="5"/>
      <c r="C141" s="37"/>
      <c r="D141" s="15"/>
      <c r="E141" s="15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6"/>
      <c r="U141" s="37"/>
      <c r="V141" s="37"/>
      <c r="W141" s="37"/>
      <c r="X141" s="14"/>
      <c r="Y141" s="14"/>
      <c r="Z141" s="14"/>
      <c r="AA141" s="37"/>
      <c r="AB141" s="36"/>
      <c r="AC141" s="36"/>
      <c r="AD141" s="36"/>
      <c r="AE141" s="36"/>
      <c r="AF141" s="37"/>
      <c r="AG141" s="13"/>
      <c r="AH141" s="37"/>
      <c r="AI141" s="37"/>
      <c r="AJ141" s="37"/>
      <c r="AK141" s="37"/>
      <c r="AL141" s="15"/>
      <c r="AM141" s="15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6"/>
      <c r="BX141" s="36"/>
      <c r="BY141" s="36"/>
      <c r="BZ141" s="37"/>
      <c r="CA141" s="12"/>
      <c r="CB141" s="37"/>
      <c r="CC141" s="37"/>
      <c r="CD141" s="37"/>
      <c r="CE141" s="37"/>
      <c r="CF141" s="37"/>
      <c r="CG141" s="15"/>
      <c r="CH141" s="15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29"/>
      <c r="DU141" s="37"/>
      <c r="DV141" s="37"/>
      <c r="DW141" s="37"/>
      <c r="DX141" s="37"/>
      <c r="DY141" s="37"/>
      <c r="DZ141" s="37"/>
      <c r="EA141" s="37"/>
      <c r="EB141" s="29"/>
      <c r="EC141" s="36"/>
      <c r="ED141" s="36"/>
      <c r="EE141" s="36"/>
      <c r="EF141" s="37"/>
      <c r="EG141" s="2"/>
      <c r="EH141" s="37"/>
      <c r="EI141" s="2"/>
      <c r="EJ141" s="2"/>
      <c r="EK141" s="2"/>
      <c r="EL141" s="2"/>
      <c r="EM141" s="2"/>
      <c r="EN141" s="2"/>
      <c r="EO141" s="2"/>
      <c r="EP141" s="2"/>
      <c r="EQ141" s="37"/>
      <c r="ER141" s="37"/>
      <c r="ES141" s="37"/>
      <c r="ET141" s="37"/>
      <c r="EU141" s="37"/>
      <c r="EV141" s="37"/>
      <c r="EW141" s="37"/>
    </row>
    <row r="142" spans="1:153" ht="15.6">
      <c r="A142" s="36"/>
      <c r="B142" s="5"/>
      <c r="C142" s="37"/>
      <c r="D142" s="15"/>
      <c r="E142" s="15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6"/>
      <c r="U142" s="37"/>
      <c r="V142" s="37"/>
      <c r="W142" s="37"/>
      <c r="X142" s="37"/>
      <c r="Y142" s="37"/>
      <c r="Z142" s="37"/>
      <c r="AA142" s="37"/>
      <c r="AB142" s="36"/>
      <c r="AC142" s="36"/>
      <c r="AD142" s="36"/>
      <c r="AE142" s="36"/>
      <c r="AF142" s="37"/>
      <c r="AG142" s="13"/>
      <c r="AH142" s="37"/>
      <c r="AI142" s="37"/>
      <c r="AJ142" s="37"/>
      <c r="AK142" s="37"/>
      <c r="AL142" s="15"/>
      <c r="AM142" s="15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6"/>
      <c r="BX142" s="36"/>
      <c r="BY142" s="36"/>
      <c r="BZ142" s="37"/>
      <c r="CA142" s="12"/>
      <c r="CB142" s="37"/>
      <c r="CC142" s="37"/>
      <c r="CD142" s="37"/>
      <c r="CE142" s="37"/>
      <c r="CF142" s="37"/>
      <c r="CG142" s="15"/>
      <c r="CH142" s="15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29"/>
      <c r="DU142" s="37"/>
      <c r="DV142" s="37"/>
      <c r="DW142" s="37"/>
      <c r="DX142" s="37"/>
      <c r="DY142" s="37"/>
      <c r="DZ142" s="37"/>
      <c r="EA142" s="37"/>
      <c r="EB142" s="29"/>
      <c r="EC142" s="36"/>
      <c r="ED142" s="36"/>
      <c r="EE142" s="36"/>
      <c r="EF142" s="37"/>
      <c r="EG142" s="2"/>
      <c r="EH142" s="37"/>
      <c r="EI142" s="2"/>
      <c r="EJ142" s="2"/>
      <c r="EK142" s="2"/>
      <c r="EL142" s="2"/>
      <c r="EM142" s="2"/>
      <c r="EN142" s="2"/>
      <c r="EO142" s="2"/>
      <c r="EP142" s="2"/>
      <c r="EQ142" s="37"/>
      <c r="ER142" s="37"/>
      <c r="ES142" s="37"/>
      <c r="ET142" s="37"/>
      <c r="EU142" s="37"/>
      <c r="EV142" s="37"/>
      <c r="EW142" s="37"/>
    </row>
    <row r="143" spans="1:153" ht="15.6">
      <c r="A143" s="36"/>
      <c r="B143" s="5"/>
      <c r="C143" s="37"/>
      <c r="D143" s="15"/>
      <c r="E143" s="15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6"/>
      <c r="U143" s="37"/>
      <c r="V143" s="37"/>
      <c r="W143" s="14"/>
      <c r="X143" s="14"/>
      <c r="Y143" s="14"/>
      <c r="Z143" s="37"/>
      <c r="AA143" s="37"/>
      <c r="AB143" s="36"/>
      <c r="AC143" s="36"/>
      <c r="AD143" s="36"/>
      <c r="AE143" s="36"/>
      <c r="AF143" s="37"/>
      <c r="AG143" s="13"/>
      <c r="AH143" s="37"/>
      <c r="AI143" s="37"/>
      <c r="AJ143" s="37"/>
      <c r="AK143" s="37"/>
      <c r="AL143" s="15"/>
      <c r="AM143" s="15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6"/>
      <c r="BX143" s="36"/>
      <c r="BY143" s="36"/>
      <c r="BZ143" s="37"/>
      <c r="CA143" s="12"/>
      <c r="CB143" s="37"/>
      <c r="CC143" s="37"/>
      <c r="CD143" s="37"/>
      <c r="CE143" s="37"/>
      <c r="CF143" s="37"/>
      <c r="CG143" s="15"/>
      <c r="CH143" s="15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29"/>
      <c r="DU143" s="37"/>
      <c r="DV143" s="37"/>
      <c r="DW143" s="37"/>
      <c r="DX143" s="37"/>
      <c r="DY143" s="37"/>
      <c r="DZ143" s="37"/>
      <c r="EA143" s="37"/>
      <c r="EB143" s="29"/>
      <c r="EC143" s="36"/>
      <c r="ED143" s="36"/>
      <c r="EE143" s="36"/>
      <c r="EF143" s="37"/>
      <c r="EG143" s="2"/>
      <c r="EH143" s="37"/>
      <c r="EI143" s="2"/>
      <c r="EJ143" s="2"/>
      <c r="EK143" s="2"/>
      <c r="EL143" s="2"/>
      <c r="EM143" s="2"/>
      <c r="EN143" s="2"/>
      <c r="EO143" s="2"/>
      <c r="EP143" s="2"/>
      <c r="EQ143" s="37"/>
      <c r="ER143" s="37"/>
      <c r="ES143" s="37"/>
      <c r="ET143" s="37"/>
      <c r="EU143" s="37"/>
      <c r="EV143" s="37"/>
      <c r="EW143" s="37"/>
    </row>
    <row r="144" spans="1:153" ht="15.6">
      <c r="A144" s="36"/>
      <c r="B144" s="5"/>
      <c r="C144" s="37"/>
      <c r="D144" s="15"/>
      <c r="E144" s="15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6"/>
      <c r="U144" s="37"/>
      <c r="V144" s="37"/>
      <c r="W144" s="37"/>
      <c r="X144" s="37"/>
      <c r="Y144" s="37"/>
      <c r="Z144" s="37"/>
      <c r="AA144" s="37"/>
      <c r="AB144" s="36"/>
      <c r="AC144" s="36"/>
      <c r="AD144" s="36"/>
      <c r="AE144" s="36"/>
      <c r="AF144" s="37"/>
      <c r="AG144" s="13"/>
      <c r="AH144" s="37"/>
      <c r="AI144" s="37"/>
      <c r="AJ144" s="37"/>
      <c r="AK144" s="37"/>
      <c r="AL144" s="15"/>
      <c r="AM144" s="15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6"/>
      <c r="BX144" s="36"/>
      <c r="BY144" s="36"/>
      <c r="BZ144" s="37"/>
      <c r="CA144" s="12"/>
      <c r="CB144" s="37"/>
      <c r="CC144" s="37"/>
      <c r="CD144" s="37"/>
      <c r="CE144" s="37"/>
      <c r="CF144" s="37"/>
      <c r="CG144" s="15"/>
      <c r="CH144" s="15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29"/>
      <c r="DU144" s="37"/>
      <c r="DV144" s="37"/>
      <c r="DW144" s="37"/>
      <c r="DX144" s="37"/>
      <c r="DY144" s="37"/>
      <c r="DZ144" s="37"/>
      <c r="EA144" s="37"/>
      <c r="EB144" s="29"/>
      <c r="EC144" s="36"/>
      <c r="ED144" s="36"/>
      <c r="EE144" s="36"/>
      <c r="EF144" s="37"/>
      <c r="EG144" s="2"/>
      <c r="EH144" s="37"/>
      <c r="EI144" s="2"/>
      <c r="EJ144" s="2"/>
      <c r="EK144" s="2"/>
      <c r="EL144" s="2"/>
      <c r="EM144" s="2"/>
      <c r="EN144" s="2"/>
      <c r="EO144" s="2"/>
      <c r="EP144" s="2"/>
      <c r="EQ144" s="37"/>
      <c r="ER144" s="37"/>
      <c r="ES144" s="37"/>
      <c r="ET144" s="37"/>
      <c r="EU144" s="37"/>
      <c r="EV144" s="37"/>
      <c r="EW144" s="37"/>
    </row>
    <row r="145" spans="1:153" ht="15.6">
      <c r="A145" s="36"/>
      <c r="B145" s="5"/>
      <c r="C145" s="37"/>
      <c r="D145" s="15"/>
      <c r="E145" s="15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6"/>
      <c r="U145" s="14"/>
      <c r="V145" s="14"/>
      <c r="W145" s="14"/>
      <c r="X145" s="37"/>
      <c r="Y145" s="37"/>
      <c r="Z145" s="37"/>
      <c r="AA145" s="14"/>
      <c r="AB145" s="36"/>
      <c r="AC145" s="36"/>
      <c r="AD145" s="36"/>
      <c r="AE145" s="36"/>
      <c r="AF145" s="37"/>
      <c r="AG145" s="13"/>
      <c r="AH145" s="37"/>
      <c r="AI145" s="37"/>
      <c r="AJ145" s="37"/>
      <c r="AK145" s="37"/>
      <c r="AL145" s="15"/>
      <c r="AM145" s="15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14"/>
      <c r="BP145" s="14"/>
      <c r="BQ145" s="14"/>
      <c r="BR145" s="14"/>
      <c r="BS145" s="14"/>
      <c r="BT145" s="21"/>
      <c r="BU145" s="21"/>
      <c r="BV145" s="37"/>
      <c r="BW145" s="36"/>
      <c r="BX145" s="36"/>
      <c r="BY145" s="36"/>
      <c r="BZ145" s="37"/>
      <c r="CA145" s="12"/>
      <c r="CB145" s="37"/>
      <c r="CC145" s="37"/>
      <c r="CD145" s="37"/>
      <c r="CE145" s="37"/>
      <c r="CF145" s="37"/>
      <c r="CG145" s="15"/>
      <c r="CH145" s="15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29"/>
      <c r="DU145" s="37"/>
      <c r="DV145" s="37"/>
      <c r="DW145" s="37"/>
      <c r="DX145" s="37"/>
      <c r="DY145" s="37"/>
      <c r="DZ145" s="37"/>
      <c r="EA145" s="37"/>
      <c r="EB145" s="29"/>
      <c r="EC145" s="36"/>
      <c r="ED145" s="36"/>
      <c r="EE145" s="36"/>
      <c r="EF145" s="37"/>
      <c r="EG145" s="2"/>
      <c r="EH145" s="37"/>
      <c r="EI145" s="2"/>
      <c r="EJ145" s="2"/>
      <c r="EK145" s="2"/>
      <c r="EL145" s="2"/>
      <c r="EM145" s="2"/>
      <c r="EN145" s="2"/>
      <c r="EO145" s="2"/>
      <c r="EP145" s="2"/>
      <c r="EQ145" s="37"/>
      <c r="ER145" s="37"/>
      <c r="ES145" s="37"/>
      <c r="ET145" s="37"/>
      <c r="EU145" s="37"/>
      <c r="EV145" s="37"/>
      <c r="EW145" s="37"/>
    </row>
    <row r="146" spans="1:153" ht="15.6">
      <c r="A146" s="36"/>
      <c r="B146" s="5"/>
      <c r="C146" s="37"/>
      <c r="D146" s="15"/>
      <c r="E146" s="15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6"/>
      <c r="U146" s="14"/>
      <c r="V146" s="14"/>
      <c r="W146" s="14"/>
      <c r="X146" s="14"/>
      <c r="Y146" s="14"/>
      <c r="Z146" s="37"/>
      <c r="AA146" s="14"/>
      <c r="AB146" s="36"/>
      <c r="AC146" s="36"/>
      <c r="AD146" s="36"/>
      <c r="AE146" s="36"/>
      <c r="AF146" s="37"/>
      <c r="AG146" s="13"/>
      <c r="AH146" s="37"/>
      <c r="AI146" s="37"/>
      <c r="AJ146" s="37"/>
      <c r="AK146" s="37"/>
      <c r="AL146" s="15"/>
      <c r="AM146" s="15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14"/>
      <c r="BP146" s="14"/>
      <c r="BQ146" s="14"/>
      <c r="BR146" s="14"/>
      <c r="BS146" s="14"/>
      <c r="BT146" s="21"/>
      <c r="BU146" s="21"/>
      <c r="BV146" s="37"/>
      <c r="BW146" s="36"/>
      <c r="BX146" s="36"/>
      <c r="BY146" s="36"/>
      <c r="BZ146" s="37"/>
      <c r="CA146" s="12"/>
      <c r="CB146" s="37"/>
      <c r="CC146" s="37"/>
      <c r="CD146" s="37"/>
      <c r="CE146" s="37"/>
      <c r="CF146" s="37"/>
      <c r="CG146" s="15"/>
      <c r="CH146" s="15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29"/>
      <c r="DU146" s="37"/>
      <c r="DV146" s="37"/>
      <c r="DW146" s="37"/>
      <c r="DX146" s="37"/>
      <c r="DY146" s="37"/>
      <c r="DZ146" s="37"/>
      <c r="EA146" s="37"/>
      <c r="EB146" s="29"/>
      <c r="EC146" s="36"/>
      <c r="ED146" s="36"/>
      <c r="EE146" s="36"/>
      <c r="EF146" s="37"/>
      <c r="EG146" s="2"/>
      <c r="EH146" s="37"/>
      <c r="EI146" s="2"/>
      <c r="EJ146" s="2"/>
      <c r="EK146" s="2"/>
      <c r="EL146" s="2"/>
      <c r="EM146" s="2"/>
      <c r="EN146" s="2"/>
      <c r="EO146" s="2"/>
      <c r="EP146" s="2"/>
      <c r="EQ146" s="37"/>
      <c r="ER146" s="37"/>
      <c r="ES146" s="37"/>
      <c r="ET146" s="37"/>
      <c r="EU146" s="37"/>
      <c r="EV146" s="37"/>
      <c r="EW146" s="37"/>
    </row>
    <row r="147" spans="1:153" ht="15.6">
      <c r="A147" s="36"/>
      <c r="B147" s="5"/>
      <c r="C147" s="37"/>
      <c r="D147" s="15"/>
      <c r="E147" s="15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6"/>
      <c r="U147" s="37"/>
      <c r="V147" s="37"/>
      <c r="W147" s="37"/>
      <c r="X147" s="37"/>
      <c r="Y147" s="37"/>
      <c r="Z147" s="37"/>
      <c r="AA147" s="37"/>
      <c r="AB147" s="36"/>
      <c r="AC147" s="36"/>
      <c r="AD147" s="36"/>
      <c r="AE147" s="36"/>
      <c r="AF147" s="37"/>
      <c r="AG147" s="13"/>
      <c r="AH147" s="37"/>
      <c r="AI147" s="37"/>
      <c r="AJ147" s="37"/>
      <c r="AK147" s="37"/>
      <c r="AL147" s="15"/>
      <c r="AM147" s="15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6"/>
      <c r="BX147" s="36"/>
      <c r="BY147" s="36"/>
      <c r="BZ147" s="37"/>
      <c r="CA147" s="12"/>
      <c r="CB147" s="37"/>
      <c r="CC147" s="37"/>
      <c r="CD147" s="37"/>
      <c r="CE147" s="37"/>
      <c r="CF147" s="37"/>
      <c r="CG147" s="15"/>
      <c r="CH147" s="15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29"/>
      <c r="DU147" s="37"/>
      <c r="DV147" s="37"/>
      <c r="DW147" s="37"/>
      <c r="DX147" s="37"/>
      <c r="DY147" s="37"/>
      <c r="DZ147" s="37"/>
      <c r="EA147" s="37"/>
      <c r="EB147" s="29"/>
      <c r="EC147" s="36"/>
      <c r="ED147" s="36"/>
      <c r="EE147" s="36"/>
      <c r="EF147" s="37"/>
      <c r="EG147" s="2"/>
      <c r="EH147" s="37"/>
      <c r="EI147" s="2"/>
      <c r="EJ147" s="2"/>
      <c r="EK147" s="2"/>
      <c r="EL147" s="2"/>
      <c r="EM147" s="2"/>
      <c r="EN147" s="2"/>
      <c r="EO147" s="2"/>
      <c r="EP147" s="2"/>
      <c r="EQ147" s="37"/>
      <c r="ER147" s="37"/>
      <c r="ES147" s="37"/>
      <c r="ET147" s="37"/>
      <c r="EU147" s="37"/>
      <c r="EV147" s="37"/>
      <c r="EW147" s="37"/>
    </row>
    <row r="148" spans="1:153" ht="15.6">
      <c r="A148" s="36"/>
      <c r="B148" s="5"/>
      <c r="C148" s="37"/>
      <c r="D148" s="15"/>
      <c r="E148" s="15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6"/>
      <c r="U148" s="14"/>
      <c r="V148" s="14"/>
      <c r="W148" s="14"/>
      <c r="X148" s="14"/>
      <c r="Y148" s="14"/>
      <c r="Z148" s="14"/>
      <c r="AA148" s="14"/>
      <c r="AB148" s="36"/>
      <c r="AC148" s="36"/>
      <c r="AD148" s="36"/>
      <c r="AE148" s="36"/>
      <c r="AF148" s="37"/>
      <c r="AG148" s="13"/>
      <c r="AH148" s="37"/>
      <c r="AI148" s="37"/>
      <c r="AJ148" s="37"/>
      <c r="AK148" s="37"/>
      <c r="AL148" s="15"/>
      <c r="AM148" s="15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14"/>
      <c r="BP148" s="37"/>
      <c r="BQ148" s="37"/>
      <c r="BR148" s="37"/>
      <c r="BS148" s="37"/>
      <c r="BT148" s="37"/>
      <c r="BU148" s="37"/>
      <c r="BV148" s="37"/>
      <c r="BW148" s="36"/>
      <c r="BX148" s="36"/>
      <c r="BY148" s="36"/>
      <c r="BZ148" s="37"/>
      <c r="CA148" s="12"/>
      <c r="CB148" s="37"/>
      <c r="CC148" s="37"/>
      <c r="CD148" s="37"/>
      <c r="CE148" s="37"/>
      <c r="CF148" s="37"/>
      <c r="CG148" s="15"/>
      <c r="CH148" s="15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29"/>
      <c r="DU148" s="37"/>
      <c r="DV148" s="37"/>
      <c r="DW148" s="37"/>
      <c r="DX148" s="37"/>
      <c r="DY148" s="37"/>
      <c r="DZ148" s="37"/>
      <c r="EA148" s="37"/>
      <c r="EB148" s="29"/>
      <c r="EC148" s="36"/>
      <c r="ED148" s="36"/>
      <c r="EE148" s="36"/>
      <c r="EF148" s="37"/>
      <c r="EG148" s="2"/>
      <c r="EH148" s="37"/>
      <c r="EI148" s="2"/>
      <c r="EJ148" s="2"/>
      <c r="EK148" s="2"/>
      <c r="EL148" s="2"/>
      <c r="EM148" s="2"/>
      <c r="EN148" s="2"/>
      <c r="EO148" s="2"/>
      <c r="EP148" s="2"/>
      <c r="EQ148" s="37"/>
      <c r="ER148" s="37"/>
      <c r="ES148" s="37"/>
      <c r="ET148" s="37"/>
      <c r="EU148" s="37"/>
      <c r="EV148" s="37"/>
      <c r="EW148" s="37"/>
    </row>
    <row r="149" spans="1:153" ht="15.6">
      <c r="A149" s="36"/>
      <c r="B149" s="5"/>
      <c r="C149" s="37"/>
      <c r="D149" s="15"/>
      <c r="E149" s="15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6"/>
      <c r="U149" s="14"/>
      <c r="V149" s="14"/>
      <c r="W149" s="37"/>
      <c r="X149" s="37"/>
      <c r="Y149" s="37"/>
      <c r="Z149" s="37"/>
      <c r="AA149" s="37"/>
      <c r="AB149" s="36"/>
      <c r="AC149" s="36"/>
      <c r="AD149" s="36"/>
      <c r="AE149" s="36"/>
      <c r="AF149" s="37"/>
      <c r="AG149" s="13"/>
      <c r="AH149" s="37"/>
      <c r="AI149" s="37"/>
      <c r="AJ149" s="37"/>
      <c r="AK149" s="37"/>
      <c r="AL149" s="15"/>
      <c r="AM149" s="15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21"/>
      <c r="BP149" s="37"/>
      <c r="BQ149" s="37"/>
      <c r="BR149" s="37"/>
      <c r="BS149" s="37"/>
      <c r="BT149" s="37"/>
      <c r="BU149" s="37"/>
      <c r="BV149" s="37"/>
      <c r="BW149" s="36"/>
      <c r="BX149" s="36"/>
      <c r="BY149" s="36"/>
      <c r="BZ149" s="37"/>
      <c r="CA149" s="12"/>
      <c r="CB149" s="37"/>
      <c r="CC149" s="37"/>
      <c r="CD149" s="37"/>
      <c r="CE149" s="37"/>
      <c r="CF149" s="37"/>
      <c r="CG149" s="15"/>
      <c r="CH149" s="15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29"/>
      <c r="DU149" s="37"/>
      <c r="DV149" s="37"/>
      <c r="DW149" s="37"/>
      <c r="DX149" s="37"/>
      <c r="DY149" s="37"/>
      <c r="DZ149" s="37"/>
      <c r="EA149" s="37"/>
      <c r="EB149" s="29"/>
      <c r="EC149" s="36"/>
      <c r="ED149" s="36"/>
      <c r="EE149" s="36"/>
      <c r="EF149" s="37"/>
      <c r="EG149" s="2"/>
      <c r="EH149" s="37"/>
      <c r="EI149" s="2"/>
      <c r="EJ149" s="2"/>
      <c r="EK149" s="2"/>
      <c r="EL149" s="2"/>
      <c r="EM149" s="2"/>
      <c r="EN149" s="2"/>
      <c r="EO149" s="2"/>
      <c r="EP149" s="2"/>
      <c r="EQ149" s="37"/>
      <c r="ER149" s="37"/>
      <c r="ES149" s="37"/>
      <c r="ET149" s="37"/>
      <c r="EU149" s="37"/>
      <c r="EV149" s="37"/>
      <c r="EW149" s="37"/>
    </row>
    <row r="150" spans="1:153" ht="15.6">
      <c r="A150" s="36"/>
      <c r="B150" s="5"/>
      <c r="C150" s="37"/>
      <c r="D150" s="15"/>
      <c r="E150" s="15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6"/>
      <c r="U150" s="37"/>
      <c r="V150" s="37"/>
      <c r="W150" s="14"/>
      <c r="X150" s="14"/>
      <c r="Y150" s="14"/>
      <c r="Z150" s="14"/>
      <c r="AA150" s="14"/>
      <c r="AB150" s="36"/>
      <c r="AC150" s="36"/>
      <c r="AD150" s="36"/>
      <c r="AE150" s="36"/>
      <c r="AF150" s="37"/>
      <c r="AG150" s="13"/>
      <c r="AH150" s="37"/>
      <c r="AI150" s="37"/>
      <c r="AJ150" s="37"/>
      <c r="AK150" s="37"/>
      <c r="AL150" s="15"/>
      <c r="AM150" s="15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14"/>
      <c r="BP150" s="14"/>
      <c r="BQ150" s="37"/>
      <c r="BR150" s="14"/>
      <c r="BS150" s="14"/>
      <c r="BT150" s="21"/>
      <c r="BU150" s="21"/>
      <c r="BV150" s="37"/>
      <c r="BW150" s="36"/>
      <c r="BX150" s="36"/>
      <c r="BY150" s="36"/>
      <c r="BZ150" s="37"/>
      <c r="CA150" s="12"/>
      <c r="CB150" s="37"/>
      <c r="CC150" s="37"/>
      <c r="CD150" s="37"/>
      <c r="CE150" s="37"/>
      <c r="CF150" s="37"/>
      <c r="CG150" s="15"/>
      <c r="CH150" s="15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29"/>
      <c r="DU150" s="37"/>
      <c r="DV150" s="37"/>
      <c r="DW150" s="37"/>
      <c r="DX150" s="37"/>
      <c r="DY150" s="37"/>
      <c r="DZ150" s="37"/>
      <c r="EA150" s="37"/>
      <c r="EB150" s="29"/>
      <c r="EC150" s="36"/>
      <c r="ED150" s="36"/>
      <c r="EE150" s="36"/>
      <c r="EF150" s="37"/>
      <c r="EG150" s="2"/>
      <c r="EH150" s="37"/>
      <c r="EI150" s="2"/>
      <c r="EJ150" s="2"/>
      <c r="EK150" s="2"/>
      <c r="EL150" s="2"/>
      <c r="EM150" s="2"/>
      <c r="EN150" s="2"/>
      <c r="EO150" s="2"/>
      <c r="EP150" s="2"/>
      <c r="EQ150" s="37"/>
      <c r="ER150" s="37"/>
      <c r="ES150" s="37"/>
      <c r="ET150" s="37"/>
      <c r="EU150" s="37"/>
      <c r="EV150" s="37"/>
      <c r="EW150" s="37"/>
    </row>
    <row r="151" spans="1:153" ht="15.6">
      <c r="A151" s="36"/>
      <c r="B151" s="5"/>
      <c r="C151" s="37"/>
      <c r="D151" s="15"/>
      <c r="E151" s="15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6"/>
      <c r="U151" s="37"/>
      <c r="V151" s="37"/>
      <c r="W151" s="37"/>
      <c r="X151" s="37"/>
      <c r="Y151" s="37"/>
      <c r="Z151" s="37"/>
      <c r="AA151" s="37"/>
      <c r="AB151" s="36"/>
      <c r="AC151" s="36"/>
      <c r="AD151" s="36"/>
      <c r="AE151" s="36"/>
      <c r="AF151" s="37"/>
      <c r="AG151" s="13"/>
      <c r="AH151" s="37"/>
      <c r="AI151" s="37"/>
      <c r="AJ151" s="37"/>
      <c r="AK151" s="37"/>
      <c r="AL151" s="15"/>
      <c r="AM151" s="15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6"/>
      <c r="BX151" s="36"/>
      <c r="BY151" s="36"/>
      <c r="BZ151" s="37"/>
      <c r="CA151" s="12"/>
      <c r="CB151" s="37"/>
      <c r="CC151" s="37"/>
      <c r="CD151" s="37"/>
      <c r="CE151" s="37"/>
      <c r="CF151" s="37"/>
      <c r="CG151" s="15"/>
      <c r="CH151" s="15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29"/>
      <c r="DU151" s="37"/>
      <c r="DV151" s="37"/>
      <c r="DW151" s="37"/>
      <c r="DX151" s="37"/>
      <c r="DY151" s="37"/>
      <c r="DZ151" s="37"/>
      <c r="EA151" s="37"/>
      <c r="EB151" s="29"/>
      <c r="EC151" s="36"/>
      <c r="ED151" s="36"/>
      <c r="EE151" s="36"/>
      <c r="EF151" s="37"/>
      <c r="EG151" s="2"/>
      <c r="EH151" s="37"/>
      <c r="EI151" s="2"/>
      <c r="EJ151" s="2"/>
      <c r="EK151" s="2"/>
      <c r="EL151" s="2"/>
      <c r="EM151" s="2"/>
      <c r="EN151" s="2"/>
      <c r="EO151" s="2"/>
      <c r="EP151" s="2"/>
      <c r="EQ151" s="37"/>
      <c r="ER151" s="37"/>
      <c r="ES151" s="37"/>
      <c r="ET151" s="37"/>
      <c r="EU151" s="37"/>
      <c r="EV151" s="37"/>
      <c r="EW151" s="37"/>
    </row>
    <row r="152" spans="1:153" ht="15.6">
      <c r="A152" s="36"/>
      <c r="B152" s="5"/>
      <c r="C152" s="37"/>
      <c r="D152" s="15"/>
      <c r="E152" s="15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6"/>
      <c r="U152" s="14"/>
      <c r="V152" s="14"/>
      <c r="W152" s="37"/>
      <c r="X152" s="37"/>
      <c r="Y152" s="37"/>
      <c r="Z152" s="37"/>
      <c r="AA152" s="37"/>
      <c r="AB152" s="36"/>
      <c r="AC152" s="36"/>
      <c r="AD152" s="36"/>
      <c r="AE152" s="36"/>
      <c r="AF152" s="37"/>
      <c r="AG152" s="13"/>
      <c r="AH152" s="37"/>
      <c r="AI152" s="37"/>
      <c r="AJ152" s="37"/>
      <c r="AK152" s="37"/>
      <c r="AL152" s="15"/>
      <c r="AM152" s="15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21"/>
      <c r="BP152" s="37"/>
      <c r="BQ152" s="37"/>
      <c r="BR152" s="37"/>
      <c r="BS152" s="37"/>
      <c r="BT152" s="37"/>
      <c r="BU152" s="37"/>
      <c r="BV152" s="37"/>
      <c r="BW152" s="36"/>
      <c r="BX152" s="36"/>
      <c r="BY152" s="36"/>
      <c r="BZ152" s="37"/>
      <c r="CA152" s="12"/>
      <c r="CB152" s="37"/>
      <c r="CC152" s="37"/>
      <c r="CD152" s="37"/>
      <c r="CE152" s="37"/>
      <c r="CF152" s="37"/>
      <c r="CG152" s="15"/>
      <c r="CH152" s="15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29"/>
      <c r="DU152" s="37"/>
      <c r="DV152" s="37"/>
      <c r="DW152" s="37"/>
      <c r="DX152" s="37"/>
      <c r="DY152" s="37"/>
      <c r="DZ152" s="37"/>
      <c r="EA152" s="37"/>
      <c r="EB152" s="29"/>
      <c r="EC152" s="36"/>
      <c r="ED152" s="36"/>
      <c r="EE152" s="36"/>
      <c r="EF152" s="37"/>
      <c r="EG152" s="2"/>
      <c r="EH152" s="37"/>
      <c r="EI152" s="2"/>
      <c r="EJ152" s="2"/>
      <c r="EK152" s="2"/>
      <c r="EL152" s="2"/>
      <c r="EM152" s="2"/>
      <c r="EN152" s="2"/>
      <c r="EO152" s="2"/>
      <c r="EP152" s="2"/>
      <c r="EQ152" s="37"/>
      <c r="ER152" s="37"/>
      <c r="ES152" s="37"/>
      <c r="ET152" s="37"/>
      <c r="EU152" s="37"/>
      <c r="EV152" s="37"/>
      <c r="EW152" s="37"/>
    </row>
    <row r="153" spans="1:153" ht="15.6">
      <c r="A153" s="36"/>
      <c r="B153" s="5"/>
      <c r="C153" s="37"/>
      <c r="D153" s="15"/>
      <c r="E153" s="15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6"/>
      <c r="U153" s="37"/>
      <c r="V153" s="37"/>
      <c r="W153" s="37"/>
      <c r="X153" s="37"/>
      <c r="Y153" s="37"/>
      <c r="Z153" s="37"/>
      <c r="AA153" s="37"/>
      <c r="AB153" s="36"/>
      <c r="AC153" s="36"/>
      <c r="AD153" s="36"/>
      <c r="AE153" s="36"/>
      <c r="AF153" s="37"/>
      <c r="AG153" s="13"/>
      <c r="AH153" s="37"/>
      <c r="AI153" s="37"/>
      <c r="AJ153" s="37"/>
      <c r="AK153" s="37"/>
      <c r="AL153" s="15"/>
      <c r="AM153" s="15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6"/>
      <c r="BX153" s="36"/>
      <c r="BY153" s="36"/>
      <c r="BZ153" s="37"/>
      <c r="CA153" s="12"/>
      <c r="CB153" s="37"/>
      <c r="CC153" s="37"/>
      <c r="CD153" s="37"/>
      <c r="CE153" s="37"/>
      <c r="CF153" s="37"/>
      <c r="CG153" s="15"/>
      <c r="CH153" s="15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29"/>
      <c r="DU153" s="37"/>
      <c r="DV153" s="37"/>
      <c r="DW153" s="37"/>
      <c r="DX153" s="37"/>
      <c r="DY153" s="37"/>
      <c r="DZ153" s="37"/>
      <c r="EA153" s="37"/>
      <c r="EB153" s="29"/>
      <c r="EC153" s="36"/>
      <c r="ED153" s="36"/>
      <c r="EE153" s="36"/>
      <c r="EF153" s="37"/>
      <c r="EG153" s="2"/>
      <c r="EH153" s="37"/>
      <c r="EI153" s="2"/>
      <c r="EJ153" s="2"/>
      <c r="EK153" s="2"/>
      <c r="EL153" s="2"/>
      <c r="EM153" s="2"/>
      <c r="EN153" s="2"/>
      <c r="EO153" s="2"/>
      <c r="EP153" s="2"/>
      <c r="EQ153" s="37"/>
      <c r="ER153" s="37"/>
      <c r="ES153" s="37"/>
      <c r="ET153" s="37"/>
      <c r="EU153" s="37"/>
      <c r="EV153" s="37"/>
      <c r="EW153" s="37"/>
    </row>
    <row r="154" spans="1:153" ht="15.6">
      <c r="A154" s="36"/>
      <c r="B154" s="5"/>
      <c r="C154" s="37"/>
      <c r="D154" s="15"/>
      <c r="E154" s="15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6"/>
      <c r="U154" s="14"/>
      <c r="V154" s="37"/>
      <c r="W154" s="37"/>
      <c r="X154" s="37"/>
      <c r="Y154" s="37"/>
      <c r="Z154" s="37"/>
      <c r="AA154" s="37"/>
      <c r="AB154" s="36"/>
      <c r="AC154" s="36"/>
      <c r="AD154" s="36"/>
      <c r="AE154" s="36"/>
      <c r="AF154" s="37"/>
      <c r="AG154" s="13"/>
      <c r="AH154" s="37"/>
      <c r="AI154" s="37"/>
      <c r="AJ154" s="37"/>
      <c r="AK154" s="37"/>
      <c r="AL154" s="15"/>
      <c r="AM154" s="15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21"/>
      <c r="BP154" s="37"/>
      <c r="BQ154" s="37"/>
      <c r="BR154" s="37"/>
      <c r="BS154" s="37"/>
      <c r="BT154" s="37"/>
      <c r="BU154" s="37"/>
      <c r="BV154" s="37"/>
      <c r="BW154" s="36"/>
      <c r="BX154" s="36"/>
      <c r="BY154" s="36"/>
      <c r="BZ154" s="37"/>
      <c r="CA154" s="12"/>
      <c r="CB154" s="37"/>
      <c r="CC154" s="37"/>
      <c r="CD154" s="37"/>
      <c r="CE154" s="37"/>
      <c r="CF154" s="37"/>
      <c r="CG154" s="15"/>
      <c r="CH154" s="15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29"/>
      <c r="DU154" s="37"/>
      <c r="DV154" s="37"/>
      <c r="DW154" s="37"/>
      <c r="DX154" s="37"/>
      <c r="DY154" s="37"/>
      <c r="DZ154" s="37"/>
      <c r="EA154" s="37"/>
      <c r="EB154" s="29"/>
      <c r="EC154" s="36"/>
      <c r="ED154" s="36"/>
      <c r="EE154" s="36"/>
      <c r="EF154" s="37"/>
      <c r="EG154" s="2"/>
      <c r="EH154" s="37"/>
      <c r="EI154" s="2"/>
      <c r="EJ154" s="2"/>
      <c r="EK154" s="2"/>
      <c r="EL154" s="2"/>
      <c r="EM154" s="2"/>
      <c r="EN154" s="2"/>
      <c r="EO154" s="2"/>
      <c r="EP154" s="2"/>
      <c r="EQ154" s="37"/>
      <c r="ER154" s="37"/>
      <c r="ES154" s="37"/>
      <c r="ET154" s="37"/>
      <c r="EU154" s="37"/>
      <c r="EV154" s="37"/>
      <c r="EW154" s="37"/>
    </row>
    <row r="155" spans="1:153" ht="15.6">
      <c r="A155" s="36"/>
      <c r="B155" s="5"/>
      <c r="C155" s="37"/>
      <c r="D155" s="15"/>
      <c r="E155" s="15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6"/>
      <c r="U155" s="37"/>
      <c r="V155" s="37"/>
      <c r="W155" s="37"/>
      <c r="X155" s="37"/>
      <c r="Y155" s="37"/>
      <c r="Z155" s="37"/>
      <c r="AA155" s="37"/>
      <c r="AB155" s="36"/>
      <c r="AC155" s="36"/>
      <c r="AD155" s="36"/>
      <c r="AE155" s="36"/>
      <c r="AF155" s="37"/>
      <c r="AG155" s="13"/>
      <c r="AH155" s="37"/>
      <c r="AI155" s="37"/>
      <c r="AJ155" s="37"/>
      <c r="AK155" s="37"/>
      <c r="AL155" s="15"/>
      <c r="AM155" s="15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6"/>
      <c r="BX155" s="36"/>
      <c r="BY155" s="36"/>
      <c r="BZ155" s="37"/>
      <c r="CA155" s="12"/>
      <c r="CB155" s="37"/>
      <c r="CC155" s="37"/>
      <c r="CD155" s="37"/>
      <c r="CE155" s="37"/>
      <c r="CF155" s="37"/>
      <c r="CG155" s="15"/>
      <c r="CH155" s="15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29"/>
      <c r="DU155" s="37"/>
      <c r="DV155" s="37"/>
      <c r="DW155" s="37"/>
      <c r="DX155" s="37"/>
      <c r="DY155" s="37"/>
      <c r="DZ155" s="37"/>
      <c r="EA155" s="37"/>
      <c r="EB155" s="29"/>
      <c r="EC155" s="36"/>
      <c r="ED155" s="36"/>
      <c r="EE155" s="36"/>
      <c r="EF155" s="37"/>
      <c r="EG155" s="2"/>
      <c r="EH155" s="37"/>
      <c r="EI155" s="2"/>
      <c r="EJ155" s="2"/>
      <c r="EK155" s="2"/>
      <c r="EL155" s="2"/>
      <c r="EM155" s="2"/>
      <c r="EN155" s="2"/>
      <c r="EO155" s="2"/>
      <c r="EP155" s="2"/>
      <c r="EQ155" s="37"/>
      <c r="ER155" s="37"/>
      <c r="ES155" s="37"/>
      <c r="ET155" s="37"/>
      <c r="EU155" s="37"/>
      <c r="EV155" s="37"/>
      <c r="EW155" s="37"/>
    </row>
    <row r="156" spans="1:153" ht="15.6">
      <c r="A156" s="36"/>
      <c r="B156" s="5"/>
      <c r="C156" s="37"/>
      <c r="D156" s="15"/>
      <c r="E156" s="15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6"/>
      <c r="U156" s="37"/>
      <c r="V156" s="37"/>
      <c r="W156" s="37"/>
      <c r="X156" s="37"/>
      <c r="Y156" s="37"/>
      <c r="Z156" s="37"/>
      <c r="AA156" s="37"/>
      <c r="AB156" s="36"/>
      <c r="AC156" s="36"/>
      <c r="AD156" s="36"/>
      <c r="AE156" s="36"/>
      <c r="AF156" s="37"/>
      <c r="AG156" s="13"/>
      <c r="AH156" s="37"/>
      <c r="AI156" s="37"/>
      <c r="AJ156" s="37"/>
      <c r="AK156" s="37"/>
      <c r="AL156" s="15"/>
      <c r="AM156" s="15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6"/>
      <c r="BX156" s="36"/>
      <c r="BY156" s="36"/>
      <c r="BZ156" s="37"/>
      <c r="CA156" s="12"/>
      <c r="CB156" s="37"/>
      <c r="CC156" s="37"/>
      <c r="CD156" s="37"/>
      <c r="CE156" s="37"/>
      <c r="CF156" s="37"/>
      <c r="CG156" s="15"/>
      <c r="CH156" s="15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29"/>
      <c r="DU156" s="37"/>
      <c r="DV156" s="37"/>
      <c r="DW156" s="37"/>
      <c r="DX156" s="37"/>
      <c r="DY156" s="37"/>
      <c r="DZ156" s="37"/>
      <c r="EA156" s="37"/>
      <c r="EB156" s="29"/>
      <c r="EC156" s="36"/>
      <c r="ED156" s="36"/>
      <c r="EE156" s="36"/>
      <c r="EF156" s="37"/>
      <c r="EG156" s="2"/>
      <c r="EH156" s="37"/>
      <c r="EI156" s="2"/>
      <c r="EJ156" s="2"/>
      <c r="EK156" s="2"/>
      <c r="EL156" s="2"/>
      <c r="EM156" s="2"/>
      <c r="EN156" s="2"/>
      <c r="EO156" s="2"/>
      <c r="EP156" s="2"/>
      <c r="EQ156" s="37"/>
      <c r="ER156" s="37"/>
      <c r="ES156" s="37"/>
      <c r="ET156" s="37"/>
      <c r="EU156" s="37"/>
      <c r="EV156" s="37"/>
      <c r="EW156" s="37"/>
    </row>
    <row r="157" spans="1:153" ht="15.6">
      <c r="A157" s="36"/>
      <c r="B157" s="5"/>
      <c r="C157" s="37"/>
      <c r="D157" s="15"/>
      <c r="E157" s="15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6"/>
      <c r="U157" s="37"/>
      <c r="V157" s="37"/>
      <c r="W157" s="37"/>
      <c r="X157" s="37"/>
      <c r="Y157" s="37"/>
      <c r="Z157" s="37"/>
      <c r="AA157" s="37"/>
      <c r="AB157" s="36"/>
      <c r="AC157" s="36"/>
      <c r="AD157" s="36"/>
      <c r="AE157" s="36"/>
      <c r="AF157" s="37"/>
      <c r="AG157" s="13"/>
      <c r="AH157" s="37"/>
      <c r="AI157" s="37"/>
      <c r="AJ157" s="37"/>
      <c r="AK157" s="37"/>
      <c r="AL157" s="15"/>
      <c r="AM157" s="15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6"/>
      <c r="BX157" s="36"/>
      <c r="BY157" s="36"/>
      <c r="BZ157" s="37"/>
      <c r="CA157" s="12"/>
      <c r="CB157" s="37"/>
      <c r="CC157" s="37"/>
      <c r="CD157" s="37"/>
      <c r="CE157" s="37"/>
      <c r="CF157" s="37"/>
      <c r="CG157" s="15"/>
      <c r="CH157" s="15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29"/>
      <c r="DU157" s="37"/>
      <c r="DV157" s="37"/>
      <c r="DW157" s="37"/>
      <c r="DX157" s="37"/>
      <c r="DY157" s="37"/>
      <c r="DZ157" s="37"/>
      <c r="EA157" s="37"/>
      <c r="EB157" s="29"/>
      <c r="EC157" s="36"/>
      <c r="ED157" s="36"/>
      <c r="EE157" s="36"/>
      <c r="EF157" s="37"/>
      <c r="EG157" s="2"/>
      <c r="EH157" s="37"/>
      <c r="EI157" s="2"/>
      <c r="EJ157" s="2"/>
      <c r="EK157" s="2"/>
      <c r="EL157" s="2"/>
      <c r="EM157" s="2"/>
      <c r="EN157" s="2"/>
      <c r="EO157" s="2"/>
      <c r="EP157" s="2"/>
      <c r="EQ157" s="37"/>
      <c r="ER157" s="37"/>
      <c r="ES157" s="37"/>
      <c r="ET157" s="37"/>
      <c r="EU157" s="37"/>
      <c r="EV157" s="37"/>
      <c r="EW157" s="37"/>
    </row>
    <row r="158" spans="1:153" ht="15.6">
      <c r="A158" s="36"/>
      <c r="B158" s="5"/>
      <c r="C158" s="37"/>
      <c r="D158" s="15"/>
      <c r="E158" s="15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6"/>
      <c r="U158" s="37"/>
      <c r="V158" s="37"/>
      <c r="W158" s="37"/>
      <c r="X158" s="37"/>
      <c r="Y158" s="37"/>
      <c r="Z158" s="37"/>
      <c r="AA158" s="37"/>
      <c r="AB158" s="36"/>
      <c r="AC158" s="36"/>
      <c r="AD158" s="36"/>
      <c r="AE158" s="36"/>
      <c r="AF158" s="37"/>
      <c r="AG158" s="13"/>
      <c r="AH158" s="37"/>
      <c r="AI158" s="37"/>
      <c r="AJ158" s="37"/>
      <c r="AK158" s="37"/>
      <c r="AL158" s="15"/>
      <c r="AM158" s="15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6"/>
      <c r="BX158" s="36"/>
      <c r="BY158" s="36"/>
      <c r="BZ158" s="37"/>
      <c r="CA158" s="12"/>
      <c r="CB158" s="37"/>
      <c r="CC158" s="37"/>
      <c r="CD158" s="37"/>
      <c r="CE158" s="37"/>
      <c r="CF158" s="37"/>
      <c r="CG158" s="15"/>
      <c r="CH158" s="15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29"/>
      <c r="DU158" s="37"/>
      <c r="DV158" s="37"/>
      <c r="DW158" s="37"/>
      <c r="DX158" s="37"/>
      <c r="DY158" s="37"/>
      <c r="DZ158" s="37"/>
      <c r="EA158" s="37"/>
      <c r="EB158" s="29"/>
      <c r="EC158" s="36"/>
      <c r="ED158" s="36"/>
      <c r="EE158" s="36"/>
      <c r="EF158" s="37"/>
      <c r="EG158" s="2"/>
      <c r="EH158" s="37"/>
      <c r="EI158" s="2"/>
      <c r="EJ158" s="2"/>
      <c r="EK158" s="2"/>
      <c r="EL158" s="2"/>
      <c r="EM158" s="2"/>
      <c r="EN158" s="2"/>
      <c r="EO158" s="2"/>
      <c r="EP158" s="2"/>
      <c r="EQ158" s="37"/>
      <c r="ER158" s="37"/>
      <c r="ES158" s="37"/>
      <c r="ET158" s="37"/>
      <c r="EU158" s="37"/>
      <c r="EV158" s="37"/>
      <c r="EW158" s="37"/>
    </row>
    <row r="159" spans="1:153" ht="15.6">
      <c r="A159" s="7"/>
      <c r="B159" s="6"/>
      <c r="C159" s="37"/>
      <c r="D159" s="15"/>
      <c r="E159" s="15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6"/>
      <c r="U159" s="14"/>
      <c r="V159" s="14"/>
      <c r="W159" s="14"/>
      <c r="X159" s="14"/>
      <c r="Y159" s="14"/>
      <c r="Z159" s="14"/>
      <c r="AA159" s="14"/>
      <c r="AB159" s="36"/>
      <c r="AC159" s="36"/>
      <c r="AD159" s="36"/>
      <c r="AE159" s="36"/>
      <c r="AF159" s="37"/>
      <c r="AG159" s="13"/>
      <c r="AH159" s="37"/>
      <c r="AI159" s="37"/>
      <c r="AJ159" s="37"/>
      <c r="AK159" s="37"/>
      <c r="AL159" s="15"/>
      <c r="AM159" s="15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14"/>
      <c r="BP159" s="14"/>
      <c r="BQ159" s="14"/>
      <c r="BR159" s="14"/>
      <c r="BS159" s="14"/>
      <c r="BT159" s="21"/>
      <c r="BU159" s="21"/>
      <c r="BV159" s="37"/>
      <c r="BW159" s="36"/>
      <c r="BX159" s="36"/>
      <c r="BY159" s="36"/>
      <c r="BZ159" s="37"/>
      <c r="CA159" s="12"/>
      <c r="CB159" s="37"/>
      <c r="CC159" s="37"/>
      <c r="CD159" s="37"/>
      <c r="CE159" s="37"/>
      <c r="CF159" s="37"/>
      <c r="CG159" s="15"/>
      <c r="CH159" s="15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29"/>
      <c r="DU159" s="37"/>
      <c r="DV159" s="37"/>
      <c r="DW159" s="37"/>
      <c r="DX159" s="37"/>
      <c r="DY159" s="37"/>
      <c r="DZ159" s="37"/>
      <c r="EA159" s="37"/>
      <c r="EB159" s="29"/>
      <c r="EC159" s="36"/>
      <c r="ED159" s="36"/>
      <c r="EE159" s="36"/>
      <c r="EF159" s="37"/>
      <c r="EG159" s="2"/>
      <c r="EH159" s="37"/>
      <c r="EI159" s="2"/>
      <c r="EJ159" s="2"/>
      <c r="EK159" s="2"/>
      <c r="EL159" s="2"/>
      <c r="EM159" s="2"/>
      <c r="EN159" s="2"/>
      <c r="EO159" s="2"/>
      <c r="EP159" s="2"/>
      <c r="EQ159" s="37"/>
      <c r="ER159" s="37"/>
      <c r="ES159" s="37"/>
      <c r="ET159" s="37"/>
      <c r="EU159" s="37"/>
      <c r="EV159" s="37"/>
      <c r="EW159" s="37"/>
    </row>
    <row r="160" spans="1:153" ht="15.6">
      <c r="A160" s="36"/>
      <c r="B160" s="5"/>
      <c r="C160" s="37"/>
      <c r="D160" s="15"/>
      <c r="E160" s="15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6"/>
      <c r="U160" s="37"/>
      <c r="V160" s="37"/>
      <c r="W160" s="14"/>
      <c r="X160" s="14"/>
      <c r="Y160" s="37"/>
      <c r="Z160" s="37"/>
      <c r="AA160" s="37"/>
      <c r="AB160" s="36"/>
      <c r="AC160" s="36"/>
      <c r="AD160" s="36"/>
      <c r="AE160" s="36"/>
      <c r="AF160" s="37"/>
      <c r="AG160" s="13"/>
      <c r="AH160" s="37"/>
      <c r="AI160" s="37"/>
      <c r="AJ160" s="37"/>
      <c r="AK160" s="37"/>
      <c r="AL160" s="15"/>
      <c r="AM160" s="15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6"/>
      <c r="BX160" s="36"/>
      <c r="BY160" s="36"/>
      <c r="BZ160" s="37"/>
      <c r="CA160" s="12"/>
      <c r="CB160" s="37"/>
      <c r="CC160" s="37"/>
      <c r="CD160" s="37"/>
      <c r="CE160" s="37"/>
      <c r="CF160" s="37"/>
      <c r="CG160" s="15"/>
      <c r="CH160" s="15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29"/>
      <c r="DU160" s="37"/>
      <c r="DV160" s="37"/>
      <c r="DW160" s="37"/>
      <c r="DX160" s="37"/>
      <c r="DY160" s="37"/>
      <c r="DZ160" s="37"/>
      <c r="EA160" s="37"/>
      <c r="EB160" s="29"/>
      <c r="EC160" s="36"/>
      <c r="ED160" s="36"/>
      <c r="EE160" s="36"/>
      <c r="EF160" s="37"/>
      <c r="EG160" s="2"/>
      <c r="EH160" s="37"/>
      <c r="EI160" s="2"/>
      <c r="EJ160" s="2"/>
      <c r="EK160" s="2"/>
      <c r="EL160" s="2"/>
      <c r="EM160" s="2"/>
      <c r="EN160" s="2"/>
      <c r="EO160" s="2"/>
      <c r="EP160" s="2"/>
      <c r="EQ160" s="37"/>
      <c r="ER160" s="37"/>
      <c r="ES160" s="37"/>
      <c r="ET160" s="37"/>
      <c r="EU160" s="37"/>
      <c r="EV160" s="37"/>
      <c r="EW160" s="37"/>
    </row>
    <row r="161" spans="1:153" ht="15.6">
      <c r="A161" s="36"/>
      <c r="B161" s="5"/>
      <c r="C161" s="37"/>
      <c r="D161" s="15"/>
      <c r="E161" s="15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6"/>
      <c r="U161" s="37"/>
      <c r="V161" s="37"/>
      <c r="W161" s="37"/>
      <c r="X161" s="37"/>
      <c r="Y161" s="37"/>
      <c r="Z161" s="37"/>
      <c r="AA161" s="37"/>
      <c r="AB161" s="36"/>
      <c r="AC161" s="36"/>
      <c r="AD161" s="36"/>
      <c r="AE161" s="36"/>
      <c r="AF161" s="37"/>
      <c r="AG161" s="13"/>
      <c r="AH161" s="37"/>
      <c r="AI161" s="37"/>
      <c r="AJ161" s="37"/>
      <c r="AK161" s="37"/>
      <c r="AL161" s="15"/>
      <c r="AM161" s="15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6"/>
      <c r="BX161" s="36"/>
      <c r="BY161" s="36"/>
      <c r="BZ161" s="37"/>
      <c r="CA161" s="12"/>
      <c r="CB161" s="37"/>
      <c r="CC161" s="37"/>
      <c r="CD161" s="37"/>
      <c r="CE161" s="37"/>
      <c r="CF161" s="37"/>
      <c r="CG161" s="15"/>
      <c r="CH161" s="15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29"/>
      <c r="DU161" s="37"/>
      <c r="DV161" s="37"/>
      <c r="DW161" s="37"/>
      <c r="DX161" s="37"/>
      <c r="DY161" s="37"/>
      <c r="DZ161" s="37"/>
      <c r="EA161" s="37"/>
      <c r="EB161" s="29"/>
      <c r="EC161" s="36"/>
      <c r="ED161" s="36"/>
      <c r="EE161" s="36"/>
      <c r="EF161" s="37"/>
      <c r="EG161" s="2"/>
      <c r="EH161" s="37"/>
      <c r="EI161" s="2"/>
      <c r="EJ161" s="2"/>
      <c r="EK161" s="2"/>
      <c r="EL161" s="2"/>
      <c r="EM161" s="2"/>
      <c r="EN161" s="2"/>
      <c r="EO161" s="2"/>
      <c r="EP161" s="2"/>
      <c r="EQ161" s="37"/>
      <c r="ER161" s="37"/>
      <c r="ES161" s="37"/>
      <c r="ET161" s="37"/>
      <c r="EU161" s="37"/>
      <c r="EV161" s="37"/>
      <c r="EW161" s="37"/>
    </row>
    <row r="162" spans="1:153" ht="15.6">
      <c r="A162" s="36"/>
      <c r="B162" s="5"/>
      <c r="C162" s="37"/>
      <c r="D162" s="15"/>
      <c r="E162" s="15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6"/>
      <c r="U162" s="37"/>
      <c r="V162" s="37"/>
      <c r="W162" s="37"/>
      <c r="X162" s="37"/>
      <c r="Y162" s="37"/>
      <c r="Z162" s="37"/>
      <c r="AA162" s="37"/>
      <c r="AB162" s="36"/>
      <c r="AC162" s="36"/>
      <c r="AD162" s="36"/>
      <c r="AE162" s="36"/>
      <c r="AF162" s="37"/>
      <c r="AG162" s="13"/>
      <c r="AH162" s="37"/>
      <c r="AI162" s="37"/>
      <c r="AJ162" s="37"/>
      <c r="AK162" s="37"/>
      <c r="AL162" s="15"/>
      <c r="AM162" s="15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6"/>
      <c r="BX162" s="36"/>
      <c r="BY162" s="36"/>
      <c r="BZ162" s="37"/>
      <c r="CA162" s="12"/>
      <c r="CB162" s="37"/>
      <c r="CC162" s="37"/>
      <c r="CD162" s="37"/>
      <c r="CE162" s="37"/>
      <c r="CF162" s="37"/>
      <c r="CG162" s="15"/>
      <c r="CH162" s="15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29"/>
      <c r="DU162" s="37"/>
      <c r="DV162" s="37"/>
      <c r="DW162" s="37"/>
      <c r="DX162" s="37"/>
      <c r="DY162" s="37"/>
      <c r="DZ162" s="37"/>
      <c r="EA162" s="37"/>
      <c r="EB162" s="29"/>
      <c r="EC162" s="36"/>
      <c r="ED162" s="36"/>
      <c r="EE162" s="36"/>
      <c r="EF162" s="37"/>
      <c r="EG162" s="2"/>
      <c r="EH162" s="37"/>
      <c r="EI162" s="2"/>
      <c r="EJ162" s="2"/>
      <c r="EK162" s="2"/>
      <c r="EL162" s="2"/>
      <c r="EM162" s="2"/>
      <c r="EN162" s="2"/>
      <c r="EO162" s="2"/>
      <c r="EP162" s="2"/>
      <c r="EQ162" s="37"/>
      <c r="ER162" s="37"/>
      <c r="ES162" s="37"/>
      <c r="ET162" s="37"/>
      <c r="EU162" s="37"/>
      <c r="EV162" s="37"/>
      <c r="EW162" s="37"/>
    </row>
    <row r="163" spans="1:153" ht="15.6">
      <c r="A163" s="36"/>
      <c r="B163" s="5"/>
      <c r="C163" s="37"/>
      <c r="D163" s="15"/>
      <c r="E163" s="15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6"/>
      <c r="U163" s="37"/>
      <c r="V163" s="37"/>
      <c r="W163" s="37"/>
      <c r="X163" s="37"/>
      <c r="Y163" s="37"/>
      <c r="Z163" s="37"/>
      <c r="AA163" s="37"/>
      <c r="AB163" s="36"/>
      <c r="AC163" s="36"/>
      <c r="AD163" s="36"/>
      <c r="AE163" s="36"/>
      <c r="AF163" s="37"/>
      <c r="AG163" s="13"/>
      <c r="AH163" s="37"/>
      <c r="AI163" s="37"/>
      <c r="AJ163" s="37"/>
      <c r="AK163" s="37"/>
      <c r="AL163" s="15"/>
      <c r="AM163" s="15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6"/>
      <c r="BX163" s="36"/>
      <c r="BY163" s="36"/>
      <c r="BZ163" s="37"/>
      <c r="CA163" s="12"/>
      <c r="CB163" s="37"/>
      <c r="CC163" s="37"/>
      <c r="CD163" s="37"/>
      <c r="CE163" s="37"/>
      <c r="CF163" s="37"/>
      <c r="CG163" s="15"/>
      <c r="CH163" s="15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29"/>
      <c r="DU163" s="37"/>
      <c r="DV163" s="37"/>
      <c r="DW163" s="37"/>
      <c r="DX163" s="37"/>
      <c r="DY163" s="37"/>
      <c r="DZ163" s="37"/>
      <c r="EA163" s="37"/>
      <c r="EB163" s="29"/>
      <c r="EC163" s="36"/>
      <c r="ED163" s="36"/>
      <c r="EE163" s="36"/>
      <c r="EF163" s="37"/>
      <c r="EG163" s="2"/>
      <c r="EH163" s="37"/>
      <c r="EI163" s="2"/>
      <c r="EJ163" s="2"/>
      <c r="EK163" s="2"/>
      <c r="EL163" s="2"/>
      <c r="EM163" s="2"/>
      <c r="EN163" s="2"/>
      <c r="EO163" s="2"/>
      <c r="EP163" s="2"/>
      <c r="EQ163" s="37"/>
      <c r="ER163" s="37"/>
      <c r="ES163" s="37"/>
      <c r="ET163" s="37"/>
      <c r="EU163" s="37"/>
      <c r="EV163" s="37"/>
      <c r="EW163" s="37"/>
    </row>
    <row r="164" spans="1:153" ht="15.6">
      <c r="A164" s="36"/>
      <c r="B164" s="5"/>
      <c r="C164" s="37"/>
      <c r="D164" s="15"/>
      <c r="E164" s="15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6"/>
      <c r="U164" s="14"/>
      <c r="V164" s="14"/>
      <c r="W164" s="37"/>
      <c r="X164" s="37"/>
      <c r="Y164" s="37"/>
      <c r="Z164" s="37"/>
      <c r="AA164" s="37"/>
      <c r="AB164" s="36"/>
      <c r="AC164" s="36"/>
      <c r="AD164" s="36"/>
      <c r="AE164" s="36"/>
      <c r="AF164" s="37"/>
      <c r="AG164" s="13"/>
      <c r="AH164" s="37"/>
      <c r="AI164" s="37"/>
      <c r="AJ164" s="37"/>
      <c r="AK164" s="37"/>
      <c r="AL164" s="15"/>
      <c r="AM164" s="15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21"/>
      <c r="BP164" s="37"/>
      <c r="BQ164" s="37"/>
      <c r="BR164" s="37"/>
      <c r="BS164" s="37"/>
      <c r="BT164" s="37"/>
      <c r="BU164" s="37"/>
      <c r="BV164" s="37"/>
      <c r="BW164" s="36"/>
      <c r="BX164" s="36"/>
      <c r="BY164" s="36"/>
      <c r="BZ164" s="37"/>
      <c r="CA164" s="12"/>
      <c r="CB164" s="37"/>
      <c r="CC164" s="37"/>
      <c r="CD164" s="37"/>
      <c r="CE164" s="37"/>
      <c r="CF164" s="37"/>
      <c r="CG164" s="15"/>
      <c r="CH164" s="15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/>
      <c r="DO164" s="37"/>
      <c r="DP164" s="37"/>
      <c r="DQ164" s="37"/>
      <c r="DR164" s="37"/>
      <c r="DS164" s="37"/>
      <c r="DT164" s="29"/>
      <c r="DU164" s="37"/>
      <c r="DV164" s="37"/>
      <c r="DW164" s="37"/>
      <c r="DX164" s="37"/>
      <c r="DY164" s="37"/>
      <c r="DZ164" s="37"/>
      <c r="EA164" s="37"/>
      <c r="EB164" s="29"/>
      <c r="EC164" s="36"/>
      <c r="ED164" s="36"/>
      <c r="EE164" s="36"/>
      <c r="EF164" s="37"/>
      <c r="EG164" s="2"/>
      <c r="EH164" s="37"/>
      <c r="EI164" s="2"/>
      <c r="EJ164" s="2"/>
      <c r="EK164" s="2"/>
      <c r="EL164" s="2"/>
      <c r="EM164" s="2"/>
      <c r="EN164" s="2"/>
      <c r="EO164" s="2"/>
      <c r="EP164" s="2"/>
      <c r="EQ164" s="37"/>
      <c r="ER164" s="37"/>
      <c r="ES164" s="37"/>
      <c r="ET164" s="37"/>
      <c r="EU164" s="37"/>
      <c r="EV164" s="37"/>
      <c r="EW164" s="37"/>
    </row>
    <row r="165" spans="1:153" ht="15.6">
      <c r="A165" s="36"/>
      <c r="B165" s="5"/>
      <c r="C165" s="37"/>
      <c r="D165" s="15"/>
      <c r="E165" s="15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6"/>
      <c r="U165" s="14"/>
      <c r="V165" s="14"/>
      <c r="W165" s="37"/>
      <c r="X165" s="37"/>
      <c r="Y165" s="37"/>
      <c r="Z165" s="14"/>
      <c r="AA165" s="14"/>
      <c r="AB165" s="36"/>
      <c r="AC165" s="36"/>
      <c r="AD165" s="36"/>
      <c r="AE165" s="36"/>
      <c r="AF165" s="37"/>
      <c r="AG165" s="13"/>
      <c r="AH165" s="37"/>
      <c r="AI165" s="37"/>
      <c r="AJ165" s="37"/>
      <c r="AK165" s="37"/>
      <c r="AL165" s="15"/>
      <c r="AM165" s="15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14"/>
      <c r="BP165" s="14"/>
      <c r="BQ165" s="14"/>
      <c r="BR165" s="14"/>
      <c r="BS165" s="14"/>
      <c r="BT165" s="37"/>
      <c r="BU165" s="37"/>
      <c r="BV165" s="37"/>
      <c r="BW165" s="36"/>
      <c r="BX165" s="36"/>
      <c r="BY165" s="36"/>
      <c r="BZ165" s="37"/>
      <c r="CA165" s="12"/>
      <c r="CB165" s="37"/>
      <c r="CC165" s="37"/>
      <c r="CD165" s="37"/>
      <c r="CE165" s="37"/>
      <c r="CF165" s="37"/>
      <c r="CG165" s="15"/>
      <c r="CH165" s="15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  <c r="DN165" s="37"/>
      <c r="DO165" s="37"/>
      <c r="DP165" s="37"/>
      <c r="DQ165" s="37"/>
      <c r="DR165" s="37"/>
      <c r="DS165" s="37"/>
      <c r="DT165" s="29"/>
      <c r="DU165" s="37"/>
      <c r="DV165" s="37"/>
      <c r="DW165" s="37"/>
      <c r="DX165" s="37"/>
      <c r="DY165" s="37"/>
      <c r="DZ165" s="37"/>
      <c r="EA165" s="37"/>
      <c r="EB165" s="29"/>
      <c r="EC165" s="36"/>
      <c r="ED165" s="36"/>
      <c r="EE165" s="36"/>
      <c r="EF165" s="37"/>
      <c r="EG165" s="2"/>
      <c r="EH165" s="37"/>
      <c r="EI165" s="2"/>
      <c r="EJ165" s="2"/>
      <c r="EK165" s="2"/>
      <c r="EL165" s="2"/>
      <c r="EM165" s="2"/>
      <c r="EN165" s="2"/>
      <c r="EO165" s="2"/>
      <c r="EP165" s="2"/>
      <c r="EQ165" s="37"/>
      <c r="ER165" s="37"/>
      <c r="ES165" s="37"/>
      <c r="ET165" s="37"/>
      <c r="EU165" s="37"/>
      <c r="EV165" s="37"/>
      <c r="EW165" s="37"/>
    </row>
    <row r="166" spans="1:153" ht="15.6">
      <c r="A166" s="36"/>
      <c r="B166" s="5"/>
      <c r="C166" s="37"/>
      <c r="D166" s="15"/>
      <c r="E166" s="15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6"/>
      <c r="U166" s="14"/>
      <c r="V166" s="14"/>
      <c r="W166" s="14"/>
      <c r="X166" s="37"/>
      <c r="Y166" s="37"/>
      <c r="Z166" s="14"/>
      <c r="AA166" s="14"/>
      <c r="AB166" s="36"/>
      <c r="AC166" s="36"/>
      <c r="AD166" s="36"/>
      <c r="AE166" s="36"/>
      <c r="AF166" s="37"/>
      <c r="AG166" s="13"/>
      <c r="AH166" s="37"/>
      <c r="AI166" s="37"/>
      <c r="AJ166" s="37"/>
      <c r="AK166" s="37"/>
      <c r="AL166" s="15"/>
      <c r="AM166" s="15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14"/>
      <c r="BP166" s="37"/>
      <c r="BQ166" s="37"/>
      <c r="BR166" s="37"/>
      <c r="BS166" s="14"/>
      <c r="BT166" s="21"/>
      <c r="BU166" s="21"/>
      <c r="BV166" s="37"/>
      <c r="BW166" s="36"/>
      <c r="BX166" s="36"/>
      <c r="BY166" s="36"/>
      <c r="BZ166" s="37"/>
      <c r="CA166" s="12"/>
      <c r="CB166" s="37"/>
      <c r="CC166" s="37"/>
      <c r="CD166" s="37"/>
      <c r="CE166" s="37"/>
      <c r="CF166" s="37"/>
      <c r="CG166" s="15"/>
      <c r="CH166" s="15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  <c r="DN166" s="37"/>
      <c r="DO166" s="37"/>
      <c r="DP166" s="37"/>
      <c r="DQ166" s="37"/>
      <c r="DR166" s="37"/>
      <c r="DS166" s="37"/>
      <c r="DT166" s="29"/>
      <c r="DU166" s="37"/>
      <c r="DV166" s="37"/>
      <c r="DW166" s="37"/>
      <c r="DX166" s="37"/>
      <c r="DY166" s="37"/>
      <c r="DZ166" s="37"/>
      <c r="EA166" s="37"/>
      <c r="EB166" s="29"/>
      <c r="EC166" s="36"/>
      <c r="ED166" s="36"/>
      <c r="EE166" s="36"/>
      <c r="EF166" s="37"/>
      <c r="EG166" s="2"/>
      <c r="EH166" s="37"/>
      <c r="EI166" s="2"/>
      <c r="EJ166" s="2"/>
      <c r="EK166" s="2"/>
      <c r="EL166" s="2"/>
      <c r="EM166" s="2"/>
      <c r="EN166" s="2"/>
      <c r="EO166" s="2"/>
      <c r="EP166" s="2"/>
      <c r="EQ166" s="37"/>
      <c r="ER166" s="37"/>
      <c r="ES166" s="37"/>
      <c r="ET166" s="37"/>
      <c r="EU166" s="37"/>
      <c r="EV166" s="37"/>
      <c r="EW166" s="37"/>
    </row>
    <row r="167" spans="1:153" ht="15.6">
      <c r="A167" s="36"/>
      <c r="B167" s="5"/>
      <c r="C167" s="37"/>
      <c r="D167" s="15"/>
      <c r="E167" s="15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6"/>
      <c r="U167" s="37"/>
      <c r="V167" s="14"/>
      <c r="W167" s="14"/>
      <c r="X167" s="14"/>
      <c r="Y167" s="14"/>
      <c r="Z167" s="14"/>
      <c r="AA167" s="14"/>
      <c r="AB167" s="36"/>
      <c r="AC167" s="36"/>
      <c r="AD167" s="36"/>
      <c r="AE167" s="36"/>
      <c r="AF167" s="37"/>
      <c r="AG167" s="13"/>
      <c r="AH167" s="37"/>
      <c r="AI167" s="37"/>
      <c r="AJ167" s="37"/>
      <c r="AK167" s="37"/>
      <c r="AL167" s="15"/>
      <c r="AM167" s="15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14"/>
      <c r="BP167" s="14"/>
      <c r="BQ167" s="14"/>
      <c r="BR167" s="14"/>
      <c r="BS167" s="14"/>
      <c r="BT167" s="21"/>
      <c r="BU167" s="21"/>
      <c r="BV167" s="37"/>
      <c r="BW167" s="36"/>
      <c r="BX167" s="36"/>
      <c r="BY167" s="36"/>
      <c r="BZ167" s="37"/>
      <c r="CA167" s="12"/>
      <c r="CB167" s="37"/>
      <c r="CC167" s="37"/>
      <c r="CD167" s="37"/>
      <c r="CE167" s="37"/>
      <c r="CF167" s="37"/>
      <c r="CG167" s="15"/>
      <c r="CH167" s="15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  <c r="DJ167" s="37"/>
      <c r="DK167" s="37"/>
      <c r="DL167" s="37"/>
      <c r="DM167" s="37"/>
      <c r="DN167" s="37"/>
      <c r="DO167" s="37"/>
      <c r="DP167" s="37"/>
      <c r="DQ167" s="37"/>
      <c r="DR167" s="37"/>
      <c r="DS167" s="37"/>
      <c r="DT167" s="29"/>
      <c r="DU167" s="37"/>
      <c r="DV167" s="37"/>
      <c r="DW167" s="37"/>
      <c r="DX167" s="37"/>
      <c r="DY167" s="37"/>
      <c r="DZ167" s="37"/>
      <c r="EA167" s="37"/>
      <c r="EB167" s="29"/>
      <c r="EC167" s="36"/>
      <c r="ED167" s="36"/>
      <c r="EE167" s="36"/>
      <c r="EF167" s="37"/>
      <c r="EG167" s="2"/>
      <c r="EH167" s="37"/>
      <c r="EI167" s="2"/>
      <c r="EJ167" s="2"/>
      <c r="EK167" s="2"/>
      <c r="EL167" s="2"/>
      <c r="EM167" s="2"/>
      <c r="EN167" s="2"/>
      <c r="EO167" s="2"/>
      <c r="EP167" s="2"/>
      <c r="EQ167" s="37"/>
      <c r="ER167" s="37"/>
      <c r="ES167" s="37"/>
      <c r="ET167" s="37"/>
      <c r="EU167" s="37"/>
      <c r="EV167" s="37"/>
      <c r="EW167" s="37"/>
    </row>
    <row r="168" spans="1:153" ht="15.6">
      <c r="A168" s="36"/>
      <c r="B168" s="5"/>
      <c r="C168" s="37"/>
      <c r="D168" s="15"/>
      <c r="E168" s="15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6"/>
      <c r="U168" s="37"/>
      <c r="V168" s="37"/>
      <c r="W168" s="37"/>
      <c r="X168" s="37"/>
      <c r="Y168" s="14"/>
      <c r="Z168" s="14"/>
      <c r="AA168" s="14"/>
      <c r="AB168" s="36"/>
      <c r="AC168" s="36"/>
      <c r="AD168" s="36"/>
      <c r="AE168" s="36"/>
      <c r="AF168" s="37"/>
      <c r="AG168" s="13"/>
      <c r="AH168" s="37"/>
      <c r="AI168" s="37"/>
      <c r="AJ168" s="37"/>
      <c r="AK168" s="37"/>
      <c r="AL168" s="15"/>
      <c r="AM168" s="15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14"/>
      <c r="BP168" s="14"/>
      <c r="BQ168" s="14"/>
      <c r="BR168" s="14"/>
      <c r="BS168" s="14"/>
      <c r="BT168" s="21"/>
      <c r="BU168" s="21"/>
      <c r="BV168" s="37"/>
      <c r="BW168" s="36"/>
      <c r="BX168" s="36"/>
      <c r="BY168" s="36"/>
      <c r="BZ168" s="37"/>
      <c r="CA168" s="12"/>
      <c r="CB168" s="37"/>
      <c r="CC168" s="37"/>
      <c r="CD168" s="37"/>
      <c r="CE168" s="37"/>
      <c r="CF168" s="37"/>
      <c r="CG168" s="15"/>
      <c r="CH168" s="15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  <c r="DN168" s="37"/>
      <c r="DO168" s="37"/>
      <c r="DP168" s="37"/>
      <c r="DQ168" s="37"/>
      <c r="DR168" s="37"/>
      <c r="DS168" s="37"/>
      <c r="DT168" s="29"/>
      <c r="DU168" s="37"/>
      <c r="DV168" s="37"/>
      <c r="DW168" s="37"/>
      <c r="DX168" s="37"/>
      <c r="DY168" s="37"/>
      <c r="DZ168" s="37"/>
      <c r="EA168" s="37"/>
      <c r="EB168" s="29"/>
      <c r="EC168" s="36"/>
      <c r="ED168" s="36"/>
      <c r="EE168" s="36"/>
      <c r="EF168" s="37"/>
      <c r="EG168" s="2"/>
      <c r="EH168" s="37"/>
      <c r="EI168" s="2"/>
      <c r="EJ168" s="2"/>
      <c r="EK168" s="2"/>
      <c r="EL168" s="2"/>
      <c r="EM168" s="2"/>
      <c r="EN168" s="2"/>
      <c r="EO168" s="2"/>
      <c r="EP168" s="2"/>
      <c r="EQ168" s="37"/>
      <c r="ER168" s="37"/>
      <c r="ES168" s="37"/>
      <c r="ET168" s="37"/>
      <c r="EU168" s="37"/>
      <c r="EV168" s="37"/>
      <c r="EW168" s="37"/>
    </row>
    <row r="169" spans="1:153" ht="15.6">
      <c r="A169" s="37"/>
      <c r="B169" s="2"/>
      <c r="C169" s="37"/>
      <c r="D169" s="15"/>
      <c r="E169" s="15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6"/>
      <c r="U169" s="37"/>
      <c r="V169" s="37"/>
      <c r="W169" s="37"/>
      <c r="X169" s="37"/>
      <c r="Y169" s="37"/>
      <c r="Z169" s="37"/>
      <c r="AA169" s="37"/>
      <c r="AB169" s="36"/>
      <c r="AC169" s="36"/>
      <c r="AD169" s="36"/>
      <c r="AE169" s="36"/>
      <c r="AF169" s="37"/>
      <c r="AG169" s="13"/>
      <c r="AH169" s="37"/>
      <c r="AI169" s="37"/>
      <c r="AJ169" s="37"/>
      <c r="AK169" s="37"/>
      <c r="AL169" s="15"/>
      <c r="AM169" s="15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6"/>
      <c r="BX169" s="36"/>
      <c r="BY169" s="36"/>
      <c r="BZ169" s="37"/>
      <c r="CA169" s="12"/>
      <c r="CB169" s="37"/>
      <c r="CC169" s="37"/>
      <c r="CD169" s="37"/>
      <c r="CE169" s="37"/>
      <c r="CF169" s="37"/>
      <c r="CG169" s="15"/>
      <c r="CH169" s="15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7"/>
      <c r="DJ169" s="37"/>
      <c r="DK169" s="37"/>
      <c r="DL169" s="37"/>
      <c r="DM169" s="37"/>
      <c r="DN169" s="37"/>
      <c r="DO169" s="37"/>
      <c r="DP169" s="37"/>
      <c r="DQ169" s="37"/>
      <c r="DR169" s="37"/>
      <c r="DS169" s="37"/>
      <c r="DT169" s="29"/>
      <c r="DU169" s="37"/>
      <c r="DV169" s="37"/>
      <c r="DW169" s="37"/>
      <c r="DX169" s="37"/>
      <c r="DY169" s="37"/>
      <c r="DZ169" s="37"/>
      <c r="EA169" s="37"/>
      <c r="EB169" s="29"/>
      <c r="EC169" s="36"/>
      <c r="ED169" s="36"/>
      <c r="EE169" s="36"/>
      <c r="EF169" s="37"/>
      <c r="EG169" s="2"/>
      <c r="EH169" s="37"/>
      <c r="EI169" s="2"/>
      <c r="EJ169" s="2"/>
      <c r="EK169" s="2"/>
      <c r="EL169" s="2"/>
      <c r="EM169" s="2"/>
      <c r="EN169" s="2"/>
      <c r="EO169" s="2"/>
      <c r="EP169" s="2"/>
      <c r="EQ169" s="37"/>
      <c r="ER169" s="37"/>
      <c r="ES169" s="37"/>
      <c r="ET169" s="37"/>
      <c r="EU169" s="37"/>
      <c r="EV169" s="37"/>
      <c r="EW169" s="37"/>
    </row>
    <row r="170" spans="1:153" ht="15.6">
      <c r="A170" s="36"/>
      <c r="B170" s="5"/>
      <c r="C170" s="37"/>
      <c r="D170" s="15"/>
      <c r="E170" s="15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6"/>
      <c r="U170" s="37"/>
      <c r="V170" s="37"/>
      <c r="W170" s="37"/>
      <c r="X170" s="37"/>
      <c r="Y170" s="37"/>
      <c r="Z170" s="37"/>
      <c r="AA170" s="37"/>
      <c r="AB170" s="36"/>
      <c r="AC170" s="36"/>
      <c r="AD170" s="36"/>
      <c r="AE170" s="36"/>
      <c r="AF170" s="37"/>
      <c r="AG170" s="13"/>
      <c r="AH170" s="37"/>
      <c r="AI170" s="37"/>
      <c r="AJ170" s="37"/>
      <c r="AK170" s="37"/>
      <c r="AL170" s="15"/>
      <c r="AM170" s="15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6"/>
      <c r="BX170" s="36"/>
      <c r="BY170" s="36"/>
      <c r="BZ170" s="37"/>
      <c r="CA170" s="12"/>
      <c r="CB170" s="37"/>
      <c r="CC170" s="37"/>
      <c r="CD170" s="37"/>
      <c r="CE170" s="37"/>
      <c r="CF170" s="37"/>
      <c r="CG170" s="15"/>
      <c r="CH170" s="15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7"/>
      <c r="DJ170" s="37"/>
      <c r="DK170" s="37"/>
      <c r="DL170" s="37"/>
      <c r="DM170" s="37"/>
      <c r="DN170" s="37"/>
      <c r="DO170" s="37"/>
      <c r="DP170" s="37"/>
      <c r="DQ170" s="37"/>
      <c r="DR170" s="37"/>
      <c r="DS170" s="37"/>
      <c r="DT170" s="29"/>
      <c r="DU170" s="37"/>
      <c r="DV170" s="37"/>
      <c r="DW170" s="37"/>
      <c r="DX170" s="37"/>
      <c r="DY170" s="37"/>
      <c r="DZ170" s="37"/>
      <c r="EA170" s="37"/>
      <c r="EB170" s="29"/>
      <c r="EC170" s="36"/>
      <c r="ED170" s="36"/>
      <c r="EE170" s="36"/>
      <c r="EF170" s="37"/>
      <c r="EG170" s="2"/>
      <c r="EH170" s="37"/>
      <c r="EI170" s="2"/>
      <c r="EJ170" s="2"/>
      <c r="EK170" s="2"/>
      <c r="EL170" s="2"/>
      <c r="EM170" s="2"/>
      <c r="EN170" s="2"/>
      <c r="EO170" s="2"/>
      <c r="EP170" s="2"/>
      <c r="EQ170" s="37"/>
      <c r="ER170" s="37"/>
      <c r="ES170" s="37"/>
      <c r="ET170" s="37"/>
      <c r="EU170" s="37"/>
      <c r="EV170" s="37"/>
      <c r="EW170" s="37"/>
    </row>
    <row r="171" spans="1:153" ht="15.6">
      <c r="A171" s="36"/>
      <c r="B171" s="5"/>
      <c r="C171" s="37"/>
      <c r="D171" s="15"/>
      <c r="E171" s="15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6"/>
      <c r="U171" s="37"/>
      <c r="V171" s="37"/>
      <c r="W171" s="37"/>
      <c r="X171" s="37"/>
      <c r="Y171" s="37"/>
      <c r="Z171" s="37"/>
      <c r="AA171" s="37"/>
      <c r="AB171" s="36"/>
      <c r="AC171" s="36"/>
      <c r="AD171" s="36"/>
      <c r="AE171" s="36"/>
      <c r="AF171" s="37"/>
      <c r="AG171" s="13"/>
      <c r="AH171" s="37"/>
      <c r="AI171" s="37"/>
      <c r="AJ171" s="37"/>
      <c r="AK171" s="37"/>
      <c r="AL171" s="15"/>
      <c r="AM171" s="15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6"/>
      <c r="BX171" s="36"/>
      <c r="BY171" s="36"/>
      <c r="BZ171" s="37"/>
      <c r="CA171" s="12"/>
      <c r="CB171" s="37"/>
      <c r="CC171" s="37"/>
      <c r="CD171" s="37"/>
      <c r="CE171" s="37"/>
      <c r="CF171" s="37"/>
      <c r="CG171" s="15"/>
      <c r="CH171" s="15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  <c r="DJ171" s="37"/>
      <c r="DK171" s="37"/>
      <c r="DL171" s="37"/>
      <c r="DM171" s="37"/>
      <c r="DN171" s="37"/>
      <c r="DO171" s="37"/>
      <c r="DP171" s="37"/>
      <c r="DQ171" s="37"/>
      <c r="DR171" s="37"/>
      <c r="DS171" s="37"/>
      <c r="DT171" s="29"/>
      <c r="DU171" s="37"/>
      <c r="DV171" s="37"/>
      <c r="DW171" s="37"/>
      <c r="DX171" s="37"/>
      <c r="DY171" s="37"/>
      <c r="DZ171" s="37"/>
      <c r="EA171" s="37"/>
      <c r="EB171" s="29"/>
      <c r="EC171" s="36"/>
      <c r="ED171" s="36"/>
      <c r="EE171" s="36"/>
      <c r="EF171" s="37"/>
      <c r="EG171" s="2"/>
      <c r="EH171" s="37"/>
      <c r="EI171" s="2"/>
      <c r="EJ171" s="2"/>
      <c r="EK171" s="2"/>
      <c r="EL171" s="2"/>
      <c r="EM171" s="2"/>
      <c r="EN171" s="2"/>
      <c r="EO171" s="2"/>
      <c r="EP171" s="2"/>
      <c r="EQ171" s="37"/>
      <c r="ER171" s="37"/>
      <c r="ES171" s="37"/>
      <c r="ET171" s="37"/>
      <c r="EU171" s="37"/>
      <c r="EV171" s="37"/>
      <c r="EW171" s="37"/>
    </row>
    <row r="172" spans="1:153" ht="15.6">
      <c r="A172" s="36"/>
      <c r="B172" s="5"/>
      <c r="C172" s="37"/>
      <c r="D172" s="15"/>
      <c r="E172" s="15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6"/>
      <c r="U172" s="37"/>
      <c r="V172" s="37"/>
      <c r="W172" s="37"/>
      <c r="X172" s="37"/>
      <c r="Y172" s="14"/>
      <c r="Z172" s="14"/>
      <c r="AA172" s="14"/>
      <c r="AB172" s="36"/>
      <c r="AC172" s="36"/>
      <c r="AD172" s="36"/>
      <c r="AE172" s="36"/>
      <c r="AF172" s="37"/>
      <c r="AG172" s="13"/>
      <c r="AH172" s="37"/>
      <c r="AI172" s="37"/>
      <c r="AJ172" s="37"/>
      <c r="AK172" s="37"/>
      <c r="AL172" s="15"/>
      <c r="AM172" s="15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14"/>
      <c r="BP172" s="14"/>
      <c r="BQ172" s="14"/>
      <c r="BR172" s="14"/>
      <c r="BS172" s="37"/>
      <c r="BT172" s="37"/>
      <c r="BU172" s="37"/>
      <c r="BV172" s="37"/>
      <c r="BW172" s="36"/>
      <c r="BX172" s="36"/>
      <c r="BY172" s="36"/>
      <c r="BZ172" s="37"/>
      <c r="CA172" s="12"/>
      <c r="CB172" s="37"/>
      <c r="CC172" s="37"/>
      <c r="CD172" s="37"/>
      <c r="CE172" s="37"/>
      <c r="CF172" s="37"/>
      <c r="CG172" s="15"/>
      <c r="CH172" s="15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  <c r="DN172" s="37"/>
      <c r="DO172" s="37"/>
      <c r="DP172" s="37"/>
      <c r="DQ172" s="37"/>
      <c r="DR172" s="37"/>
      <c r="DS172" s="37"/>
      <c r="DT172" s="29"/>
      <c r="DU172" s="37"/>
      <c r="DV172" s="37"/>
      <c r="DW172" s="37"/>
      <c r="DX172" s="37"/>
      <c r="DY172" s="37"/>
      <c r="DZ172" s="37"/>
      <c r="EA172" s="37"/>
      <c r="EB172" s="29"/>
      <c r="EC172" s="36"/>
      <c r="ED172" s="36"/>
      <c r="EE172" s="36"/>
      <c r="EF172" s="37"/>
      <c r="EG172" s="2"/>
      <c r="EH172" s="37"/>
      <c r="EI172" s="2"/>
      <c r="EJ172" s="2"/>
      <c r="EK172" s="2"/>
      <c r="EL172" s="2"/>
      <c r="EM172" s="2"/>
      <c r="EN172" s="2"/>
      <c r="EO172" s="2"/>
      <c r="EP172" s="2"/>
      <c r="EQ172" s="37"/>
      <c r="ER172" s="37"/>
      <c r="ES172" s="37"/>
      <c r="ET172" s="37"/>
      <c r="EU172" s="37"/>
      <c r="EV172" s="37"/>
      <c r="EW172" s="37"/>
    </row>
    <row r="173" spans="1:153" ht="15.6">
      <c r="A173" s="36"/>
      <c r="B173" s="5"/>
      <c r="C173" s="37"/>
      <c r="D173" s="15"/>
      <c r="E173" s="15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6"/>
      <c r="U173" s="14"/>
      <c r="V173" s="14"/>
      <c r="W173" s="37"/>
      <c r="X173" s="37"/>
      <c r="Y173" s="37"/>
      <c r="Z173" s="37"/>
      <c r="AA173" s="37"/>
      <c r="AB173" s="36"/>
      <c r="AC173" s="36"/>
      <c r="AD173" s="36"/>
      <c r="AE173" s="36"/>
      <c r="AF173" s="37"/>
      <c r="AG173" s="13"/>
      <c r="AH173" s="37"/>
      <c r="AI173" s="37"/>
      <c r="AJ173" s="37"/>
      <c r="AK173" s="37"/>
      <c r="AL173" s="15"/>
      <c r="AM173" s="15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21"/>
      <c r="BP173" s="37"/>
      <c r="BQ173" s="37"/>
      <c r="BR173" s="37"/>
      <c r="BS173" s="14"/>
      <c r="BT173" s="21"/>
      <c r="BU173" s="21"/>
      <c r="BV173" s="37"/>
      <c r="BW173" s="36"/>
      <c r="BX173" s="36"/>
      <c r="BY173" s="36"/>
      <c r="BZ173" s="37"/>
      <c r="CA173" s="12"/>
      <c r="CB173" s="37"/>
      <c r="CC173" s="37"/>
      <c r="CD173" s="37"/>
      <c r="CE173" s="37"/>
      <c r="CF173" s="37"/>
      <c r="CG173" s="15"/>
      <c r="CH173" s="15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  <c r="DJ173" s="37"/>
      <c r="DK173" s="37"/>
      <c r="DL173" s="37"/>
      <c r="DM173" s="37"/>
      <c r="DN173" s="37"/>
      <c r="DO173" s="37"/>
      <c r="DP173" s="37"/>
      <c r="DQ173" s="37"/>
      <c r="DR173" s="37"/>
      <c r="DS173" s="37"/>
      <c r="DT173" s="29"/>
      <c r="DU173" s="37"/>
      <c r="DV173" s="37"/>
      <c r="DW173" s="37"/>
      <c r="DX173" s="37"/>
      <c r="DY173" s="37"/>
      <c r="DZ173" s="37"/>
      <c r="EA173" s="37"/>
      <c r="EB173" s="29"/>
      <c r="EC173" s="36"/>
      <c r="ED173" s="36"/>
      <c r="EE173" s="36"/>
      <c r="EF173" s="37"/>
      <c r="EG173" s="2"/>
      <c r="EH173" s="37"/>
      <c r="EI173" s="2"/>
      <c r="EJ173" s="2"/>
      <c r="EK173" s="2"/>
      <c r="EL173" s="2"/>
      <c r="EM173" s="2"/>
      <c r="EN173" s="2"/>
      <c r="EO173" s="2"/>
      <c r="EP173" s="2"/>
      <c r="EQ173" s="37"/>
      <c r="ER173" s="37"/>
      <c r="ES173" s="37"/>
      <c r="ET173" s="37"/>
      <c r="EU173" s="37"/>
      <c r="EV173" s="37"/>
      <c r="EW173" s="37"/>
    </row>
    <row r="174" spans="1:153" ht="15.6">
      <c r="A174" s="36"/>
      <c r="B174" s="5"/>
      <c r="C174" s="37"/>
      <c r="D174" s="15"/>
      <c r="E174" s="15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6"/>
      <c r="U174" s="14"/>
      <c r="V174" s="14"/>
      <c r="W174" s="37"/>
      <c r="X174" s="37"/>
      <c r="Y174" s="37"/>
      <c r="Z174" s="37"/>
      <c r="AA174" s="37"/>
      <c r="AB174" s="36"/>
      <c r="AC174" s="36"/>
      <c r="AD174" s="36"/>
      <c r="AE174" s="36"/>
      <c r="AF174" s="37"/>
      <c r="AG174" s="13"/>
      <c r="AH174" s="37"/>
      <c r="AI174" s="37"/>
      <c r="AJ174" s="37"/>
      <c r="AK174" s="37"/>
      <c r="AL174" s="15"/>
      <c r="AM174" s="15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21"/>
      <c r="BP174" s="37"/>
      <c r="BQ174" s="14"/>
      <c r="BR174" s="14"/>
      <c r="BS174" s="14"/>
      <c r="BT174" s="37"/>
      <c r="BU174" s="37"/>
      <c r="BV174" s="37"/>
      <c r="BW174" s="36"/>
      <c r="BX174" s="36"/>
      <c r="BY174" s="36"/>
      <c r="BZ174" s="37"/>
      <c r="CA174" s="12"/>
      <c r="CB174" s="37"/>
      <c r="CC174" s="37"/>
      <c r="CD174" s="37"/>
      <c r="CE174" s="37"/>
      <c r="CF174" s="37"/>
      <c r="CG174" s="15"/>
      <c r="CH174" s="15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  <c r="DJ174" s="37"/>
      <c r="DK174" s="37"/>
      <c r="DL174" s="37"/>
      <c r="DM174" s="37"/>
      <c r="DN174" s="37"/>
      <c r="DO174" s="37"/>
      <c r="DP174" s="37"/>
      <c r="DQ174" s="37"/>
      <c r="DR174" s="37"/>
      <c r="DS174" s="37"/>
      <c r="DT174" s="29"/>
      <c r="DU174" s="37"/>
      <c r="DV174" s="37"/>
      <c r="DW174" s="37"/>
      <c r="DX174" s="37"/>
      <c r="DY174" s="37"/>
      <c r="DZ174" s="37"/>
      <c r="EA174" s="37"/>
      <c r="EB174" s="29"/>
      <c r="EC174" s="36"/>
      <c r="ED174" s="36"/>
      <c r="EE174" s="36"/>
      <c r="EF174" s="37"/>
      <c r="EG174" s="2"/>
      <c r="EH174" s="37"/>
      <c r="EI174" s="2"/>
      <c r="EJ174" s="2"/>
      <c r="EK174" s="2"/>
      <c r="EL174" s="2"/>
      <c r="EM174" s="2"/>
      <c r="EN174" s="2"/>
      <c r="EO174" s="2"/>
      <c r="EP174" s="2"/>
      <c r="EQ174" s="37"/>
      <c r="ER174" s="37"/>
      <c r="ES174" s="37"/>
      <c r="ET174" s="37"/>
      <c r="EU174" s="37"/>
      <c r="EV174" s="37"/>
      <c r="EW174" s="37"/>
    </row>
    <row r="175" spans="1:153" ht="15.6">
      <c r="A175" s="36"/>
      <c r="B175" s="5"/>
      <c r="C175" s="37"/>
      <c r="D175" s="15"/>
      <c r="E175" s="15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6"/>
      <c r="U175" s="37"/>
      <c r="V175" s="37"/>
      <c r="W175" s="37"/>
      <c r="X175" s="37"/>
      <c r="Y175" s="37"/>
      <c r="Z175" s="37"/>
      <c r="AA175" s="37"/>
      <c r="AB175" s="36"/>
      <c r="AC175" s="36"/>
      <c r="AD175" s="36"/>
      <c r="AE175" s="36"/>
      <c r="AF175" s="37"/>
      <c r="AG175" s="13"/>
      <c r="AH175" s="37"/>
      <c r="AI175" s="37"/>
      <c r="AJ175" s="37"/>
      <c r="AK175" s="37"/>
      <c r="AL175" s="15"/>
      <c r="AM175" s="15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6"/>
      <c r="BX175" s="36"/>
      <c r="BY175" s="36"/>
      <c r="BZ175" s="37"/>
      <c r="CA175" s="12"/>
      <c r="CB175" s="37"/>
      <c r="CC175" s="37"/>
      <c r="CD175" s="37"/>
      <c r="CE175" s="37"/>
      <c r="CF175" s="37"/>
      <c r="CG175" s="15"/>
      <c r="CH175" s="15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37"/>
      <c r="DK175" s="37"/>
      <c r="DL175" s="37"/>
      <c r="DM175" s="37"/>
      <c r="DN175" s="37"/>
      <c r="DO175" s="37"/>
      <c r="DP175" s="37"/>
      <c r="DQ175" s="37"/>
      <c r="DR175" s="37"/>
      <c r="DS175" s="37"/>
      <c r="DT175" s="29"/>
      <c r="DU175" s="37"/>
      <c r="DV175" s="37"/>
      <c r="DW175" s="37"/>
      <c r="DX175" s="37"/>
      <c r="DY175" s="37"/>
      <c r="DZ175" s="37"/>
      <c r="EA175" s="37"/>
      <c r="EB175" s="29"/>
      <c r="EC175" s="36"/>
      <c r="ED175" s="36"/>
      <c r="EE175" s="36"/>
      <c r="EF175" s="37"/>
      <c r="EG175" s="2"/>
      <c r="EH175" s="37"/>
      <c r="EI175" s="2"/>
      <c r="EJ175" s="2"/>
      <c r="EK175" s="2"/>
      <c r="EL175" s="2"/>
      <c r="EM175" s="2"/>
      <c r="EN175" s="2"/>
      <c r="EO175" s="2"/>
      <c r="EP175" s="2"/>
      <c r="EQ175" s="37"/>
      <c r="ER175" s="37"/>
      <c r="ES175" s="37"/>
      <c r="ET175" s="37"/>
      <c r="EU175" s="37"/>
      <c r="EV175" s="37"/>
      <c r="EW175" s="37"/>
    </row>
    <row r="176" spans="1:153" ht="15.6">
      <c r="A176" s="36"/>
      <c r="B176" s="5"/>
      <c r="C176" s="37"/>
      <c r="D176" s="15"/>
      <c r="E176" s="15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6"/>
      <c r="U176" s="37"/>
      <c r="V176" s="37"/>
      <c r="W176" s="37"/>
      <c r="X176" s="37"/>
      <c r="Y176" s="37"/>
      <c r="Z176" s="37"/>
      <c r="AA176" s="37"/>
      <c r="AB176" s="36"/>
      <c r="AC176" s="36"/>
      <c r="AD176" s="36"/>
      <c r="AE176" s="36"/>
      <c r="AF176" s="37"/>
      <c r="AG176" s="13"/>
      <c r="AH176" s="37"/>
      <c r="AI176" s="37"/>
      <c r="AJ176" s="37"/>
      <c r="AK176" s="37"/>
      <c r="AL176" s="15"/>
      <c r="AM176" s="15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6"/>
      <c r="BX176" s="36"/>
      <c r="BY176" s="36"/>
      <c r="BZ176" s="37"/>
      <c r="CA176" s="12"/>
      <c r="CB176" s="37"/>
      <c r="CC176" s="37"/>
      <c r="CD176" s="37"/>
      <c r="CE176" s="37"/>
      <c r="CF176" s="37"/>
      <c r="CG176" s="15"/>
      <c r="CH176" s="15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37"/>
      <c r="DK176" s="37"/>
      <c r="DL176" s="37"/>
      <c r="DM176" s="37"/>
      <c r="DN176" s="37"/>
      <c r="DO176" s="37"/>
      <c r="DP176" s="37"/>
      <c r="DQ176" s="37"/>
      <c r="DR176" s="37"/>
      <c r="DS176" s="37"/>
      <c r="DT176" s="29"/>
      <c r="DU176" s="37"/>
      <c r="DV176" s="37"/>
      <c r="DW176" s="37"/>
      <c r="DX176" s="37"/>
      <c r="DY176" s="37"/>
      <c r="DZ176" s="37"/>
      <c r="EA176" s="37"/>
      <c r="EB176" s="29"/>
      <c r="EC176" s="36"/>
      <c r="ED176" s="36"/>
      <c r="EE176" s="36"/>
      <c r="EF176" s="37"/>
      <c r="EG176" s="2"/>
      <c r="EH176" s="37"/>
      <c r="EI176" s="2"/>
      <c r="EJ176" s="2"/>
      <c r="EK176" s="2"/>
      <c r="EL176" s="2"/>
      <c r="EM176" s="2"/>
      <c r="EN176" s="2"/>
      <c r="EO176" s="2"/>
      <c r="EP176" s="2"/>
      <c r="EQ176" s="37"/>
      <c r="ER176" s="37"/>
      <c r="ES176" s="37"/>
      <c r="ET176" s="37"/>
      <c r="EU176" s="37"/>
      <c r="EV176" s="37"/>
      <c r="EW176" s="37"/>
    </row>
    <row r="177" spans="1:153" ht="15.6">
      <c r="A177" s="36"/>
      <c r="B177" s="5"/>
      <c r="C177" s="37"/>
      <c r="D177" s="15"/>
      <c r="E177" s="15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6"/>
      <c r="U177" s="37"/>
      <c r="V177" s="37"/>
      <c r="W177" s="37"/>
      <c r="X177" s="37"/>
      <c r="Y177" s="37"/>
      <c r="Z177" s="37"/>
      <c r="AA177" s="37"/>
      <c r="AB177" s="36"/>
      <c r="AC177" s="36"/>
      <c r="AD177" s="36"/>
      <c r="AE177" s="36"/>
      <c r="AF177" s="37"/>
      <c r="AG177" s="13"/>
      <c r="AH177" s="37"/>
      <c r="AI177" s="37"/>
      <c r="AJ177" s="37"/>
      <c r="AK177" s="37"/>
      <c r="AL177" s="15"/>
      <c r="AM177" s="15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6"/>
      <c r="BX177" s="36"/>
      <c r="BY177" s="36"/>
      <c r="BZ177" s="37"/>
      <c r="CA177" s="12"/>
      <c r="CB177" s="37"/>
      <c r="CC177" s="37"/>
      <c r="CD177" s="37"/>
      <c r="CE177" s="37"/>
      <c r="CF177" s="37"/>
      <c r="CG177" s="15"/>
      <c r="CH177" s="15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  <c r="DN177" s="37"/>
      <c r="DO177" s="37"/>
      <c r="DP177" s="37"/>
      <c r="DQ177" s="37"/>
      <c r="DR177" s="37"/>
      <c r="DS177" s="37"/>
      <c r="DT177" s="29"/>
      <c r="DU177" s="37"/>
      <c r="DV177" s="37"/>
      <c r="DW177" s="37"/>
      <c r="DX177" s="37"/>
      <c r="DY177" s="37"/>
      <c r="DZ177" s="37"/>
      <c r="EA177" s="37"/>
      <c r="EB177" s="29"/>
      <c r="EC177" s="36"/>
      <c r="ED177" s="36"/>
      <c r="EE177" s="36"/>
      <c r="EF177" s="37"/>
      <c r="EG177" s="2"/>
      <c r="EH177" s="37"/>
      <c r="EI177" s="2"/>
      <c r="EJ177" s="2"/>
      <c r="EK177" s="2"/>
      <c r="EL177" s="2"/>
      <c r="EM177" s="2"/>
      <c r="EN177" s="2"/>
      <c r="EO177" s="2"/>
      <c r="EP177" s="2"/>
      <c r="EQ177" s="37"/>
      <c r="ER177" s="37"/>
      <c r="ES177" s="37"/>
      <c r="ET177" s="37"/>
      <c r="EU177" s="37"/>
      <c r="EV177" s="37"/>
      <c r="EW177" s="37"/>
    </row>
    <row r="178" spans="1:153" ht="15.6">
      <c r="A178" s="36"/>
      <c r="B178" s="5"/>
      <c r="C178" s="37"/>
      <c r="D178" s="15"/>
      <c r="E178" s="15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6"/>
      <c r="U178" s="14"/>
      <c r="V178" s="14"/>
      <c r="W178" s="14"/>
      <c r="X178" s="14"/>
      <c r="Y178" s="14"/>
      <c r="Z178" s="14"/>
      <c r="AA178" s="14"/>
      <c r="AB178" s="36"/>
      <c r="AC178" s="36"/>
      <c r="AD178" s="36"/>
      <c r="AE178" s="36"/>
      <c r="AF178" s="37"/>
      <c r="AG178" s="13"/>
      <c r="AH178" s="37"/>
      <c r="AI178" s="37"/>
      <c r="AJ178" s="37"/>
      <c r="AK178" s="37"/>
      <c r="AL178" s="15"/>
      <c r="AM178" s="15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14"/>
      <c r="BP178" s="14"/>
      <c r="BQ178" s="14"/>
      <c r="BR178" s="14"/>
      <c r="BS178" s="14"/>
      <c r="BT178" s="21"/>
      <c r="BU178" s="21"/>
      <c r="BV178" s="37"/>
      <c r="BW178" s="36"/>
      <c r="BX178" s="36"/>
      <c r="BY178" s="36"/>
      <c r="BZ178" s="37"/>
      <c r="CA178" s="12"/>
      <c r="CB178" s="37"/>
      <c r="CC178" s="37"/>
      <c r="CD178" s="37"/>
      <c r="CE178" s="37"/>
      <c r="CF178" s="37"/>
      <c r="CG178" s="15"/>
      <c r="CH178" s="15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  <c r="DN178" s="37"/>
      <c r="DO178" s="37"/>
      <c r="DP178" s="37"/>
      <c r="DQ178" s="37"/>
      <c r="DR178" s="37"/>
      <c r="DS178" s="37"/>
      <c r="DT178" s="29"/>
      <c r="DU178" s="37"/>
      <c r="DV178" s="37"/>
      <c r="DW178" s="37"/>
      <c r="DX178" s="37"/>
      <c r="DY178" s="37"/>
      <c r="DZ178" s="37"/>
      <c r="EA178" s="37"/>
      <c r="EB178" s="29"/>
      <c r="EC178" s="36"/>
      <c r="ED178" s="36"/>
      <c r="EE178" s="36"/>
      <c r="EF178" s="37"/>
      <c r="EG178" s="2"/>
      <c r="EH178" s="37"/>
      <c r="EI178" s="2"/>
      <c r="EJ178" s="2"/>
      <c r="EK178" s="2"/>
      <c r="EL178" s="2"/>
      <c r="EM178" s="2"/>
      <c r="EN178" s="2"/>
      <c r="EO178" s="2"/>
      <c r="EP178" s="2"/>
      <c r="EQ178" s="37"/>
      <c r="ER178" s="37"/>
      <c r="ES178" s="37"/>
      <c r="ET178" s="37"/>
      <c r="EU178" s="37"/>
      <c r="EV178" s="37"/>
      <c r="EW178" s="37"/>
    </row>
    <row r="179" spans="1:153" ht="15.6">
      <c r="A179" s="36"/>
      <c r="B179" s="5"/>
      <c r="C179" s="37"/>
      <c r="D179" s="15"/>
      <c r="E179" s="15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6"/>
      <c r="U179" s="37"/>
      <c r="V179" s="37"/>
      <c r="W179" s="37"/>
      <c r="X179" s="37"/>
      <c r="Y179" s="37"/>
      <c r="Z179" s="37"/>
      <c r="AA179" s="37"/>
      <c r="AB179" s="36"/>
      <c r="AC179" s="36"/>
      <c r="AD179" s="36"/>
      <c r="AE179" s="36"/>
      <c r="AF179" s="37"/>
      <c r="AG179" s="13"/>
      <c r="AH179" s="37"/>
      <c r="AI179" s="37"/>
      <c r="AJ179" s="37"/>
      <c r="AK179" s="37"/>
      <c r="AL179" s="15"/>
      <c r="AM179" s="15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6"/>
      <c r="BX179" s="36"/>
      <c r="BY179" s="36"/>
      <c r="BZ179" s="37"/>
      <c r="CA179" s="12"/>
      <c r="CB179" s="37"/>
      <c r="CC179" s="37"/>
      <c r="CD179" s="37"/>
      <c r="CE179" s="37"/>
      <c r="CF179" s="37"/>
      <c r="CG179" s="15"/>
      <c r="CH179" s="15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  <c r="DN179" s="37"/>
      <c r="DO179" s="37"/>
      <c r="DP179" s="37"/>
      <c r="DQ179" s="37"/>
      <c r="DR179" s="37"/>
      <c r="DS179" s="37"/>
      <c r="DT179" s="29"/>
      <c r="DU179" s="37"/>
      <c r="DV179" s="37"/>
      <c r="DW179" s="37"/>
      <c r="DX179" s="37"/>
      <c r="DY179" s="37"/>
      <c r="DZ179" s="37"/>
      <c r="EA179" s="37"/>
      <c r="EB179" s="29"/>
      <c r="EC179" s="36"/>
      <c r="ED179" s="36"/>
      <c r="EE179" s="36"/>
      <c r="EF179" s="37"/>
      <c r="EG179" s="2"/>
      <c r="EH179" s="37"/>
      <c r="EI179" s="2"/>
      <c r="EJ179" s="2"/>
      <c r="EK179" s="2"/>
      <c r="EL179" s="2"/>
      <c r="EM179" s="2"/>
      <c r="EN179" s="2"/>
      <c r="EO179" s="2"/>
      <c r="EP179" s="2"/>
      <c r="EQ179" s="37"/>
      <c r="ER179" s="37"/>
      <c r="ES179" s="37"/>
      <c r="ET179" s="37"/>
      <c r="EU179" s="37"/>
      <c r="EV179" s="37"/>
      <c r="EW179" s="37"/>
    </row>
    <row r="180" spans="1:153" ht="15.6">
      <c r="A180" s="36"/>
      <c r="B180" s="5"/>
      <c r="C180" s="37"/>
      <c r="D180" s="15"/>
      <c r="E180" s="15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6"/>
      <c r="U180" s="37"/>
      <c r="V180" s="37"/>
      <c r="W180" s="37"/>
      <c r="X180" s="37"/>
      <c r="Y180" s="37"/>
      <c r="Z180" s="37"/>
      <c r="AA180" s="37"/>
      <c r="AB180" s="36"/>
      <c r="AC180" s="36"/>
      <c r="AD180" s="36"/>
      <c r="AE180" s="36"/>
      <c r="AF180" s="37"/>
      <c r="AG180" s="13"/>
      <c r="AH180" s="37"/>
      <c r="AI180" s="37"/>
      <c r="AJ180" s="37"/>
      <c r="AK180" s="37"/>
      <c r="AL180" s="15"/>
      <c r="AM180" s="15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6"/>
      <c r="BX180" s="36"/>
      <c r="BY180" s="36"/>
      <c r="BZ180" s="37"/>
      <c r="CA180" s="12"/>
      <c r="CB180" s="37"/>
      <c r="CC180" s="37"/>
      <c r="CD180" s="37"/>
      <c r="CE180" s="37"/>
      <c r="CF180" s="37"/>
      <c r="CG180" s="15"/>
      <c r="CH180" s="15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7"/>
      <c r="DR180" s="37"/>
      <c r="DS180" s="37"/>
      <c r="DT180" s="29"/>
      <c r="DU180" s="37"/>
      <c r="DV180" s="37"/>
      <c r="DW180" s="37"/>
      <c r="DX180" s="37"/>
      <c r="DY180" s="37"/>
      <c r="DZ180" s="37"/>
      <c r="EA180" s="37"/>
      <c r="EB180" s="29"/>
      <c r="EC180" s="36"/>
      <c r="ED180" s="36"/>
      <c r="EE180" s="36"/>
      <c r="EF180" s="37"/>
      <c r="EG180" s="2"/>
      <c r="EH180" s="37"/>
      <c r="EI180" s="2"/>
      <c r="EJ180" s="2"/>
      <c r="EK180" s="2"/>
      <c r="EL180" s="2"/>
      <c r="EM180" s="2"/>
      <c r="EN180" s="2"/>
      <c r="EO180" s="2"/>
      <c r="EP180" s="2"/>
      <c r="EQ180" s="37"/>
      <c r="ER180" s="37"/>
      <c r="ES180" s="37"/>
      <c r="ET180" s="37"/>
      <c r="EU180" s="37"/>
      <c r="EV180" s="37"/>
      <c r="EW180" s="37"/>
    </row>
    <row r="181" spans="1:153" ht="15.6">
      <c r="A181" s="36"/>
      <c r="B181" s="5"/>
      <c r="C181" s="37"/>
      <c r="D181" s="15"/>
      <c r="E181" s="15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6"/>
      <c r="U181" s="37"/>
      <c r="V181" s="37"/>
      <c r="W181" s="37"/>
      <c r="X181" s="37"/>
      <c r="Y181" s="37"/>
      <c r="Z181" s="37"/>
      <c r="AA181" s="37"/>
      <c r="AB181" s="36"/>
      <c r="AC181" s="36"/>
      <c r="AD181" s="36"/>
      <c r="AE181" s="36"/>
      <c r="AF181" s="37"/>
      <c r="AG181" s="13"/>
      <c r="AH181" s="37"/>
      <c r="AI181" s="37"/>
      <c r="AJ181" s="37"/>
      <c r="AK181" s="37"/>
      <c r="AL181" s="15"/>
      <c r="AM181" s="15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6"/>
      <c r="BX181" s="36"/>
      <c r="BY181" s="36"/>
      <c r="BZ181" s="37"/>
      <c r="CA181" s="12"/>
      <c r="CB181" s="37"/>
      <c r="CC181" s="37"/>
      <c r="CD181" s="37"/>
      <c r="CE181" s="37"/>
      <c r="CF181" s="37"/>
      <c r="CG181" s="15"/>
      <c r="CH181" s="15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  <c r="DN181" s="37"/>
      <c r="DO181" s="37"/>
      <c r="DP181" s="37"/>
      <c r="DQ181" s="37"/>
      <c r="DR181" s="37"/>
      <c r="DS181" s="37"/>
      <c r="DT181" s="29"/>
      <c r="DU181" s="37"/>
      <c r="DV181" s="37"/>
      <c r="DW181" s="37"/>
      <c r="DX181" s="37"/>
      <c r="DY181" s="37"/>
      <c r="DZ181" s="37"/>
      <c r="EA181" s="37"/>
      <c r="EB181" s="29"/>
      <c r="EC181" s="36"/>
      <c r="ED181" s="36"/>
      <c r="EE181" s="36"/>
      <c r="EF181" s="37"/>
      <c r="EG181" s="2"/>
      <c r="EH181" s="37"/>
      <c r="EI181" s="2"/>
      <c r="EJ181" s="2"/>
      <c r="EK181" s="2"/>
      <c r="EL181" s="2"/>
      <c r="EM181" s="2"/>
      <c r="EN181" s="2"/>
      <c r="EO181" s="2"/>
      <c r="EP181" s="2"/>
      <c r="EQ181" s="37"/>
      <c r="ER181" s="37"/>
      <c r="ES181" s="37"/>
      <c r="ET181" s="37"/>
      <c r="EU181" s="37"/>
      <c r="EV181" s="37"/>
      <c r="EW181" s="37"/>
    </row>
    <row r="182" spans="1:153" ht="15.6">
      <c r="A182" s="36"/>
      <c r="B182" s="4"/>
      <c r="C182" s="37"/>
      <c r="D182" s="15"/>
      <c r="E182" s="15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6"/>
      <c r="U182" s="14"/>
      <c r="V182" s="14"/>
      <c r="W182" s="14"/>
      <c r="X182" s="14"/>
      <c r="Y182" s="14"/>
      <c r="Z182" s="37"/>
      <c r="AA182" s="37"/>
      <c r="AB182" s="36"/>
      <c r="AC182" s="36"/>
      <c r="AD182" s="36"/>
      <c r="AE182" s="36"/>
      <c r="AF182" s="37"/>
      <c r="AG182" s="13"/>
      <c r="AH182" s="37"/>
      <c r="AI182" s="37"/>
      <c r="AJ182" s="37"/>
      <c r="AK182" s="37"/>
      <c r="AL182" s="15"/>
      <c r="AM182" s="15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21"/>
      <c r="BP182" s="37"/>
      <c r="BQ182" s="37"/>
      <c r="BR182" s="37"/>
      <c r="BS182" s="37"/>
      <c r="BT182" s="37"/>
      <c r="BU182" s="37"/>
      <c r="BV182" s="37"/>
      <c r="BW182" s="36"/>
      <c r="BX182" s="36"/>
      <c r="BY182" s="36"/>
      <c r="BZ182" s="37"/>
      <c r="CA182" s="12"/>
      <c r="CB182" s="37"/>
      <c r="CC182" s="37"/>
      <c r="CD182" s="37"/>
      <c r="CE182" s="37"/>
      <c r="CF182" s="37"/>
      <c r="CG182" s="15"/>
      <c r="CH182" s="15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  <c r="DN182" s="37"/>
      <c r="DO182" s="37"/>
      <c r="DP182" s="37"/>
      <c r="DQ182" s="37"/>
      <c r="DR182" s="37"/>
      <c r="DS182" s="37"/>
      <c r="DT182" s="29"/>
      <c r="DU182" s="37"/>
      <c r="DV182" s="37"/>
      <c r="DW182" s="37"/>
      <c r="DX182" s="37"/>
      <c r="DY182" s="37"/>
      <c r="DZ182" s="37"/>
      <c r="EA182" s="37"/>
      <c r="EB182" s="29"/>
      <c r="EC182" s="36"/>
      <c r="ED182" s="36"/>
      <c r="EE182" s="36"/>
      <c r="EF182" s="37"/>
      <c r="EG182" s="2"/>
      <c r="EH182" s="37"/>
      <c r="EI182" s="2"/>
      <c r="EJ182" s="2"/>
      <c r="EK182" s="2"/>
      <c r="EL182" s="2"/>
      <c r="EM182" s="2"/>
      <c r="EN182" s="2"/>
      <c r="EO182" s="2"/>
      <c r="EP182" s="2"/>
      <c r="EQ182" s="37"/>
      <c r="ER182" s="37"/>
      <c r="ES182" s="37"/>
      <c r="ET182" s="37"/>
      <c r="EU182" s="37"/>
      <c r="EV182" s="37"/>
      <c r="EW182" s="37"/>
    </row>
    <row r="183" spans="1:153" ht="15.6">
      <c r="A183" s="36"/>
      <c r="B183" s="5"/>
      <c r="C183" s="37"/>
      <c r="D183" s="15"/>
      <c r="E183" s="15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6"/>
      <c r="U183" s="14"/>
      <c r="V183" s="14"/>
      <c r="W183" s="14"/>
      <c r="X183" s="14"/>
      <c r="Y183" s="14"/>
      <c r="Z183" s="14"/>
      <c r="AA183" s="37"/>
      <c r="AB183" s="36"/>
      <c r="AC183" s="36"/>
      <c r="AD183" s="36"/>
      <c r="AE183" s="36"/>
      <c r="AF183" s="37"/>
      <c r="AG183" s="13"/>
      <c r="AH183" s="37"/>
      <c r="AI183" s="37"/>
      <c r="AJ183" s="37"/>
      <c r="AK183" s="37"/>
      <c r="AL183" s="15"/>
      <c r="AM183" s="15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21"/>
      <c r="BP183" s="14"/>
      <c r="BQ183" s="14"/>
      <c r="BR183" s="14"/>
      <c r="BS183" s="14"/>
      <c r="BT183" s="21"/>
      <c r="BU183" s="21"/>
      <c r="BV183" s="37"/>
      <c r="BW183" s="36"/>
      <c r="BX183" s="36"/>
      <c r="BY183" s="36"/>
      <c r="BZ183" s="37"/>
      <c r="CA183" s="12"/>
      <c r="CB183" s="37"/>
      <c r="CC183" s="37"/>
      <c r="CD183" s="37"/>
      <c r="CE183" s="37"/>
      <c r="CF183" s="37"/>
      <c r="CG183" s="15"/>
      <c r="CH183" s="15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29"/>
      <c r="DU183" s="37"/>
      <c r="DV183" s="37"/>
      <c r="DW183" s="37"/>
      <c r="DX183" s="37"/>
      <c r="DY183" s="37"/>
      <c r="DZ183" s="37"/>
      <c r="EA183" s="37"/>
      <c r="EB183" s="29"/>
      <c r="EC183" s="36"/>
      <c r="ED183" s="36"/>
      <c r="EE183" s="36"/>
      <c r="EF183" s="37"/>
      <c r="EG183" s="2"/>
      <c r="EH183" s="37"/>
      <c r="EI183" s="2"/>
      <c r="EJ183" s="2"/>
      <c r="EK183" s="2"/>
      <c r="EL183" s="2"/>
      <c r="EM183" s="2"/>
      <c r="EN183" s="2"/>
      <c r="EO183" s="2"/>
      <c r="EP183" s="2"/>
      <c r="EQ183" s="37"/>
      <c r="ER183" s="37"/>
      <c r="ES183" s="37"/>
      <c r="ET183" s="37"/>
      <c r="EU183" s="37"/>
      <c r="EV183" s="37"/>
      <c r="EW183" s="37"/>
    </row>
    <row r="184" spans="1:153" ht="15.6">
      <c r="A184" s="36"/>
      <c r="B184" s="5"/>
      <c r="C184" s="37"/>
      <c r="D184" s="15"/>
      <c r="E184" s="15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6"/>
      <c r="U184" s="37"/>
      <c r="V184" s="37"/>
      <c r="W184" s="37"/>
      <c r="X184" s="37"/>
      <c r="Y184" s="37"/>
      <c r="Z184" s="37"/>
      <c r="AA184" s="37"/>
      <c r="AB184" s="36"/>
      <c r="AC184" s="36"/>
      <c r="AD184" s="36"/>
      <c r="AE184" s="36"/>
      <c r="AF184" s="37"/>
      <c r="AG184" s="13"/>
      <c r="AH184" s="37"/>
      <c r="AI184" s="37"/>
      <c r="AJ184" s="37"/>
      <c r="AK184" s="37"/>
      <c r="AL184" s="15"/>
      <c r="AM184" s="15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6"/>
      <c r="BX184" s="36"/>
      <c r="BY184" s="36"/>
      <c r="BZ184" s="37"/>
      <c r="CA184" s="12"/>
      <c r="CB184" s="37"/>
      <c r="CC184" s="37"/>
      <c r="CD184" s="37"/>
      <c r="CE184" s="37"/>
      <c r="CF184" s="37"/>
      <c r="CG184" s="15"/>
      <c r="CH184" s="15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29"/>
      <c r="DU184" s="37"/>
      <c r="DV184" s="37"/>
      <c r="DW184" s="37"/>
      <c r="DX184" s="37"/>
      <c r="DY184" s="37"/>
      <c r="DZ184" s="37"/>
      <c r="EA184" s="37"/>
      <c r="EB184" s="29"/>
      <c r="EC184" s="36"/>
      <c r="ED184" s="36"/>
      <c r="EE184" s="36"/>
      <c r="EF184" s="37"/>
      <c r="EG184" s="2"/>
      <c r="EH184" s="37"/>
      <c r="EI184" s="2"/>
      <c r="EJ184" s="2"/>
      <c r="EK184" s="2"/>
      <c r="EL184" s="2"/>
      <c r="EM184" s="2"/>
      <c r="EN184" s="2"/>
      <c r="EO184" s="2"/>
      <c r="EP184" s="2"/>
      <c r="EQ184" s="37"/>
      <c r="ER184" s="37"/>
      <c r="ES184" s="37"/>
      <c r="ET184" s="37"/>
      <c r="EU184" s="37"/>
      <c r="EV184" s="37"/>
      <c r="EW184" s="37"/>
    </row>
    <row r="185" spans="1:153" ht="15.6">
      <c r="A185" s="36"/>
      <c r="B185" s="5"/>
      <c r="C185" s="37"/>
      <c r="D185" s="15"/>
      <c r="E185" s="15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6"/>
      <c r="U185" s="14"/>
      <c r="V185" s="14"/>
      <c r="W185" s="37"/>
      <c r="X185" s="37"/>
      <c r="Y185" s="37"/>
      <c r="Z185" s="37"/>
      <c r="AA185" s="37"/>
      <c r="AB185" s="36"/>
      <c r="AC185" s="36"/>
      <c r="AD185" s="36"/>
      <c r="AE185" s="36"/>
      <c r="AF185" s="37"/>
      <c r="AG185" s="13"/>
      <c r="AH185" s="37"/>
      <c r="AI185" s="37"/>
      <c r="AJ185" s="37"/>
      <c r="AK185" s="37"/>
      <c r="AL185" s="15"/>
      <c r="AM185" s="15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21"/>
      <c r="BP185" s="37"/>
      <c r="BQ185" s="37"/>
      <c r="BR185" s="37"/>
      <c r="BS185" s="37"/>
      <c r="BT185" s="37"/>
      <c r="BU185" s="37"/>
      <c r="BV185" s="37"/>
      <c r="BW185" s="36"/>
      <c r="BX185" s="36"/>
      <c r="BY185" s="36"/>
      <c r="BZ185" s="37"/>
      <c r="CA185" s="12"/>
      <c r="CB185" s="37"/>
      <c r="CC185" s="37"/>
      <c r="CD185" s="37"/>
      <c r="CE185" s="37"/>
      <c r="CF185" s="37"/>
      <c r="CG185" s="15"/>
      <c r="CH185" s="15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29"/>
      <c r="DU185" s="37"/>
      <c r="DV185" s="37"/>
      <c r="DW185" s="37"/>
      <c r="DX185" s="37"/>
      <c r="DY185" s="37"/>
      <c r="DZ185" s="37"/>
      <c r="EA185" s="37"/>
      <c r="EB185" s="29"/>
      <c r="EC185" s="36"/>
      <c r="ED185" s="36"/>
      <c r="EE185" s="36"/>
      <c r="EF185" s="37"/>
      <c r="EG185" s="2"/>
      <c r="EH185" s="37"/>
      <c r="EI185" s="2"/>
      <c r="EJ185" s="2"/>
      <c r="EK185" s="2"/>
      <c r="EL185" s="2"/>
      <c r="EM185" s="2"/>
      <c r="EN185" s="2"/>
      <c r="EO185" s="2"/>
      <c r="EP185" s="2"/>
      <c r="EQ185" s="37"/>
      <c r="ER185" s="37"/>
      <c r="ES185" s="37"/>
      <c r="ET185" s="37"/>
      <c r="EU185" s="37"/>
      <c r="EV185" s="37"/>
      <c r="EW185" s="37"/>
    </row>
    <row r="186" spans="1:153" ht="15.6">
      <c r="A186" s="36"/>
      <c r="B186" s="5"/>
      <c r="C186" s="37"/>
      <c r="D186" s="15"/>
      <c r="E186" s="15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6"/>
      <c r="U186" s="37"/>
      <c r="V186" s="37"/>
      <c r="W186" s="37"/>
      <c r="X186" s="37"/>
      <c r="Y186" s="37"/>
      <c r="Z186" s="14"/>
      <c r="AA186" s="14"/>
      <c r="AB186" s="36"/>
      <c r="AC186" s="36"/>
      <c r="AD186" s="36"/>
      <c r="AE186" s="36"/>
      <c r="AF186" s="37"/>
      <c r="AG186" s="13"/>
      <c r="AH186" s="37"/>
      <c r="AI186" s="37"/>
      <c r="AJ186" s="37"/>
      <c r="AK186" s="37"/>
      <c r="AL186" s="15"/>
      <c r="AM186" s="15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14"/>
      <c r="BP186" s="14"/>
      <c r="BQ186" s="14"/>
      <c r="BR186" s="14"/>
      <c r="BS186" s="14"/>
      <c r="BT186" s="21"/>
      <c r="BU186" s="21"/>
      <c r="BV186" s="37"/>
      <c r="BW186" s="36"/>
      <c r="BX186" s="36"/>
      <c r="BY186" s="36"/>
      <c r="BZ186" s="37"/>
      <c r="CA186" s="12"/>
      <c r="CB186" s="37"/>
      <c r="CC186" s="37"/>
      <c r="CD186" s="28"/>
      <c r="CE186" s="37"/>
      <c r="CF186" s="37"/>
      <c r="CG186" s="15"/>
      <c r="CH186" s="15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29"/>
      <c r="DU186" s="37"/>
      <c r="DV186" s="37"/>
      <c r="DW186" s="37"/>
      <c r="DX186" s="37"/>
      <c r="DY186" s="37"/>
      <c r="DZ186" s="37"/>
      <c r="EA186" s="37"/>
      <c r="EB186" s="29"/>
      <c r="EC186" s="36"/>
      <c r="ED186" s="36"/>
      <c r="EE186" s="36"/>
      <c r="EF186" s="37"/>
      <c r="EG186" s="2"/>
      <c r="EH186" s="37"/>
      <c r="EI186" s="2"/>
      <c r="EJ186" s="2"/>
      <c r="EK186" s="2"/>
      <c r="EL186" s="2"/>
      <c r="EM186" s="2"/>
      <c r="EN186" s="2"/>
      <c r="EO186" s="2"/>
      <c r="EP186" s="2"/>
      <c r="EQ186" s="37"/>
      <c r="ER186" s="37"/>
      <c r="ES186" s="37"/>
      <c r="ET186" s="37"/>
      <c r="EU186" s="37"/>
      <c r="EV186" s="37"/>
      <c r="EW186" s="37"/>
    </row>
    <row r="187" spans="1:153" ht="15.6">
      <c r="A187" s="36"/>
      <c r="B187" s="5"/>
      <c r="C187" s="37"/>
      <c r="D187" s="15"/>
      <c r="E187" s="15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6"/>
      <c r="U187" s="37"/>
      <c r="V187" s="37"/>
      <c r="W187" s="37"/>
      <c r="X187" s="37"/>
      <c r="Y187" s="37"/>
      <c r="Z187" s="37"/>
      <c r="AA187" s="37"/>
      <c r="AB187" s="36"/>
      <c r="AC187" s="36"/>
      <c r="AD187" s="36"/>
      <c r="AE187" s="36"/>
      <c r="AF187" s="37"/>
      <c r="AG187" s="13"/>
      <c r="AH187" s="37"/>
      <c r="AI187" s="37"/>
      <c r="AJ187" s="37"/>
      <c r="AK187" s="37"/>
      <c r="AL187" s="15"/>
      <c r="AM187" s="15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6"/>
      <c r="BX187" s="36"/>
      <c r="BY187" s="36"/>
      <c r="BZ187" s="37"/>
      <c r="CA187" s="12"/>
      <c r="CB187" s="37"/>
      <c r="CC187" s="37"/>
      <c r="CD187" s="37"/>
      <c r="CE187" s="37"/>
      <c r="CF187" s="37"/>
      <c r="CG187" s="15"/>
      <c r="CH187" s="15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29"/>
      <c r="DU187" s="37"/>
      <c r="DV187" s="37"/>
      <c r="DW187" s="37"/>
      <c r="DX187" s="37"/>
      <c r="DY187" s="37"/>
      <c r="DZ187" s="37"/>
      <c r="EA187" s="37"/>
      <c r="EB187" s="29"/>
      <c r="EC187" s="36"/>
      <c r="ED187" s="36"/>
      <c r="EE187" s="36"/>
      <c r="EF187" s="37"/>
      <c r="EG187" s="2"/>
      <c r="EH187" s="37"/>
      <c r="EI187" s="2"/>
      <c r="EJ187" s="2"/>
      <c r="EK187" s="2"/>
      <c r="EL187" s="2"/>
      <c r="EM187" s="2"/>
      <c r="EN187" s="2"/>
      <c r="EO187" s="2"/>
      <c r="EP187" s="2"/>
      <c r="EQ187" s="37"/>
      <c r="ER187" s="37"/>
      <c r="ES187" s="37"/>
      <c r="ET187" s="37"/>
      <c r="EU187" s="37"/>
      <c r="EV187" s="37"/>
      <c r="EW187" s="37"/>
    </row>
    <row r="188" spans="1:153" ht="15.6">
      <c r="A188" s="36"/>
      <c r="B188" s="5"/>
      <c r="C188" s="37"/>
      <c r="D188" s="15"/>
      <c r="E188" s="15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6"/>
      <c r="U188" s="37"/>
      <c r="V188" s="37"/>
      <c r="W188" s="37"/>
      <c r="X188" s="37"/>
      <c r="Y188" s="37"/>
      <c r="Z188" s="37"/>
      <c r="AA188" s="14"/>
      <c r="AB188" s="36"/>
      <c r="AC188" s="36"/>
      <c r="AD188" s="36"/>
      <c r="AE188" s="36"/>
      <c r="AF188" s="37"/>
      <c r="AG188" s="13"/>
      <c r="AH188" s="37"/>
      <c r="AI188" s="37"/>
      <c r="AJ188" s="37"/>
      <c r="AK188" s="37"/>
      <c r="AL188" s="15"/>
      <c r="AM188" s="15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14"/>
      <c r="BP188" s="14"/>
      <c r="BQ188" s="14"/>
      <c r="BR188" s="37"/>
      <c r="BS188" s="14"/>
      <c r="BT188" s="21"/>
      <c r="BU188" s="21"/>
      <c r="BV188" s="37"/>
      <c r="BW188" s="36"/>
      <c r="BX188" s="36"/>
      <c r="BY188" s="36"/>
      <c r="BZ188" s="37"/>
      <c r="CA188" s="12"/>
      <c r="CB188" s="37"/>
      <c r="CC188" s="37"/>
      <c r="CD188" s="37"/>
      <c r="CE188" s="37"/>
      <c r="CF188" s="37"/>
      <c r="CG188" s="15"/>
      <c r="CH188" s="15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29"/>
      <c r="DU188" s="37"/>
      <c r="DV188" s="37"/>
      <c r="DW188" s="37"/>
      <c r="DX188" s="37"/>
      <c r="DY188" s="37"/>
      <c r="DZ188" s="37"/>
      <c r="EA188" s="37"/>
      <c r="EB188" s="29"/>
      <c r="EC188" s="36"/>
      <c r="ED188" s="36"/>
      <c r="EE188" s="36"/>
      <c r="EF188" s="37"/>
      <c r="EG188" s="2"/>
      <c r="EH188" s="37"/>
      <c r="EI188" s="2"/>
      <c r="EJ188" s="2"/>
      <c r="EK188" s="2"/>
      <c r="EL188" s="2"/>
      <c r="EM188" s="2"/>
      <c r="EN188" s="2"/>
      <c r="EO188" s="2"/>
      <c r="EP188" s="2"/>
      <c r="EQ188" s="37"/>
      <c r="ER188" s="37"/>
      <c r="ES188" s="37"/>
      <c r="ET188" s="37"/>
      <c r="EU188" s="37"/>
      <c r="EV188" s="37"/>
      <c r="EW188" s="37"/>
    </row>
    <row r="189" spans="1:153" ht="15.6">
      <c r="A189" s="36"/>
      <c r="B189" s="5"/>
      <c r="C189" s="37"/>
      <c r="D189" s="15"/>
      <c r="E189" s="15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6"/>
      <c r="U189" s="37"/>
      <c r="V189" s="37"/>
      <c r="W189" s="37"/>
      <c r="X189" s="37"/>
      <c r="Y189" s="37"/>
      <c r="Z189" s="37"/>
      <c r="AA189" s="37"/>
      <c r="AB189" s="36"/>
      <c r="AC189" s="36"/>
      <c r="AD189" s="36"/>
      <c r="AE189" s="36"/>
      <c r="AF189" s="37"/>
      <c r="AG189" s="13"/>
      <c r="AH189" s="37"/>
      <c r="AI189" s="37"/>
      <c r="AJ189" s="37"/>
      <c r="AK189" s="37"/>
      <c r="AL189" s="15"/>
      <c r="AM189" s="15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6"/>
      <c r="BX189" s="36"/>
      <c r="BY189" s="36"/>
      <c r="BZ189" s="37"/>
      <c r="CA189" s="12"/>
      <c r="CB189" s="37"/>
      <c r="CC189" s="37"/>
      <c r="CD189" s="37"/>
      <c r="CE189" s="37"/>
      <c r="CF189" s="37"/>
      <c r="CG189" s="15"/>
      <c r="CH189" s="15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7"/>
      <c r="DR189" s="37"/>
      <c r="DS189" s="37"/>
      <c r="DT189" s="29"/>
      <c r="DU189" s="37"/>
      <c r="DV189" s="37"/>
      <c r="DW189" s="37"/>
      <c r="DX189" s="37"/>
      <c r="DY189" s="37"/>
      <c r="DZ189" s="37"/>
      <c r="EA189" s="37"/>
      <c r="EB189" s="29"/>
      <c r="EC189" s="36"/>
      <c r="ED189" s="36"/>
      <c r="EE189" s="36"/>
      <c r="EF189" s="37"/>
      <c r="EG189" s="2"/>
      <c r="EH189" s="37"/>
      <c r="EI189" s="2"/>
      <c r="EJ189" s="2"/>
      <c r="EK189" s="2"/>
      <c r="EL189" s="2"/>
      <c r="EM189" s="2"/>
      <c r="EN189" s="2"/>
      <c r="EO189" s="2"/>
      <c r="EP189" s="2"/>
      <c r="EQ189" s="37"/>
      <c r="ER189" s="37"/>
      <c r="ES189" s="37"/>
      <c r="ET189" s="37"/>
      <c r="EU189" s="37"/>
      <c r="EV189" s="37"/>
      <c r="EW189" s="37"/>
    </row>
    <row r="190" spans="1:153" ht="15.6">
      <c r="A190" s="36"/>
      <c r="B190" s="5"/>
      <c r="C190" s="37"/>
      <c r="D190" s="15"/>
      <c r="E190" s="15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6"/>
      <c r="U190" s="37"/>
      <c r="V190" s="37"/>
      <c r="W190" s="37"/>
      <c r="X190" s="37"/>
      <c r="Y190" s="37"/>
      <c r="Z190" s="37"/>
      <c r="AA190" s="37"/>
      <c r="AB190" s="36"/>
      <c r="AC190" s="36"/>
      <c r="AD190" s="36"/>
      <c r="AE190" s="36"/>
      <c r="AF190" s="37"/>
      <c r="AG190" s="13"/>
      <c r="AH190" s="37"/>
      <c r="AI190" s="37"/>
      <c r="AJ190" s="37"/>
      <c r="AK190" s="37"/>
      <c r="AL190" s="15"/>
      <c r="AM190" s="15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6"/>
      <c r="BX190" s="36"/>
      <c r="BY190" s="36"/>
      <c r="BZ190" s="37"/>
      <c r="CA190" s="12"/>
      <c r="CB190" s="37"/>
      <c r="CC190" s="37"/>
      <c r="CD190" s="37"/>
      <c r="CE190" s="37"/>
      <c r="CF190" s="37"/>
      <c r="CG190" s="15"/>
      <c r="CH190" s="15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29"/>
      <c r="DU190" s="37"/>
      <c r="DV190" s="37"/>
      <c r="DW190" s="37"/>
      <c r="DX190" s="37"/>
      <c r="DY190" s="37"/>
      <c r="DZ190" s="37"/>
      <c r="EA190" s="37"/>
      <c r="EB190" s="29"/>
      <c r="EC190" s="36"/>
      <c r="ED190" s="36"/>
      <c r="EE190" s="36"/>
      <c r="EF190" s="37"/>
      <c r="EG190" s="2"/>
      <c r="EH190" s="37"/>
      <c r="EI190" s="2"/>
      <c r="EJ190" s="2"/>
      <c r="EK190" s="2"/>
      <c r="EL190" s="2"/>
      <c r="EM190" s="2"/>
      <c r="EN190" s="2"/>
      <c r="EO190" s="2"/>
      <c r="EP190" s="2"/>
      <c r="EQ190" s="37"/>
      <c r="ER190" s="37"/>
      <c r="ES190" s="37"/>
      <c r="ET190" s="37"/>
      <c r="EU190" s="37"/>
      <c r="EV190" s="37"/>
      <c r="EW190" s="37"/>
    </row>
    <row r="191" spans="1:153" ht="15.6">
      <c r="A191" s="36"/>
      <c r="B191" s="5"/>
      <c r="C191" s="37"/>
      <c r="D191" s="15"/>
      <c r="E191" s="15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6"/>
      <c r="U191" s="37"/>
      <c r="V191" s="14"/>
      <c r="W191" s="14"/>
      <c r="X191" s="14"/>
      <c r="Y191" s="37"/>
      <c r="Z191" s="37"/>
      <c r="AA191" s="37"/>
      <c r="AB191" s="36"/>
      <c r="AC191" s="36"/>
      <c r="AD191" s="36"/>
      <c r="AE191" s="36"/>
      <c r="AF191" s="37"/>
      <c r="AG191" s="13"/>
      <c r="AH191" s="37"/>
      <c r="AI191" s="37"/>
      <c r="AJ191" s="37"/>
      <c r="AK191" s="37"/>
      <c r="AL191" s="15"/>
      <c r="AM191" s="15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6"/>
      <c r="BX191" s="36"/>
      <c r="BY191" s="36"/>
      <c r="BZ191" s="37"/>
      <c r="CA191" s="12"/>
      <c r="CB191" s="37"/>
      <c r="CC191" s="37"/>
      <c r="CD191" s="37"/>
      <c r="CE191" s="37"/>
      <c r="CF191" s="37"/>
      <c r="CG191" s="15"/>
      <c r="CH191" s="15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29"/>
      <c r="DU191" s="37"/>
      <c r="DV191" s="37"/>
      <c r="DW191" s="37"/>
      <c r="DX191" s="37"/>
      <c r="DY191" s="37"/>
      <c r="DZ191" s="37"/>
      <c r="EA191" s="37"/>
      <c r="EB191" s="29"/>
      <c r="EC191" s="36"/>
      <c r="ED191" s="36"/>
      <c r="EE191" s="36"/>
      <c r="EF191" s="37"/>
      <c r="EG191" s="2"/>
      <c r="EH191" s="37"/>
      <c r="EI191" s="2"/>
      <c r="EJ191" s="2"/>
      <c r="EK191" s="2"/>
      <c r="EL191" s="2"/>
      <c r="EM191" s="2"/>
      <c r="EN191" s="2"/>
      <c r="EO191" s="2"/>
      <c r="EP191" s="2"/>
      <c r="EQ191" s="37"/>
      <c r="ER191" s="37"/>
      <c r="ES191" s="37"/>
      <c r="ET191" s="37"/>
      <c r="EU191" s="37"/>
      <c r="EV191" s="37"/>
      <c r="EW191" s="37"/>
    </row>
    <row r="192" spans="1:153" ht="15.6">
      <c r="A192" s="36"/>
      <c r="B192" s="5"/>
      <c r="C192" s="37"/>
      <c r="D192" s="15"/>
      <c r="E192" s="15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6"/>
      <c r="U192" s="14"/>
      <c r="V192" s="14"/>
      <c r="W192" s="14"/>
      <c r="X192" s="14"/>
      <c r="Y192" s="14"/>
      <c r="Z192" s="14"/>
      <c r="AA192" s="14"/>
      <c r="AB192" s="36"/>
      <c r="AC192" s="36"/>
      <c r="AD192" s="36"/>
      <c r="AE192" s="36"/>
      <c r="AF192" s="37"/>
      <c r="AG192" s="13"/>
      <c r="AH192" s="37"/>
      <c r="AI192" s="37"/>
      <c r="AJ192" s="37"/>
      <c r="AK192" s="37"/>
      <c r="AL192" s="15"/>
      <c r="AM192" s="15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14"/>
      <c r="BP192" s="14"/>
      <c r="BQ192" s="14"/>
      <c r="BR192" s="14"/>
      <c r="BS192" s="14"/>
      <c r="BT192" s="21"/>
      <c r="BU192" s="21"/>
      <c r="BV192" s="37"/>
      <c r="BW192" s="36"/>
      <c r="BX192" s="36"/>
      <c r="BY192" s="36"/>
      <c r="BZ192" s="37"/>
      <c r="CA192" s="12"/>
      <c r="CB192" s="37"/>
      <c r="CC192" s="37"/>
      <c r="CD192" s="37"/>
      <c r="CE192" s="37"/>
      <c r="CF192" s="37"/>
      <c r="CG192" s="15"/>
      <c r="CH192" s="15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29"/>
      <c r="DU192" s="37"/>
      <c r="DV192" s="37"/>
      <c r="DW192" s="37"/>
      <c r="DX192" s="37"/>
      <c r="DY192" s="37"/>
      <c r="DZ192" s="37"/>
      <c r="EA192" s="37"/>
      <c r="EB192" s="29"/>
      <c r="EC192" s="36"/>
      <c r="ED192" s="36"/>
      <c r="EE192" s="36"/>
      <c r="EF192" s="37"/>
      <c r="EG192" s="2"/>
      <c r="EH192" s="37"/>
      <c r="EI192" s="2"/>
      <c r="EJ192" s="2"/>
      <c r="EK192" s="2"/>
      <c r="EL192" s="2"/>
      <c r="EM192" s="2"/>
      <c r="EN192" s="2"/>
      <c r="EO192" s="2"/>
      <c r="EP192" s="2"/>
      <c r="EQ192" s="37"/>
      <c r="ER192" s="37"/>
      <c r="ES192" s="37"/>
      <c r="ET192" s="37"/>
      <c r="EU192" s="37"/>
      <c r="EV192" s="37"/>
      <c r="EW192" s="37"/>
    </row>
    <row r="193" spans="1:153" ht="15.6">
      <c r="A193" s="36"/>
      <c r="B193" s="5"/>
      <c r="C193" s="37"/>
      <c r="D193" s="15"/>
      <c r="E193" s="15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6"/>
      <c r="U193" s="14"/>
      <c r="V193" s="37"/>
      <c r="W193" s="37"/>
      <c r="X193" s="37"/>
      <c r="Y193" s="37"/>
      <c r="Z193" s="37"/>
      <c r="AA193" s="37"/>
      <c r="AB193" s="36"/>
      <c r="AC193" s="36"/>
      <c r="AD193" s="36"/>
      <c r="AE193" s="36"/>
      <c r="AF193" s="37"/>
      <c r="AG193" s="13"/>
      <c r="AH193" s="37"/>
      <c r="AI193" s="37"/>
      <c r="AJ193" s="37"/>
      <c r="AK193" s="37"/>
      <c r="AL193" s="15"/>
      <c r="AM193" s="15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21"/>
      <c r="BP193" s="37"/>
      <c r="BQ193" s="37"/>
      <c r="BR193" s="37"/>
      <c r="BS193" s="37"/>
      <c r="BT193" s="37"/>
      <c r="BU193" s="37"/>
      <c r="BV193" s="37"/>
      <c r="BW193" s="36"/>
      <c r="BX193" s="36"/>
      <c r="BY193" s="36"/>
      <c r="BZ193" s="37"/>
      <c r="CA193" s="12"/>
      <c r="CB193" s="37"/>
      <c r="CC193" s="37"/>
      <c r="CD193" s="37"/>
      <c r="CE193" s="37"/>
      <c r="CF193" s="37"/>
      <c r="CG193" s="15"/>
      <c r="CH193" s="15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7"/>
      <c r="DR193" s="37"/>
      <c r="DS193" s="37"/>
      <c r="DT193" s="29"/>
      <c r="DU193" s="37"/>
      <c r="DV193" s="37"/>
      <c r="DW193" s="37"/>
      <c r="DX193" s="37"/>
      <c r="DY193" s="37"/>
      <c r="DZ193" s="37"/>
      <c r="EA193" s="37"/>
      <c r="EB193" s="29"/>
      <c r="EC193" s="36"/>
      <c r="ED193" s="36"/>
      <c r="EE193" s="36"/>
      <c r="EF193" s="37"/>
      <c r="EG193" s="2"/>
      <c r="EH193" s="37"/>
      <c r="EI193" s="2"/>
      <c r="EJ193" s="2"/>
      <c r="EK193" s="2"/>
      <c r="EL193" s="2"/>
      <c r="EM193" s="2"/>
      <c r="EN193" s="2"/>
      <c r="EO193" s="2"/>
      <c r="EP193" s="2"/>
      <c r="EQ193" s="37"/>
      <c r="ER193" s="37"/>
      <c r="ES193" s="37"/>
      <c r="ET193" s="37"/>
      <c r="EU193" s="37"/>
      <c r="EV193" s="37"/>
      <c r="EW193" s="37"/>
    </row>
    <row r="194" spans="1:153" ht="15.6">
      <c r="A194" s="36"/>
      <c r="B194" s="5"/>
      <c r="C194" s="37"/>
      <c r="D194" s="15"/>
      <c r="E194" s="15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6"/>
      <c r="U194" s="37"/>
      <c r="V194" s="37"/>
      <c r="W194" s="37"/>
      <c r="X194" s="37"/>
      <c r="Y194" s="37"/>
      <c r="Z194" s="37"/>
      <c r="AA194" s="37"/>
      <c r="AB194" s="36"/>
      <c r="AC194" s="36"/>
      <c r="AD194" s="36"/>
      <c r="AE194" s="36"/>
      <c r="AF194" s="37"/>
      <c r="AG194" s="13"/>
      <c r="AH194" s="37"/>
      <c r="AI194" s="37"/>
      <c r="AJ194" s="37"/>
      <c r="AK194" s="37"/>
      <c r="AL194" s="15"/>
      <c r="AM194" s="15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6"/>
      <c r="BX194" s="36"/>
      <c r="BY194" s="36"/>
      <c r="BZ194" s="37"/>
      <c r="CA194" s="12"/>
      <c r="CB194" s="37"/>
      <c r="CC194" s="37"/>
      <c r="CD194" s="37"/>
      <c r="CE194" s="37"/>
      <c r="CF194" s="37"/>
      <c r="CG194" s="15"/>
      <c r="CH194" s="15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7"/>
      <c r="DR194" s="37"/>
      <c r="DS194" s="37"/>
      <c r="DT194" s="29"/>
      <c r="DU194" s="37"/>
      <c r="DV194" s="37"/>
      <c r="DW194" s="37"/>
      <c r="DX194" s="37"/>
      <c r="DY194" s="37"/>
      <c r="DZ194" s="37"/>
      <c r="EA194" s="37"/>
      <c r="EB194" s="29"/>
      <c r="EC194" s="36"/>
      <c r="ED194" s="36"/>
      <c r="EE194" s="36"/>
      <c r="EF194" s="37"/>
      <c r="EG194" s="2"/>
      <c r="EH194" s="37"/>
      <c r="EI194" s="2"/>
      <c r="EJ194" s="2"/>
      <c r="EK194" s="2"/>
      <c r="EL194" s="2"/>
      <c r="EM194" s="2"/>
      <c r="EN194" s="2"/>
      <c r="EO194" s="2"/>
      <c r="EP194" s="2"/>
      <c r="EQ194" s="37"/>
      <c r="ER194" s="37"/>
      <c r="ES194" s="37"/>
      <c r="ET194" s="37"/>
      <c r="EU194" s="37"/>
      <c r="EV194" s="37"/>
      <c r="EW194" s="37"/>
    </row>
    <row r="195" spans="1:153" ht="15.6">
      <c r="A195" s="36"/>
      <c r="B195" s="5"/>
      <c r="C195" s="37"/>
      <c r="D195" s="15"/>
      <c r="E195" s="15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6"/>
      <c r="U195" s="37"/>
      <c r="V195" s="37"/>
      <c r="W195" s="37"/>
      <c r="X195" s="37"/>
      <c r="Y195" s="37"/>
      <c r="Z195" s="37"/>
      <c r="AA195" s="37"/>
      <c r="AB195" s="36"/>
      <c r="AC195" s="36"/>
      <c r="AD195" s="36"/>
      <c r="AE195" s="36"/>
      <c r="AF195" s="37"/>
      <c r="AG195" s="13"/>
      <c r="AH195" s="37"/>
      <c r="AI195" s="37"/>
      <c r="AJ195" s="37"/>
      <c r="AK195" s="37"/>
      <c r="AL195" s="15"/>
      <c r="AM195" s="15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6"/>
      <c r="BX195" s="36"/>
      <c r="BY195" s="36"/>
      <c r="BZ195" s="37"/>
      <c r="CA195" s="12"/>
      <c r="CB195" s="37"/>
      <c r="CC195" s="37"/>
      <c r="CD195" s="37"/>
      <c r="CE195" s="37"/>
      <c r="CF195" s="37"/>
      <c r="CG195" s="15"/>
      <c r="CH195" s="15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29"/>
      <c r="DU195" s="37"/>
      <c r="DV195" s="37"/>
      <c r="DW195" s="37"/>
      <c r="DX195" s="37"/>
      <c r="DY195" s="37"/>
      <c r="DZ195" s="37"/>
      <c r="EA195" s="37"/>
      <c r="EB195" s="29"/>
      <c r="EC195" s="36"/>
      <c r="ED195" s="36"/>
      <c r="EE195" s="36"/>
      <c r="EF195" s="37"/>
      <c r="EG195" s="2"/>
      <c r="EH195" s="37"/>
      <c r="EI195" s="2"/>
      <c r="EJ195" s="2"/>
      <c r="EK195" s="2"/>
      <c r="EL195" s="2"/>
      <c r="EM195" s="2"/>
      <c r="EN195" s="2"/>
      <c r="EO195" s="2"/>
      <c r="EP195" s="2"/>
      <c r="EQ195" s="37"/>
      <c r="ER195" s="37"/>
      <c r="ES195" s="37"/>
      <c r="ET195" s="37"/>
      <c r="EU195" s="37"/>
      <c r="EV195" s="37"/>
      <c r="EW195" s="37"/>
    </row>
    <row r="196" spans="1:153" ht="15.6">
      <c r="A196" s="36"/>
      <c r="B196" s="5"/>
      <c r="C196" s="37"/>
      <c r="D196" s="15"/>
      <c r="E196" s="15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6"/>
      <c r="U196" s="37"/>
      <c r="V196" s="37"/>
      <c r="W196" s="37"/>
      <c r="X196" s="37"/>
      <c r="Y196" s="37"/>
      <c r="Z196" s="37"/>
      <c r="AA196" s="37"/>
      <c r="AB196" s="36"/>
      <c r="AC196" s="36"/>
      <c r="AD196" s="36"/>
      <c r="AE196" s="36"/>
      <c r="AF196" s="37"/>
      <c r="AG196" s="13"/>
      <c r="AH196" s="37"/>
      <c r="AI196" s="37"/>
      <c r="AJ196" s="37"/>
      <c r="AK196" s="37"/>
      <c r="AL196" s="15"/>
      <c r="AM196" s="15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6"/>
      <c r="BX196" s="36"/>
      <c r="BY196" s="36"/>
      <c r="BZ196" s="37"/>
      <c r="CA196" s="12"/>
      <c r="CB196" s="37"/>
      <c r="CC196" s="37"/>
      <c r="CD196" s="37"/>
      <c r="CE196" s="37"/>
      <c r="CF196" s="37"/>
      <c r="CG196" s="15"/>
      <c r="CH196" s="15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29"/>
      <c r="DU196" s="37"/>
      <c r="DV196" s="37"/>
      <c r="DW196" s="37"/>
      <c r="DX196" s="37"/>
      <c r="DY196" s="37"/>
      <c r="DZ196" s="37"/>
      <c r="EA196" s="37"/>
      <c r="EB196" s="29"/>
      <c r="EC196" s="36"/>
      <c r="ED196" s="36"/>
      <c r="EE196" s="36"/>
      <c r="EF196" s="37"/>
      <c r="EG196" s="2"/>
      <c r="EH196" s="37"/>
      <c r="EI196" s="2"/>
      <c r="EJ196" s="2"/>
      <c r="EK196" s="2"/>
      <c r="EL196" s="2"/>
      <c r="EM196" s="2"/>
      <c r="EN196" s="2"/>
      <c r="EO196" s="2"/>
      <c r="EP196" s="2"/>
      <c r="EQ196" s="37"/>
      <c r="ER196" s="37"/>
      <c r="ES196" s="37"/>
      <c r="ET196" s="37"/>
      <c r="EU196" s="37"/>
      <c r="EV196" s="37"/>
      <c r="EW196" s="37"/>
    </row>
    <row r="197" spans="1:153" ht="15.6">
      <c r="A197" s="36"/>
      <c r="B197" s="5"/>
      <c r="C197" s="37"/>
      <c r="D197" s="15"/>
      <c r="E197" s="15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6"/>
      <c r="U197" s="37"/>
      <c r="V197" s="37"/>
      <c r="W197" s="37"/>
      <c r="X197" s="37"/>
      <c r="Y197" s="37"/>
      <c r="Z197" s="37"/>
      <c r="AA197" s="14"/>
      <c r="AB197" s="36"/>
      <c r="AC197" s="36"/>
      <c r="AD197" s="36"/>
      <c r="AE197" s="36"/>
      <c r="AF197" s="37"/>
      <c r="AG197" s="13"/>
      <c r="AH197" s="37"/>
      <c r="AI197" s="37"/>
      <c r="AJ197" s="37"/>
      <c r="AK197" s="37"/>
      <c r="AL197" s="15"/>
      <c r="AM197" s="15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14"/>
      <c r="BP197" s="14"/>
      <c r="BQ197" s="14"/>
      <c r="BR197" s="37"/>
      <c r="BS197" s="14"/>
      <c r="BT197" s="21"/>
      <c r="BU197" s="21"/>
      <c r="BV197" s="37"/>
      <c r="BW197" s="36"/>
      <c r="BX197" s="36"/>
      <c r="BY197" s="36"/>
      <c r="BZ197" s="37"/>
      <c r="CA197" s="12"/>
      <c r="CB197" s="37"/>
      <c r="CC197" s="37"/>
      <c r="CD197" s="28"/>
      <c r="CE197" s="37"/>
      <c r="CF197" s="37"/>
      <c r="CG197" s="15"/>
      <c r="CH197" s="15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29"/>
      <c r="DU197" s="37"/>
      <c r="DV197" s="37"/>
      <c r="DW197" s="37"/>
      <c r="DX197" s="37"/>
      <c r="DY197" s="37"/>
      <c r="DZ197" s="37"/>
      <c r="EA197" s="37"/>
      <c r="EB197" s="29"/>
      <c r="EC197" s="36"/>
      <c r="ED197" s="36"/>
      <c r="EE197" s="36"/>
      <c r="EF197" s="37"/>
      <c r="EG197" s="2"/>
      <c r="EH197" s="37"/>
      <c r="EI197" s="2"/>
      <c r="EJ197" s="2"/>
      <c r="EK197" s="2"/>
      <c r="EL197" s="2"/>
      <c r="EM197" s="2"/>
      <c r="EN197" s="2"/>
      <c r="EO197" s="2"/>
      <c r="EP197" s="2"/>
      <c r="EQ197" s="37"/>
      <c r="ER197" s="37"/>
      <c r="ES197" s="37"/>
      <c r="ET197" s="37"/>
      <c r="EU197" s="37"/>
      <c r="EV197" s="37"/>
      <c r="EW197" s="37"/>
    </row>
    <row r="198" spans="1:153" ht="15.6">
      <c r="A198" s="36"/>
      <c r="B198" s="5"/>
      <c r="C198" s="37"/>
      <c r="D198" s="15"/>
      <c r="E198" s="15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6"/>
      <c r="U198" s="37"/>
      <c r="V198" s="14"/>
      <c r="W198" s="14"/>
      <c r="X198" s="14"/>
      <c r="Y198" s="14"/>
      <c r="Z198" s="14"/>
      <c r="AA198" s="21"/>
      <c r="AB198" s="36"/>
      <c r="AC198" s="36"/>
      <c r="AD198" s="36"/>
      <c r="AE198" s="36"/>
      <c r="AF198" s="37"/>
      <c r="AG198" s="13"/>
      <c r="AH198" s="37"/>
      <c r="AI198" s="37"/>
      <c r="AJ198" s="37"/>
      <c r="AK198" s="37"/>
      <c r="AL198" s="15"/>
      <c r="AM198" s="15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6"/>
      <c r="BX198" s="36"/>
      <c r="BY198" s="36"/>
      <c r="BZ198" s="37"/>
      <c r="CA198" s="12"/>
      <c r="CB198" s="37"/>
      <c r="CC198" s="37"/>
      <c r="CD198" s="37"/>
      <c r="CE198" s="37"/>
      <c r="CF198" s="37"/>
      <c r="CG198" s="15"/>
      <c r="CH198" s="15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29"/>
      <c r="DU198" s="37"/>
      <c r="DV198" s="37"/>
      <c r="DW198" s="37"/>
      <c r="DX198" s="37"/>
      <c r="DY198" s="37"/>
      <c r="DZ198" s="37"/>
      <c r="EA198" s="37"/>
      <c r="EB198" s="29"/>
      <c r="EC198" s="36"/>
      <c r="ED198" s="36"/>
      <c r="EE198" s="36"/>
      <c r="EF198" s="37"/>
      <c r="EG198" s="2"/>
      <c r="EH198" s="37"/>
      <c r="EI198" s="2"/>
      <c r="EJ198" s="2"/>
      <c r="EK198" s="2"/>
      <c r="EL198" s="2"/>
      <c r="EM198" s="2"/>
      <c r="EN198" s="2"/>
      <c r="EO198" s="2"/>
      <c r="EP198" s="2"/>
      <c r="EQ198" s="37"/>
      <c r="ER198" s="37"/>
      <c r="ES198" s="37"/>
      <c r="ET198" s="37"/>
      <c r="EU198" s="37"/>
      <c r="EV198" s="37"/>
      <c r="EW198" s="37"/>
    </row>
    <row r="199" spans="1:153" ht="15.6">
      <c r="A199" s="36"/>
      <c r="B199" s="5"/>
      <c r="C199" s="37"/>
      <c r="D199" s="15"/>
      <c r="E199" s="15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6"/>
      <c r="U199" s="37"/>
      <c r="V199" s="37"/>
      <c r="W199" s="37"/>
      <c r="X199" s="37"/>
      <c r="Y199" s="37"/>
      <c r="Z199" s="37"/>
      <c r="AA199" s="37"/>
      <c r="AB199" s="36"/>
      <c r="AC199" s="36"/>
      <c r="AD199" s="36"/>
      <c r="AE199" s="36"/>
      <c r="AF199" s="37"/>
      <c r="AG199" s="13"/>
      <c r="AH199" s="37"/>
      <c r="AI199" s="37"/>
      <c r="AJ199" s="37"/>
      <c r="AK199" s="37"/>
      <c r="AL199" s="15"/>
      <c r="AM199" s="15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6"/>
      <c r="BX199" s="36"/>
      <c r="BY199" s="36"/>
      <c r="BZ199" s="37"/>
      <c r="CA199" s="12"/>
      <c r="CB199" s="37"/>
      <c r="CC199" s="37"/>
      <c r="CD199" s="37"/>
      <c r="CE199" s="37"/>
      <c r="CF199" s="37"/>
      <c r="CG199" s="15"/>
      <c r="CH199" s="15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29"/>
      <c r="DU199" s="37"/>
      <c r="DV199" s="37"/>
      <c r="DW199" s="37"/>
      <c r="DX199" s="37"/>
      <c r="DY199" s="37"/>
      <c r="DZ199" s="37"/>
      <c r="EA199" s="37"/>
      <c r="EB199" s="29"/>
      <c r="EC199" s="36"/>
      <c r="ED199" s="36"/>
      <c r="EE199" s="36"/>
      <c r="EF199" s="37"/>
      <c r="EG199" s="2"/>
      <c r="EH199" s="37"/>
      <c r="EI199" s="2"/>
      <c r="EJ199" s="2"/>
      <c r="EK199" s="2"/>
      <c r="EL199" s="2"/>
      <c r="EM199" s="2"/>
      <c r="EN199" s="2"/>
      <c r="EO199" s="2"/>
      <c r="EP199" s="2"/>
      <c r="EQ199" s="37"/>
      <c r="ER199" s="37"/>
      <c r="ES199" s="37"/>
      <c r="ET199" s="37"/>
      <c r="EU199" s="37"/>
      <c r="EV199" s="37"/>
      <c r="EW199" s="37"/>
    </row>
    <row r="200" spans="1:153" ht="15.6">
      <c r="A200" s="36"/>
      <c r="B200" s="5"/>
      <c r="C200" s="37"/>
      <c r="D200" s="15"/>
      <c r="E200" s="15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6"/>
      <c r="U200" s="14"/>
      <c r="V200" s="14"/>
      <c r="W200" s="14"/>
      <c r="X200" s="14"/>
      <c r="Y200" s="14"/>
      <c r="Z200" s="14"/>
      <c r="AA200" s="37"/>
      <c r="AB200" s="36"/>
      <c r="AC200" s="36"/>
      <c r="AD200" s="36"/>
      <c r="AE200" s="36"/>
      <c r="AF200" s="37"/>
      <c r="AG200" s="13"/>
      <c r="AH200" s="37"/>
      <c r="AI200" s="37"/>
      <c r="AJ200" s="37"/>
      <c r="AK200" s="37"/>
      <c r="AL200" s="15"/>
      <c r="AM200" s="15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21"/>
      <c r="BP200" s="37"/>
      <c r="BQ200" s="37"/>
      <c r="BR200" s="37"/>
      <c r="BS200" s="37"/>
      <c r="BT200" s="37"/>
      <c r="BU200" s="37"/>
      <c r="BV200" s="37"/>
      <c r="BW200" s="36"/>
      <c r="BX200" s="36"/>
      <c r="BY200" s="36"/>
      <c r="BZ200" s="37"/>
      <c r="CA200" s="12"/>
      <c r="CB200" s="37"/>
      <c r="CC200" s="37"/>
      <c r="CD200" s="37"/>
      <c r="CE200" s="37"/>
      <c r="CF200" s="37"/>
      <c r="CG200" s="15"/>
      <c r="CH200" s="15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29"/>
      <c r="DU200" s="37"/>
      <c r="DV200" s="37"/>
      <c r="DW200" s="37"/>
      <c r="DX200" s="37"/>
      <c r="DY200" s="37"/>
      <c r="DZ200" s="37"/>
      <c r="EA200" s="37"/>
      <c r="EB200" s="29"/>
      <c r="EC200" s="36"/>
      <c r="ED200" s="36"/>
      <c r="EE200" s="36"/>
      <c r="EF200" s="37"/>
      <c r="EG200" s="2"/>
      <c r="EH200" s="37"/>
      <c r="EI200" s="2"/>
      <c r="EJ200" s="2"/>
      <c r="EK200" s="2"/>
      <c r="EL200" s="2"/>
      <c r="EM200" s="2"/>
      <c r="EN200" s="2"/>
      <c r="EO200" s="2"/>
      <c r="EP200" s="2"/>
      <c r="EQ200" s="37"/>
      <c r="ER200" s="37"/>
      <c r="ES200" s="37"/>
      <c r="ET200" s="37"/>
      <c r="EU200" s="37"/>
      <c r="EV200" s="37"/>
      <c r="EW200" s="37"/>
    </row>
  </sheetData>
  <mergeCells count="63">
    <mergeCell ref="EN3:EN4"/>
    <mergeCell ref="EO3:EO4"/>
    <mergeCell ref="EP3:EP4"/>
    <mergeCell ref="EH3:EH4"/>
    <mergeCell ref="EI3:EI4"/>
    <mergeCell ref="EJ3:EJ4"/>
    <mergeCell ref="EK3:EK4"/>
    <mergeCell ref="EL3:EL4"/>
    <mergeCell ref="EM3:EM4"/>
    <mergeCell ref="EG3:EG4"/>
    <mergeCell ref="CI3:CI4"/>
    <mergeCell ref="CJ3:CJ4"/>
    <mergeCell ref="CK3:CQ3"/>
    <mergeCell ref="DM3:DS3"/>
    <mergeCell ref="DT3:DT4"/>
    <mergeCell ref="DU3:EA3"/>
    <mergeCell ref="EB3:EB4"/>
    <mergeCell ref="EC3:EC4"/>
    <mergeCell ref="ED3:ED4"/>
    <mergeCell ref="EE3:EE4"/>
    <mergeCell ref="EF3:EF4"/>
    <mergeCell ref="CH3:CH4"/>
    <mergeCell ref="BW3:BW4"/>
    <mergeCell ref="BX3:BX4"/>
    <mergeCell ref="BY3:BY4"/>
    <mergeCell ref="BZ3:BZ4"/>
    <mergeCell ref="CA3:CA4"/>
    <mergeCell ref="CB3:CB4"/>
    <mergeCell ref="CC3:CC4"/>
    <mergeCell ref="CD3:CD4"/>
    <mergeCell ref="CE3:CE4"/>
    <mergeCell ref="CF3:CF4"/>
    <mergeCell ref="CG3:CG4"/>
    <mergeCell ref="BV3:BV4"/>
    <mergeCell ref="AK3:AK4"/>
    <mergeCell ref="AL3:AL4"/>
    <mergeCell ref="AM3:AM4"/>
    <mergeCell ref="AN3:AN4"/>
    <mergeCell ref="AO3:AO4"/>
    <mergeCell ref="AP3:AV3"/>
    <mergeCell ref="AW3:BA3"/>
    <mergeCell ref="BB3:BF3"/>
    <mergeCell ref="BG3:BM3"/>
    <mergeCell ref="BN3:BN4"/>
    <mergeCell ref="BO3:BU3"/>
    <mergeCell ref="AJ3:AJ4"/>
    <mergeCell ref="M3:S3"/>
    <mergeCell ref="T3:T4"/>
    <mergeCell ref="U3:AA3"/>
    <mergeCell ref="AB3:AB4"/>
    <mergeCell ref="AC3:AC4"/>
    <mergeCell ref="AD3:AD4"/>
    <mergeCell ref="AE3:AE4"/>
    <mergeCell ref="AF3:AF4"/>
    <mergeCell ref="AG3:AG4"/>
    <mergeCell ref="AH3:AH4"/>
    <mergeCell ref="AI3:AI4"/>
    <mergeCell ref="F3:L3"/>
    <mergeCell ref="A3:A4"/>
    <mergeCell ref="B3:B4"/>
    <mergeCell ref="C3:C4"/>
    <mergeCell ref="D3:D4"/>
    <mergeCell ref="E3:E4"/>
  </mergeCells>
  <conditionalFormatting sqref="A1:B200">
    <cfRule type="duplicateValues" dxfId="60" priority="31"/>
    <cfRule type="duplicateValues" dxfId="59" priority="32"/>
    <cfRule type="duplicateValues" dxfId="58" priority="33"/>
    <cfRule type="duplicateValues" dxfId="57" priority="34"/>
    <cfRule type="duplicateValues" dxfId="56" priority="35"/>
  </conditionalFormatting>
  <conditionalFormatting sqref="A1:B200">
    <cfRule type="duplicateValues" dxfId="55" priority="43"/>
  </conditionalFormatting>
  <conditionalFormatting sqref="A1:B200">
    <cfRule type="duplicateValues" dxfId="54" priority="57"/>
    <cfRule type="duplicateValues" dxfId="53" priority="58"/>
    <cfRule type="duplicateValues" dxfId="52" priority="59"/>
  </conditionalFormatting>
  <conditionalFormatting sqref="A1:B200">
    <cfRule type="duplicateValues" dxfId="51" priority="1"/>
  </conditionalFormatting>
  <conditionalFormatting sqref="A1:B200">
    <cfRule type="duplicateValues" dxfId="50" priority="40"/>
  </conditionalFormatting>
  <conditionalFormatting sqref="A1:B200">
    <cfRule type="duplicateValues" dxfId="49" priority="44"/>
    <cfRule type="duplicateValues" dxfId="48" priority="45"/>
    <cfRule type="duplicateValues" dxfId="47" priority="46"/>
    <cfRule type="duplicateValues" dxfId="46" priority="47"/>
    <cfRule type="duplicateValues" dxfId="45" priority="48"/>
  </conditionalFormatting>
  <conditionalFormatting sqref="A1:B200">
    <cfRule type="duplicateValues" dxfId="44" priority="41"/>
  </conditionalFormatting>
  <conditionalFormatting sqref="A1:B200">
    <cfRule type="duplicateValues" dxfId="43" priority="6"/>
    <cfRule type="duplicateValues" dxfId="42" priority="7"/>
    <cfRule type="duplicateValues" dxfId="41" priority="8"/>
    <cfRule type="duplicateValues" dxfId="40" priority="9"/>
    <cfRule type="duplicateValues" dxfId="39" priority="10"/>
  </conditionalFormatting>
  <conditionalFormatting sqref="A1:B200">
    <cfRule type="duplicateValues" dxfId="38" priority="11"/>
    <cfRule type="duplicateValues" dxfId="37" priority="12"/>
    <cfRule type="duplicateValues" dxfId="36" priority="13"/>
    <cfRule type="duplicateValues" dxfId="35" priority="14"/>
    <cfRule type="duplicateValues" dxfId="34" priority="15"/>
    <cfRule type="duplicateValues" dxfId="33" priority="16"/>
    <cfRule type="duplicateValues" dxfId="32" priority="17"/>
    <cfRule type="duplicateValues" dxfId="31" priority="18"/>
  </conditionalFormatting>
  <conditionalFormatting sqref="A1:B200">
    <cfRule type="duplicateValues" dxfId="30" priority="19"/>
    <cfRule type="duplicateValues" dxfId="29" priority="20"/>
    <cfRule type="duplicateValues" dxfId="28" priority="21"/>
  </conditionalFormatting>
  <conditionalFormatting sqref="A1:B200">
    <cfRule type="duplicateValues" dxfId="27" priority="22"/>
    <cfRule type="duplicateValues" dxfId="26" priority="23"/>
    <cfRule type="duplicateValues" dxfId="25" priority="24"/>
    <cfRule type="duplicateValues" dxfId="24" priority="25"/>
    <cfRule type="duplicateValues" dxfId="23" priority="26"/>
    <cfRule type="duplicateValues" dxfId="22" priority="27"/>
  </conditionalFormatting>
  <conditionalFormatting sqref="A1:B200">
    <cfRule type="duplicateValues" dxfId="21" priority="3"/>
    <cfRule type="duplicateValues" dxfId="20" priority="4"/>
    <cfRule type="duplicateValues" dxfId="19" priority="5"/>
  </conditionalFormatting>
  <conditionalFormatting sqref="A1:B200">
    <cfRule type="duplicateValues" dxfId="18" priority="28"/>
    <cfRule type="duplicateValues" dxfId="17" priority="29"/>
    <cfRule type="duplicateValues" dxfId="16" priority="30"/>
  </conditionalFormatting>
  <conditionalFormatting sqref="A1:B200">
    <cfRule type="duplicateValues" dxfId="15" priority="53"/>
    <cfRule type="duplicateValues" dxfId="14" priority="54"/>
    <cfRule type="duplicateValues" dxfId="13" priority="55"/>
    <cfRule type="duplicateValues" dxfId="12" priority="56"/>
  </conditionalFormatting>
  <conditionalFormatting sqref="A1:B200">
    <cfRule type="duplicateValues" dxfId="11" priority="2"/>
  </conditionalFormatting>
  <conditionalFormatting sqref="A1:B200">
    <cfRule type="duplicateValues" dxfId="10" priority="60"/>
    <cfRule type="duplicateValues" dxfId="9" priority="61"/>
  </conditionalFormatting>
  <conditionalFormatting sqref="A1:B200">
    <cfRule type="duplicateValues" dxfId="8" priority="49"/>
    <cfRule type="duplicateValues" dxfId="7" priority="50"/>
    <cfRule type="duplicateValues" dxfId="6" priority="51"/>
    <cfRule type="duplicateValues" dxfId="5" priority="52"/>
  </conditionalFormatting>
  <conditionalFormatting sqref="A1:B200">
    <cfRule type="duplicateValues" dxfId="4" priority="36"/>
    <cfRule type="duplicateValues" dxfId="3" priority="37"/>
    <cfRule type="duplicateValues" dxfId="2" priority="38"/>
    <cfRule type="duplicateValues" dxfId="1" priority="39"/>
    <cfRule type="duplicateValues" dxfId="0" priority="4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SUHARIYANTO</dc:creator>
  <cp:lastModifiedBy>User</cp:lastModifiedBy>
  <cp:lastPrinted>2024-06-22T06:05:48Z</cp:lastPrinted>
  <dcterms:created xsi:type="dcterms:W3CDTF">2021-05-28T15:02:58Z</dcterms:created>
  <dcterms:modified xsi:type="dcterms:W3CDTF">2026-06-01T11:06:05Z</dcterms:modified>
</cp:coreProperties>
</file>